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sheetId="1" r:id="rId5"/>
    <sheet state="visible" name="CheckDigit" sheetId="2" r:id="rId6"/>
    <sheet state="visible" name="ScriptText_20230626" sheetId="3" r:id="rId7"/>
    <sheet state="visible" name="FieldsData" sheetId="4" r:id="rId8"/>
  </sheets>
  <definedNames>
    <definedName hidden="1" localSheetId="0" name="_xlnm._FilterDatabase">Function!$A$1:$E$55</definedName>
    <definedName hidden="1" localSheetId="0" name="Z_EA1E7360_78F2_4B04_A15B_99AE04FEE8AB_.wvu.FilterData">Function!$B$1:$B$1000</definedName>
  </definedNames>
  <calcPr/>
  <customWorkbookViews>
    <customWorkbookView activeSheetId="0" maximized="1" windowHeight="0" windowWidth="0" guid="{EA1E7360-78F2-4B04-A15B-99AE04FEE8AB}" name="ตัวกรอง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tc={12d5e1e7-111c-4b0c-acfd-a5f2ef8f4a39}</author>
    <author>tc={4272e254-0a78-47ce-b3b7-8802ce591653}</author>
    <author>tc={44022164-238c-41b3-ba30-a4a55dc9453d}</author>
    <author>tc={a1a3221a-9989-47e7-bc8b-211908554e2b}</author>
    <author>tc={ba8dd2cc-f62f-4c90-8444-f9a93538ecfe}</author>
    <author>tc={dd486a65-c3d2-4fc5-9e74-8a99fbe953b3}</author>
    <author>tc={f03a7335-92e4-44d0-9346-da256f87178c}</author>
  </authors>
  <commentList>
    <comment authorId="0" xr:uid="{12d5e1e7-111c-4b0c-acfd-a5f2ef8f4a39}" ref="B55">
      <text>
        <t xml:space="preserve">[Threaded comment]
 Your version of Excel allows you to read this threaded comment; however, any edits to it will get removed if the file is opened in a newer version of Excel. Learn more: https://go.microsoft.com/fwlink/?linkid=870924
Comment:
	ไม่มีเช็คดิจิต มีแยกข้อมูล
	-Insee C
</t>
      </text>
    </comment>
    <comment authorId="1" xr:uid="{4272e254-0a78-47ce-b3b7-8802ce591653}" ref="B45">
      <text>
        <t xml:space="preserve">[Threaded comment]
 Your version of Excel allows you to read this threaded comment; however, any edits to it will get removed if the file is opened in a newer version of Excel. Learn more: https://go.microsoft.com/fwlink/?linkid=870924
Comment:
	จาก Barcode ที่ทดสอบ ไม่พบ 
mimamori_ref = 3 เลย
(ตัวรองสุดท้าย 1 ตำแหน่ง)
	-Insee C
</t>
      </text>
    </comment>
    <comment authorId="2" xr:uid="{44022164-238c-41b3-ba30-a4a55dc9453d}" ref="B28">
      <text>
        <t xml:space="preserve">[Threaded comment]
 Your version of Excel allows you to read this threaded comment; however, any edits to it will get removed if the file is opened in a newer version of Excel. Learn more: https://go.microsoft.com/fwlink/?linkid=870924
Comment:
	6 Char บางตัวเช็คดิจิตไม่ผ่าน
	-Insee C
จาก Script ที่ ปณ=56
6-7 Char ผ่านได้เลย โดยไม่ต้องเช็คดิจิต
	-Insee C
</t>
      </text>
    </comment>
    <comment authorId="3" xr:uid="{a1a3221a-9989-47e7-bc8b-211908554e2b}" ref="B41">
      <text>
        <t xml:space="preserve">[Threaded comment]
 Your version of Excel allows you to read this threaded comment; however, any edits to it will get removed if the file is opened in a newer version of Excel. Learn more: https://go.microsoft.com/fwlink/?linkid=870924
Comment:
	เช็คดิจิตผ่านเฉพาะ 37 Char
38 Char ไม่ผ่านเงื่อนไขเช็คบาร์โค้ด ข้อ B 1.2
	-Insee C
จาก Script ใหม่ ที่ ปณ=56
	-Insee C
</t>
      </text>
    </comment>
    <comment authorId="4" xr:uid="{ba8dd2cc-f62f-4c90-8444-f9a93538ecfe}" ref="B5">
      <text>
        <t xml:space="preserve">[Threaded comment]
 Your version of Excel allows you to read this threaded comment; however, any edits to it will get removed if the file is opened in a newer version of Excel. Learn more: https://go.microsoft.com/fwlink/?linkid=870924
Comment:
	ดู Field Type แต่ละประเภทได้ที่ Link
	-Insee C
</t>
      </text>
    </comment>
    <comment authorId="5" xr:uid="{dd486a65-c3d2-4fc5-9e74-8a99fbe953b3}" ref="B38">
      <text>
        <t xml:space="preserve">[Threaded comment]
 Your version of Excel allows you to read this threaded comment; however, any edits to it will get removed if the file is opened in a newer version of Excel. Learn more: https://go.microsoft.com/fwlink/?linkid=870924
Comment:
	เช็คดิจิตผ่านเฉพาะ 37 Char
	-Insee C
จาก Script ใหม่ ที่ ปณ=56
	-Insee C
</t>
      </text>
    </comment>
    <comment authorId="6" xr:uid="{f03a7335-92e4-44d0-9346-da256f87178c}" ref="B22">
      <text>
        <t xml:space="preserve">[Threaded comment]
 Your version of Excel allows you to read this threaded comment; however, any edits to it will get removed if the file is opened in a newer version of Excel. Learn more: https://go.microsoft.com/fwlink/?linkid=870924
Comment:
	ไม่ได้เช็คดิจิต คำนวณและส่ง output กลับ
	-Insee C
</t>
      </text>
    </comment>
  </commentList>
</comments>
</file>

<file path=xl/sharedStrings.xml><?xml version="1.0" encoding="utf-8"?>
<sst xmlns="http://schemas.openxmlformats.org/spreadsheetml/2006/main" count="12276" uniqueCount="2299">
  <si>
    <t>SP_FUNC_ID</t>
  </si>
  <si>
    <t>SP_FUNC_NAME</t>
  </si>
  <si>
    <t>Status</t>
  </si>
  <si>
    <t>Requirement Specification</t>
  </si>
  <si>
    <t>SP_FUNC_BODY</t>
  </si>
  <si>
    <t>MsgBoxOk</t>
  </si>
  <si>
    <t>แสดง MessageBox ตาม ErrorMsg ที่ส่งมา
และใช้ Title = "Warning"</t>
  </si>
  <si>
    <t>//#region:Func
if(Application.config.isDebugMode)
	console.log("MsgBoxOk");
//#endregion:Func
//#region:head
var _this = this;
var args = arguments;
var _callback = callback;
var params = datas;
var _scope = scope;
var output,process = {success:false,output:null};
//console.log(args)
//#endregion:head
var msg,title = "Warning";
msg = params;
MessageBox.show(msg, {
	header: {title: title},
	cls: "custom",
	css: {width: "40%"},
	content:{cls: "content-custom",css:{height: 200}},
	buttons:{
		OK: _.extend(_.clone(MessageBox.Button.Default)
			, {
				cls: "btn btn-primary",
				css: {},
				html: "Ok",
				handler: _.bind(function(e) {
					Loading.hide();
					if(!_.isNull(_callback) &amp;&amp; !_.isUndefined(_callback))
						_callback("ok");
				}, _scope)
			})
	}
});
return {success:true,output:output};</t>
  </si>
  <si>
    <t>ChkEmail</t>
  </si>
  <si>
    <t>Verify Email Format</t>
  </si>
  <si>
    <t>//#region:Func
if(Application.config.isDebugMode)
	console.log("ChkEmail" +": "+scope.getField().get("FD_NAME"));
//#endregion:Func
//#region:head
var _scope = scope;
var _callback = callback;
var _datas = datas;
var output,process = {success:false,output:null};
if(_.isNull(_scope) || _.isUndefined(_scope))
	return _callback(process,_scope);
//#endregion:head
var field;
if(_.isNull(_datas.FDName) || _.isUndefined(_datas.FDName))
	field = _scope.getField();
else
	field = _scope.getField(_datas.FDName);
var val = field.getValue();
output = /^\w+([\.-]?\w+)*@\w+([\.-]?\w+)*(\.\w{2,3})+$/.test(val);
return {success:true,output:output};</t>
  </si>
  <si>
    <t>SPMsgBoxOk</t>
  </si>
  <si>
    <r>
      <rPr>
        <rFont val="Sarabun"/>
        <color theme="1"/>
        <sz val="10.0"/>
      </rPr>
      <t xml:space="preserve">แสดง MessageBox โดยหา ErrorMsg จาก VerifyCode ที่ส่งมา หากไม่มี VerifyCode ให้ใช้ Code = 0 แทน
และใช้ Title ตามที่ส่งด้วย แต่หากไม่มี Title ส่งมาให้ใช้ Title = "Warning" แทน
Input :
- info.VerifyCode = เลข VerifyCode  เพื่อหา SP_ERR_MSG 
จาก Table Z_SERVICE_PANEL_ERR_MSG  (Default = 0)
- Title = ลักษณะของ MessageBox (Default = "Warning")
- Msg = ข้อความที่ใช้แสดงใน MessageBox (Default = จากฟิล VERIFY_ERR_MSG )
- isClear = ให้ไปเรียก Func : Clear ก่อนแสดง MessageBox หรือไม่
</t>
    </r>
    <r>
      <rPr>
        <rFont val="Sarabun"/>
        <strike/>
        <color theme="1"/>
        <sz val="10.0"/>
      </rPr>
      <t>- ctrlDatas  =  ควบคุมลักษณะให้ฟิลที่ต้องการ</t>
    </r>
  </si>
  <si>
    <t>//#region:Func
if(Application.config.isDebugMode)
	console.log("SPMsgBoxOk" +": "+scope.getField().get("FD_NAME"));
//#endregion:Func
//#region:head
var _scope = scope;
var _callback = callback;
var _datas = datas;
var output,process = {success:false,output:null};
if(_.isNull(_scope) || _.isUndefined(_scope))
	return process;
//#endregion:head
Parameters.setParameter("SP_Message",undefined);
var msg,title,verifyCode = "0";
var isReadOnly,fdType,fdName,field;
var info = _datas.info;
var crtl = (!_.isNull(info) &amp;&amp; !_.isUndefined(info)) ? info.ctrlDatas : null;
var field = _scope.getField();
var arrFdtype = [1,2,3,15,28,29];
var flaxFdtype = (arrFdtype.indexOf(field.get("FD_TYPE")) == -1) ? true : false;
title = (!(_.isNull(_datas.Title) || _.isUndefined(_datas.Title))) ? _datas.Title : "Warning";
msg = (!(_.isNull(_datas.Msg) || _.isUndefined(_datas.Msg))) ? _datas.Msg : field.getVerifyErrMsg();
if((!_.isNull(info) &amp;&amp; !_.isUndefined(info)))
	verifyCode = (!(_.isNull(info.VerifyCode) || _.isUndefined(info.VerifyCode))) ? info.VerifyCode : "0";
if(!_.isNull(_datas.data) &amp;&amp; !_.isUndefined(_datas.data))
	crtl = (!(_.isNull(_datas.data.ctrlDatas) || _.isUndefined(_datas.data.ctrlDatas))) ? _datas.data.ctrlDatas : crtl;
function setCusor(crtl){
	for(i=0;i&lt;crtl.length;i++){
		fdName = crtl[i].FD_NAME;
		fdType = crtl[i].FD_TYPE;
		isReadOnly = crtl[i].IS_READONLY;
		if(arrFdtype.indexOf(fdType) == -1 &amp;&amp; isReadOnly != true){
			field = _scope.getField(fdName);
			if(!_.isNull(field) &amp;&amp; !_.isUndefined(field)){
				field.focus();
				break;
			}
		}
	}
}
var params = {Sql: "SELECT * FROM Z_SERVICE_PANEL_ERR_MSG WHERE SP_ERR_CODE = " + verifyCode};
var CallbackCallSql = function(result){
	var Popup = Parameters.getParameters().ServPanelPopup;
    if(result.success){
		var data = result.output.getData().Data;
		if(data.length &gt; 0)
			msg = data[0].SP_ERR_MSG;
	}
	if(flaxFdtype)
		field.setValid(false);
	if(_.isUndefined(Popup)){
		Parameters.setParameter("ServPanelPopup",true);
		Parameters.setParameter("SP_Message",undefined);
		MessageBox.show(msg, {header: {title: title},cls: "custom",css: {width: "25%"},content:{cls: "content-custom",css:{height: 300}},
			onHidden:_.bind(function(e) {
				if(_datas.isClear)
					_scope.executeFunc("Clear");
				if(!(_.isNull(crtl) || _.isUndefined(crtl))){
					if(info.eventName == "end"){
						if(!field.getProperty("IsReadOnly") &amp;&amp; field.getProperty("Visible")){
							if(flaxFdtype)
								field.focus();
						}
						else
							setCusor(crtl);
					}
					else
						setCusor(crtl);
				}
				else if(flaxFdtype)
					field.focus();
				if(!_.isUndefined(Parameters.getParameters().ServPanelPopup))
					Parameters.setParameter("ServPanelPopup",false);
			}, _scope)
			,buttons:{
				OK: _.extend(_.clone(MessageBox.Button.Default), {
					cls: "btn btn-primary",css: {},html: "Ok",
					handler: _.bind(function(e) {
						Parameters.setParameter("ServPanelPopup",undefined);
						if(!_.isNull(_callback) &amp;&amp; !_.isUndefined(_callback))
							_callback("ok",_scope);
					}, _scope)
				})
			}
		});
	}
}
_scope.executeFunc("CallSqlServP",params,CallbackCallSql,_scope);
return {success:true,output:output};</t>
  </si>
  <si>
    <t>Clear</t>
  </si>
  <si>
    <t>กำหนดค่าใน Field ตามแต่ละ Type ดังนี้
Field.FD_TYPE == 19,20,100 กำหนดค่า 0 
Field.FD_TYPE == 14 กำหนดค่า  -1 
Field.FD_TYPE == 7 กำหนดค่า false 
Field.FD_TYPE == 1,2,3,15,28,29 : 
 ถ้า isReadOnly =True ให้กำหนดค่า Field.IsReadOnly = true;
 ถ้า isReadOnly =False ให้กำหนดค่า Field นั้น ตามค่าที่ส่งมาใน Function</t>
  </si>
  <si>
    <t>//#region:Func
if(Application.config.isDebugMode)
	console.log("Clear" +": "+scope.getField().get("FD_NAME"));
//#endregion:Func
//#region:head
var _scope = scope;
var _callback = callback;
var _datas = datas;
var output,process = {success:false,output:null};
if(_.isNull(_scope) || _.isUndefined(_scope))
	return _callback(process,_scope);
//#endregion:head
var field;
if(_.isNull(_datas.FDName) || _.isUndefined(_datas.FDName))
	field = _scope.getField();
else
	field = _scope.getField(_datas.FDName);
var fdtype = field.get("FD_TYPE");
var defaultVal = field.get("DEFAULT_VALUE");
var val = "";
if(!_.isNull(defaultVal))
	val = defaultVal;
else{
	if([19,20,100].indexOf(fdtype) != -1)
		val = 0;
	if([14].indexOf(fdtype) != -1)
		val = -1;
	if([7].indexOf(fdtype) != -1)
		val = false;
}
if([1,2,3,15,28,29].indexOf(fdtype) == -1){
	if(_datas.isReadOnly)
		field.setProperty("IsReadOnly",true);
	else
		field.setValue(val);
}
return {success:true,output:output};</t>
  </si>
  <si>
    <t>ClearAll</t>
  </si>
  <si>
    <t xml:space="preserve">กำหนดค่าในชุด Field จนครบทั้งหน้าจอ
โดยเรียกไปที่ Function Clear </t>
  </si>
  <si>
    <t>//#region:Func
if(Application.config.isDebugMode)
	console.log("ClearAll" +": "+scope.getField().get("FD_NAME"));
//#endregion:Func
//#region:head
var _scope = scope;
var _callback = callback;
var _datas = datas;
var output,process = {success:false,output:null};
if(_.isNull(_scope) || _.isUndefined(_scope))
	return _callback(process,_scope);
//#endregion:head
var field;
var fdname = _datas.FDName;
if(_.isNull(_datas.FDName) || _.isUndefined(_datas.FDName))
	_scope.executeFunc("Clear",{isReadOnly:_datas.isReadOnly},_callback,_scope);
else{
	for(i=0;i&lt;fdname.length;i++){
		_scope.executeFunc("Clear",{FDName:fdname[i],isReadOnly:_datas.isReadOnly},_callback,_scope);
	}
}
return {success:true,output:output};</t>
  </si>
  <si>
    <t>CallSqlServP</t>
  </si>
  <si>
    <r>
      <rPr>
        <rFont val="Sarabun"/>
        <color theme="1"/>
        <sz val="10.0"/>
      </rPr>
      <t xml:space="preserve">CallSQL โดยใช้ </t>
    </r>
    <r>
      <rPr>
        <rFont val="Sarabun"/>
        <b/>
        <color theme="1"/>
        <sz val="10.0"/>
      </rPr>
      <t>SQL Command</t>
    </r>
    <r>
      <rPr>
        <rFont val="Sarabun"/>
        <color theme="1"/>
        <sz val="10.0"/>
      </rPr>
      <t xml:space="preserve"> จากที่ส่งมา 
หาก CallSQL Error ให้แสดง MessageBox แจ้งที่หน้าจอด้วย (Func:MsgBoxOk)</t>
    </r>
  </si>
  <si>
    <t>//#region:Func
if(Application.config.isDebugMode)
	console.log("CallSqlServP" +": "+scope.getField().get("FD_NAME"));
//#endregion:Func
//#region:head
var _scope = scope;
var _callback = callback;
var _datas = datas;
var output,process = {success:false,output:null};
if(_.isNull(_scope) || _.isUndefined(_scope))
	return process;
//#endregion:head
if(_.isNull(_callback) || _.isUndefined(_callback))
	return process;
var err = false;
if(_.isNull(_datas.Sql) || _.isUndefined(_datas.Sql))
	err = true;
if(err === true)
	_callback(process,_scope);
else{
	_scope.Invoker.callSQL(_datas.Sql,{success:
		function(result){
			var Data = result.getData();
			if(Data.ErrorCode === 1 || Data.ErrorCode === 1000)
				_callback({success:true,output:result},_scope);
			else
				_scope.executeFunc("MsgBoxOk",Data.ErrorMesg);
		}
	});
}</t>
  </si>
  <si>
    <t>NextOrBackTab</t>
  </si>
  <si>
    <t>ควมคุมการเปลี่ยนแท็บที่หน้าจอแบบฟอร์ม
Input :
- TabFDName = ฟิล Tab Panel 
- FocusFDName = ฟิลที่จะ Focus
- FDName = ฟิลที่ต้องการกำหนด ReadOnly 
- isNext = Focus ไป Tab ถัดไปหรือก่อนหน้า
- isReadOnly = กำหนด FDName ให้ ReadOnly หรือไม่</t>
  </si>
  <si>
    <t>//#region:Func
if(Application.config.isDebugMode)
	console.log("NextOrBackTab" +": "+scope.getField().get("FD_NAME"));
//#endregion:Func
//#region:head
var _scope = scope;
var _callback = callback;
var _datas = datas;
var output,process = {success:false,output:null};
if(_.isNull(_scope) || _.isUndefined(_scope))
	return process;
//#endregion:head
if(_.isNull(_datas.TabFDName) || _.isUndefined(_datas.TabFDName))
	return process;
var fdname   = (_.isNull(_datas.FDName) || _.isUndefined(_datas.FDName)) ? []:_datas.FDName;
var isReadOnly = (_.isNull(_datas.isReadOnly) || _.isUndefined(_datas.isReadOnly)) ? false:_datas.isReadOnly;
var isNext = (_.isNull(_datas.isNext) || _.isUndefined(_datas.isNext)) ? false:_datas.isNext;
var tab = _scope.getField(_datas.TabFDName);
var field = (_.isNull(_datas.FocusFDName) || _.isUndefined(_datas.FocusFDName)) ? null : _scope.getField(_datas.FocusFDName);
var activeTab = (_.isNull(_datas.activeTab) || _.isUndefined(_datas.activeTab)) ? null : _datas.activeTab;
var fieldRead;
for(i=0;i&lt;fdname.length;i++){
	fieldRead = _scope.getField(fdname[i]);
	if(!_.isNull(fieldRead))
		fieldRead.setProperty("IsReadOnly",isReadOnly);
}
if(!_.isNull(activeTab))
	tab.activeTab(activeTab);
else if(_datas.isNext)
	tab.nextTab();
else
	tab.prevTab();
if(!_.isNull(field))
	field.focus();
return {success:true,output:null};</t>
  </si>
  <si>
    <t>FormatDate</t>
  </si>
  <si>
    <t>แปลงข้อมูลวันที่ ตาม Format ที่ส่งมา</t>
  </si>
  <si>
    <t>//#region:Func
if(Application.config.isDebugMode)
        console.log("FormatDate" +": "+scope.getField().get("FD_NAME"));
//#endregion:Func
//#region:head
var _scope = scope;
var _callback = callback;
var _datas = datas;
var output,process = {success:false,output:null};
if(_.isNull(_scope) || _.isUndefined(_scope))
        return process;
//#endregion:head
var val,err = false;
var date = _datas.Date;
var day=[",",",",","];
var callyear = isNaN(parseInt(_datas.CalYear)) ? 0:parseInt(_datas.CalYear);
var Zero = function(len,val){
        var vallen = val.length;
        for(i=vallen;i&lt;len;i++){
                val = "0"+val;
        }
        return val;
}
if(_.isNull(date) || _.isUndefined(date)){
        _callback(process,_scope);
        return;
}
if(_.isNull(date.Format) || _.isUndefined(date.Format) || date.Format == ""){
        _callback(process,_scope);
        return;
}
if(_.isNull(date.Day) || _.isUndefined(date.Day) || date.Day == ""){
        _callback(process,_scope);
        return;
}
if(date.Day.length != date.Format.length){
        _callback(process,_scope);
        return;
}
var CallbackCallSql = function(result,_scope){
        if(!result.success)
                err = true;
        else{
                for(i=0;i&lt;date.Day.length;i++){
                        val = date.Day.substr(i,1);
                        switch(date.Format.substr(i,1)){
                                case "D": day[0] += val;
                                        break;
                                case "M": day[1] += val;
                                        break;
                                case "Y": day[2] += val;
                                        break;
                                case "H": day[3] += val;
                                        break;
                                case "m": day[4] += val;
                                        break;
                                case "s": day[5] += val;
                                        break;
                                default:
                                        break;
                        }
                }
                var DD = Zero(2,day[0]);
                var MM = Zero(2,day[1]);
                var HH = Zero(2,day[3]);
                var mm = Zero(2,day[4]);
                var SS = Zero(2,day[5]);
                var YY = day[2];
                var data = result.output.getData();
                var todate = data.Data[0].GET_DATE.split("-");
                var bcyear = parseInt(todate[0])+543;
                var adyear = todate[0];
                var bctoyear = bcyear.toString().substr(0,2);
                var adtoyear = adyear.toString().substr(0,2);
                var year;
                if(DD.substr(0,2) == "00")
                        DD = "01";
                if(MM.substr(0,2) == "00")
                        MM = "01";
                if(YY.substr(0,2) == "00")
                        YY = YY.substr(2);
                switch(YY.length){
                        case 2:
                                if(_datas.AD == true)
                                        year = parseInt(adtoyear + YY);
                                else
                                        year = parseInt(bctoyear + YY) - 543;
                                break;
                        case 4:
                                year = parseInt(YY);
                                break;
                        default:
                                err = true;
                }
                if(err === false){
                        output = {};
                        output.Date = year.toString() + "-" + MM + "-" + DD + " " + HH +":"+ mm + ":" + SS + ".000";
                        output.CallDate = (callyear+year).toString() + "-" + MM + "-" + DD + " " + HH +":"+ mm + ":" + SS + ".000";
                        output.ToDate = todate;
                        process = {success:true,output:output};
                }
        }
        if(!_.isNull(_callback) &amp;&amp; !_.isUndefined(_callback))
                _callback(process,_scope);
}
_scope.executeFunc("CallSqlServP",{Sql: "SELECT GETDATE() AS GET_DATE"},CallbackCallSql,_scope);</t>
  </si>
  <si>
    <t>FormatZero</t>
  </si>
  <si>
    <t>แปลงข้อมูลเติม "0" นำหน้าข้อมูลให้เต็ม ตามความยาวข้อความ ตามที่ต้องการ
Input :
- LenFormat = จำนวนความยาวข้อความที่ต้องการ
- Value = ค่าที่ต้องการเติม "0" ให้เท่ากับ LenFormat</t>
  </si>
  <si>
    <t>//#region:Func
if(Application.config.isDebugMode)
	console.log("FormatZero" +": "+scope.getField().get("FD_NAME"));
//#endregion:Func
//#region:head
var _scope = scope;
var _callback = callback;
var _datas = datas;
var output,process = {success:false,output:null};
if(_.isNull(_scope) || _.isUndefined(_scope))
	return process;
//#endregion:head
if(_.isNull(_datas.LenFormat) || _.isUndefined(_datas.LenFormat))
	return process;
if(_.isNull(_datas.Value) || _.isUndefined(_datas.Value))
	return process;
var val = _datas.Value.toString();
var len = val.length;
var loop = _datas.LenFormat-len-1;
var format = '0';
if(len &lt; _datas.LenFormat){
	for(i=0;i&lt;loop;i++){
		format += '0';
	}
	output = format+val;
}
else
	output = val;
return {success:true,output:output};</t>
  </si>
  <si>
    <t>LoadComboSP</t>
  </si>
  <si>
    <t>ดึง Value จาก DB เพื่อมา set ใส่ใน Field Combo Box
โดย CallSQL จาก SQL Command ที่ส่งมา 
หาก CallSQL Error ให้แสดง MessageBox แจ้งที่หน้าจอด้วย (Func:MsgBoxOk)
Input :
- FDName = ฟิล Combo Box ที่จะ Set ตัวเลือก
- Sql = SQL Command</t>
  </si>
  <si>
    <t>//#region:Func
if(Application.config.isDebugMode)
	console.log("LoadComboSP" +": "+scope.getField().get("FD_NAME"));
//#endregion:Func
//#region:head
var _scope = scope;
var _callback = callback;
var _datas = datas;
var output,process = {success:false,output:null};
if(_.isNull(_scope) || _.isUndefined(_scope))
	return process;
//#endregion:head
if(_.isNull(_datas.Sql) || _.isUndefined(_datas.Sql))
	return process;
if(_.isNull(_datas.FDName) || _.isUndefined(_datas.FDName))
	return process;
var field = _scope.getField(_datas.FDName);
if(_.isNull(field) || _.isUndefined(field))
	return process;
_scope.Invoker.callSQL(_datas.Sql,{success:
	function(result){
		var Data = result.getData();
		if(Data.ErrorCode === 1 || Data.ErrorCode === 1000) {
			field.setComboDatas(Data.Data);
			if(!_.isNull(_callback) &amp;&amp; !_.isUndefined(_callback))
				_callback({success:true,output:result},_scope);
		}
		else 
			_scope.executeFunc("MsgBoxOk",Data.ErrorMesg);
	}
});
return {success:true,output:output};</t>
  </si>
  <si>
    <t>CheckDueDate</t>
  </si>
  <si>
    <t>เช็คข้อมูลวันที่ ว่าเกินวันที่ปัจจุบันหรือไม่ 
หรือเกิน วัน-เดือน-ปี ที่กำหนดหรือไม่
Input :
 - AD = ใช้กับ Func : FormatDate (True คศ. / False พศ.) 
 - ToRate{ D: 0, M: 0, Y: 0 } = กำหนดว่าชำระย้อนหลังได้ กี่เดือน กี่วัน กี่ปี
 - NeedFuture = ชำระย้อนหลัง จาก ToRate (True ไม่ได้ / False ได้)
 - ChkDate = เลือกว่าจะเช็ค Duedate เฉพาะช่วงเวลาที่กำหนด ("Y" ปี /"M" ปีเดือน / "D" วันเดือน )</t>
  </si>
  <si>
    <t>//#region:Func
if(Application.config.isDebugMode) console.log("CheckDueDate" +": "+scope.getField().get("FD_NAME"));
//#endregion:Func
//#region:head
var _scope = scope;
var _callback = callback;
var _datas = datas;
var output,process = {success:false,output:null};
if(_.isNull(_scope) || _.isUndefined(_scope)) return process;
//#endregion:head
var day,err = false,parameter;
var needFuture = (_.isNull(_datas.NeedFuture) || _.isUndefined(_datas.NeedFuture)) ? true : _datas.NeedFuture;
var chkDate = (_.isNull(_datas.ChkDate) || _.isUndefined(_datas.ChkDate)) ? "D" : _datas.ChkDate;
var rate = {
D:(_.isNull(_datas.ToRate.D) || _.isUndefined(_datas.ToRate.D)) ? 0 : _datas.ToRate.D
,M:(_.isNull(_datas.ToRate.M) || _.isUndefined(_datas.ToRate.M)) ? 0 : _datas.ToRate.M
,Y:(_.isNull(_datas.ToRate.Y) || _.isUndefined(_datas.ToRate.Y)) ? 0 : _datas.ToRate.Y
}
var field = _scope.getField();
if(field.getValue() == "") return _callback({success:true,output:false},_scope);
if(_.isNull(_datas.Date) || _.isUndefined(_datas.Date)){
day = field.getValue().substr(0,10).split("-");
if(day.length != 3) return _callback(process,_scope);
parameter = {Date:{Day:day[0]+day[1].toString()+day[2],Format:"YYYYMMDD"},AD:_datas.AD}
}
else parameter = {Date:{Day:_datas.Date.Day,Format:_datas.Date.Format},AD:_datas.AD}
var CallbackDate = function(result,_scope){
if(result.success){
    var data = result.output.CallDate.split(" ");
    var date = data[0].split("-");
    var nowDate = new Date(result.output.ToDate[0]+"-"+ result.output.ToDate[1] +"-"+ result.output.ToDate[2].split("T")[0]);
    var toDate = new Date(data[0]);
    var input = new Date(data[0]);
    var toDay = [0,0,0],nowDay = [0,0,0],inputDay = [0,0,0];
    var rY = 2000,rM = 0,rD = 1;
    if(!needFuture){
        rate.Y = nowDate.getFullYear() + (rate.Y * -1);
        rate.M = nowDate.getMonth() + (rate.M * -1);
        rate.D = nowDate.getDate() + (rate.D * -1);
    }
    else{
        rate.Y = input.getFullYear() + rate.Y;
        rate.M = input.getMonth() + rate.M;
        rate.D = input.getDate() + rate.D;
    }
    rY = rate.Y;
    if(chkDate == "M") rM = rate.M;
    if(chkDate == "D"){
        rM = rate.M;
        rD = rate.D;
    }
    toDate.setFullYear(rY);
    toDate.setMonth(rM);
    toDate.setDate(rD);
    inputDay[0] = input.getFullYear() * 10000;
    inputDay[1] = input.getMonth() * 100;
    inputDay[2] = input.getDate();
    nowDay[0] = nowDate.getFullYear() * 10000;
    nowDay[1] = nowDate.getMonth() * 100;
    nowDay[2] = nowDate.getDate();
    toDay[0] = toDate.getFullYear() * 10000;
    toDay[1] = toDate.getMonth() * 100;
    toDay[2] = toDate.getDate();
    var toNum = toDay[0] + toDay[1] + toDay[2];//วันที่คำนวน
    var nowNum = nowDay[0] + nowDay[1] + nowDay[2];//วันที่ปัจจุบัน
    var inputNum = inputDay[0] + inputDay[1] + inputDay[2];//วันที่กรอกข้อมูล
    switch(chkDate){
        case "M":
            toNum = toDay[0] + toDay[1];
            nowNum = nowDay[0] + nowDay[1];
            inputNum = inputDay[0] + inputDay[1];
            break;
        case "Y":
            toNum = toDay[0];
            nowNum = nowDay[0];
            inputNum = inputDay[0];
            break;
    }
    if(!needFuture){//ชำระย้อนหลัง
        if(toNum &gt; inputNum || inputNum &gt; nowNum) output = true;
        else output = false;
    }
    else{//ชำระไม่เกิน
        if(nowNum &gt; toNum) output = true;
        else output = false;
    }
    process = {success:true,output:output};
}
_callback(process,_scope);
}
_scope.executeFunc("FormatDate",parameter,CallbackDate,_scope);</t>
  </si>
  <si>
    <t>CheckDupField</t>
  </si>
  <si>
    <t>การตรวจสอบว่าค่าของฟิลด์ที่ระบุตรงกับค่าของฟิลด์ที่เรียก Function นี้หรือไม่
Input :
 - setField = ฟิลที่ต้องการจะเช็ค</t>
  </si>
  <si>
    <t>//#region:Func
if(Application.config.isDebugMode)
        console.log("CheckDupField" +": "+scope.getField().get("FD_NAME"));
//#endregion:Func
//#region:head
var _scope = scope;
var _callback = callback;
var _datas = datas;
var output,process = {success:false,output:null};
if(_.isNull(_scope) || _.isUndefined(_scope))
        return process;
//#endregion:head
if(_.isNull(_datas.setField) || _.isUndefined(_datas.setField))
        return process;
var ReValue = _scope.getField().getValue();
var Field = _scope.getField(_datas.setField);
if(_.isNull(Field) || _.isUndefined(Field))
        return process;
if(Field.getValue() == ReValue)
        output = true;
else
        output = false;
return {success:true,output:output};</t>
  </si>
  <si>
    <t>ServDataCombo</t>
  </si>
  <si>
    <t>หาข้อมูลจาก ค่า ComboBox ที่เลือก โดยการ Query 
ที่ Table : M_SERVICE_DATA (Func:CallSqlServP) 
Input :  
 - field.setValue() = ค่าฟิล ComboBox ที่เลือก นำไปใช้  Query M_SERVICE_DATA
 - FDName = ฟิลปลายทาง ได้ค่าจาก Query M_SERVICE_DATA
 - Column = คอลัมถ์ที่ต้องการดึงค่าจาก  Query M_SERVICE_DATA (Default : VALUE_ID)</t>
  </si>
  <si>
    <t>//#region:Func
if(Application.config.isDebugMode)
        console.log("ServDataCombo" +": "+scope.getField().get("FD_NAME"));
//#endregion:Func
//#region:head
var _scope = scope;
var _callback = callback;
var _datas = datas;
var output,process = {success:false,output:null};
if(_.isNull(_scope) || _.isUndefined(_scope))
        return process;
//#endregion:head
var field,output = {};
if(_.isNull(_datas.FDName) || _.isUndefined(_datas.FDName))
        field = _scope.getField();
else
        field = _scope.getField(_datas.FDName);
var val = field.getValue().toString();
var fdName = field.get("FD_NAME");
var newfdname = fdName+"_CBV";
if(_.isNull(fdName)){
        if(!_.isNull(_callback) &amp;&amp; !_.isUndefined(_callback))
                _callback({success:true,output:output},_scope);
        return {success:true,output:output};
}
if(val == "-1"){
        _scope.executeFunc("Clear",{FDName:newfdname});
        if(!_.isNull(_callback) &amp;&amp; !_.isUndefined(_callback))
                _callback({success:true,output:output},_scope);
        return {success:true,output:output};
}
var parameter = {Sql: "SELECT * FROM M_SERVICE_DATA WHERE SERV_DATA_ID = " + val};
var CallbackCallSql = function(result,_this){
        if(result.success){
                var Data = result.output.getData().Data[0];
                var defaultColumn = "VALUE_ID";
                var column = (_.isNull(_datas.Column) || _.isUndefined(_datas.Column)) ? defaultColumn : _datas.Column;
                var value = eval("Data."+column);
                if(!_.isNull(_scope.getField(newfdname)))
                        _scope.getField(newfdname).setValue(eval("Data."+defaultColumn));
                if(!_.isNull(_datas.MapData) &amp;&amp; !_.isUndefined(_datas.MapData)){
                        var mapData = _datas.MapData;
                        var len = mapData.length;
                        var val,mapField,mapColumn;
                        output.SetAll = false;
                        for(i=0,count = 1;i&lt;len;i++){
                                mapField = _this.getField(mapData[i].FDName);
                                mapColumn = mapData[i].Column;
                                val = eval("Data."+mapColumn);
                                if(!(_.isNull(mapField) || _.isUndefined(mapField))){
                                        mapField.setValue(val);
                                        count += 1;
                                }
                                if(count==len)
                                        output.SetAll = true;
                        }
                }
                process = {success:true,output:output}
        }
        if(!_.isNull(_callback) &amp;&amp; !_.isUndefined(_callback))
                _callback(process,_scope);
}
_scope.executeFunc("CallSqlServP",parameter,CallbackCallSql,_scope);</t>
  </si>
  <si>
    <t>SetValueSubStr</t>
  </si>
  <si>
    <t xml:space="preserve">การนำข้อมูลจากฟิลด์ที่ระบุ มาแปลงค่าเป็นเลขทศนิยมหรือใช้เป็นเลขจำนวนเต็ม ตามที่กำหนด
Input :
- getFDName = ฟิลต้นทาง
- setFDName = ฟิลปลายทาง
- Start = ลำดับเริ่มต้นของฟิลต้นทางที่จะ substr
- Num = จำนวนตัวของฟิลต้นทางที่จะ substr
- Decimal = ต้องการแปลงเป็นเลขทศนิยมด้วยหรือไม่ </t>
  </si>
  <si>
    <t>//#region:Func
if(Application.config.isDebugMode)
        console.log("SetValueSubStr" +": "+scope.getField().get("FD_NAME"));
//#endregion:Func
//#region:head
var _scope = scope;
var _callback = callback;
var _datas = datas;
var output,process = {success:false,output:null};
if(_.isNull(_scope) || _.isUndefined(_scope))
        return process;
//#endregion:head
if(_.isNull(_datas.setFDName) || _.isUndefined(_datas.setFDName))
        return process;
var getfield,setfield = _scope.getField(_datas.setFDName);
if(_.isNull(_datas.getFDName) || _.isUndefined(_datas.getFDName))
        getfield = _scope.getField();
else 
        getfield = _scope.getField(_datas.getFDName);
if(_.isNull(getfield) || _.isUndefined(getfield))
        return process;
if(_.isNull(setfield) || _.isUndefined(setfield))
        return process;
var decimal = _datas.Decimal;
var value = getfield.getValue();
var start = isNaN(parseInt(_datas.Start)) ? 0 : parseInt(_datas.Start);
var num = (_.isNull(_datas.Num) || _.isUndefined(_datas.Num)) ? value.length : _datas.Num;
num = isNaN(parseInt(num)) ? 0 : parseInt(num);
var val = value.substr(start,num);
if(!_.isNull(decimal) &amp;&amp; !_.isUndefined(decimal)){
        switch(decimal){
                case true:
                        val = parseInt(val) * 0.01;
                        break;
                case false:
                        val = parseInt(val);
                        break;
                default:
                        val = val;
                        break;
        }
        val = isNaN(val) ? 0 : val;
}
setfield.setValue(val);
if(!_.isNull(_callback) &amp;&amp; !_.isUndefined(_callback))
        _callback();
return {success:true,output:output};</t>
  </si>
  <si>
    <t>CalcVat</t>
  </si>
  <si>
    <r>
      <rPr>
        <rFont val="Sarabun"/>
        <color theme="1"/>
        <sz val="10.0"/>
      </rPr>
      <t xml:space="preserve">การนำข้อมูลมาคำนวนหาภาษีมูลค่าเพิ่ม (VAT) ด้วย
Input :
- Amt = ยอดเงินที่จะคำนวณ
- Rate = อัตราภาษี
- VatMode = รูปแบบการคิดภาษี (True = Vat Exclude / False = Vat Include )
Output : ค่า </t>
    </r>
    <r>
      <rPr>
        <rFont val="Sarabun"/>
        <b/>
        <color theme="1"/>
        <sz val="10.0"/>
      </rPr>
      <t>Vat</t>
    </r>
  </si>
  <si>
    <t>//#region:Func
if(Application.config.isDebugMode)
        console.log("CalcVat" +": "+scope.getField().get("FD_NAME"));
//#endregion:Func
//#region:head
var _scope = scope;
var _callback = callback;
var _datas = datas;
var output,process = {success:false,output:null};
if(_.isNull(_scope) || _.isUndefined(_scope))
        return process;
//#endregion:head
var amt = _datas.Amt;
var vatmode = _datas.VatMode;
var rate = _datas.Rate;
var vatrate,vat;
if(_.isNull(amt) || _.isUndefined(amt))
        return process;
if(_.isNull(vatmode) || _.isUndefined(vatmode))
        return process;
if(_.isNull(rate) || _.isUndefined(rate))
        return process;
vatrate = (rate * 0.01) + 1;
if(vatmode)
        vat = (amt * vatrate) - amt;
else
        vat = amt - (amt/vatrate);
_datas.vat = vat;
if(!_.isNull(_callback) &amp;&amp; !_.isUndefined(_callback))
        _callback();
return {success:true,output:_datas};</t>
  </si>
  <si>
    <t>CheckIDCardNo</t>
  </si>
  <si>
    <t>ตรวจสอบหมายเลขบัตรประจำตัวประชาชนมีความถูกต้องหรือไม่</t>
  </si>
  <si>
    <t>//#region:Func
if(Application.config.isDebugMode)
        console.log("CheckIDCardNo" +": "+scope.getField().get("FD_NAME"));
//#endregion:Func
var _scope = scope;
var _callback = callback;
var _datas = datas;
var output,process = {success:false,output:null};
if(_.isNull(_scope) || _.isUndefined(_scope))
        return output;
var Value;
if(_.isNull(_datas.IdCardNo) || _.isUndefined(_datas.IdCardNo))
        Value = _scope.getField().getValue();
else
        Value = _datas.IdCardNo;
Value = Value.replace(/-/g,"");
var ChkVal = Value.substr(12,1);
var Length = Value.length;
var arrValue = [];
var arrMod = [];
var SumMod,CalVal;
if(Length != 13)
        return false;
for(i=0,j=13,Sum=0;i&lt;Length-1;i++,j--){
        arrValue[i] = Value.substr(i,1);
        arrMod[i] = arrValue[i] * j;
        Sum += arrMod[i];
}
SumMod = 11 - (Sum % 11);
if(SumMod == 11)
  CalVal = 1;
else if(SumMod == 10)
  CalVal = 0;
else
  CalVal = SumMod;
if(ChkVal == CalVal)
        output = true;
else
        output = false;
return output;</t>
  </si>
  <si>
    <t>SetDateINF</t>
  </si>
  <si>
    <t>ตรวจสอบวัน/เดือน/ปี และจัดรูปแบบปีให้อยู่ในรูปแบบ พศ.หรือ คศ.
Input :
- FDName = ฟิลปลายทางที่ต้องการวางวันที่ที่จัดรูปแบบแล้ว
- Format = Format ที่ต้องการ
- IsBud = จัดรูปแบบปีให้อยู่ในรูปแบบ (True พศ./False คศ.)</t>
  </si>
  <si>
    <t>//#region:Func
if(Application.config.isDebugMode)
console.log("SetDateINF" +": "+scope.getField().get("FD_NAME"));
//#endregion:Func
//#region:head
var _scope = scope;
var _callback = callback;
var _datas = datas;
var output,process = {success:false,output:null};
if(_.isNull(_scope) || _.isUndefined(_scope))
        return process;
//#endregion:head
var array = _datas.Information;
var field = _scope.getField();
var val = field.getValue();
if(val == "" || _.isNull(val))
        return process;
var date = val.split(/ /g)[0].split(/-/g);
var setField,setFDName,formatReturn,isBud;
var day = date[2], mounth = date[1], year = date[0], yearTh = (parseInt(date[0]) + 543).toString();
if(_.isNull(array) || _.isUndefined(array))
        return process;
if(array.length &lt;= 0)
        return process;
for(i=0;i&lt;array.length;i++){
        var value;
        formatReturn = (_.isNull(array[i].Format) || _.isUndefined(array[i].Format)) ? false : array[i].Format;
        isBud = (_.isNull(array[i].IsBud) || _.isUndefined(array[i].IsBud)) ? false : array[i].IsBud;
        setFDName = array[i].FDName;
        setField = _scope.getField(setFDName);
        if(!_.isNull(setField) &amp;&amp; !(_.isNull(formatReturn) || _.isUndefined(formatReturn))){
                value = formatReturn.replace("DD",day).replace("MM",mounth);
                if(isBud)
                        value = value.replace("YYYY",yearTh).replace("YY",yearTh.substr(2,2));
                else
                        value = value.replace("YYYY",year).replace("YY",year.substr(2,2));
        }
        setField.setValue(value);
}
_callback();
return {success:true,output:output};</t>
  </si>
  <si>
    <t>EduList</t>
  </si>
  <si>
    <t>ดึง Value จาก Stored Procedure เพื่อมาใส่ใน Field Combo Box
โดยเรียก Func: CallSP = "UP_SP_GET_EDU_LIST"</t>
  </si>
  <si>
    <t>//#region:Func
if(Application.config.isDebugMode)
        console.log("EduList" +": "+scope.getField().get("FD_NAME"));
//#endregion:Func
//#region:head
var _scope = scope;
var _callback = callback;
var _datas = datas;
var output,process = {success:false,output:null};
if(_.isNull(_scope) || _.isUndefined(_scope))
        return _callback(process,_scope);
//#endregion:head
var univID = (_.isUndefined(_datas.Univ) || _.isNull(_datas.Univ)) ? 0 : parseInt(_datas.Univ);
var degreeID = (_.isUndefined(_datas.Degree) || _.isNull(_datas.Degree)) ? 0 : parseInt(_datas.Degree);
var yearID = (_.isUndefined(_datas.Year) || _.isNull(_datas.Year)) ? 0 : parseInt(_datas.Year);
var eduID = (_.isUndefined(_datas.EduID) || _.isNull(_datas.EduID)) ? 0 : parseInt(_datas.EduID);
var courseID = (_.isUndefined(_datas.CourseID) || _.isNull(_datas.CourseID)) ? 0 : parseInt(_datas.CourseID);
var typeID = (_.isUndefined(_datas.TypeEdu) || _.isNull(_datas.TypeEdu)) ? 1 : parseInt(_datas.TypeEdu);
var comboID = (_.isUndefined(_datas.ComboType) || _.isNull(_datas.ComboType)) ? 0 : parseInt(_datas.ComboType);
var params = {SPName:"UP_SP_GET_EDU_LIST"
        ,Input:[{ParameterName: "COMBO_ID",ParamValue: comboID}
        ,{ParameterName: "UNIV_ID",ParamValue: univID}
        ,{ParameterName: "DEGREE_ID",ParamValue: degreeID}
        ,{ParameterName: "YEAR_ID",ParamValue: yearID}
        ,{ParameterName: "TYPE_ID",ParamValue: typeID}
        ,{ParameterName: "EDU_ID",ParamValue: eduID}
        ,{ParameterName: "COURSE_ID",ParamValue: courseID}
        ]
};
var _callbackSP = function(result,_scope){
        var data = result.getDataSets();
        _callback({success:true,output:result},_scope);
}
_scope.executeFunc("CallSP",params,_callbackSP);</t>
  </si>
  <si>
    <t>ChkDupBar</t>
  </si>
  <si>
    <t>ตรวจสอบการทำรายการของเลขบาร์โค้ดมีการซ้ำกันหรือไม่
โดยเรียกใช้ฟังก์ชัน CallSP : UP_SP_CHK_DUP_BAR
Input :
- BARCODE = ค่า ที่ใช้เป็นเงื่อนไข Query 
- FieldChk =  ฟิล ที่ใช้เป็นเงื่อนไข Query</t>
  </si>
  <si>
    <t>//#region:Func
if(Application.config.isDebugMode)
console.log("ChkDupBar" +": "+scope.getField().get("FD_NAME"));
//#endregion:Func
//#region:head
var _scope = scope;
var _callback = callback;
var _datas = datas;
var output,process = {success:false,output:null};
if(_.isNull(_scope) || _.isUndefined(_scope))
    return process;
//#endregion:head
var output = {};
var itemID = Parameters.getParameters().SriptTextParam.ItemID;
var barcode = (!(_.isNull(_datas.BARCODE) || _.isUndefined(_datas.BARCODE))) ? _datas.BARCODE : [];
var ref = (!(_.isNull(_datas.FieldChk) || _.isUndefined(_datas.FieldChk))) ? _datas.FieldChk : [];
var msg = "ข้อมูลนี้ได้ทำการชำระแล้ว กรุณาทำรายการใหม่ &lt;BR&gt;";
if(_.isNull(itemID) || _.isUndefined(itemID) || ref.length == 0 || barcode.length == 0){
    _callback(process);
    return;
}
var barC = "";
var refC = "";
for(i=0;i&lt;ref.length;i++){
    if(barcode[i].replace(/ /g,"") == ""){
        output.isError = true;
        output.Msg = "กรุณากรอกข้อมูลให้ครบถ้วน";
        _callback({success:true,output:output});
        return;
    }
    if(i &gt; 0){
        barC = barC + "^||^" + barcode[i];
        refC = refC + "^||^" + ref[i];
    }
    else{
        barC = barcode[i];
        refC = ref[i];
    }
}
var params = {SPName:"UP_SP_CHK_DUP_BAR"
    ,Input:[
        {ParameterName: "BARCODE",ParamValue: barC}
        ,{ParameterName: "ITEM_ID",ParamValue: itemID}
        ,{ParameterName: "REF",ParamValue: refC}
    ]
};
var _callbackCallSP = function(result){
    var dataInfo   = result.getData();
    var dataChk   = dataInfo.Data.DataSet.Table1;
    if(dataInfo.ErrorCode == 1 || dataInfo.ErrorCode == 1000){
        if(dataChk.length &gt;0){
            output.isError = true;
            output.VerifyCode = "-5050";
                                                var docTime = _.isNull(dataChk[0].DOC_TIME) ? "" : dataChk[0].DOC_TIME;
                                                if(docTime == "")
                                                        msg = "ข้อมูลมีการทำรายการซ้ำ กรุณาตรวจสอบ &lt;BR&gt;";
                                                else{
                                                        docTime = docTime.split(/T/g);
                                                        msg = msg +"(TR#"+parseInt(dataChk[0].GUEST_CHK_NO).toString()+" ,"+docTime[0]+" "+docTime[1].substr(0,8)+")";
                                                }
            output.Msg = msg;
        }
    }
    else{
        output.isError = true;
        output.VerifyCode = "-5050";
        output.Msg = msg;
    }
    if(output.isError)
        Parameters.setParameter("IsDuplicateBC", true);
    _callback({success:true,output:output});
}
_scope.executeFunc("CallSP",params,_callbackCallSP);</t>
  </si>
  <si>
    <t>ChkLocalAmt</t>
  </si>
  <si>
    <t>ตรวจสอบจำนวนเงินรวมเกินขีดจำกัดจำนวนเงินที่กำหนดต่อวันต่อ 1 หมายเลขหรือไม่
คำนวณจำนวนเงิน (PRICE_SHOW) จากการ Query 
ที่ Table : t_order_item , t_order_item_info (Func:CallSqlServP)
Input :
- Value = ค่า ที่ใช้เป็นเงื่อนไข Query 
- FieldChk =  ฟิล ที่ใช้เป็นเงื่อนไข Query
- Amt = ยอดจำนวนเงินสูงสุดที่กำหนด
- AmtPay = ยอดจำนวนเงินที่จ่ายในครั้งนั้น</t>
  </si>
  <si>
    <t>//#region:Func
if(Application.config.isDebugMode)
    console.log("ChkLocalAmt" +": "+scope.getField().get("FD_NAME"));
//#endregion:Func
//#region:head
var _scope = scope;
var _callback = callback;
var _datas = datas;
var output,process = {success:false,output:null};
if(_.isNull(_scope) || _.isUndefined(_scope))
    return process;
//#endregion:head
var output = {};
var itemID = Parameters.getParameters().SriptTextParam.ItemID;
var barcode = (!(_.isNull(_datas.Value) || _.isUndefined(_datas.Value))) ? _datas.Value : [];
var ref = (!(_.isNull(_datas.FieldChk) || _.isUndefined(_datas.FieldChk))) ? _datas.FieldChk : [];
var amtChk = (!(_.isNull(_datas.Amt) || _.isUndefined(_datas.Amt))) ? _datas.Amt : null;
var amtPay = (!(_.isNull(_datas.AmtPay) || _.isUndefined(_datas.AmtPay))) ? _datas.AmtPay : 0;
if(_.isNull(itemID) || _.isUndefined(itemID) || ref.length == 0 || barcode.length == 0){
    _callback(process);
    return;
}
var barC = "";
var refC = "";
var sql = "SELECT SUM(oi.PRICE_SHOW) SUM_PRICE \n"
    +"FROM T_ORDER o \n"
    +"INNER JOIN T_ORDER_ITEM oi ON oi.SERVER_ID = o.SERVER_ID AND oi.ORDER_ID = o.ORDER_ID \n"
    +"INNER JOIN T_ORDER_ITEM_INFO oii ON oii.SERVER_ID = oi.SERVER_ID AND oii.ORDER_ID = oi.ORDER_ID AND oii.SEQ = oi.SEQ \n"
    +"WHERE o.ORDER_DATE = CONVERT(DATE,GETDATE()) \n"
    +"AND OI.ITEM_ID = "+itemID.toString()+" \n"
    +"AND ISNULL(OI.V_STATUS,0) = 0 AND ISNULL(OII.V_STATUS,0) = 0 \n";
for(i=0;i&lt;ref.length;i++){
    sql = sql + "AND oii."+ref[i]+" = '"+barcode[i]+"' \n";
}
var CallbackCallSql = function(result){
    var dataInfo   = result.output.getData();
    var dataChk   = dataInfo.Data;
    if(dataInfo.ErrorCode == 1 || dataInfo.ErrorCode == 1000){
        var Amt = 0;
        if(dataChk.length &gt; 0)
            Amt = _.isNull(dataChk[0].SUM_PRICE) ? 0 : dataChk[0].SUM_PRICE;
                if(Amt &lt; 0)
                        Amt = Amt * -1;
        if(!_.isNull(amtChk)){
            if(amtChk &lt; (Amt + parseFloat(amtPay))){
                output.isError = true;
                output.VerifyCode = "-5070";
                output.Msg = "ทำรายการได้ไม่เกิน "+amtChk.toString() +" บาทต่อวัน \r\nท่านมียอดชำระ "+Amt.toString() + " แล้ว";
            }
        }
    }
    else{
        output.isError = true;
        output.VerifyCode = "-5070";
    }
    _callback({success:true,output:output});
}
_scope.executeFunc("CallSqlServP",{Sql:sql},CallbackCallSql);</t>
  </si>
  <si>
    <t>AgsChkdigitScib</t>
  </si>
  <si>
    <t xml:space="preserve">1. เช็คข้อมูลเลขที่ (code)
1.1 ข้อมูลต้องมีความยาว 9 ตัวอักษร
2. แปลงข้อมูลเพื่อส่งกลับ
2.1 นำข้อมูลแต่ละหลักคูณค่าคงที่ คือ 4,3,2,2,3,4,5,6,7 ตามลำดับของหลักนั้นๆ 
2.2 นำค่าที่ได้จาก ข้อ 2.1 ทั้งหมดมาหาค่า sum
2.3 นำค่า sum ที่ได้จากข้อ 2.2 มา Mod 11
2.4 กรณี mod 10 ได้เศษมากกว่า  1 ให้ค่า 11 - เศษจาก Mod 11
2.5 แล้วส่งกลับข้อมูล โดยเอาข้อมูลเลขที่ (code) + ค่าที่ได้จากข้อ 2.5
</t>
  </si>
  <si>
    <t>//#region:Func
if(Application.config.isDebugMode)
        console.log("AgsChkdigitScib");
//#endregion:Func
//#region:head
var _scope = scope;
var _callback = callback;
var _datas = datas;
var output,process = {success:false,output:null};
if(_.isNull(_scope) || _.isUndefined(_scope))
        return process;
//#endregion:head
if(_.isNull(_datas.Code) || _.isUndefined(_datas.Code))
        return process;
var code = _datas.Code
var arr = [],sum = 0,mod = 0,val;
var len = code.length;
if(len != 9)
        return process;
for(i=0,j=4;i&lt;len;i++,j--){
        arr[i] = code.substr(i,1);
        if(i&lt;3)
                sum += arr[i]*(j);
        else
                sum += arr[i]*(i-1);
}
mod = sum % 11;
if(mod &lt;= 1)
        val = 0;
else
        val = 11 - mod;
output = code + val.toString();
return {success:true,output:output};</t>
  </si>
  <si>
    <t>AiaChkdigit</t>
  </si>
  <si>
    <r>
      <rPr>
        <rFont val="Sarabun"/>
        <color theme="1"/>
        <sz val="10.0"/>
      </rPr>
      <t xml:space="preserve">1. เช็คข้อมูล
1.1 ข้อมูลต้องมีความยาว 39 ตัวอักษร
2. นำข้อมูลเลขที่แต่ละหลัก แยกออกเป็นข้อมูล ดังนี้
2.1 ข้อมูลตัวเลขหลักที่ 31-32 คือค่า Digit ใช้สำหรับ Check Digit 
2.2 ข้อมูลตัวเลขหลักที่ 14-22 คือ Ref.1
2.2 ข้อมูลตัวเลขหลักที่ 23-30 คือ Ref.2
2.2 ข้อมูลตัวเลขหลักที่ 34-39 คือ Ref.3
3. วิธีคำนวณ เช็คดิจิต โดยใช้ค่าที่ได้จากข้อ 2.
3.1 นำข้อมูลแต่ละหลักของ Ref.1 ,Ref.2 และ Ref.3 คูณค่าคงที่ ดังนี้
3.1.1 ข้อมูลแต่ละหลักของ Ref1 คูณค่าคงที่ คือ 3,4,5 ไปเรื่อยๆ ตามลำดับ
3.1.2 ข้อมูลแต่ละหลักของ Ref2 คูณค่าคงที่ คือ 5,6 ไปเรื่อยๆ ตามลำดับ
3.1.3 ข้อมูลแต่ละหลักของ Ref3 คูณค่าคงที่ คือ </t>
    </r>
    <r>
      <rPr>
        <rFont val="Sarabun"/>
        <color theme="1"/>
        <sz val="10.0"/>
      </rPr>
      <t xml:space="preserve">2,3,4..(+1) </t>
    </r>
    <r>
      <rPr>
        <rFont val="Sarabun"/>
        <color theme="1"/>
        <sz val="10.0"/>
      </rPr>
      <t>ไปเรื่อยๆ ตามลำดับ
3.2 นำค่าที่ได้จาก ข้อ 3.1 ทั้งหมดมาหาค่า sum
3.3 นำค่า sum ที่ได้จากข้อ 3.2 มา Mod 100
3.4 ค่า Mod 100 จากข้อ 3.3 คือ Check Digit จำนวน 2 หลัก ใช้นำมาเช็คกับค่า Digit ที่ได้จากข้อ 2.1
(กรณี mod 100 ได้ค่า 1 หลักให้เติมเลข 0 ด้านหน้า 1 หลัก)</t>
    </r>
  </si>
  <si>
    <t>//#region:Func
if(Application.config.isDebugMode)
	console.log("AiaChkdigit");
//#endregion:Func
//#region:head
var _scope = scope;
var _callback = callback;
var _datas = datas;
var output,process = {success:false,output:null};
if(_.isNull(_scope) || _.isUndefined(_scope))
	return process;
//#endregion:head
var Code = _datas.Code;
if(_.isNull(Code) || _.isUndefined(Code))
	return process;
var sum = [0,0,0],mod = 0,val = [];
var len = Code.length;
var digit = Code.substr(30,2);
var a=0,b=0,c=0;
if(len != 39)
	return process;
val[0] = Code.substr(13,9);
val[1] = Code.substr(22,8);
val[2] = Code.substr(32,7);
var arr = [];
for(i=0;i&lt;val[0].length;i++){
	var x = 0;
	switch(i%3){
		case 0 : x=3;
			break;
		case 1 : x=4;
			break;
		case 2 : x=5;
			break;
		default:
			x=0;
	}
	arr[i] = val[0].substr(i,1) * x;
	sum[0] += parseInt(arr[i]);
}
var arr = [];
for(i=0;i&lt;val[1].length;i++){
	var x = 0;
	switch(i%2){
		case 0 : x=5;
			break;
		case 1 : x=6;
			break;
		default:
			x=0;
	}
	arr[i] = val[1].substr(i,1) * x;
	sum[1] += parseInt(arr[i]);
}
var arr = [];
for(i=0,x=2;i&lt;val[2].length;i++,x++){
	arr[i] = val[2].substr(i,1) * x;
	sum[2] += parseInt(arr[i]);
}
mod = (sum[0]+sum[1]+sum[2]) % 100;
if(mod &lt; 10) 
	val = "0" + mod.toString();
else 
	val = mod.toString();
if(val == digit) 
	output = true;
else 
	output = false;
return {success:true,output:output};</t>
  </si>
  <si>
    <t>EnergyCheck_915</t>
  </si>
  <si>
    <t>** Function ยกเลิก เพราะไปทำเป็น Online Service แล้ว</t>
  </si>
  <si>
    <t>//#region:Func
if(Application.config.isDebugMode)
        console.log("EnergyCheck_915");
//#endregion:Func
//#region:head
var _scope = scope;
var _callback = callback;
var _datas = datas;
var output,process = {success:false,output:null};
if(_.isNull(_scope) || _.isUndefined(_scope))
        return _callback(process,_scope);
//#endregion:head
var params = _datas.Data;
if(_.isNull(params) || _.isUndefined(params))
        return _callback(process,_scope);
if(_.isNull(_callback) || _.isUndefined(_callback))
        return _callback(process,_scope);
var barcode = params;
var year,amount;
if(barcode.substr(0,16) == "|099400003633702"){
        year = parseInt(barcode.substr(20,4));
        amount = parseInt(barcode.substr(34))/100;
}else {
        year = parseInt(barcode.substr(17,4));
        amount = parseInt(barcode.substr(31))/100;
}
var parameter = {Sql: "SELECT GETDATE() AS GET_DATE"}
var CallbackCallSql = function(result,_this){
        if(result.success === true){
                var Data = result.output.getData();
                var datetime = Data.Data[0].GET_DATE.split("T");
                var date = datetime[0].split("-");
                var day,subyear,submount,mynow,my = [],sumdate = 0,mm = 0,YYY,A,B,C,CC,D,X,v_count;
                date[0] = parseInt(date[0]);
                date[1] = parseInt(date[1]);
                date[2] = parseInt(date[2]);
                date[4] = parseInt(date[0]);
                date[0] = date[0] + 543;
                subyear = date[0] - year;
                my[0] = parseInt("12" + (date[0] - 1).toString());
                my[1] = parseInt("1" + date[0].toString());
                my[2] = parseInt("2" + date[0].toString());
                mynow = parseInt(date[1].toString() + date[0].toString());
                submount = date[1] - 3;
                if(date[1] == 2){
                        if(date[2] &gt; 28)
                                day = 28;
                        else
                                day = date[2];
                }
                else{
                        if(date[2] &gt; 30)
                                day = 30;
                        else
                                day = date[2];
                }
                if(year == 2545){
                        sumdate = (date[0]-1) * 360;
                        mm = (date[1] * 30) + day + sumdate + 150;
                }
                if(subyear == -1)
                        mm = 0;
                if(subyear == 0 &amp;&amp; my.indexOf(mynow) == -1){
                        if(submount == 1)
                                mm = 30 + day;
                        else if(submount &lt; 1)
                                mm = (submount * 30) + day;
                        else
                                mm = ((submount - 1) * 30) + 30 + day;
                }
                else
                        mm = 0;
                if(subyear == 1){
                        if((day == 28 &amp;&amp; date[1] == 2) || (day == 30 &amp;&amp; date[1] != 2))
                 mm = (date[1] * 30) + sumdate + 300;
               else
                 mm = ((date[1]-1) * 30) + day + sumdate + 300;
                }
                if(subyear &gt; 1){
                        sumdate = (subyear-1) * 360;
                        if((day == 28 &amp;&amp; date[1] == 2) || (day == 30 &amp;&amp; date[1] != 2))
                 mm = (date[1] * 30) + day + sumdate + 300;
               else
                 mm = ((date[1]-1) * 30) + day + sumdate + 300;
                }
                YYY = (amount * mm * 0.03)/30;
                YYY = YYY.toString();
                A = YYY.indexOf(".");
                if(A == -1)
                        output = YYY;
                else {
                        B = YYY.length;
                        C = YYY.substr(A+1,2);
                        if(C.length == 1)
                                CC = C * 10;
                        else 
                                CC = C;
                        if(A == 1)
                                D = 0;
                        else
                                D = YYY.substr(0,A);
                        if(CC == 0)
                                X = 0;
                        else {
                                if (CC &gt;= 1 &amp;&amp; CC &lt;= 49)
                                        X = 0;
                                else if (CC &gt;= 50 &amp;&amp; CC &lt;= 99){
                                        X = parseInt(D) + 1;
                                        output = X;
                                        return _callback({success:true,output:output},_scope);
                                }
                                YYY = D.toString()+"."+X.toString();
                        }
                }
                output = output + YYY;
                v_count = v_count + 1;
                output = YYY;
                process = {success:true,output:output}
        }
        _callback(process,_scope);
}
_scope.executeFunc("CallSqlServP",parameter,CallbackCallSql);</t>
  </si>
  <si>
    <t>GeMod10</t>
  </si>
  <si>
    <t xml:space="preserve">1. เช็คข้อมูลเลขที่
1.1 ข้อมูลต้องมีความยาว 16 ตัวอักษร
2. นำข้อมูลเลขที่แต่ละหลัก แยกออกเป็นข้อมูล ดังนี้
2.1 ข้อมูลตัวเลขหลักสุดท้าย คือค่า Digit ใช้สำหรับ Check Digit 
2.2 ข้อมูลตัวเลขหลักที่ 8-15 คือ param
3. วิธีคำนวณ เช็คดิจิต โดยใช้ค่าที่ได้จากข้อ 2.
3.1 นำข้อมูลแต่ละหลักของ param หาค่า โดย
3.1.1 param หลักเลขคี่ ใช้ข้อมูลตัวเลข ของหลักนั้นๆ
3.1.2 param หลักเลขคู่  นำข้อมูลตัวเลข ของหลักนั้นๆ แทนค่าคงที่จากตาราง คือ 0,2,4,6,8,1,3,5,7,9 
ตามลำดับของหลักนั้นๆ 
3.2 นำค่าที่ได้จาก ข้อ 3.1 ทั้งหมดมาหาค่า sum
3.3 นำค่า sum ที่ได้จากข้อ 3.2 มา Mod 10
3.4 ค่า Mod 10 จากข้อ 3.3 คือ Check Digit ใช้นำมาเช็คกับค่า Digit ที่ได้จากข้อ 2.1
(กรณี mod 10 ได้เศษไม่เท่ากับ  0 ให้ค่า Check Digit = 10 - เศษจาก Mod 10 )
</t>
  </si>
  <si>
    <t>//#region:Func
if(Application.config.isDebugMode)
        console.log("GeMod10");
//#endregion:Func
//#region:head
var _scope = scope;
var _callback = callback;
var _datas = datas;
var output,process = {success:false,output:null};
if(_.isNull(_scope) || _.isUndefined(_scope))
        return process;
//#endregion:head
var params = _datas.Value;
if(_.isNull(params) || _.isUndefined(params))
        return process;
var length = params.length;
var arrValue = [];
var Mod,SumMod,Sum = 0,Val,Count = 0,digit;
var cons = [0,2,4,6,8,1,3,5,7,9];
if(length != 16)
        return process;
digit = params.substr(15,1);
for(i=0;i&lt;length-1;i++){
        Mod = i % 2;
        if(i&lt;7)
                arrValue[i] = 0;
        arrValue[i] = parseInt(params.substr(i,1));
        if(Mod == 1)
                Sum += arrValue[i];
        else
                Sum += cons[arrValue[i]];
}
SumMod = Sum % 10;
if(SumMod != 0)
        SumMod = 10 - SumMod;
if(digit == SumMod.toString())
        output = true;
else
        output = false;
return {success:true,output:output};</t>
  </si>
  <si>
    <t>GhbMod10</t>
  </si>
  <si>
    <t xml:space="preserve">1. เช็คข้อมูลเลขที่เงินกู้
1.1 ข้อมูลต้องมีความยาว 12 ตัวอักษร
2. นำข้อมูลเลขที่เงินกู้แต่ละหลัก แยกออกเป็นข้อมูล ดังนี้
2.1 ข้อมูลตัวเลขหลักที่ 12 คือค่า Digit ใช้สำหรับ Check Digit 
2.2 ข้อมูลตัวเลขหลักที่ 1-11 คือค่า Ref
3. วิธีคำนวณ เช็คดิจิต โดยใช้ค่าที่ได้จากข้อ 2.
3.1 นำข้อมูลแต่ละหลักของ Ref คูณค่าคงที่ คือ 6,5,4,3,2,7 ไปเรื่อยๆ ตามลำดับ
3.2 นำค่าที่ได้จาก ข้อ 3.1 ทั้งหมดมาหาค่า sum
3.3 นำค่า sum ที่ได้จากข้อ 3.2 มา Mod 10
3.4 ค่า Mod 10 จากข้อ 3.3 คือ Check Digit ใช้นำมาเช็คกับค่า Digit ที่ได้จากข้อ 2.1
(กรณี mod 10 ได้เศษไม่เท่ากับ  0 ให้ค่า Check Digit = 10 - เศษจาก Mod 10 )
</t>
  </si>
  <si>
    <t>//#region:Func
if(Application.config.isDebugMode)
        console.log("GhbMod10");
//#endregion:Func
//#region:head
var _scope = scope;
var _callback = callback;
var _datas = datas;
var output,process = {success:false,output:null};
if(_.isNull(_scope) || _.isUndefined(_scope))
        return process;
//#endregion:head
var params = _datas.Value;
if(_.isNull(params) || _.isUndefined(params))
        return process;
var length = params.length;
var cons = [2,3,4,5,6,7];
var val = [];
var Sum,mod,digit,chkdigit;
if(length != 12)
        return process;
digit = params.substr(11,1);
chkdigit = 0;
for(i=0;i&lt;length-1;i++){
        Mod = i % 2;
        val[i] = parseInt(params.substr(i,1));
}
Sum = (val[0]*cons[4]) + (val[1]*cons[3]) + (val[2]*cons[2]) + (val[3]*cons[1]) + (val[4]*cons[0])
        + (val[5]*cons[5]) + (val[6]*cons[4]) + (val[7]*cons[3]) + (val[8]*cons[2]) + (val[9]*cons[1]) + (val[10]*cons[0]);
mod = Sum % 10;
if(mod != 0)
        chkdigit = 10 - mod;
if(chkdigit == digit)
        output = true;
else
        output = false;
return {success:true,output:output};</t>
  </si>
  <si>
    <t>GroupLease</t>
  </si>
  <si>
    <t>** ไม่พบว่ามี Service ไหนใช้ Function นี้ 
พบว่ามีแต่ใช้ Function GroupLeaseNew แทน</t>
  </si>
  <si>
    <t>//#region:Func
if(Application.config.isDebugMode)
        console.log("GroupLease");
//#endregion:Func
//#region:head
var _scope = scope;
var _callback = callback;
var _datas = datas;
var output,process = {success:false,output:null};
if(_.isNull(_scope) || _.isUndefined(_scope))
        return process;
//#endregion:head
if(_.isNull(_datas.CusNo) || _.isUndefined(_datas.CusNo))
        return process;
var GroupBar = _datas.CusNo;
var bn,checkType,checkDigit,xsum1,total;
var xsum = 0;
var list = [10,11];
var digit = GroupBar.substr(2,1)
checkType = GroupBar.substr(3,6);
X = 6;
for(i=0,x=6;i&lt;6;i++,x--){
        bn = checkType.substr(i,1) * x;
        xsum = xsum + bn;
}
xsum1 = xsum % 11;
total = 11 - xsum1;
if (list.indexOf(total) != -1)
        checkDigit = "1";
else
        checkDigit = total.toString();
if(digit == checkDigit)
        output = true;
else
        output = false;
return {success:true,output:output};</t>
  </si>
  <si>
    <t>KiatnakinCust</t>
  </si>
  <si>
    <r>
      <rPr>
        <rFont val="Sarabun"/>
        <color theme="1"/>
        <sz val="10.0"/>
      </rPr>
      <t xml:space="preserve">A. เช็คข้อมูล แบบที่ 1 
- ข้อมูลมีความยาว </t>
    </r>
    <r>
      <rPr>
        <rFont val="Sarabun"/>
        <color theme="1"/>
        <sz val="10.0"/>
      </rPr>
      <t>6-7</t>
    </r>
    <r>
      <rPr>
        <rFont val="Sarabun"/>
        <color theme="1"/>
        <sz val="10.0"/>
      </rPr>
      <t xml:space="preserve"> ตัวอักษร
- ข้อมูลต้องไม่มี "-"
B. แต่หากไม่ตรงกับเงื่อนไข Ref.1 แบบที่ 1  ให้ เช็คแบบที่ 2 ดังนี้
1. เช็คข้อมูล </t>
    </r>
    <r>
      <rPr>
        <rFont val="Sarabun"/>
        <color theme="1"/>
        <sz val="10.0"/>
      </rPr>
      <t>ความยาวเท่ากับ 8 หรือ 11 ตัวอักษร</t>
    </r>
    <r>
      <rPr>
        <rFont val="Sarabun"/>
        <color theme="1"/>
        <sz val="10.0"/>
      </rPr>
      <t xml:space="preserve"> และต้องไม่มี "-"
2. นำข้อมูลข้อมูลแต่ละหลัก แยกออกเป็นข้อมูล ดังนี้
2.1 ข้อมูลตัวเลขหลักสุดท้าย คือค่า Digit ใช้สำหรับ Check Digit 
2.2 ข้อมูลตัวเลข หลักแรก ถึง หลักก่อนสุดท้าย คือค่า bar
3. วิธีคำนวณ เช็คดิจิต โดยใช้ค่าที่ได้จากข้อ 2.
3.1 นำข้อมูลแต่ละหลักของ bar คูณค่าคงที่ คือ 3 , 1 ไปเรื่อยๆ ตามลำดับ
3.2 นำค่าที่ได้จาก ข้อ 3.1 ทั้งหมดมาหาค่า sum
3.3 นำค่า sum ที่ได้จากข้อ 3.2 มา Mod 10
3.4 ค่า Mod 10 จากข้อ 3.3 คือ Check Digit  ใช้นำมาเช็คกับค่า Digit ที่ได้จากข้อ 2.1
3.4.1 กรณี mod 10 ได้ค่าเท่ากับ 0  จะกำหนดค่า  Check Digit  ที่จะนำมาเช็ค เป็น 0
3.4.2 แต่หาก mod 10 ไม่เท่ากับ 0 จะกำหนดค่า  Check Digit  ที่จะนำมาเช็ค เป็น  10 - (mod10 ที่ได้จากข้อ 3.3)
</t>
    </r>
  </si>
  <si>
    <t>//#region:Func
if(Application.config.isDebugMode)
        console.log("KiatnakinCust");
//#endregion:Func
//#region:head
var _scope = scope;
var _callback = callback;
var _datas = datas;
var output,process = {success:false,output:null};
if(_.isNull(_scope) || _.isUndefined(_scope))
        return process;
//#endregion:head
if(_.isNull(_datas.Value) || _.isUndefined(_datas.Value))
        return process;
var KiatnakinBar = _datas.Value;
var X,bn,yy,D,digit,checkDigit,xx,find_,len;
bn = 0;
D = 0;
X = 0;
find_ = KiatnakinBar.indexOf('-');
len = KiatnakinBar.length;
if(find_ != -1)
        return process;
if(len == 8)
        xx = 7;
else if(len == 11)
        xx = 10;
else if(len == 7)
        xx = 6;
if(xx != 6){
        for(i=0;i&lt;xx;i++){
                X = i%2;
                if(X==1)
                        bn = KiatnakinBar.substr(i,1)*1;
                else 
                        bn = KiatnakinBar.substr(i,1)*3;
                D = D + bn;
        }
        yy = D%10;
        if(yy == 0 )
                digit = '0';
        else
                digit = (10 - yy).toString();
        checkDigit = KiatnakinBar.substr(xx,1);
        if((checkDigit == digit) || (len == 7))
                output = true;
        else
                output = false;
}
else
        output = true;
return {success:true,output:output};</t>
  </si>
  <si>
    <t>KtcCard</t>
  </si>
  <si>
    <t>** ไม่พบว่ามี Service ไหนใช้ Function นี้ 
พบว่ามีแต่ใช้ Function KtcCardNew แทน</t>
  </si>
  <si>
    <t>//#region:Func
if(Application.config.isDebugMode)
        console.log("KtcCard");
//#endregion:Func
//#region:head
var _scope = scope;
var _callback = callback;
var _datas = datas;
var output,process = {success:false,output:null};
if(_.isNull(_scope) || _.isUndefined(_scope))
        return process;
//#endregion:head
if(_.isNull(params) || _.isUndefined(params)) return process;
var digit = parseInt(params.substr(15,1));
var val = 0,sum = 0,strval,strsum;
        for(i=0;i&lt;15;i++){
                val = parseInt(params.substr(i,1)) * 2;
                strval = val.toString();
                if(strval.length == 2) val = parseInt(strval.substr(0,1)) + parseInt(strval.substr(1,1));
                if(val == 10) val = 1;
                sum += val;
        }
sum += digit;
strsum = sum.toString();
if(parseInt(strsum.substr(strsum.length-1,1)) == 0) output = true;
else output = false;
return {success:true,output:output};</t>
  </si>
  <si>
    <t>KtcCardNew</t>
  </si>
  <si>
    <t>A. เช็คข้อมูลหมายเลขบัตร แบบที่ 1 
- ข้อมูล 13 ตัวอักษรแรก ต้องเท่ากับ "|301179767901" หรือ "|301179767902" หรือ "|301179767904" หรือ "|301179767911"
- ข้อมูล ตัวอักษรหลักที่ 2-11 ต้องเท่ากับ "3011797679"
B. แต่หากไม่ตรงกับเงื่อนไข หมายเลขบัตรแบบที่ 1 ให้ เช็คแบบที่ 2 ดังนี้
- ข้อมูล 16 ตัวอักษรแรก ต้องเท่ากับ "|010754500011001" หรือ "|010754500011002" หรือ "|010754500011004" หรือ "|010754500011011"
- ข้อมูล ตัวอักษรหลักที่ 2-14 ต้องเท่ากับ  "0107545000110"</t>
  </si>
  <si>
    <t>//#region:Func
if(Application.config.isDebugMode)
        console.log("KtcCardNew");
//#endregion:Func
//#region:head
var _scope = scope;
var _callback = callback;
var _datas = datas;
var output,process = {success:false,output:null};
if(_.isNull(_scope) || _.isUndefined(_scope))
        return process;
//#endregion:head
var val = _datas.Value;
var tex13 = ["|301179767901","|301179767902","|301179767904","|301179767911"];
var tex16 = ["|010754500011001","|010754500011002","|010754500011004","|010754500011011"];
var tex,returnVal = {};
if(_.isNull(val) || _.isUndefined(val))
        return process;
if(tex13.indexOf(val.substr(0,13)) != -1)
        tex = val.substr(1,10);
else if(tex16.indexOf(val.substr(0,16)) != -1)
        tex = val.substr(1,13);
else
        return process;
if(tex == "3011797679" || tex == "0107545000110")
        returnVal.output = true;
else
        returnVal.output = false;
return {success:true,output:returnVal};</t>
  </si>
  <si>
    <t>NationalHousing</t>
  </si>
  <si>
    <t>//#region:Func
if(Application.config.isDebugMode)
	console.log("NationalHousing");
//#endregion:Func
//#region:head
var _scope = scope;
var _callback = callback;
var _datas = datas;
var output,process = {success:false,output:null};
if(_.isNull(_scope) || _.isUndefined(_scope))
	return process;
//#endregion:head
var barcode = _datas.Barcode;
var cal = 0,ref = [],sum = [0,0,0],val = [],amt,len,chklen,total,strtotal,digit;
if(_.isNull(barcode) || _.isUndefined(barcode))
	return process;
if(!_.isNull(/[^|0-9_]/.exec(barcode)))
	return process;
if(!_.isNull(_datas.New) &amp;&amp; !_.isUndefined(_datas.New) &amp;&amp; _datas.New === true)
	cal = 3;
ref[0] = barcode.substr(13+cal,16);
ref[1] = barcode.substr(29+cal,13);
amt = barcode.substr(44+cal);
digit = barcode.substr(42+cal,2);
for(i=0;i&lt;16;i++){
	val[0] = isNaN(parseInt(ref[0].substr(i,1))) ? 0:parseInt(ref[0].substr(i,1));
	val[1] = isNaN(parseInt(ref[1].substr(i,1))) ? 0:parseInt(ref[1].substr(i,1));
	if(i%2 == 0){
		sum[0] += val[0] * 3;
		sum[1] += val[1] * 7;
	}
	else{
		sum[0] += val[0] * 9;
		sum[1] += val[1] * 5;
	}
}
len = amt.length;
if([3,5,7,9].indexOf(len) != -1)
	chklen = 1;
if([4,6,8].indexOf(len) != -1)
	chklen = 2;
for(i=0;i&lt;len;i++){
	switch(chklen){
		case 1:
			if([0,2,4,6,8].indexOf(i) != -1)
				sum[2] += parseInt(amt.substr(i,1)) * 5;
			else 
				sum[2] += parseInt(amt.substr(i,1)) * 3;
			break;
		case 2:
			if([1,3,5,7].indexOf(i) != -1)
				sum[2] += parseInt(amt.substr(i,1)) * 5;
			else 
				sum[2] += parseInt(amt.substr(i,1)) * 3;
			break;
		default:
			sum[2] += 0;
			break;
	}
}
total = sum[0] + sum[1] + sum[2];
strtotal = total.toString();
strtotal = strtotal.substr(strtotal.length-2,2);
if(digit == strtotal)
	output = true;
else
	output = false;
return {success:true,output:output};</t>
  </si>
  <si>
    <t>NwChkDgMod11New</t>
  </si>
  <si>
    <r>
      <rPr>
        <rFont val="Sarabun"/>
        <color theme="1"/>
        <sz val="10.0"/>
      </rPr>
      <t xml:space="preserve">1. เช็คข้อมูลบาร์โค้ด
1.1 บาร์โค้ด หลักที่ 17 - 21 ต้องเท่ากับ "31007"
2. นำข้อมูลบาร์โค้ดแต่ละหลัก แยกออกเป็นข้อมูล ดังนี้
2.1 ข้อมูลตัวเลขหลักที่ 32 - 33 คือค่า Digit ใช้สำหรับ Check Digit 
2.2 ข้อมูลตัวเลขหลักที่ 22 - 31 คือค่า Ref.1
3. วิธีคำนวณ เช็คดิจิต โดยใช้ค่าที่ได้จากข้อ 2.
3.1 นำข้อมูลแต่ละหลักของ Ref.1 คูณค่าคงที่ คือ 11,10,9,8..(-1) ไปเรื่อยๆ ตามลำดับ
3.2 นำค่าที่ได้จาก ข้อ 3.1 ทั้งหมดมาหาค่า sum
3.3 นำค่า sum ที่ได้จากข้อ 3.2 มา Mod 11
</t>
    </r>
    <r>
      <rPr>
        <rFont val="Sarabun"/>
        <color theme="1"/>
        <sz val="10.0"/>
      </rPr>
      <t>3.4 นำ 11 - Mod 11 = Mod11</t>
    </r>
    <r>
      <rPr>
        <rFont val="Sarabun"/>
        <color theme="1"/>
        <sz val="10.0"/>
      </rPr>
      <t xml:space="preserve">
3.4 ค่า Mod 11 จากข้อ 3.3 คือ Check Digit จำนวน 2 หลัก ใช้นำมาเช็คกับค่า Digit ที่ได้จากข้อ 2.1
(กรณี mod 11 ได้ค่า 1 หลักให้เติมเลข 0 ด้านหน้า 1 หลัก)</t>
    </r>
  </si>
  <si>
    <t>//#region:Func
if(Application.config.isDebugMode)
	console.log("NwChkDgMod11New");
//#endregion:Func
//#region:head
var _scope = scope;
var _callback = callback;
var _datas = datas;
var output,process = {success:false,output:null};
if(_.isNull(_scope) || _.isUndefined(_scope))
	return process;
//#endregion:head
if(_.isNull(_datas.Value) || _.isUndefined(_datas.Value))
	return process;
var value = _datas.Value;
var digit = parseInt(value.substr(31,2));
var sum = 0,array = [],mod;
if("31007" != value.substr(16,5))
	return process;
for(i=21,x=11;i&lt;31;i++,x--){
	array[i-21] = parseInt(value.substr(i,1)) * x;
	sum += array[i-21];
}
if(isNaN(sum))
	return process;
mod = 11 - (sum % 11);
if(mod &gt;= 10 &amp;&amp; mod == parseInt(digit))
	output = value.substr(21,10);
else if(mod &lt; 10 &amp;&amp; "0"+mod == digit)
	output = value.substr(21,10);
else
	return process;
return {success:true,output:output};</t>
  </si>
  <si>
    <t>PapCheck45Cis</t>
  </si>
  <si>
    <r>
      <rPr>
        <rFont val="Sarabun"/>
        <color theme="1"/>
        <sz val="10.0"/>
      </rPr>
      <t xml:space="preserve">1. นำข้อมูลบาร์โค้ดแต่ละหลัก แยกออกเป็นข้อมูล ดังนี้
1.1 ข้อมูลตัวเลขหลักที่ 29 - 30 คือค่า Digit ใช้สำหรับ Check Digit 
1.2 ข้อมูลตัวเลขหลักที่ 1 - 13 คือค่า billno
1.3 ข้อมูลตัวเลขหลักที่ 14 - 24 คือค่า meterno
1.4 ข้อมูลตัวเลขหลักที่ 25 - 28 คือค่า papcode
1.5 ข้อมูลตัวเลขหลักที่ 37 - 45 คือค่า amt
</t>
    </r>
    <r>
      <rPr>
        <rFont val="Sarabun"/>
        <color theme="1"/>
        <sz val="10.0"/>
      </rPr>
      <t>(แปลงข้อมูลเป็นจำนวนเงิน หากจำนวนเงินมีความยาว ไม่ถึง 9 หลัก ให้เติม amt+"0" จนครบ 9 หลัก)</t>
    </r>
    <r>
      <rPr>
        <rFont val="Sarabun"/>
        <color theme="1"/>
        <sz val="10.0"/>
      </rPr>
      <t xml:space="preserve">
2. วิธีคำนวณ เช็คดิจิต โดยใช้ค่าที่ได้จากข้อ 1.
1.1 นำข้อมูลแต่ละหลักของ billno , meterno , papcode , amt คูณค่าคงที่ ดังนี้
1.1.1 ข้อมูลแต่ละหลักของ billno  คูณค่าคงที่ คือ 1,2,3,5,7,11,13,17,19,23,29,31,41 ไปเรื่อยๆ ตามลำดับ
1.1.2 ข้อมูลแต่ละหลักของ meterno คูณค่าคงที่ คือ 1,2,3,5,7,11,13,17,19,23,29 ไปเรื่อยๆ ตามลำดับ
1.1.3 ข้อมูลแต่ละหลักของ papcode คูณค่าคงที่ คือ 1,2,3,5 ไปเรื่อยๆ ตามลำดับ
1.1.4 ข้อมูลแต่ละหลักของ amtคูณค่าคงที่ คือ 1,2,3,5,7,11,13,17,19 ไปเรื่อยๆ ตามลำดับ
1.2 นำค่าที่ได้จาก ข้อ 2.1 ทั้งหมดมาหาค่า sum
1.3 นำค่า sum แต่ละหลักแยกออกเป็นข้อมูลและนำมาคำนวณ ดังนี้
1.3.1 นำค่า sum หลักสุดท้าย ต่อกับ sum หลักแรก 
1.3.2 นำตัวเลข 2 จากข้อ 2.3.1 คูณด้วยค่า sum จะได้ข้อมูล คือ sum2
1.4 นำค่า sum2 จากข้อ 2.3 แยกข้อมูล 2 หลักสุดท้าย คือ Check Digit จำนวน 2 หลัก 
ใช้นำมาเช็คกับค่า Digit ที่ได้จากข้อ 1.1
</t>
    </r>
  </si>
  <si>
    <t>//#region:Func
if(Application.config.isDebugMode)
        console.log("PapCheck45Cis");
//#endregion:Func
//#region:head
var _scope = scope;
var _callback = callback;
var _datas = datas;
var output,process = {success:false,output:null};
if(_.isNull(_scope) || _.isUndefined(_scope))
        return process;
//#endregion:head
var params = _datas.Value;
if(_.isNull(params) || _.isUndefined(params))
        return process;
var digit = params.substr(28,2);
var baramt = parseInt(params.substr(36,9)).toString();
var len = baramt.length;
var cal = [1,2,3,5,7,11,13,17,19,23,29,31,41];
var sum,sum2,amt = 0,billno = 0,meterno = 0,papcode = 0,strsum,strsum2,len,len2,chkdigit;
for(i=(9-len);i&gt;0;i--){
        baramt = baramt+'0';
}
if(baramt.length != 9)
        return process;
for(i=0,j=0;i&lt;13;i++,j++){
        billno += parseInt(params.substr(i,1)) * cal[j];
        if(i&lt;11)
                meterno += parseInt(params.substr(i+13,1)) * cal[j];
        if(i&lt;4)
                papcode += parseInt(params.substr(i+24,1)) * cal[j];
        if(i &lt; baramt.length)
                amt += parseInt(baramt.substr(i,1)) * cal[j];
}
sum = billno + meterno + papcode + amt;
strsum = sum.toString();
len = strsum.length;
sum2 = parseInt(strsum.substr(len-1,1) + strsum.substr(0,1)) * sum;
strsum2 = sum2.toString();
len2 = strsum2.length;
chkdigit = strsum2.substr(len2-2,2);
if(digit == chkdigit)
        output = true;
else
        output = false;
return {success:true,output:output};</t>
  </si>
  <si>
    <t>RevenueControlCode</t>
  </si>
  <si>
    <t>เช็คความถูกต้อง โดยการหา รหัสควบคุม
Input :
- TinCode = ประจำตัวผู้เสียภาษี หรือ ประจำตัวประชาชน
- ControlCode = รหัสควบคุม
- RevenueAmt = จำนวนเงิน
การคำนวณหารหัสควบคุม (control code)
1. การคำนวณเลขประจำตัว
1.1 กรณีเลขประจำตัวผู้เสียภาษี ( ข้อมูลมี 10 หลัก)
หลักที่ 1-2 ของเลขประจำตัวผู้เสียภาษี คูณด้วย 13
หลักที่ 3-4 ของเลขประจำตัวผู้เสียภาษี คูณด้วย 11
หลักที่ 5-6 ของเลขประจำตัวผู้เสียภาษี คูณด้วย 7
หลักที่ 7-8 ของเลขประจำตัวผู้เสียภาษี คูณด้วย 5
หลักที่ 9-10 ของเลขประจำตัวผู้เสียภายี คูณด้วย 3
นำผลลัพธ์ที่ได้มารวมกัน
1.2 กรณีเลขประจำตัวประชาชน ( ข้อมูลมี 13 หลัก)
หลักที่ 1-2 ของเลขประจำตัวประชาชน คูณด้วย 13
หลักที่ 3-4 ของเลขประจำตัวประชาชน คูณด้วย 11
หลักที่ 5-6 ของเลขประจำตัวประชาชน คูณด้วย 7
หลักที่ 7-8 ของเลขประจำตัวประชาชน คูณด้วย 5
หลักที่ 9-10 ของเลขประจำตัวประชาชน คูณด้วย 3
หลักที่ 11-13 ของเลขประจำตัวประชาชน คูณด้วย 1
นำผลลัพธ์ที่ได้มารวมกัน
2. การคำนวณจำนวนเงิน
จำนวนเงินหลักหมื่นล้าน คูณด้วย 113
จำนวนเงินหลักพันล้าน คูณด้วย 111
จำนวนเงินหลักร้อยล้าน คูณด้วย 107
จำนวนเงินหลักสิบล้าน คูณด้วย 103
จำนวนเงินหลักล้าน คูณด้วย 101
จำนวนเงินหลักแสน คูณด้วย 97
จำนวนเงินหลักหมื่น คูณด้วย 89
จำนวนเงินหลักพัน คูณด้วย 83
จำนวนเงินหลักร้อย คูณด้วย 79
จำนวนเงินหลักสิบ คูณด้วย 73
จำนวนเงินหลักหน่วย คูณด้วย 71
จำนวนเงินทศนิยมตัวที่หนึ่ง คูณด้วย 67
จำนวนเงินทศนิยมตัวที่สอง คูณด้วย 61
นำผลลัพธ์ที่ได้มารวมกัน
3. การคำนวณรหัสควบคุม (control code)
หลักที่ 1 ของรหัสควบคุม คูณด้วย 17
หลักที่ 2 ของรหัสดวบคุม คูณด้วย 19
หลักที่ 3 ของรหัสควบคุม คูณด้วย 23
หลักที่ 4 ของรหัสควบคุม คูณด้วย 29
หลักที่ 5 ของรหัสควบคุม คูณด้วย 31
หลักที่ 6 ของรหัสควบคุม คุณด้วย 37
หลักที่ 7 ของรหัสควบคุม คูณด้วย 41
หลักที่ 8 ของรหัสควบคุม ณด้วย 43
หลักที่ 9 ของรหัสดวบคุม คูณด้วย 53
หลักที่ 10 ของรหัสควบคุม คูณด้วย 59  
หลักที่ 15 ของรหัสควบคุม คูณด้วย 117
นำผลลัพธ์ที่ได้มารวมกัน
4. นำผลลัพธ์ที่ได้จากข้อ 1-3 มารวมกัน แล้ว Modulus(หารเอาเศษ) ด้วย 10,000 จะได้รหัสควบคุมหลักที่ 11-14
ตัวอย่างที่ 1 การคำนวณกรณีข้อมูลเลขประจำตัวมี 10 หลัก
เลขประจำผู้เสียภาษี ======================เท่ากับ 1786957632
จำนวนเงิน ==============================เท่ากับ 21,805.25 บาท
รหัสควบคุมหลักที่ 1-10 ====================เท่ากับ 1512527002
รหัสควบคุมหลักที่ 15 =====================เท่ากับ 0
ผลรวมทั้งหมด 2,308+1,687+827 ===========เท่ากับ 4822
Modulus 10000 =========================เท่ากับ 4822
รหัสควบคุมหลักที่ 11-14 ==================เท่ากับ 4822
รหัสควบคุมทั้ง 15 หลัก ===================เท่ากับ 151252700248220
ตัวอย่างที่ 2 การคำนวณ กรณีข้อมูลเลขประจำตัวมี 13 หลัก
เลขประจำประชาชน ======================เท่ากับ 3570542562600
จำนวนเงิน ==============================เท่ากับ 21,805.25 บาท
รหัสควบคุมหลักที่ 1-10 ===================เท่ากับ 1512527002
รหัสควบคุมหลักที่ 15 =====================เท่ากับ 0
ผลรวมทั้งหมด 2.514+1,687+827 ============เท่ากับ 5028
Modulus 10000 =========================เท่ากับ 5028
รหัสควบคุมหลักที่ 11-14 ====================เท่ากับ 5028
รหัสควบคุมทั้ง 15 หลัก =====================เท่ากับ 151252700250280
5. วันสุดท้ายของการชำระเงิน
หาได้ดังนี้
รหัสควบคุมหลักที่ 1-2 คือ วันที่
รหัสควบคุมหลักที่ 15, 6-7 คือ เดือนที่ n โดยนับเดือนที่ 1 ตั้งแต่เดือน มกราคม 2545
ตัวอย่าง
ถ้ารหัสควบคุมหลักที่ 15 เท่ากับ 0,หลักที่ 6-7 เท่ากับ 07
จะได้เดือนที่ เท่ากับ 007 นั่นก็คือเดือน กรกฎาคม 2545
ถ้ารหัสควบคุมหลักที่ 15 เท่ากับ 0, หลักที่ 6-7 เท่ากับ 27
จะได้เดือนที่ เท่ากับ 027 นั่นก็คือเดือน มีนาคม 2547
ถ้ารหัสควบคุมหลักที่ 15 เท่ากับ 1, หลักที่ 6-7 เท่ากับ 25 ,
จะได้เดือนที่ เท่ากับ 125 นั่นก็คือเดือน พฤษภาคม 2557</t>
  </si>
  <si>
    <t>SmeCheckDigit</t>
  </si>
  <si>
    <t>1. เช็คข้อมูลหมายเลขบัญชี
1.1 บาร์โค้ดต้องมีความยาวระหว่าง 10-17 ตัวอักษรเท่านั้น
2. นำข้อมูลแต่ละหลัก แยกออกเป็นข้อมูล ดังนี้
2.1 ข้อมูลตัวเลข 2 หลักสุดท้าย คือค่า Digit ใช้สำหรับ Check Digit 
2.2 ข้อมูลตัวเลข ตำแหน่งแรก ถึงตำแหน่งก่อนหน้าตำแหน่งค่า Digit คือ Ref
3. วิธีคำนวณ เช็คดิจิต โดยใช้ค่าที่ได้จากข้อ 2.
3.1 นำข้อมูลแต่ละหลักของ Ref คูณค่าคงที่ คือ 4 , 9 , 7 ไปเรื่อยๆ ตามลำดับ
3.2 นำค่าที่ได้จาก ข้อ 3.1 ทั้งหมดมาหาค่า sum + 749
3.3 นำค่า sum ที่ได้จากข้อ 3.2 มา Mod 100
3.4 ค่า Mod 100 จากข้อ 3.3 คือ Check Digit จำนวน 2 หลัก ใช้นำมาเช็คกับค่า Digit ที่ได้จากข้อ 2.1
(กรณีที่ ค่า Check Digit มีความยาว 1 หลัก เพิ่มค่า "0" นำหน้า Check Digit)</t>
  </si>
  <si>
    <t>//#region:Func
if(Application.config.isDebugMode)
	console.log("SmeCheckDigit");
//#endregion:Func
//#region:head
var _scope = scope;
var _callback = callback;
var _datas = datas;
var output,process = {success:false,output:null};
if(_.isNull(_scope) || _.isUndefined(_scope))
	return process;
//#endregion:head
var arrVal = [];
var sum = 0,len = 0,mod,digit,chkdigit;
var arrlen = [8,9,10,11,12,13,14,15];
var params = _datas.Data;
if(_.isNull(params) || _.isUndefined(params))
	return process;
len = params.length - 2;
digit = params.substr(len,2);
if(arrlen.indexOf(len) == -1)
	return process;
for(i=0;i&lt;len;i++){
	switch(i%3){
		case 0: x = 4;
			break;
		case 1: x = 9;
			break;
		case 2: x = 7;
			break;
		default: x = 0;
			break;
	}
	arrVal[i] = parseInt(params.substr(i,1));
	sum += arrVal[i] * x; 
}
sum += 749;
mod = sum % 100;
if(mod &lt; 10)
	chkdigit = "0" + mod.toString();
else
	chkdigit = mod.toString();
if(chkdigit == digit)
	output = true;
else
	output = false;
return {success:true,output:output};</t>
  </si>
  <si>
    <t>StouChkDigit</t>
  </si>
  <si>
    <r>
      <rPr>
        <rFont val="Sarabun"/>
        <color theme="1"/>
        <sz val="10.0"/>
      </rPr>
      <t>1. เช็คข้อมูล</t>
    </r>
    <r>
      <rPr>
        <rFont val="Sarabun"/>
        <b/>
        <color theme="1"/>
        <sz val="10.0"/>
      </rPr>
      <t>เลขที่ประจำตัวนักศึกษา</t>
    </r>
    <r>
      <rPr>
        <rFont val="Sarabun"/>
        <color theme="1"/>
        <sz val="10.0"/>
      </rPr>
      <t xml:space="preserve"> และค่า FuncType (หากมีค่าส่งมา)
1.1 ข้อมูลเลขที่ประจำตัวนักศึกษา ต้องเป็นตัวเลขเท่านั้น
1.1 หาก FuncType = "DR" ให้เช็ค เลขที่ประจำตัวนักศึกษา หลักแรก ต้องเท่ากับ "4"
1.2 หาก FuncType = "MD" ให้เช็ค เลขที่ประจำตัวนักศึกษา หลักแรก ต้องเท่ากับ "1","2","5","7"
1.2 หาก FuncType = "MDANDDR" ให้เช็ค เลขที่ประจำตัวนักศึกษา หลักแรก ต้องเท่ากับ "1","2","4","5","7"
2. นำข้อมูลเลขที่ประจำตัวนักศึกษาแต่ละหลัก แยกออกเป็นข้อมูล ดังนี้
2.1 ข้อมูลตัวเลขหลักที่ 10 คือค่า Digit ใช้สำหรับ Check Digit 
2.2 ข้อมูลตัวเลข 9 หลักแรก คือค่า BillNo
3. วิธีคำนวณ เช็คดิจิต โดยใช้ค่าที่ได้จากข้อ 2.
3.1 นำข้อมูลแต่ละหลักของ BillNo คูณค่าคงที่ คือ 2 , 1 ไปเรื่อยๆ ตามลำดับ
3.2 ถ้าผลคูณหลักใด มีค่ามากกว่า 9 ให้เอาตัวเลขทั้งสองหลัก มาบวกกัน
3.3 นำค่าที่ได้จาก ข้อ 3.1 , 3.2 ทั้งหมดมาหาค่า sum
3.4 นำค่า sum ที่ได้จากข้อ 3.2 มา Mod 10
3.5 ค่า Mod 100 จากข้อ 3.4 คือ Check Digit จำนวน 1 หลัก ใช้นำมาเช็คกับค่า Digit ที่ได้จากข้อ 2.1
(กรณี Check Digit ได้เศษไม่เท่ากับ  0 ให้ค่า Check Digit = 10 - Check Digit)</t>
    </r>
  </si>
  <si>
    <t>//#region:Func
if(Application.config.isDebugMode)
	console.log("StouChkDigit");
//#endregion:Func
//#region:head
var _scope = scope;
var _callback = callback;
var _datas = datas;
var output,process = {success:false,output:null};
if(_.isNull(_scope) || _.isUndefined(_scope))
	return process;
//#endregion:head
var BillNo,sum,ditgit;
var val = _datas.Value;
var DR = ["4"],MD = ["1","2","5","7"];
var sum = 0;
if(!$.isNumeric(val))
	return process;
if(!_.isNull(_datas.FuncType) &amp;&amp; !_.isUndefined(_datas.FuncType)){
	switch(_datas.FuncType){
		case "DR":
			if(DR.indexOf(val.substr(0,1)) == -1)
				return process;
			break;
		case "MD":
			if(MD.indexOf(val.substr(0,1)) == -1)
				return process;
			break;
		case "MDANDDR":
			if(MD.indexOf(val.substr(0,1)) == -1 &amp;&amp; DR.indexOf(val.substr(0,1)) == -1)
				return process;
			break;
		default:
			break;
	}
}
for(i=0,x=0;i&lt;9;i++){
	if(i%2 == 0)
		x = 2;
	else
		x = 1;
	BillNo = parseInt(val.substr(i,1)) * x;
	if(BillNo &gt;= 10)
		BillNo = parseInt(BillNo.toString().substr(1,1)) + parseInt(BillNo.toString().substr(0,1));
	sum += BillNo;
}
sum = 10 - (sum % 10);
ditgit = val.substr(9,1);
if(sum == 10)
	sum = 0;
if(ditgit == sum)
	output = true;
else
	output = false;
return {success:true,output:output};</t>
  </si>
  <si>
    <t>TOT</t>
  </si>
  <si>
    <t>1. เช็คข้อมูลบาร์โค้ด และ Line บาร์โค้ด
1.1 บาร์โค้ดหลักแรก ต้องเท่ากับ "1","2","3","4"
1.2 บาร์โค้ดหลักแรก ต้องเท่ากับเลข Line บาร์โค้ด 
2. นำข้อมูลบาร์โค้ดแต่ละหลัก แยกออกเป็นข้อมูล ดังนี้
2.1 ข้อมูลตัวเลขหลักที่ 13 คือค่า Digit ใช้สำหรับ Check Digit 
2.2 ข้อมูลตัวเลข 12 หลักแรก คือค่า subbar
3. วิธีคำนวณ เช็คดิจิต โดยใช้ค่าที่ได้จากข้อ 2.
3.1 นำข้อมูลแต่ละหลักของ subbar คูณค่าคงที่ คือ 1 , 3 ไปเรื่อยๆ ตามลำดับ
3.2 นำค่าที่ได้จาก ข้อ 3.1 ทั้งหมดมาหาค่า sum
3.3 ตัวเลขหลักสุดท้ายของ sum จากข้อ 3.3 คือ Check Digit จำนวน 1 หลัก 
ใช้นำมาเช็คกับค่า Digit ที่ได้จากข้อ 2.1
(กรณี Check Digit ได้เศษไม่เท่ากับ  0 ให้ค่า Check Digit = 10 - Check Digit)</t>
  </si>
  <si>
    <t>//#region:Func
if(Application.config.isDebugMode)
        console.log("TOT");
//#endregion:Func
//#region:head
var _scope = scope;
var _callback = callback;
var _datas = datas;
var output,process = {success:false,output:null};
if(_.isNull(_scope) || _.isUndefined(_scope))
        return process;
//#endregion:head
if(_.isNull(_datas.TOTBar) || _.isUndefined(_datas.TOTBar))
        return process;
if(_.isNull(_datas.Line) || _.isUndefined(_datas.Line))
        return process;
var line = _datas.Line;
var val = _datas.TOTBar;
var bar = val.substr(0,1);
var modi,subbar,sum,strsum,len,buff = [0,0];
if(["1","2","3","4"].indexOf(bar) == -1 || bar != line.toString())
        return process;
for(i=0;i&lt;12;i++){
        subbar = val.substr(i,1);
        switch(i%2){
                case 0:
                        buff[0] += parseInt(subbar);
                        break;
                case 1:
                        buff[1] += parseInt(subbar);
                        break;
                default:
                        break;
        }
}
sum = (buff[1] * 3) + buff[0];
strsum = sum.toString();
len = strsum.length;
strsum = strsum.substr(len-1,1);
if(strsum == '0')
        chk = 0;
else
        chk = 10 - parseInt(strsum);
if(chk == parseInt(val.substr(12,1)))
        output = true;
else
        output = false;
return {success:true,output:output};</t>
  </si>
  <si>
    <t>ToyotaLeasingChkdg</t>
  </si>
  <si>
    <r>
      <rPr>
        <rFont val="Sarabun"/>
        <color theme="1"/>
        <sz val="10.0"/>
      </rPr>
      <t xml:space="preserve">A. เช็คข้อมูลบาร์โค้ด แบบที่ 1 
- บาร์โค้ดต้องมีความยาว ระหว่าง 32 - 35 ตัวอักษร
- บาร์โค้ด 13 ตัวอักษรแรก ต้องเท่ากับ "|301133590100" หรือ "|301133590101" หรือ "|301133590102"
B. แต่หากไม่ตรงกับเงื่อนไข บาร์โค้ดแบบที่ 1 ให้ เช็คแบบที่ 2 ดังนี้
1. เช็คข้อมูลบาร์โค้ด
1.1 บาร์โค้ดต้องมีความยาว มากกว่า 36 ตัวอักษร
1.2 บาร์โค้ด 16 ตัวอักษรแรก ต้องเท่ากับ "|010553611355004"
1.3 BP Type บาร์โค้ด 2 หลักสุดท้าย (ก่อนค่า check digit ข้อ 2.1) ต้องเท่ากับ "10","21","30","40","60" 
2. นำข้อมูลบาร์โค้ดแต่ละหลัก แยกออกเป็นข้อมูล ดังนี้
2.1 ข้อมูลตัวเลข ก่อนหลักสุดท้าย ของบาร์โค้ด 2 ตำแหน่ง  คือค่า Digit ใช้สำหรับ Check Digit
</t>
    </r>
    <r>
      <rPr>
        <rFont val="Sarabun"/>
        <strike/>
        <color theme="1"/>
        <sz val="10.0"/>
      </rPr>
      <t>2.2 ข้อมูลตัวเลขหลักที่ 17 - 23 คือค่า Ref.1
2.3 ข้อมูลตัวเลขหลักที่ 24 ถึงตำแหน่งของค่า Digit (ข้อ 2.1) คือค่า Ref.2</t>
    </r>
    <r>
      <rPr>
        <rFont val="Sarabun"/>
        <color theme="1"/>
        <sz val="10.0"/>
      </rPr>
      <t xml:space="preserve">
3. วิธีคำนวณ เช็คดิจิต โดยใช้ค่าที่ได้จากข้อ 2.
3.1 นำข้อมูลที่เข้า Function ได้แก่ Ref.1 และ Ref.2 คูณค่าคงที่ ดังนี้
3.1.1 ข้อมูลแต่ละหลักของ Ref1 คูณค่าคงที่ ไปเรื่อยๆ ตามลำดับ โดย
3.1.1.1  หากความยาวของ Ref1 เป็นเลขคู่ ค่าคงที่คือ 4 , 8
3.1.1.1  หากความยาวของ Ref1 เป็นเลขคี่ ค่าคงที่คือ 8 , 4
3.1.2 ข้อมูลแต่ละหลักของ Ref2 คูณค่าคงที่ ไปเรื่อยๆ ตามลำดับ โดย
3.1.2.1  หากความยาวของ Ref2 เป็นเลขคู่ ค่าคงที่คือ 8 , 4
3.1.2.1  หากความยาวของ Ref2 เป็นเลขคี่ ค่าคงที่คือ 4 , 8
3.2 นำค่าที่ได้จาก ข้อ 3.1 ทั้งหมดมาหาค่า sum
3.3 นำค่า sum ที่ได้จากข้อ 3.2 มา Mod 100
3.4 ค่า Mod 100 จากข้อ 3.3 คือ Check Digit จำนวน 2 หลัก ใช้นำมาเช็คกับค่า Digit ที่ได้จากข้อ 2.3
(กรณี mod 100 ได้ค่า 1 หลักให้เติมเลข 0 ด้านหน้า 1 หลัก)
</t>
    </r>
  </si>
  <si>
    <t>//#region:Func
if(Application.config.isDebugMode)
        console.log("ToyotaLeasingChkdg");
//#endregion:Func
//#region:head
var _scope = scope;
var _callback = callback;
var _datas = datas;
var output,process = {success:false,output:null};
if(_.isNull(_scope) || _.isUndefined(_scope))
        return process;
//#endregion:head
var toyota_ls = _datas.Barcode;
if(_.isNull(toyota_ls) || _.isUndefined(toyota_ls))
        return process;
//---เก่า----var D,D2,su,bn,bn2,chk,chkdg,checkdigit,len,ref1,ref2;//-----------
var D,D2,su,bn,bn2,chk,chkdg,checkdigit,len,len2,l,ref1,ref2;//ประกาศตัวแปรเพิ่มเข้าไปอีก 2 ตัว คือ len2 และ  l----ใหม่----
var setValue1=[36,37,38,39,40];
var setValue2=["10","21","30","40","60"];
var setValue3=[32,33,35,34,35];
var setValue4=[32,33,35,34,35];
len=toyota_ls.length;
bn=0; D =0; su=0; bn2=0; D2=0;
//--เก่า---if(setValue1.indexOf(len) != -1 &amp;&amp; toyota_ls.substr(0,16)=="|010553611355004" &amp;&amp; setValue2.indexOf(toyota_ls.substr(32,2)) != -1)//-----------
if(setValue1.indexOf(len) != -1 &amp;&amp; toyota_ls.substr(0,16)=="|010553611355004" &amp;&amp; setValue2.indexOf(toyota_ls.substr(len-5,2)) != -1)///-----ใหม่่--------
{
   ref1=toyota_ls.substr(16,7);
   //---เก่า---ref2=toyota_ls.substr(23,11);//--------
   ref2=toyota_ls.substr(23,len-26);///---ใหม่่-----
   len2=ref2.length;///-----ใหม่----
}
else if(setValue3.indexOf(len) != -1 &amp;&amp; ["|301133590100","|301133590101","|301133590102"].indexOf(toyota_ls.substr(0,13)) != -1)
        output=true;
else
        output = false;
if(_.isUndefined(output)){
        //ref1
        for(i=0,x=0; i &lt; 7; i++)
        {
                x = i % 2;
                if(x==1)
                        bn=parseInt(ref1.substr(i,1))*4;
                else
                        bn=parseInt(ref1.substr(i,1))*8;
                D=D+bn;
        }
        //ref2
        l = len2 % 2;/////--ใหม่่
        if(l==0) /////---ใหม่
        {
                for(i=0,x=0; i &lt; len2; i++)//-----ใหม่
                //---for(i=0,x=0; i &lt; 11; i++)//----------เก่า
                {
                        x = i % 2;
                        if(x==1)
                                bn2=parseInt(ref2.substr(i,1))*4;
                        else
                                bn2=parseInt(ref2.substr(i,1))*8;
                        D2=D2+bn2;
                }
        }
        else///----ใหม่ ทั้งหมด
        {
                for(i=0,x=0; i &lt; len2; i++)
                        //for(i=0,x=0; i &lt; 11; i++)เอาออกใช้บรรทัดบนแทน
                {
                        x = i % 2;
                        if(x==1)
                                bn2=parseInt(ref2.substr(i,1))*8;
                        else
                                bn2=parseInt(ref2.substr(i,1))*4;
                        D2=D2+bn2;
                }
        }
        su=D+D2;
        chk = (su % 100).toString();
        if(chk.length==2)
                chkdg = chk;
        else
                chkdg = "0"+chk;
        ///checkdigit = toyota_ls.substr(34,2);//---------เก่า--
        checkdigit = toyota_ls.substr(len-3,2);
        if (chkdg == checkdigit)
                output = true;
        else if(setValue4.indexOf(len) != -1 &amp;&amp; ["|301133590100","|301133590101","|301133590102"].indexOf(toyota_ls.substr(0,13)) != -1)
                output = true;
        else
                output = false;
}
 return {success:true,output:output};</t>
  </si>
  <si>
    <t>CitiGR645Chkdigit</t>
  </si>
  <si>
    <t>เช็คข้อมูล RefNo.1 ข้อมูลตัวเลขหลักที่ 1 - 6 ต้องเท่ากับ
"551645","123370","551706","125571","126097","116258","126243","126366","124750",
 "126307","125679","123687","126230","125725","125723","123776","118907","125449",
 "124741","123185","126363","126364","126278","121673","126390","119417"</t>
  </si>
  <si>
    <t>//#region:Func
if(Application.config.isDebugMode)
        console.log("CitiGR645Chkdigit");
//#endregion:Func
//#region:head
var _scope = scope;
var _callback = callback;
var _datas = datas;
var output,process = {success:false,output:null};
if(_.isNull(_scope) || _.isUndefined(_scope))
        return process;
//#endregion:head
if(_.isNull(_datas.Data) || _.isUndefined(_datas.Data))
        return process;
var data = _datas.Data.substr(0,6);
var citi =        [
                        "551645","123370","551706","125571","126097","116258","126243","126366","124750",
                        "126307","125679","123687","126230","125725","125723","123776","118907","125449",
                        "124741","123185","126363","126364","126278","121673","126390","119417"
                        ];
if(citi.indexOf(data) != -1)
        output = true;
else 
        output = false;
return process = {success:true,output:output};</t>
  </si>
  <si>
    <t>YanmarCapitalChkdigit</t>
  </si>
  <si>
    <r>
      <rPr>
        <rFont val="Sarabun"/>
        <color theme="1"/>
        <sz val="10.0"/>
      </rPr>
      <t xml:space="preserve">เช็คข้อมูลบาร์โค้ด
A. เช็คข้อมูลบาร์โค้ด แบบที่ 1 
- บาร์โค้ดต้องมีความยาว 10 ตัวอักษร หรือ 13 ตัวอักษร หรือ 43 ตัวอักษร
B. แต่หากไม่ตรงกับเงื่อนไข บาร์โค้ดแบบที่ 1 ให้ เช็คแบบที่ 2 ดังนี้
- บาร์โค้ด 14 ตัวอักษรแรก ต้องเท่ากับ "|0115552007416" 
- หรือ บาร์โค้ด 11 ตัวอักษรแรก ต้องเท่ากับ "|3033574760"
C. แต่หากไม่ตรงกับเงื่อนไข บาร์โค้ดแบบที่ 1,2 ให้ไปคำนวณเช็คดิจิต ดังนี้
1. นำข้อมูลบาร์โค้ดแต่ละหลัก แยกออกเป็นข้อมูล ดังนี้
1.1 ข้อมูลตัวเลขหลักที่ 31 - 32 คือค่า Digit ใช้สำหรับ Check Digit </t>
    </r>
    <r>
      <rPr>
        <rFont val="Sarabun"/>
        <color rgb="FFFF0000"/>
        <sz val="10.0"/>
      </rPr>
      <t xml:space="preserve">
</t>
    </r>
    <r>
      <rPr>
        <rFont val="Sarabun"/>
        <color theme="1"/>
        <sz val="10.0"/>
      </rPr>
      <t xml:space="preserve">2.2 ข้อมูลตัวเลขหลักที่ 17 - 30 ต่อตัวเลขหลักที่ 33 จนถึงหลักสุดท้าย  คือค่า param
2. วิธีคำนวณ เช็คดิจิต โดยใช้ค่าที่ได้จากข้อ 1
2.1 นำข้อมูลแต่ละหลักของ param คูณค่าคงที่ คือ 4 , 3 , 4 ไปเรื่อยๆ ตามลำดับ
2.2 นำค่าที่ได้จาก ข้อ 3.1 ทั้งหมดมาหาค่า sum และคูณด้วย 3
2.3 นำค่า sum ที่ได้จากข้อ 3.2 มา Mod 100
2.4 ค่า Mod 100 จากข้อ 3.3 คือ Check Digit จำนวน 2 หลัก ใช้นำมาเช็คกับค่า Digit ที่ได้จากข้อ 2.1
</t>
    </r>
  </si>
  <si>
    <t>//#region:Func
if(Application.config.isDebugMode)
	console.log("YanmarCapitalChkdigit");
//#endregion:Func
//#region:head
var _scope = scope;
var _callback = callback;
var _datas = datas;
var output,process = {success:false,output:null};
if(_.isNull(_scope) || _.isUndefined(_scope))
	return process;
//#endregion:head
if(_.isNull(_datas.Data) || _.isUndefined(_datas.Data))
	return process;
var data = _datas.Data;
var len = data.length;
var chk = parseInt(data.substr(30,2));
var bar1,bar2;
var val = [],sum = 0,mod;
if(len == 10 || data.substr(0,11) == "|3033574760")
	bar1 == 3033574760;
if(len == 13 || data.substr(0,14) == "|0115552007416")
	bar2 == 0115552007416;
for(i=16,j=0,x=0;i&lt;43;i++,j++){
	val[j] = parseInt(data.substr(i,1));
	if([30,31].indexOf(i) != -1)
		j = j-1;
	switch(j%3){
		case 1:
			x = 3;
			break;
		default:
			x = 4;
			break;
	}
	if([30,31].indexOf(i) == -1)
		sum += val[j] * x;
}
mod = (sum * 3) % 100;
if(mod == chk || len == 43 || bar1 == 3033574760 || bar2 == 0115552007416)
	output = true;
else
	output = false;
return process = {success:true,output:output};</t>
  </si>
  <si>
    <t>ToyotaTibChkDg</t>
  </si>
  <si>
    <r>
      <rPr>
        <rFont val="Sarabun"/>
        <color theme="1"/>
        <sz val="10.0"/>
      </rPr>
      <t>เช็คข้อมูลบาร์โค้ด
A. เงื่อนไขที่ 1
1. เช็คข้อมูลบาร์โค้ด
1.1 บาร์โค้ดต้องมีความยาว 32 - 35 ตัวอักษร
1.2 บาร์โค้ด 13 ตัวอักษรแรก ต้องเท่ากับ "|303281147700"</t>
    </r>
    <r>
      <rPr>
        <rFont val="Sarabun"/>
        <color theme="1"/>
        <sz val="10.0"/>
      </rPr>
      <t xml:space="preserve">
</t>
    </r>
    <r>
      <rPr>
        <rFont val="Sarabun"/>
        <color theme="1"/>
        <sz val="10.0"/>
      </rPr>
      <t xml:space="preserve">
B. เงื่อนไขที่ 2 
1. เช็คข้อมูลบาร์โค้ด
</t>
    </r>
    <r>
      <rPr>
        <rFont val="Sarabun"/>
        <color theme="1"/>
        <sz val="10.0"/>
      </rPr>
      <t>1.1 บาร์โค้ดต้องมีความยาวมากกว่า 36 ตัวอักษร</t>
    </r>
    <r>
      <rPr>
        <rFont val="Sarabun"/>
        <color theme="1"/>
        <sz val="10.0"/>
      </rPr>
      <t xml:space="preserve">
1.2 บาร์โค้ด 16 ตัวอักษรแรก ต้องเท่ากับ "|010555010599204"
</t>
    </r>
    <r>
      <rPr>
        <rFont val="Sarabun"/>
        <strike/>
        <color theme="1"/>
        <sz val="10.0"/>
      </rPr>
      <t>1.2 บาร์โค้ดตัวอักษรหลักที่ 33 - 34  ต้องเท่ากับ "10","21","30","40","60"</t>
    </r>
    <r>
      <rPr>
        <rFont val="Sarabun"/>
        <color theme="1"/>
        <sz val="10.0"/>
      </rPr>
      <t xml:space="preserve">
2. นำข้อมูลบาร์โค้ดแต่ละหลัก แยกออกเป็นข้อมูล ตามเงื่อนไข ดังนี้
2.1 ข้อมูลตัวเลขหลักที่ 35 - 36 คือค่า Digit ใช้สำหรับ Check Digit 
</t>
    </r>
    <r>
      <rPr>
        <rFont val="Sarabun"/>
        <strike/>
        <color theme="1"/>
        <sz val="10.0"/>
      </rPr>
      <t>2.2 ข้อมูลตัวเลขหลักที่ 17 - 23 คือค่า Ref.1
2.3 ข้อมูลตัวเลขหลักที่ 24 - 34 คือค่า Ref.2</t>
    </r>
    <r>
      <rPr>
        <rFont val="Sarabun"/>
        <color theme="1"/>
        <sz val="10.0"/>
      </rPr>
      <t xml:space="preserve">
3. วิธีคำนวณ เช็คดิจิต โดยใช้ค่าที่ได้จากข้อ 2.
</t>
    </r>
    <r>
      <rPr>
        <rFont val="Sarabun"/>
        <color theme="1"/>
        <sz val="10.0"/>
      </rPr>
      <t>3.1 ข้อมูลแต่ละหลักของ Ref1 คูณค่าคงที่ ไปเรื่อยๆ ตามลำดับ โดย
3.1.1  หากความยาวของ Ref1 เป็นเลขคู่ ค่าคงที่คือ 4 , 8
3.1.2  หากความยาวของ Ref1 เป็นเลขคี่ ค่าคงที่คือ 8 , 4
3.2 ข้อมูลแต่ละหลักของ Ref2 คูณค่าคงที่ ไปเรื่อยๆ ตามลำดับ โดย
3.2.1  หากความยาวของ Ref2 เป็นเลขคู่ ค่าคงที่คือ 8 , 4
3.2.1  หากความยาวของ Ref2 เป็นเลขคี่ ค่าคงที่คือ 4 , 8</t>
    </r>
    <r>
      <rPr>
        <rFont val="Sarabun"/>
        <color theme="1"/>
        <sz val="10.0"/>
      </rPr>
      <t xml:space="preserve">
3.3 นำค่า sum ที่ได้จากข้อ 3.1 + 3.2 มา Mod 100
3.4 ค่าที่ได้จากข้อ 3.3 คือ Check Digit  2 หลัก ใช้นำมาเช็คกับค่า Digit ที่ได้จากข้อ 2.1
(กรณีที่ ค่า Check Digit มีความยาว 1 หลัก เพิ่มค่า "0" นำหน้า Check Digit)</t>
    </r>
  </si>
  <si>
    <t>ThanaChkDigit</t>
  </si>
  <si>
    <t xml:space="preserve">1 นำข้อมูลบาร์โค้ดแต่ละหลัก แยกออกเป็นข้อมูล ตามเงื่อนไข ดังนี้
A. เช็คข้อมูลบาร์โค้ด แบบที่ 1
 - บาร์โค้ดมีความยาว ไม่เกิน 40 ตัวอักษร
 - บาร์โค้ด 13 ตัวอักษรแรก เท่ากับ "|310106919812"
 - ให้แยกข้อมูลตัวเลขหลักที่ 14  - 26  คือค่า IDCardNo 
B. เช็คข้อมูลบาร์โค้ด แบบที่ 2
 - บาร์โค้ดมีความยาว มากกว่าหรือเท่ากับ 40 ตัวอักษร
 - บาร์โค้ด 16 ตัวอักษรแรก เท่ากับ "|010753600140112"
 - ให้แยกข้อมูลตัวเลขหลักที่ 17  - 29  คือค่า IDCardNo 
2. แยกข้อมูล IDCardNo  หลักสุดท้าย คือ Digit ใช้สำหรับ Check Digit
3. วิธีคำนวณ เช็คดิจิต โดยใช้ค่าที่ได้จากข้อ 1 , 2
3.1 นำข้อมูลแต่ละหลักของ IDCardNo คูณค่าคงที่ 
 คือ 5,4,3,2,2,3,4,5,6,7,8,9 ไปเรื่อยๆ ตามลำดับ
3.2 นำค่าที่ได้จาก ข้อ 3.1 ทั้งหมดมาหาค่า sum
3.3 นำค่า sum ที่ได้จากข้อ 3.2 มา Mod 11
3.4 แทนค่า Mod 11 ลง Check Digit ตามเงื่อนไข ดังนี้
3.4.1 หากค่า Mod 11 เท่ากับ 0 ให้ Check Digit  = 0
3.4.2 หากค่า Mod 11 เท่ากับ 0 ให้เอา 11 - Mod = Check Digit 
3.4.3 หากค่า Check Digit &gt; 9 ให้แทนค่า Check Digit ด้วย 0
3.5 ค่าจากข้อ 3.4 คือ Check Digit จำนวน 1 หลัก ใช้นำมาเช็คกับค่า Digit ที่ได้จากข้อ 2.1
</t>
  </si>
  <si>
    <t>msCheckBOACard</t>
  </si>
  <si>
    <r>
      <rPr>
        <rFont val="Sarabun"/>
        <color theme="1"/>
        <sz val="10.0"/>
      </rPr>
      <t xml:space="preserve">1. เช็คข้อมูล sCardNo 
1.1 ข้อมูลต้องมีความยาวมากกว่า 7 ตัวอักษร
1.2 ข้อมูล 8 ตัวอักษรแรก ต้องเท่ากับ 
"54321525","47434062","47434063","43111620","43111640","43111510","43111641","43111642"
,"43111643","43111644","43111645","43111646","43111647","43111648","43111649","43111650"
,"43111651","43111652"","43111653","43111654","43111655","43111656","43111657","43111658"
,"43111659","43111660","54187815","54187891"
1.3 หากไม่ตรงเงื่อนไขข้อ 1.2 ให้เช็ค 
ข้อมูล 4 ตัวอักษรแรก ต้องเท่ากับ "4332","4311"
</t>
    </r>
    <r>
      <rPr>
        <rFont val="Sarabun"/>
        <color theme="1"/>
        <sz val="10.0"/>
        <u/>
      </rPr>
      <t>หรือ</t>
    </r>
    <r>
      <rPr>
        <rFont val="Sarabun"/>
        <color theme="1"/>
        <sz val="10.0"/>
      </rPr>
      <t xml:space="preserve"> ข้อมูล 6 ตัวอักษรแรก ต้องเท่ากับ 
"464021","464009","465899","465890","404365","486408","474340","541878"
,"543215","403375","525720","556656","465899"
2. Return ค่าจากผลการเช็คเงื่อนไข  ข้อ 1
- หากตรงตามเงื่อนไขที่เช็ค ให้ Return : Success: True , Output : True
- หากไม่ตรงตามเงื่อนไขที่เช็ค ให้ Return : Success: True , Output : False</t>
    </r>
  </si>
  <si>
    <t>if(Application.config.isDebugMode)</t>
  </si>
  <si>
    <t>msCreditCode</t>
  </si>
  <si>
    <t>1. เช็คข้อมูล sCardNo ข้อมูลต้องมีความยาวมากกว่า 3 ตัวอักษร
2. นำข้อมูลแต่ละหลัก แยกออกเป็นข้อมูล ดังนี้
2.1 ข้อมูลตัวเลข 4 หลักแรก คือค่า Char4 
2.2 ข้อมูลตัวเลข 1 หลักแรก คือค่า Char1
3.  Return ค่าตามเงื่อนไข ดังนี้
3.1 หากค่า Char4 เท่ากับ "4332" ให้ Return : success = true,output:"0910"
3.2 หากค่า Char4 ไม่เท่ากับ "4332" แต่ค่า char1 เท่ากับ "5"   ให้ Return : success = true,output:"0900"
3.3 หากค่า Char4 ไม่เท่ากับ "4332" แต่ค่า char1 เท่ากับ "4"   ให้ Return : success = true,output:"0890"
3.2 หากค่า Char4 ไม่เท่ากับ "4332" และค่า char1 ไม่เท่ากับ "4","5"   ให้ Return : success = true,output:"0000"</t>
  </si>
  <si>
    <t>TrePetchRef1New</t>
  </si>
  <si>
    <r>
      <rPr>
        <rFont val="Sarabun"/>
        <color theme="1"/>
        <sz val="10.0"/>
      </rPr>
      <t xml:space="preserve">วิธีคำนวณ เช็คดิจิต จะแบ่งเป็น 2 แบบ คือ
A. หากค่าตำแหน่งตัวรองสุดท้าย 1 ตำแหน่ง เท่ากับ  3 จะใช้สูตรที่ 1 (เงื่อนไข mimamori)
1. เช็ค </t>
    </r>
    <r>
      <rPr>
        <rFont val="Sarabun"/>
        <b/>
        <color theme="1"/>
        <sz val="10.0"/>
      </rPr>
      <t>loopDegit</t>
    </r>
    <r>
      <rPr>
        <rFont val="Sarabun"/>
        <color theme="1"/>
        <sz val="10.0"/>
      </rPr>
      <t xml:space="preserve"> นำข้อมูล Barcode 14 ตำแหน่งแรก คือ Ref.1 และแยกออกเป็นข้อมูล ดังนี้
1.1 ข้อมูลตัวเลข Ref.1 สุดท้าย คือค่า Digit ใช้สำหรับ Check Digit 
1.2 ข้อมูลตัวเลข  Ref.1 ตำแหน่งที่ 3 ถึงตำแหน่งก่อนหน้าตำแหน่งค่า Digit  คือ RefNo
1.3 นำข้อมูลแต่ละหลักของ RefNo คูณค่าคงที่ คือ 1,2,3,4...(+1)  ไปเรื่อยๆ ตามลำดับ 
จนกว่าจะสุดที่ความยาวของ RefNo
1.4 นำค่าที่ได้จาก ข้อ 1.3 ทั้งหมดมาหาค่า sum
1.5 นำค่า sum ที่ได้จากข้อ 1.4 มา Mod 10
1.6 ค่าที่ได้จากข้อ 1.5  คือ Check Digit  ใช้นำมาเช็คกับค่า Digit ที่ได้จากข้อ 1.1
</t>
    </r>
    <r>
      <rPr>
        <rFont val="Sarabun"/>
        <color theme="1"/>
        <sz val="10.0"/>
      </rPr>
      <t xml:space="preserve"> - หาก Check Digit ตรงกับค่า Digit ให้ Return : Success = True , Output = Ref.1</t>
    </r>
    <r>
      <rPr>
        <rFont val="Sarabun"/>
        <color theme="1"/>
        <sz val="10.0"/>
      </rPr>
      <t xml:space="preserve">
 - หาก Check Digit ไม่ตรงกับค่า Digit ให้ Return : Success = False, Output = "ref_no1 ไม่ถูกต้อง"
2 หากเช็ค </t>
    </r>
    <r>
      <rPr>
        <rFont val="Sarabun"/>
        <b/>
        <color theme="1"/>
        <sz val="10.0"/>
      </rPr>
      <t xml:space="preserve">loopDigit </t>
    </r>
    <r>
      <rPr>
        <rFont val="Sarabun"/>
        <color theme="1"/>
        <sz val="10.0"/>
      </rPr>
      <t xml:space="preserve">ข้อ A.1 ได้ Success: False ให้ เช็ค loopDegit เหมือนกับข้อ A.1 อีกครั้ง
โดยเปลี่ยน การแทนค่าของข้อมูล Barcode 13 ตำแหน่งแรก คือ Ref.1
--------------------------------------------------------------------------------------------------------------
B. หากค่าตำแหน่งตัวรองสุดท้าย 1 ตำแหน่ง ไม่เท่ากับ  3 จะใช้สูตรที่ 2 (เงื่อนไข contract )
1 เช็ค </t>
    </r>
    <r>
      <rPr>
        <rFont val="Sarabun"/>
        <b/>
        <color theme="1"/>
        <sz val="10.0"/>
      </rPr>
      <t xml:space="preserve">loopDegit </t>
    </r>
    <r>
      <rPr>
        <rFont val="Sarabun"/>
        <color theme="1"/>
        <sz val="10.0"/>
      </rPr>
      <t xml:space="preserve">12 ตำแหน่ง
1.1 นำข้อมูล Barcode 12 ตำแหน่งแรก คือ Ref.1 และแยกออกเป็นข้อมูล ดังนี้
1.1.1 ข้อมูลตัวเลข Ref.1 สุดท้าย คือค่า Digit ใช้สำหรับ Check Digit 
1.1.2 ข้อมูลตัวเลข  Ref.1 ตำแหน่งที่ 5 ถึงตำแหน่งก่อนหน้าตำแหน่งค่า Digit  คือ RefNo
1.1.3 นำข้อมูลแต่ละหลักของ RefNo คูณค่าคงที่ คือ 1,2,3,4...(+1) ไปเรื่อยๆ ตามลำดับ 
จนกว่าจะสุดที่ความยาวของ RefNo
1.1.4 นำค่าที่ได้จาก ข้อ 1.3 ทั้งหมดมาหาค่า sum
1.1.5 นำค่า sum ที่ได้จากข้อ 1.4 มา Mod 10
1.1.6 ค่าที่ได้จากข้อ 1.5  คือ Check Digit  ใช้นำมาเช็คกับค่า Digit ที่ได้จากข้อ 1.1
 </t>
    </r>
    <r>
      <rPr>
        <rFont val="Sarabun"/>
        <color theme="1"/>
        <sz val="10.0"/>
      </rPr>
      <t>- หาก Check Digit ตรงกับค่า Digit ให้ Return : Success = True , Output = Ref.1</t>
    </r>
    <r>
      <rPr>
        <rFont val="Sarabun"/>
        <color theme="1"/>
        <sz val="10.0"/>
      </rPr>
      <t xml:space="preserve">
 - หาก Check Digit ไม่ตรงกับค่า Digit ให้ Return : Success = False, Output = "ref_no1 ไม่ถูกต้อง"
1.2 หากเช็ค loopDigit ข้อ B.1.1 ได้ Success: True ให้เช็ค </t>
    </r>
    <r>
      <rPr>
        <rFont val="Sarabun"/>
        <b/>
        <color theme="1"/>
        <sz val="10.0"/>
      </rPr>
      <t xml:space="preserve">checkRefno2 </t>
    </r>
    <r>
      <rPr>
        <rFont val="Sarabun"/>
        <color theme="1"/>
        <sz val="10.0"/>
      </rPr>
      <t xml:space="preserve">ดังนี้
1.2.1 กำหนดข้อมูลที่ใช้คำนวณ คือ
- ข้อมูล Barcode
</t>
    </r>
    <r>
      <rPr>
        <rFont val="Sarabun"/>
        <color theme="1"/>
        <sz val="10.0"/>
      </rPr>
      <t>- ข้อมูล Ref.1 ที่ได้จาก loopDigit</t>
    </r>
    <r>
      <rPr>
        <rFont val="Sarabun"/>
        <color theme="1"/>
        <sz val="10.0"/>
      </rPr>
      <t xml:space="preserve">
- ข้อมูลตัวเลขหลักที่ 5-11 ของ Ref.1 คือค่า Ref.2
1.2.2 นำข้อมูลตัวเลข Ref.2 คูณ 3 จะได้ค่า pre_Ref.2
1.2.3 แยกข้อมูลตัวเลข Barcode เริ่มต้นตำแหน่งหลักถัดไปจาก Ref.1 ความยาวเท่ากับ pre_Ref.2  จะได้ค่า bar_Ref.2
1.2.4 เปรียบเทียบค่าระหว่าง pre_Ref.2 กับ bar_Ref.2 
- หากเท่ากัน ให้ return ค่า Success: True , Output = Ref.1
- หากไม่เท่ากัน ให้ return ค่า Success:False , Output = "ref_no1 ไม่ถูกต้อง"
2 หากเช็ค </t>
    </r>
    <r>
      <rPr>
        <rFont val="Sarabun"/>
        <b/>
        <color theme="1"/>
        <sz val="10.0"/>
      </rPr>
      <t>loopDigit/checkRefno2</t>
    </r>
    <r>
      <rPr>
        <rFont val="Sarabun"/>
        <color theme="1"/>
        <sz val="10.0"/>
      </rPr>
      <t xml:space="preserve">  ข้อ B.1 ได้ Success: False ให้ เช็ค loopDegit เหมือนกับข้อ B.1 อีกครั้ง
โดยเปลี่ยน การแทนค่าของข้อมูล Barcode 11 ตำแหน่งแรก คือ Ref.1 สำหรับ loopDigit
และกำหนดข้อมูลตัวเลขหลักที่ 5-10 ของ Ref.1 คือค่า Ref.2 สำหรับ checkRefno2 
3 หากเช็ค </t>
    </r>
    <r>
      <rPr>
        <rFont val="Sarabun"/>
        <b/>
        <color theme="1"/>
        <sz val="10.0"/>
      </rPr>
      <t xml:space="preserve">loopDigit/checkRefno2 </t>
    </r>
    <r>
      <rPr>
        <rFont val="Sarabun"/>
        <color theme="1"/>
        <sz val="10.0"/>
      </rPr>
      <t xml:space="preserve">ข้อ B.2 ได้ Success: False ให้ เช็ค loopDegit เหมือนกับข้อ B.2 อีกครั้ง
โดยเปลี่ยน การแทนค่าของข้อมูล Barcode 10 ตำแหน่งแรก คือ Ref.1 สำหรับ loopDigit
และกำหนดข้อมูลตัวเลขหลักที่ 5-9 ของ Ref.1 คือค่า Ref.2 สำหรับ checkRefno2 
4 หากเช็ค loopDigit ข้อ B.3 ได้ Success: False ให้ Return : Success = True, Output = "ref_no1 ไม่ถูกต้อง"
</t>
    </r>
  </si>
  <si>
    <t>console.log("ToyotaTibChkDg");</t>
  </si>
  <si>
    <t>EnergyCheck</t>
  </si>
  <si>
    <t>NatiChkDigi</t>
  </si>
  <si>
    <r>
      <rPr>
        <rFont val="Sarabun"/>
        <color theme="1"/>
        <sz val="10.0"/>
      </rPr>
      <t xml:space="preserve">1. เช็คข้อมูลบาร์โค้ด
1.1 บาร์โค้ด 13 ตัวอักษรแรก ต้องเท่ากับ "|410103579422"
1.2 หรือ บาร์โค้ด 16 ตัวอักษรแรก ต้องเท่ากับ "|099400016341022"
2. นำข้อมูลบาร์โค้ดแต่ละหลัก แยกออกเป็นข้อมูล ดังนี้
2.1 ข้อมูลตัวเลขหลักที่ 25 - 26 คือค่า Digit ใช้สำหรับ Check Digit 
2.2 ข้อมูลตัวเลขหลักที่ 17 - 24 คือค่า Ref.1
</t>
    </r>
    <r>
      <rPr>
        <rFont val="Sarabun"/>
        <color theme="1"/>
        <sz val="10.0"/>
      </rPr>
      <t>2.3 ข้อมูลตัวเลขหลักที่ 27 - 36 คือค่า Ref.2
2.4 ข้อมูลตัวเลขหลักที่ 37 - 42 คือค่า Amt</t>
    </r>
    <r>
      <rPr>
        <rFont val="Sarabun"/>
        <color theme="1"/>
        <sz val="10.0"/>
      </rPr>
      <t xml:space="preserve">
(หากความยาวบาร์โค้ด ยาวไม่ถึง 42 ตัวอักษร ค่า Amt จะเพิ่ม "0" ต่อท้ายให้ถึง 7 ตัวอักษร) 
3. วิธีคำนวณ เช็คดิจิต โดยใช้ค่าที่ได้จากข้อ 2.
3.1 นำข้อมูลแต่ละหลักของ Ref.1 , Ref.2 และ Amt คูณค่าคงที่ ดังนี้
3.1.1 ข้อมูลแต่ละหลักของ Ref1 คูณค่าคงที่ คือ 7 , 8 ไปเรื่อยๆ ตามลำดับ
3.1.2 ข้อมูลแต่ละหลักของ Ref2 คูณค่าคงที่ คือ 7 , 8 ไปเรื่อยๆ ตามลำดับ
3.1.3 ข้อมูลแต่ละหลักของ Amt คูณค่าคงที่ คือ 7 , 8 ไปเรื่อยๆ ตามลำดับ
3.2 นำค่าที่ได้จาก ข้อ 3.1 ทั้งหมดมาหาค่า sum และคูณ 5
3.3 นำค่า sum ที่ได้จากข้อ 3.2 มา Mod 100
3.4 ค่า Mod 100 จากข้อ 3.3 คือ Check Digit จำนวน 2 หลัก ใช้นำมาเช็คกับค่า Digit ที่ได้จากข้อ 2.1
(กรณี mod 100 ได้ค่า 1 หลักให้เติมเลข 0 ด้านหน้า 1 หลัก)
</t>
    </r>
  </si>
  <si>
    <t>//#endregion:Func</t>
  </si>
  <si>
    <t>GroupLeaseNew</t>
  </si>
  <si>
    <t xml:space="preserve">A หากข้อมูล Customer No มีความยาว 9 ตัวอักษร เช็คดิจิต แบบที่ 1 
1. นำข้อมูลแต่ละหลัก แยกออกเป็นข้อมูล ดังนี้
1.1 ข้อมูลตัวเลขหลักที่ 3 คือค่า Digit ใช้สำหรับ Check Digit 
1.2 ข้อมูลตัวเลขหลักที่ 4-9 คือค่า GroupBar
2. วิธีคำนวณ เช็คดิจิต โดยใช้ค่าที่ได้จากข้อ 1.
2.1 นำข้อมูลแต่ละหลักของ GroupBar คูณค่าคงที่ คือ 6,5,4,3,2,1 ไปเรื่อยๆ ตามลำดับ
2.2 นำค่าที่ได้จาก ข้อ 2.1 ทั้งหมดมาหาค่า sum
2.3 นำค่า sum ที่ได้จากข้อ 2.2 มา Mod 11
2.4 นำ 11 มาลบ กับค่า Mod ที่ได้จากข้อ 2.3 
2.5 ค่าที่ได้จากข้อ 2.4 คือ Check Digit  ใช้นำมาเช็คกับค่า Digit ที่ได้จากข้อ 2.1
(กรณีที่ ค่า 2.5 ได้ค่าเป็น 10 หรือ 11 ให้ใช้ค่า Check Digit เป็น 1)
B  หากข้อมูล Customer No มีความยาว 11 ตัวอักษร เช็คดิจิต แบบที่ 2
1. วิธีคำนวณเช็คดิจิต โดยนำข้อมูลแต่ละหลักของ GroupBar ไป Query ที่ Table :  m_service_data (Func:CallSqlServP)  ดังนี้
1.1 เริ่มต้นโดยการกำหนด  VALUE_ID = 0 และ VALUE_CODE = ข้อมูลแต่ละหลักแรก เพื่อหา VALUE_NAME 
1.2 นำ VALUE_NAME มาใช้เป็นเงื่อนที่ Query เดิม แทนค่า VALUE_ID
1.3 การกำหนด  VALUE_ID = VALUE_NAME  และ VALUE_CODE = ข้อมูลแต่ละหลักถัดไป เพื่อหา VALUE_NAME อีกครั้ง 
1.4 วน Query ใหม่ จนกว่าจะครบข้อมูล GroupBar ทุกหลัก
1.5 Query ครั้งสุดท้าย VALUE_NAME  จะต้องได้ค่า 0
</t>
  </si>
  <si>
    <t>OceanChkDG</t>
  </si>
  <si>
    <t xml:space="preserve">1. นำข้อมูลบาร์โค้ดแต่ละหลัก แยกออกเป็นข้อมูล ดังนี้
2.1 ข้อมูลตัวเลขหลักที่ 33 - 34 คือค่า Digit ใช้สำหรับ Check Digit 
2.2 ข้อมูลตัวเลขหลักที่ 17 - 34 คือค่า Ref.1
2. เช็คข้อมูล Ref.1 ต้องมีความยาว 18 ตัวอักษรเท่านั้น
3. วิธีคำนวณ เช็คดิจิต โดยใช้ค่าที่ได้จากข้อ 1.
3.1 นำข้อมูลแต่ละหลักของ Ref1 คูณค่าคงที่ คือ 3 , 9 ไปเรื่อยๆ ตามลำดับ
3.2 นำค่าที่ได้จาก ข้อ 3.1 ทั้งหมดมาหาค่า sum และคูณด้วย 5
3.3 นำผลคูณ sum ที่ได้จากข้อ 3.2 มา Mod 100
3.4 ค่า Mod 100 จากข้อ 3.3 คือ Check Digit จำนวน 2 หลัก ใช้นำมาเช็คกับค่า Digit ที่ได้จากข้อ 2.1
(กรณีที่ค่า Check Digit มีเพียง 1 หลัก ให้เพิ่ม "0" นำหน้า Check Digit)
</t>
  </si>
  <si>
    <t>//#region:head</t>
  </si>
  <si>
    <t>ChkbarElec</t>
  </si>
  <si>
    <t>ToyotaLeasedNewbar</t>
  </si>
  <si>
    <r>
      <rPr>
        <rFont val="Sarabun"/>
        <color theme="1"/>
        <sz val="10.0"/>
      </rPr>
      <t xml:space="preserve">เช็คข้อมูลบาร์โค้ด
1. เงื่อนไขที่ 1
1.1 บาร์โค้ดต้องมีความยาว 32 - 34 ตัวอักษรเท่านั้น
1.2 บาร์โค้ด 13 ตัวอักษรแรก ต้องเท่ากับ "|301133590100","|301133590101","|301133590102"
</t>
    </r>
    <r>
      <rPr>
        <rFont val="Sarabun"/>
        <color theme="1"/>
        <sz val="10.0"/>
      </rPr>
      <t xml:space="preserve">1.3 แยกข้อมูลบาร์โค้ด ตำแหน่งที่ 2 - 13 กำหนดลง output.Tex
</t>
    </r>
    <r>
      <rPr>
        <rFont val="Sarabun"/>
        <color theme="1"/>
        <sz val="10.0"/>
      </rPr>
      <t xml:space="preserve">
2. เงื่อนไขที่ 2
2.1 บาร์โค้ดต้องมีความยาว 36 - 40 ตัวอักษรเท่านั้น
2.2 บาร์โค้ด 16 ตัวอักษรแรก ต้องเท่ากับ "|010553611355004"
</t>
    </r>
    <r>
      <rPr>
        <rFont val="Sarabun"/>
        <color theme="1"/>
        <sz val="10.0"/>
      </rPr>
      <t>2.3 แยกข้อมูลบาร์โค้ด ตำแหน่งที่ 2 - 16 กำหนดลง output.Tex</t>
    </r>
  </si>
  <si>
    <t>TrePetchRef2New</t>
  </si>
  <si>
    <r>
      <rPr>
        <rFont val="Sarabun"/>
        <color theme="1"/>
        <sz val="10.0"/>
      </rPr>
      <t>เช็คความถูกต้อง
1. นำข้อมูล</t>
    </r>
    <r>
      <rPr>
        <rFont val="Sarabun"/>
        <b/>
        <color theme="1"/>
        <sz val="10.0"/>
      </rPr>
      <t>บาร์โค้ดและ Ref.1 ที่ได้จาก Function : TrePetchRef1New</t>
    </r>
    <r>
      <rPr>
        <rFont val="Sarabun"/>
        <color theme="1"/>
        <sz val="10.0"/>
      </rPr>
      <t xml:space="preserve"> แต่ละหลัก แยกออกเป็นข้อมูล ดังนี้
1.1 ข้อมูลตัวเลข Ref.1 หลักที่ 5 - ก่อนหลักสุดท้าย คือค่า Ref2
1.2 นำค่า Ref2 คูณ 3 คือค่า preRef2
1.2 วัดความยาว Ref.1 คือ len1
1.3 วัดความยาว preRef2 คือ len2
1.4 ข้อมูลตัวเลขบาร์โค้ด เริ่มต้นหลักที่ len1+1  ยาวไปอีกจำนวนหลักเท่ากับ len2 จะได้ค่าคือ barRef2
2. นำข้อมูล preRef2 เทียบกับ barRef2
- หากเท่ากัน แยกบารโค้ด ระหว่างหลักที่ len1+1  ถึงหลักก่อนสุดท้าย จะได้ค่า Return: Output
- หากไม่เท่ากัน กำหนดค่า Return : Output = "ref_no2 ไม่ถูกต้อง"</t>
    </r>
  </si>
  <si>
    <t>var _scope = scope;</t>
  </si>
  <si>
    <t>SrmuRegfeeChkDG</t>
  </si>
  <si>
    <t xml:space="preserve">1. เช็คข้อมูลบาร์โค้ด
1.1 บาร์โค้ดต้องมีความยาว ระหว่าง 46-50 ตัวอักษรเท่านั้น
1.2 บาร์โค้ด 16 ตัวอักษรแรก ต้องเท่ากับ "|099400021229102"
2. นำข้อมูลบาร์โค้ดแต่ละหลัก แยกออกเป็นข้อมูล ดังนี้
2.1 ข้อมูลตัวเลขหลักที่ 41 - 42 คือค่า Digit ใช้สำหรับ Check Digit 
2.2 ข้อมูลตัวเลขหลักที่ 17 - 40 คือค่า Ref.1
2.3 ข้อมูลตัวเลขหลักที่ 43 เป็นต้นไป  คือค่า Ref.2
(กรณีที่ Ref.2 มีความยาว 6 หลัก ให้เพิ่ม "0" นำหน้า)
3. วิธีคำนวณ เช็คดิจิต โดยใช้ค่าที่ได้จากข้อ 2.
3.1 นำข้อมูลแต่ละหลักของ Ref.1 และ Ref.2 คูณค่าคงที่ ดังนี้
3.1.1 ข้อมูลแต่ละหลักของ Ref1 คูณค่าคงที่ คือ 6 , 4 ไปเรื่อยๆ ตามลำดับ
3.1.2 ข้อมูลแต่ละหลักของ Ref2 คูณค่าคงที่ คือ 6 , 4 ไปเรื่อยๆ ตามลำดับ
3.2 นำค่าที่ได้จาก ข้อ 3.1 ทั้งหมดมาหาค่า sum
3.3 นำค่า sum ที่ได้จากข้อ 3.2 มา Mod 100
3.4 ค่า Mod 100 จากข้อ 3.3 คือ Check Digit จำนวน 2 หลัก ใช้นำมาเช็คกับค่า Digit ที่ได้จากข้อ 2.1
</t>
  </si>
  <si>
    <t>SrmuAdmissChkDG</t>
  </si>
  <si>
    <t xml:space="preserve">1. เช็คข้อมูลบาร์โค้ด
1.1 บาร์โค้ดต้องมีความยาว 50 ตัวอักษรเท่านั้น
1.2 บาร์โค้ด 16 ตัวอักษรแรก ต้องเท่ากับ "|099400021229101"
2. นำข้อมูลบาร์โค้ดแต่ละหลัก แยกออกเป็นข้อมูล ดังนี้
2.1 ข้อมูลตัวเลขหลักที่ 31 - 32 คือค่า Digit ใช้สำหรับ Check Digit 
2.2 ข้อมูลตัวเลขหลักที่ 17 - 30 คือค่า Ref.1
2.3 ข้อมูลตัวเลขหลักที่ 33 - 45 คือค่า Ref.2
2.4 ข้อมูลตัวเลขหลักที่ 46 - 50 คือค่า Ref.3
3. วิธีคำนวณ เช็คดิจิต โดยใช้ค่าที่ได้จากข้อ 2.
3.1 นำข้อมูลแต่ละหลักของ Ref.1 , Ref.2 และ Ref.3 คูณค่าคงที่ ดังนี้
3.1.1 ข้อมูลแต่ละหลักของ Ref1 คูณค่าคงที่ คือ 6 , 4 ไปเรื่อยๆ ตามลำดับ
3.1.2 ข้อมูลแต่ละหลักของ Ref2 คูณค่าคงที่ คือ 6 , 4 ไปเรื่อยๆ ตามลำดับ
3.1.3 ข้อมูลแต่ละหลักของ Ref3 คูณค่าคงที่ คือ 4 , 6 ไปเรื่อยๆ ตามลำดับ
3.2 นำค่าที่ได้จาก ข้อ 3.1 ทั้งหมดมาหาค่า sum
3.3 นำค่า sum ที่ได้จากข้อ 3.2 มา Mod 100
3.4 ค่า Mod 100 จากข้อ 3.3 คือ Check Digit จำนวน 2 หลัก ใช้นำมาเช็คกับค่า Digit ที่ได้จากข้อ 2.1
</t>
  </si>
  <si>
    <t>var _callback = callback;</t>
  </si>
  <si>
    <t>Cat387tr4</t>
  </si>
  <si>
    <r>
      <rPr>
        <rFont val="Sarabun"/>
        <color theme="1"/>
        <sz val="10.0"/>
      </rPr>
      <t xml:space="preserve">1. เช็คข้อมูลเลขที่ใบแจ้งหนี้
1.1 ถ้าตัวเลข 13 ตัวอักษรแรก เท่ากับ "|303056726000"   ใช้เงื่อนไข A
1.2 ถ้าตัวเลข 13 ตัวอักษรแรก ไม่เท่ากับ "|303056726000"   ใช้เงื่อนไข B
2. หาข้อมูลจากตัวเลขในเลขที่ใบแจ้งหนี้ ดังนี้
2.1 หาตัวเลขที่เป็น </t>
    </r>
    <r>
      <rPr>
        <rFont val="Sarabun"/>
        <color theme="1"/>
        <sz val="10.0"/>
        <u/>
      </rPr>
      <t>วันที่ PO (PODate)</t>
    </r>
    <r>
      <rPr>
        <rFont val="Sarabun"/>
        <color theme="1"/>
        <sz val="10.0"/>
      </rPr>
      <t xml:space="preserve"> ที่อยู่ในเลขใบแจ้งหนี้ โดย
2.1.1 ตัวเลขนี้จะอยู่เริ่มต้น หลักที่ 28 ไปต้นไป
2.1.2 จะเป็นตัวเลข 8 หลัก ประกอบด้วย 
- 2 หลักแรกที่เป็น วันที่ 
- 2 หลักถัดไปเป็น เดือน
- 4 หลักสุดท้ายเป็น ปี (จะเป็นปีปัจจุบัน บวกลบ 1 ปี)
2.2 หลังจากหาตำแหน่งหลักของ PODate ได้แล้ว จะนำข้อมูลเลขที่ใบแจ้งหนี้แต่ละหลัก แยกออกเป็นข้อมูล ดังนี้
2.2.1 ถ้าเงื่อนไขเป็น A 
ดึงค่า Ref.3 จากตำแหน่ง 
 - หลักเริ่มต้น หลักที่ 14
 - หลักสุดท้าย อยู่ก่อนตำแหน่งหลักของ PODate ถอยหลังมา 10 ตัว
ดึงค่า Ref.4 จากตำแหน่ง
 - หลักเริ่มต้น อยู่ตำแหน่งถัดจาก Ref.3
 - ตัดตัวเลข จากหลักเริ่มต้น ไปอีก 17 หลัก
ดึงค่า Amt จากตำแหน่ง
 - หลักเริ่มต้น อยู่ตำแหน่งถัดจาก Ref.4
 - ตัดตัวเลข จากหลักเริ่มต้น ไปจนกว่าจะหมดข้อมูลตัวเลขใบแจ้งหนี้
 - คำนวณ Amt = Amt * 0.01
2.2.2 ถ้าเงื่อนไขเป็น B
ดึงค่า Ref.3 จากตำแหน่ง 
 - หลักเริ่มต้น หลักที่ 17
 - หลักสุดท้าย อยู่ก่อนตำแหน่งหลักของ PODate ถอยหลังมา 10 ตัว
ดึงค่า Ref.4 จากตำแหน่ง
 - หลักเริ่มต้น อยู่ตำแหน่งถัดจาก Ref.3
 - ตัดตัวเลข จากหลักเริ่มต้น ไปอีก 17 หลัก
ดึงค่า Amt จากตำแหน่ง
 - หลักเริ่มต้น อยู่ตำแหน่งถัดจาก Ref.4
 - ตัดตัวเลข จากหลักเริ่มต้น ไปจนกว่าจะหมดข้อมูลตัวเลขใบแจ้งหนี้
 - คำนวณ Amt = Amt * 0.01
(กรณีที่ Ref.3 มีความยาว 6 ตัวอักษร ให้เติมเลข "0" นำหน้า Ref.3)
3. หากไม่สามารถหา Ref.3  ให้แสดงข้อความแจ้งเตือน "ตรวจสอบไม่พบ เลขที่สัญญา และ เลขที่ใบแจ้งหนี้"</t>
    </r>
  </si>
  <si>
    <t>var _datas = datas;</t>
  </si>
  <si>
    <t>var output,process = {success:false,output:null};</t>
  </si>
  <si>
    <t>if(_.isNull(_scope) || _.isUndefined(_scope))</t>
  </si>
  <si>
    <t>return process;</t>
  </si>
  <si>
    <t>//#endregion:head</t>
  </si>
  <si>
    <t>if(_.isNull(_datas.Barcode) || _.isUndefined(_datas.Barcode))</t>
  </si>
  <si>
    <t>var barcode = _datas.Barcode;</t>
  </si>
  <si>
    <t>var len = barcode.length;</t>
  </si>
  <si>
    <t>var ref1,ref2,sum1 = 0,array1 = [],sum2 = 0,array2 = [],chk,digit,mod;</t>
  </si>
  <si>
    <t>if([36,37,38,39,40].indexOf(len) != -1 &amp;&amp; barcode.substr(0,16) == "|010555010599204" &amp;&amp; ["10","21","30","40","60"].indexOf(barcode.substr(32,2)) != -1){</t>
  </si>
  <si>
    <t>ref1 = barcode.substr(16,7);</t>
  </si>
  <si>
    <t>ref2 = barcode.substr(23,11);</t>
  </si>
  <si>
    <t>digit = barcode.substr(34,2);</t>
  </si>
  <si>
    <t>}</t>
  </si>
  <si>
    <t>else if([32,33,35,34,35].indexOf(len) != -1 &amp;&amp; barcode.substr(0,13) == "|303281147700")</t>
  </si>
  <si>
    <t>output = true;</t>
  </si>
  <si>
    <t>else</t>
  </si>
  <si>
    <t>output = false;</t>
  </si>
  <si>
    <t>if(_.isUndefined(output)){</t>
  </si>
  <si>
    <t>for(i=0;i&lt;7;i++){</t>
  </si>
  <si>
    <t>if(i%2 == 1)</t>
  </si>
  <si>
    <t>array1[i] = parseInt(ref1.substr(i,1)) * 4;</t>
  </si>
  <si>
    <t>array1[i] = parseInt(ref1.substr(i,1)) * 8;</t>
  </si>
  <si>
    <t>sum1 += array1[i];</t>
  </si>
  <si>
    <t>for(i=0;i&lt;11;i++){</t>
  </si>
  <si>
    <t>array2[i] = parseInt(ref2.substr(i,1)) * 8;</t>
  </si>
  <si>
    <t>array2[i] = parseInt(ref2.substr(i,1)) * 4;</t>
  </si>
  <si>
    <t>sum2 += array2[i];</t>
  </si>
  <si>
    <t>mod = (sum1 + sum2) % 100;</t>
  </si>
  <si>
    <t>mod = mod.toString();</t>
  </si>
  <si>
    <t>if(mod.length == 2)</t>
  </si>
  <si>
    <t>chk = mod;</t>
  </si>
  <si>
    <t>chk = "0"+mod;</t>
  </si>
  <si>
    <t>if(digit == chk)</t>
  </si>
  <si>
    <t>return {success:true,output:output};</t>
  </si>
  <si>
    <t>|099400021229102265380322023125662200866483230000</t>
  </si>
  <si>
    <t>LEN</t>
  </si>
  <si>
    <t xml:space="preserve">สูตรเช็คดิจิต </t>
  </si>
  <si>
    <t>51017</t>
  </si>
  <si>
    <t>Digit (Check Digit)</t>
  </si>
  <si>
    <t>Check Digit</t>
  </si>
  <si>
    <t>หลักที่</t>
  </si>
  <si>
    <t>ข้อมูล</t>
  </si>
  <si>
    <t>|099400021229102665253130009125661210766661435000</t>
  </si>
  <si>
    <t>|099400021229102265380322022125662200866443230000</t>
  </si>
  <si>
    <t>Ref.1</t>
  </si>
  <si>
    <t>ค่าคงที่</t>
  </si>
  <si>
    <t>ผลคูณ</t>
  </si>
  <si>
    <t>Ref.2</t>
  </si>
  <si>
    <t>sum ผลคูณ</t>
  </si>
  <si>
    <t>Mod 100</t>
  </si>
  <si>
    <t>|0994000212291012660915929096680145060010783830000</t>
  </si>
  <si>
    <t>51018</t>
  </si>
  <si>
    <t>|0994000212291012660915729096624316060047120230000</t>
  </si>
  <si>
    <t>Ref.3</t>
  </si>
  <si>
    <t>|0994000159056000100542779660910490970000050667606000</t>
  </si>
  <si>
    <t>NationalHousing (New=True)</t>
  </si>
  <si>
    <t>51020</t>
  </si>
  <si>
    <t>|099400015905600020001196666091000292023100385986648</t>
  </si>
  <si>
    <t>|0994000159056000100566424660610490970000008596290000</t>
  </si>
  <si>
    <t>|099400015905600020011981466091000293002800018092246</t>
  </si>
  <si>
    <t>|0994000159056000100543062660610492650000070422375000</t>
  </si>
  <si>
    <t>|099400015905600020011981466071000293002800016089431</t>
  </si>
  <si>
    <t>|0994000159056000100569015660410490970000028143290000</t>
  </si>
  <si>
    <t>|0994000159056000200238460660310590630049000952370000</t>
  </si>
  <si>
    <t>|09940001590560002002384606607110590630049000988370000</t>
  </si>
  <si>
    <t>Amt</t>
  </si>
  <si>
    <t xml:space="preserve">มีความยาวเป็นเลขคี่ ค่าคงที่ คือ 5 , 3 </t>
  </si>
  <si>
    <t>มีความยาวเป็นเลขคู่ ค่าคงที่ คือ 3 , 5</t>
  </si>
  <si>
    <t>|010555010599204401286414520893130920</t>
  </si>
  <si>
    <t>|0105550105992047155409081050472430200</t>
  </si>
  <si>
    <t>50662</t>
  </si>
  <si>
    <t>|0105550105992047354903087000801630280</t>
  </si>
  <si>
    <t>|010555010599204597950816714536630240</t>
  </si>
  <si>
    <t>|0105550105992045144716031068769430920</t>
  </si>
  <si>
    <t>|010555010599204508370921651118430440</t>
  </si>
  <si>
    <t>|010555010599204629420603743093230960</t>
  </si>
  <si>
    <t>|0105550105992046937798141029525130920</t>
  </si>
  <si>
    <t>|010555010599204509755710652082530240</t>
  </si>
  <si>
    <t>มีความยาวเป็นเลขคี่ ค่าคงที่ คือ 8 , 4</t>
  </si>
  <si>
    <t>มีความยาวเป็นเลขคู่ ค่าคงที่ คือ 4 , 8</t>
  </si>
  <si>
    <t>มีความยาวเป็นเลขคี่ ค่าคงที่ คือ 4 , 8</t>
  </si>
  <si>
    <t>ถ้า mod 100 มี 1 หลัก ให้เพิ่ม "0" นำหน้า</t>
  </si>
  <si>
    <t>มีความยาวเป็นเลขคู่ ค่าคงที่ คือ 8 , 4</t>
  </si>
  <si>
    <t>|01075360014011206090200000442008977447741300</t>
  </si>
  <si>
    <t>50891</t>
  </si>
  <si>
    <t>Barcode</t>
  </si>
  <si>
    <t>|010753600140112015801100395720014136860</t>
  </si>
  <si>
    <t>|010753600140112016501800081320411793050</t>
  </si>
  <si>
    <t>IDCardNo</t>
  </si>
  <si>
    <t>Mod 11</t>
  </si>
  <si>
    <t>digit</t>
  </si>
  <si>
    <t>ถ้า mod 11 ไม่เท่ากับ 0 ให้เอา 11 มาลบ</t>
  </si>
  <si>
    <t>ถ้า digit มากกว่า 9 ให้เอาเปลี่ยนค่าเป็น 0</t>
  </si>
  <si>
    <t>|01075550002100151010223585501116030102566670500</t>
  </si>
  <si>
    <t>51115</t>
  </si>
  <si>
    <t>|01075550002100151010224820131117018102566691800</t>
  </si>
  <si>
    <t>|01075550002100152002070148411111519102566666000</t>
  </si>
  <si>
    <t>|01075550002100151010005147331117523092566544150</t>
  </si>
  <si>
    <t>Ref1</t>
  </si>
  <si>
    <t>sum x 5</t>
  </si>
  <si>
    <t>50099</t>
  </si>
  <si>
    <t>subbar</t>
  </si>
  <si>
    <t>ถ้า Check Digit ไม่เท่ากับ 0 ให้เอา 10 มาลบ</t>
  </si>
  <si>
    <t>50478,50597,50541, ...</t>
  </si>
  <si>
    <t>เลขที่ประจำตัวนักศึกษา</t>
  </si>
  <si>
    <t>BillNo</t>
  </si>
  <si>
    <t>ผลคูณ(1) + ผลคูณ(2)</t>
  </si>
  <si>
    <t>ถ้าผลคูณใด มีค่ามากกว่า 9 ให้เอาตัวเลขทั้งสองหลัก มาบวกกัน</t>
  </si>
  <si>
    <t>Mod 10</t>
  </si>
  <si>
    <t>10 - Mod 10</t>
  </si>
  <si>
    <t>ถ้า mod 10 ไม่เท่ากับ 0 ให้เอา 10 มาลบ</t>
  </si>
  <si>
    <t>|0115552007416013682062030700030012620307000</t>
  </si>
  <si>
    <t>50785</t>
  </si>
  <si>
    <t>|0115552007416012243064034600072012640346000</t>
  </si>
  <si>
    <t>|0115552007416013572059035620003012590356200</t>
  </si>
  <si>
    <t>|011555200741601492206502499001703265024990572900</t>
  </si>
  <si>
    <t>|011555200741601360226201038004803262010380707900</t>
  </si>
  <si>
    <t>Param</t>
  </si>
  <si>
    <t>sum x 3</t>
  </si>
  <si>
    <t>1277500179629004</t>
  </si>
  <si>
    <t>50547,50280,50348</t>
  </si>
  <si>
    <t>ตารางหาค่าคงที่</t>
  </si>
  <si>
    <t>หลัก</t>
  </si>
  <si>
    <t>0</t>
  </si>
  <si>
    <t>1</t>
  </si>
  <si>
    <t>5592333371345719</t>
  </si>
  <si>
    <t>2</t>
  </si>
  <si>
    <t>4093381180819678</t>
  </si>
  <si>
    <t>3</t>
  </si>
  <si>
    <t>4</t>
  </si>
  <si>
    <t>1299450009241006</t>
  </si>
  <si>
    <t>5</t>
  </si>
  <si>
    <t>6</t>
  </si>
  <si>
    <t>1277505600072849</t>
  </si>
  <si>
    <t>7</t>
  </si>
  <si>
    <t>1277500177533000</t>
  </si>
  <si>
    <t>8</t>
  </si>
  <si>
    <t>9</t>
  </si>
  <si>
    <t>ค่า</t>
  </si>
  <si>
    <t>sum</t>
  </si>
  <si>
    <t>|301151153403</t>
  </si>
  <si>
    <t>04588375</t>
  </si>
  <si>
    <t>50552</t>
  </si>
  <si>
    <t>04758709</t>
  </si>
  <si>
    <t>04517504</t>
  </si>
  <si>
    <t>06554279</t>
  </si>
  <si>
    <t>07860126</t>
  </si>
  <si>
    <t>bar</t>
  </si>
  <si>
    <t>123766017293212370097008123729201266000049541</t>
  </si>
  <si>
    <r>
      <rPr>
        <rFont val="Sarabun"/>
        <b/>
        <color theme="1"/>
        <sz val="10.0"/>
      </rPr>
      <t>50982</t>
    </r>
    <r>
      <rPr>
        <rFont val="Sarabun"/>
        <b/>
        <strike/>
        <color theme="1"/>
        <sz val="10.0"/>
      </rPr>
      <t>,50983</t>
    </r>
  </si>
  <si>
    <t>1.1 1088660232101</t>
  </si>
  <si>
    <t>1.2 10880056658</t>
  </si>
  <si>
    <t>1.3 108828</t>
  </si>
  <si>
    <t>108866023210110880056658108828240966000010850</t>
  </si>
  <si>
    <t>1.4 240966</t>
  </si>
  <si>
    <t>118366033836311830204145118351250966000026108</t>
  </si>
  <si>
    <t>1.5 108.5000</t>
  </si>
  <si>
    <t>105266009799510520048053105223210966000057780</t>
  </si>
  <si>
    <t>123766017293212370097008123729200966000049541</t>
  </si>
  <si>
    <t>billno</t>
  </si>
  <si>
    <t>2.1 1183660338363</t>
  </si>
  <si>
    <t>2.2 11830204145</t>
  </si>
  <si>
    <t>2.3 118351</t>
  </si>
  <si>
    <t>2.4 250966</t>
  </si>
  <si>
    <t>2.5 261.0800</t>
  </si>
  <si>
    <t>meterno</t>
  </si>
  <si>
    <t>3.1 1052660097995</t>
  </si>
  <si>
    <t>3.2 10520048053</t>
  </si>
  <si>
    <t>3.3 105223</t>
  </si>
  <si>
    <t>3.4 210966</t>
  </si>
  <si>
    <t>3.5 577.8000</t>
  </si>
  <si>
    <t>papcode</t>
  </si>
  <si>
    <t>4.1 1237660172932</t>
  </si>
  <si>
    <t>4.2 12370097008</t>
  </si>
  <si>
    <t>4.3 123729</t>
  </si>
  <si>
    <t>4.4 200966</t>
  </si>
  <si>
    <t>4.5 495.4100</t>
  </si>
  <si>
    <t>amt</t>
  </si>
  <si>
    <t>sum2</t>
  </si>
  <si>
    <t>|31040009210300836322405312023222786400</t>
  </si>
  <si>
    <t>Len</t>
  </si>
  <si>
    <t>50654</t>
  </si>
  <si>
    <t>|31040009210300738567205212019143200500</t>
  </si>
  <si>
    <t>|0994000163410224800337315761201120362000</t>
  </si>
  <si>
    <t>51049</t>
  </si>
  <si>
    <t>|09940001634102248001756457612021079192000</t>
  </si>
  <si>
    <t>|09940001634102245100330157612020614182000</t>
  </si>
  <si>
    <t>|099400016341022630012204576120050507000</t>
  </si>
  <si>
    <t>|09940001634102255005703807612020829182000</t>
  </si>
  <si>
    <t>sum ผลคูณ x 5</t>
  </si>
  <si>
    <t>|010553611355004653324508767728510000</t>
  </si>
  <si>
    <t>|0105536113550046905582031026285510680</t>
  </si>
  <si>
    <t>50489</t>
  </si>
  <si>
    <t>BP Type</t>
  </si>
  <si>
    <t>|010553611355004629158210742809810680</t>
  </si>
  <si>
    <t>|0105536113550046769976031013860610680</t>
  </si>
  <si>
    <t>|010553611355004629367103743090410800</t>
  </si>
  <si>
    <t>|0105536113550046798816011016663410600</t>
  </si>
  <si>
    <t>|010553611355004634226608748127710520</t>
  </si>
  <si>
    <t>|0105536113550044556794101039040010400</t>
  </si>
  <si>
    <t>|010553611355004658015410772592710160</t>
  </si>
  <si>
    <t>sum ผลคูณทุกหลัก</t>
  </si>
  <si>
    <t>253976177856012</t>
  </si>
  <si>
    <t>50126</t>
  </si>
  <si>
    <t>รหัสควบคุม</t>
  </si>
  <si>
    <t>#1</t>
  </si>
  <si>
    <t>094046226639702</t>
  </si>
  <si>
    <t>#2</t>
  </si>
  <si>
    <t>093996241239752</t>
  </si>
  <si>
    <t>#3</t>
  </si>
  <si>
    <t>3580400021471</t>
  </si>
  <si>
    <t>คำนวณเลขบัตรประชาชน</t>
  </si>
  <si>
    <t>เลขบัตรประชาชน</t>
  </si>
  <si>
    <t>3640300097246</t>
  </si>
  <si>
    <t>เลขประจำตัวผู้เสียภาษี</t>
  </si>
  <si>
    <t>5640600024259</t>
  </si>
  <si>
    <t>ตัวคูณ</t>
  </si>
  <si>
    <t>รวมผลคูณ</t>
  </si>
  <si>
    <t xml:space="preserve">คำนวณจำนวนเงิน : </t>
  </si>
  <si>
    <t xml:space="preserve">จำนวนเงิน : </t>
  </si>
  <si>
    <t>800.00</t>
  </si>
  <si>
    <t>จำนวนเงิน</t>
  </si>
  <si>
    <t>500.00</t>
  </si>
  <si>
    <t>834.00</t>
  </si>
  <si>
    <t>คำนวณรหัสควบคุม</t>
  </si>
  <si>
    <t>Mod 10000</t>
  </si>
  <si>
    <t>99010310650007127</t>
  </si>
  <si>
    <t>010102650001468</t>
  </si>
  <si>
    <t>0550400470012728</t>
  </si>
  <si>
    <t>0245164082</t>
  </si>
  <si>
    <t>50295</t>
  </si>
  <si>
    <t>010205630003909</t>
  </si>
  <si>
    <t>9002016607000551</t>
  </si>
  <si>
    <t>0244043051</t>
  </si>
  <si>
    <t>99010011640010152</t>
  </si>
  <si>
    <t>010205610005801</t>
  </si>
  <si>
    <t>0550803460005120</t>
  </si>
  <si>
    <t>0244024586</t>
  </si>
  <si>
    <t>99010101620005944</t>
  </si>
  <si>
    <t>Ref</t>
  </si>
  <si>
    <t>sum ผลคูณ + 749</t>
  </si>
  <si>
    <t>|0107556000671013100710001498140225042566424400</t>
  </si>
  <si>
    <t>50131</t>
  </si>
  <si>
    <t>|010755600067101310071000162562042208256646800</t>
  </si>
  <si>
    <t>|0107556000671013100710001282660221092566332020</t>
  </si>
  <si>
    <t>|0107556000671013100730000079190704052566387920</t>
  </si>
  <si>
    <t>11 - Mod 11</t>
  </si>
  <si>
    <t>ถ้า mod 11 มี 1 หลัก ให้เพิ่ม "0" นำหน้า</t>
  </si>
  <si>
    <t>052540000923</t>
  </si>
  <si>
    <t>50961</t>
  </si>
  <si>
    <t>028600002280</t>
  </si>
  <si>
    <t>GroupLeaseNew (A)</t>
  </si>
  <si>
    <t>50264</t>
  </si>
  <si>
    <t>Customer No.</t>
  </si>
  <si>
    <t>GroupBar</t>
  </si>
  <si>
    <t>กรณีที่ค่าได้ค่าเป็น 10 หรือ 11 ให้ใช้ค่า Check Digit เป็น 1</t>
  </si>
  <si>
    <t>|010756400001400700387123336382285210620231070000</t>
  </si>
  <si>
    <t>Cat387tr4 (B)</t>
  </si>
  <si>
    <t>50387</t>
  </si>
  <si>
    <t>|01075640000140070027417233502961230042023125510</t>
  </si>
  <si>
    <t>|0107564000014007009036223339554033003202331030</t>
  </si>
  <si>
    <t>|010756400001400700986269337943693007202331030</t>
  </si>
  <si>
    <t>|01075640000140063902403352568251005202356098</t>
  </si>
  <si>
    <t>|01075640000140070013165033305473928022023126260</t>
  </si>
  <si>
    <t>|0107564000014007009467903349195583004202326215</t>
  </si>
  <si>
    <t>|010756400001400700402481338981202300820232210</t>
  </si>
  <si>
    <t>|01075640000140063902333352576761005202384193</t>
  </si>
  <si>
    <t>|01075640000140070029649033405651930032023104860</t>
  </si>
  <si>
    <t>|0107564000014007002255233345190172104202395230</t>
  </si>
  <si>
    <t>|010756400001400701006886336220819310520231052</t>
  </si>
  <si>
    <t>|01075640000140080134053133306671128022023375</t>
  </si>
  <si>
    <t>PODate</t>
  </si>
  <si>
    <t>|010756400001400700207061334070159300320230</t>
  </si>
  <si>
    <t>|010756400001400700207061335038605300420230</t>
  </si>
  <si>
    <t>|010756400001400700186043335926836300520230</t>
  </si>
  <si>
    <t>|01055280094710014125485772816457316041129200</t>
  </si>
  <si>
    <t>45 ตัวอักษร</t>
  </si>
  <si>
    <t>BARCODE</t>
  </si>
  <si>
    <t>|01055280094710009105546379116639137041228100</t>
  </si>
  <si>
    <t>|01055280094710009105344001616032003041551500</t>
  </si>
  <si>
    <t>Barcode Check 3</t>
  </si>
  <si>
    <t>mimamori_ref = 3 ?</t>
  </si>
  <si>
    <t>39 ตัวอักษร</t>
  </si>
  <si>
    <t>TrePetchRef1New - mimamori</t>
  </si>
  <si>
    <t>51043</t>
  </si>
  <si>
    <t>|01055280094710001075517873916553619090</t>
  </si>
  <si>
    <t>A.1 loopDegit</t>
  </si>
  <si>
    <t>|01055280094710005055355223916065669000</t>
  </si>
  <si>
    <t>|01055280094710006025303519715910557080</t>
  </si>
  <si>
    <t>|01055280094710008215519942716559826090</t>
  </si>
  <si>
    <t>|01055280094710010165291272615873816000</t>
  </si>
  <si>
    <t>34 ตัวอักษร</t>
  </si>
  <si>
    <t>|010552800947100051406157018471000</t>
  </si>
  <si>
    <t>Ref.No</t>
  </si>
  <si>
    <t>|010552800947100011406889320667090</t>
  </si>
  <si>
    <t>|010552800947100051407155221465100</t>
  </si>
  <si>
    <t>|010552800947100151314818744454100</t>
  </si>
  <si>
    <t>|010552800947100050325933677799100</t>
  </si>
  <si>
    <t>32 ตัวอักษร</t>
  </si>
  <si>
    <t>|0105528009471001503310941932820</t>
  </si>
  <si>
    <t>|0105528009471000503331666994980</t>
  </si>
  <si>
    <t>A.2 loopDegit</t>
  </si>
  <si>
    <t>|0105528009471000514066228198660</t>
  </si>
  <si>
    <t>|0105528009471001503317546952620</t>
  </si>
  <si>
    <t>|0105528009471002013175877527610</t>
  </si>
  <si>
    <t>TrePetchRef1New - contract</t>
  </si>
  <si>
    <t xml:space="preserve">B.1 </t>
  </si>
  <si>
    <t>B.1.1 loopDegit</t>
  </si>
  <si>
    <t>B.1.2 checkRefno2</t>
  </si>
  <si>
    <t>Pre.Ref.2</t>
  </si>
  <si>
    <t>CHECK</t>
  </si>
  <si>
    <t xml:space="preserve">B.2 </t>
  </si>
  <si>
    <t>B.2.1 loopDegit</t>
  </si>
  <si>
    <t>B.2.2 checkRefno2</t>
  </si>
  <si>
    <t xml:space="preserve">B.3 </t>
  </si>
  <si>
    <t>B.3.1 loopDegit</t>
  </si>
  <si>
    <t>B.3.2 checkRefno2</t>
  </si>
  <si>
    <t>len1</t>
  </si>
  <si>
    <t>preRef2</t>
  </si>
  <si>
    <t>len2</t>
  </si>
  <si>
    <t>barRef2</t>
  </si>
  <si>
    <t>AGENT_CODE</t>
  </si>
  <si>
    <t>SP_NAME</t>
  </si>
  <si>
    <t>SERV_PANEL_NO</t>
  </si>
  <si>
    <t>LB_NAME</t>
  </si>
  <si>
    <t>FD_TYPE_NAME</t>
  </si>
  <si>
    <t>FD_NAME</t>
  </si>
  <si>
    <t>REF_FLD_LBL</t>
  </si>
  <si>
    <t>SCRIPT_TXT</t>
  </si>
  <si>
    <t>มหาวิทยาลัยสุโขทัยธรรมาธิราช</t>
  </si>
  <si>
    <t>ขึ้นทะเบียนบัณฑิตปริญญาตรี มสธ.16</t>
  </si>
  <si>
    <t>เลขที่ธนาณัติพิเศษ</t>
  </si>
  <si>
    <t>TextField</t>
  </si>
  <si>
    <t>D_TEXT_01</t>
  </si>
  <si>
    <t>REFNO2</t>
  </si>
  <si>
    <t>(blank)</t>
  </si>
  <si>
    <t>รหัสบาร์โค้ด</t>
  </si>
  <si>
    <t>D_TEXT_02</t>
  </si>
  <si>
    <t>REFNO5</t>
  </si>
  <si>
    <t>//#region:Ver
 //CD:04/09/58/14:01,CB:jirapat
 //ED:05/06/15/11:28,EB:wisut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field.setValue(val.replace(/ /g,""));
 var Params = {
 Condition: { 
 0:{Value: "05220216",Operator: "=="}
 }
 ,Operations: "AND"
 }
 var ValReturn = this.executeFunc("VerifyField",Params);
 if(!ValReturn)
 info.isError = true;
 }
 callbackCore(info);
 //#endregion:Etc
 //#region:EventEnd
 }
 else
 callbackCore(info);
 //#endregion:EventEnd</t>
  </si>
  <si>
    <t>เลขประจำนักศึกษา</t>
  </si>
  <si>
    <t>D_TEXT_03</t>
  </si>
  <si>
    <t>REFNO3</t>
  </si>
  <si>
    <t>//#region:Ver
 //CD:04/09/58/13:37,CB:jirapat
 //ED:05/06/15/11:29,EB:wisut
 //ED:06/24/58/13:39,EB:jirapat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!=1){ 
 info.isLock = true;
 var StouChkDigit= {
 Value:field.getValue()
 }
 var Params = {
 Condition: { 
  0:{Value: 10,Operator: "=="}
 }
 ,Operations: "AND"
 }
 var ParamsLanguage = {
 Condition: {Language: "NUM"}//TH,EN,NUM,THEN,THNUM,ENNUM
 ,Operations: "AND"
 }
 var ValLanguage = this.executeFunc("VerifyFieldLanguage",ParamsLanguage);
 if(!ValReturn)
 info.VerifyCode = "-420";
 if(!ValLanguage)
 info.VerifyCode = "-320";
 var ValReturn = this.executeFunc("VerifyFieldLength",Params);
 var output = this.executeFunc("StouChkDigit",StouChkDigit);
 if(!ValReturn||!output.output||!ValLanguage)
 info.isError = true;
 else 
 this.getField("D_MONEY_01").setValue("800");
 }
 callbackCore(info);
 //#endregion:Etc
 //#region:EventEnd
 }
 else
 callbackCore(info);
 //#endregion:EventEnd</t>
  </si>
  <si>
    <t>ชื่อ-สกุล นักศึกษา</t>
  </si>
  <si>
    <t>D_TEXT_04</t>
  </si>
  <si>
    <t>REFNO4</t>
  </si>
  <si>
    <t>//#region:Ver
 //CD:04/09/58/14:02,CB:jirapat
 //ED:04/17/15/11:15,EB:wisut
 //ED:05/06/15/11:40,EB:wisut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</si>
  <si>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ปีการศึกษา/ภาค</t>
  </si>
  <si>
    <t>ComboBox</t>
  </si>
  <si>
    <t>D_INT_01</t>
  </si>
  <si>
    <t>//#region:Ver
 //CD:09/17/58/13:17,CB:Tof
 //ED:08/03/59/12:02,EB:Tof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amt = 0;
 var name = field.getComponent().getField().find(":selected").html(); 
 if(val != -1 &amp;&amp; !_.isNull(val) &amp;&amp; !_.isUndefined(val))
 amt = 800;
 _this.getField("D_MONEY_01").setValue(amt);
 _this.getField("D_TEXT_05").setValue(name);
 }
 callbackCore(info);
 //#endregion:Etc
 //#region:EventEnd
 }
 else
 callbackCore(info);
 //#endregion:EventEnd</t>
  </si>
  <si>
    <t>จำนวนเงินที่ต้องชำระ</t>
  </si>
  <si>
    <t>PaymentField</t>
  </si>
  <si>
    <t>D_MONEY_01</t>
  </si>
  <si>
    <t>AMT</t>
  </si>
  <si>
    <t>//#region:Ver
 //CD:04/09/58/14:05,CB:jirapat
 //ED:05/06/15/11:31,EB:wisut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</si>
  <si>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D_TEXT_05</t>
  </si>
  <si>
    <t>REFNO7</t>
  </si>
  <si>
    <t>ชำระค่าขอเอกสารทางการศึกษา(มสธ.30)</t>
  </si>
  <si>
    <t>//#region:Ver
 //CD:04/09/58/13:37,CB:jirapat
 //ED:05/06/15/11:53,EB:wisut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info.VerifyCode = "-420";
 if(output)
 info.VerifyCode = "-110";
 var output = this.executeFunc("StouChkDigit",{Value:val});
 if(!ValReturn || !output.success || (output.success &amp;&amp; !output.output))
 info.isError = true;
 }
 callbackCore(info);
 //#endregion:Etc
 //#region:EventEnd
 }
 else
 callbackCore(info);
 //#endregion:EventEnd</t>
  </si>
  <si>
    <t>ชื่อ-นามสกุล</t>
  </si>
  <si>
    <t>//#region:Ver
 //CD:04/23/15/10:31,CB:wisut
 //ED:05/06/15/11:53,EB:wisut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</si>
  <si>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//CD:04/23/15/10:35,CB:wisut
 //ED:07/07/59/14:20,EB:Tof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"05220230",Operator: "=="}
 ,1:{Value: "052202 30",Operator: "=="}
 }
 ,Operations: "OR"
 }
 var ValReturn = this.executeFunc("VerifyField",Params);
 if(!ValReturn)
 info.isError = true;
 }
 callbackCore(info);
 //#endregion:Etc
 //#region:EventEnd
 }
 else
 callbackCore(info);
 //#endregion:EventEnd</t>
  </si>
  <si>
    <t>จำนวนเงินที่ชำระ</t>
  </si>
  <si>
    <t>//#region:Ver
 //CD:01-14-16-15:58,CB:sompan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</si>
  <si>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ชำระค่าต่ออายุสถานภาพ นศ.มสธ.</t>
  </si>
  <si>
    <t>//#region:Ver
 //CD:04/09/58/13:37,CB:jirapat
 //ED:05/06/15/11:44,EB:wisut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10,Operator: "=="}
 }
 ,Operations: "AND"
 }
 var ValReturn = this.executeFunc("VerifyFieldLength",Params);
 if(!ValReturn)
 info.VerifyCode = "-420";
 if(!output)
 info.VerifyCode = "-110";
 var output = this.executeFunc("StouChkDigit",{Value:val});
 if(!ValReturn || !output.success || (output.success &amp;&amp; !output.output))
 info.isError = true;
 info.isLock = true;
 }
 callbackCore(info);
 //#endregion:Etc
 //#region:EventEnd
 }
 else
 callbackCore(info);
 //#endregion:EventEnd</t>
  </si>
  <si>
    <t>//#region:Ver
 //CD:04/20/15/10:35,CB:wisut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</si>
  <si>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//CD:04/23/15/10:25,CB:wisut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"05220225",Operator: "!="}
 }
 ,Operations: "AND"
 }
 var ValReturn = this.executeFunc("VerifyField",Params);
 if(ValReturn==true)
 info.isError = true;
 info.isLock = true;
 }
 callbackCore(info);
 //#endregion:Etc
 //#region:EventEnd
 }
 else
 callbackCore(info);
 //#endregion:EventEnd</t>
  </si>
  <si>
    <t>รหัสวิชาเอก/แขนงวิชา</t>
  </si>
  <si>
    <t>REFNO6</t>
  </si>
  <si>
    <t>//#region:Ver
 //CD:01-27-16-16:46,CB:sompan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if(val.length != 5)
 info.isError = true;
 }
 callbackCore(info);
 //#endregion:Etc
 //#region:EventEnd
 }
 else
 callbackCore(info);
 //#endregion:EventEnd</t>
  </si>
  <si>
    <t>ปีที่ขอต่ออายุสถานภาพ</t>
  </si>
  <si>
    <t>DateField</t>
  </si>
  <si>
    <t>D_DATE_01</t>
  </si>
  <si>
    <t>//#region:Ver
 //CD:03/22/59/13:11,CB:Tof
 //ED:08/03/59/11:39,EB:Tof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[1,2].indexOf(eName) == -1){
 _this.executeFunc("StartAndEnd_Date",{TYPE:0},function(result){
 if(!result.success || result.output.isError){
 info.Msg = result.output.Msg;
 info.isError = result.output.isError;
 }
 if(!info.isError){
 if(eName != 3)
 _this.getField("D_MONEY_01").setValue("300");
 var Information = [{FDName:"D_TEXT_06",Format:field.get("DISPLAY_FORMAT"),IsBud:field.get("IS_BE_DATE")}];
 _this.executeFunc("SetDateINF",{Information:Information},function(){callbackCore(info);});
 }
 else
 callbackCore(info);
 });
 }
 else{ 
 info.Msg = "กรุณากรอกวันที่ให้ถูกต้อง ("+field.get("DISPLAY_FORMAT")+")";
 callbackCore(info);
 }
 //#endregion:Etc
 //#region:EventEnd
 }
 else
 callbackCore(info);
 //#endregion:EventEnd</t>
  </si>
  <si>
    <t>D_TEXT_06</t>
  </si>
  <si>
    <t>//#region:Ver
 //CD:04/23/15/10:27,CB:wisut
 //ED:05/06/15/11:51,EB:wisut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300,Operator: "=="}
 }
  ,Operations: "AND"
 }
 var ValReturn = this.executeFunc("VerifyField",Params);
 if(ValReturn==false)
 info.isError = true;
 if (!ValReturn)
 info.VerifyCode = "-920";
 }
 callbackCore(info);
 //#endregion:Etc
 //#region:EventEnd
 }
 else
 callbackCore(info);
 //#endregion:EventEnd</t>
  </si>
  <si>
    <t>ชำระค่าธรรมเนียมการยื่นคำร้องขอเทียบผลการศ(มสธ.18)</t>
  </si>
  <si>
    <t>//#region:Ver
 //CD:04/09/58/13:37,CB:jirapat
 //ED:05/06/15/11:38,EB:wisut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10,Operator: "=="}
 }
 ,Operations: "AND"
 }
 var ValReturn = this.executeFunc("VerifyFieldLength",Params);
 var output = this.executeFunc("StouChkDigit",{Value:val});
 if(!ValReturn)
 info.VerifyCode = "-420";
 if(!output)
 info.VerifyCode = "-110";
 if(!ValReturn || !output.success || (output.success &amp;&amp; !output.output))
 info.isError = true;
 info.isLock = true;
 }
 callbackCore(info);
 //#endregion:Etc
 //#region:EventEnd
 }
 else
 callbackCore(info);
 //#endregion:EventEnd</t>
  </si>
  <si>
    <t>//#region:Ver
 //CD:05/11/15/14:33,CB:wisut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</si>
  <si>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//CD:04/23/15/10:35,CB:wisut
 //ED:07/07/59/14:20,EB:Tof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"06020218",Operator: "=="}
  ,1:{Value: "060202 18",Operator: "=="}
  }
  ,Operations: "OR"
  }
  var ValReturn = this.executeFunc("VerifyField",Params);
  if(!ValReturn)
  info.isError = true;
 }
 callbackCore(info);
 //#endregion:Etc
 //#region:EventEnd
 }
 else
  callbackCore(info);
 //#endregion:EventEnd</t>
  </si>
  <si>
    <t>จำนวนชุดวิชาที่โอน</t>
  </si>
  <si>
    <t>CurrencyField</t>
  </si>
  <si>
    <t>//#region:Ver
 //CD:06/24/58/15:18,CB:jirapat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value = field.getValue();
  var result = value.toDecimal()*300.00 ;
  var field1 = _this.getField("D_MONEY_02");
  if(!_.isNull(field1))
  field1.setValue(result);
 }
 callbackCore(info);
 //#endregion:Etc
 //#region:EventEnd
 }
 else
  callbackCore(info);
 //#endregion:EventEnd_x0016_</t>
  </si>
  <si>
    <t>จำนวนเงินชำระ</t>
  </si>
  <si>
    <t>D_MONEY_02</t>
  </si>
  <si>
    <t>//#region:Ver
 //CD:01-27-16-16:43,CB:sompan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</si>
  <si>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ชำระค่าธรรมเนียมเทียบประสบการณ์ (มสธ.18)</t>
  </si>
  <si>
    <t>//#region:Ver
 //CD:06/24/58/15:18,CB:jirapat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value = field.getValue();
 var result = value.toDecimal()*600.00 ;
 var field1 = _this.getField("D_MONEY_02");
 if(!_.isNull(field1))
 field1.setValue(result);
 }
 callbackCore(info);
 //#endregion:Etc
 //#region:EventEnd
 }
 else
 callbackCore(info);
 //#endregion:EventEnd</t>
  </si>
  <si>
    <t>ชำระค่าธรรมเนียมเทียบผลการศึกษา (มสธ.18)</t>
  </si>
  <si>
    <t>//#region:Ver
 //CD:06/24/58/15:18,CB:jirapat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value = field.getValue();
 var result = value.toDecimal()*500.00 ;
 var field1 = _this.getField("D_MONEY_02");
 if(!_.isNull(field1))
 field1.setValue(result);
 }
 callbackCore(info);
 //#endregion:Etc
 //#region:EventEnd
 }
 else
 callbackCore(info);
 //#endregion:EventEnd</t>
  </si>
  <si>
    <t>ชำระค่าธรรมเนียมโอนชุดวิชา มสธ.</t>
  </si>
  <si>
    <t>//#region:Ver
 //CD:05/11/15/14:34,CB:wisut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chkVal = ["05220219","052202 19"];
 if(chkVal.indexOf(val) == -1)
 info.isError = true;
 }
 callbackCore(info);
 //#endregion:Etc
 //#region:EventEnd
 }
 else
 callbackCore(info);
 //#endregion:EventEnd</t>
  </si>
  <si>
    <t>//#region:Ver
 //CD:06/24/58/15:18,CB:jirapat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value = field.getValue();
 var result = value.toDecimal()*200.00 ;
 var field1 = _this.getField("D_MONEY_02");
 if(!_.isNull(field1))
 field1.setValue(result);
 }
 callbackCore(info);
 //#endregion:Etc
 //#region:EventEnd
 }
 else
 callbackCore(info);
 //#endregion:EventEnd</t>
  </si>
  <si>
    <t>เปลี่ยนสาขา,ที่อยู่,ชื่อ_สกุล,ทำบัตรนศ.</t>
  </si>
  <si>
    <t>//#region:Ver
 //CD:04/09/58/13:32,CB:jirapat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val = field.getValue();
 var Params = {
 Condition: { 
  0:{Value: 10,Operator: "=="}
 }
 ,Operations: "AND"
 }
 var ValReturn = this.executeFunc("VerifyFieldLength",Params);
 if(!ValReturn){
 info.isError = true;
 info.VerifyCode = "-420";
 }
 else{
 var output = this.executeFunc("StouChkDigit",{Value:val});
 if(!output.success || (output.success &amp;&amp; !output.output)){
 info.isError = true;
 info.VerifyCode = "-110";
 }
 }
 }
 callbackCore(info);
 //#endregion:Etc
 //#region:EventEnd
 }
 else
 callbackCore(info);
 //#endregion:EventEnd</t>
  </si>
  <si>
    <t>รหัสคำร้อง</t>
  </si>
  <si>
    <t>//#region:Ver
 //CD:04/16/15/11:51,CB:wisut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name = "";
 switch(val){
  case "111014":
 name = "ทำบัตรประจำตัวนักศึกษา มสธ. ATM";
 break;
  case "111015":
 name = "เปลี่ยนชื่อ-นามสกุล,ที่อยู่,ย้ายสังกัดสาขา-วิชาเอก";
 break;
  default:
 info.isError = true;
 break;
 }
 if(([2,3].indexOf(eName) == -1 || datas.isExec) &amp;&amp; !info.isError){
 var val = _this.getField("D_TEXT_02").getValue();
 var val2 = field.getValue();
 var stuid = parseInt(val.substr(0,2));
 var amt = 0;
 if(val2 == "111014")
 amt = 100;
 else if(!isNaN(stuid) &amp;&amp; [3,4,5].indexOf(val.substr(0,1)) != -1){
 if(stuid &lt; 52)
 amt = 100;
 }
 _this.getField("D_MONEY_01").setValue(amt);
 }
 if(!info.isError &amp;&amp; [1,2,3].indexOf(eName) == -1){
 var field1 = _this.getField("D_TEXT_04");
 if(!_.isNull(field1)){
 field1.setValue(name);
 field1.setLock(true);
 }
 _this.getField("D_TEXT_05").focus();
 }
 else
 callbackCore(info);
 }
 else
 callbackCore(info);
 //#endregion:Etc
 //#region:EventEnd
 }
 else
 callbackCore(info);
 //#endregion:EventEnd</t>
  </si>
  <si>
    <t>รายละเอียด</t>
  </si>
  <si>
    <t>//#region:Ver
 //CD:03-03-16-11:53,CB:sompan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</si>
  <si>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//CD:09-16-15-17:20,CB:sompan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</si>
  <si>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ลงทะเบียน มสธ. กำนันผู้ใหญ่บ้าน</t>
  </si>
  <si>
    <t>//#region:Ver
 //CD:04/09/58/13:37,CB:jirapat
 //ED:05/06/15/12:02,EB:wisut
 //ED:09-29-15-15:26,EB:sompan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val = field.getValue();
  var Params = {
  Condition: { 
  0:{Value: 10,Operator: "=="}
  }
  ,Operations: "AND"
  }
  var ValReturn = this.executeFunc("VerifyFieldLength",Params);
  if(!ValReturn)
  info.VerifyCode = "-420";
  if(!output)
  info.VerifyCode = "-110";
  var output = this.executeFunc("StouChkDigit",{Value:val});
  if(!ValReturn || !output.success || (output.success &amp;&amp; !output.output))
  info.isError = true;
 }
 callbackCore(info);
 //#endregion:Etc
 //#region:EventEnd
 }
 else
  callbackCore(info);
 //#endregion:EventEnd</t>
  </si>
  <si>
    <t>D_TEXT_12</t>
  </si>
  <si>
    <t>REFNO10</t>
  </si>
  <si>
    <t>//#region:Ver
 //CD:04/16/58/10:00,CB:Tof
 //ED:05/06/15/13:11,EB:wisut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</si>
  <si>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ชนิดของการลงทะเบียน</t>
  </si>
  <si>
    <t>D_INT_04</t>
  </si>
  <si>
    <t>//#region:Ver
 //CD:05/06/15/12:05,CB:wisut
 //ED:09-21-15-17:35,EB:sompan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_this.executeFunc("EduList",{ComboType:1,Univ:1,Degree:1,TypeEdu:val},function(result){
  var data = result.output.getDataSets().Table1;
  var descField = _this.getField("D_TEXT_04");
  var yearField = _this.getField("D_INT_05");
  var termField = _this.getField("D_INT_09");
  if(!_.isNull(descField))
  descField.setValue(field.getComponent().getField().find(":selected").html());
  if(!_.isNull(yearField)){
  yearField.setComboDatas(data);
  yearField.setValue(-1);
  }
  if(!_.isNull(termField)){
  termField.setValue(-1);
  termField.setProperty("IsReadOnly",true);
  }
  _this.executeControl("D_TEXT_03",{datas:{eventName:"enter",isExec:true}},function(){
  callbackCore(info);
  });
  });
 }
 else
  callbackCore(info);
 //#endregion:Etc
 //#region:EventEnd
 }
 else
  callbackCore(info);
 //#endregion:EventEnd</t>
  </si>
  <si>
    <t>ปีการศึกษา</t>
  </si>
  <si>
    <t>D_INT_05</t>
  </si>
  <si>
    <t>//#region:Ver
 //CD:10/15/58/11:38,CB:Tof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typeField = _this.getField("D_INT_04");
  var type = "-1";
  if(!_.isNull(typeField))
  type = typeField.getValue();
  _this.executeFunc("EduList",{ComboType:2,Univ:1,Degree:1,TypeEdu:type,Year:val},function(result){
  var data = result.output.getDataSets().Table1;
  var termField = _this.getField("D_INT_09");
  var flag = (val == "-1") ? true : false;
  if(!_.isNull(termField)){
  termField.setComboDatas(data);
  termField.setValue(-1);
  termField.setProperty("IsReadOnly",flag);
  }
  _this.executeControl("D_TEXT_03",{datas:{eventName:"enter",isExec:true}},function(){
  callbackCore(info);
  });
  });
 }
 else
  callbackCore(info);
 //#endregion:Etc
 //#region:EventEnd
 }
 else
  callbackCore(info);
 //#endregion:EventEnd</t>
  </si>
  <si>
    <t>ภาค</t>
  </si>
  <si>
    <t>D_INT_09</t>
  </si>
  <si>
    <t>//#region:Ver
 //CD:03/17/59/10:40,CB:Tof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_this.executeControl("D_TEXT_03",{datas:{eventName:"enter",isExec:true}},function(){callbackCore(info);});
 }
 else
  callbackCore(info);
 //#endregion:Etc
 //#region:EventEnd
 }
 else
  callbackCore(info);
 //#endregion:EventEnd</t>
  </si>
  <si>
    <t>//#region:Ver
 //CD:03/17/59/10:40,CB:Tof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typeField = _this.getField("D_INT_04");
  var termField = _this.getField("D_INT_09");
  var term = "-1",val = field.get("DEFAULT_VALUE"),type;
  if(!_.isNull(termField)) term = termField.getValue();
  if(!_.isNull(typeField)) type = typeField.getValue();
  _this.executeFunc("EduList",{ComboType:3,Univ:1,Degree:1,EduID:term},function(result){
  var dataTerm = result.output.getDataSets().Table1;
  var dataCourse = result.output.getDataSets().Table2;
  var dataBuy = result.output.getDataSets().Table3;
  var flag = (term == "-1" || type == "5") ? true : false;
  var stuName = ["D_INT_06","D_INT_07","D_INT_08"];
  var buyName = ["D_INT_01","D_INT_02","D_INT_03"];
  var deflaueField = ["D_TEXT_10","D_TEXT_05","D_TEXT_14","D_TEXT_06","D_TEXT_15","D_TEXT_08"];
  var courseName = ["D_TEXT_09","D_TEXT_07","D_TEXT_11"];
  if(dataTerm.length &gt; 0)
  val = dataTerm[0].SUBYEAR +"/"+ dataTerm[0].TERM_ID;
  field.setValue(val);
  for(i=0;i&lt;stuName.length;i++){
  var stuField = _this.getField(stuName[i]);
  var courseField = _this.getField(courseName[i]);
  if(!_.isNull(stuField)){
  stuField.setProperty("IsReadOnly",flag);
  stuField.setComboDatas(dataCourse);
  stuField.setValue(dataCourse[0].VALUE_ID);
  }
  if(!_.isNull(courseField))
  courseField.setValue(dataCourse[0].VALUE_NAME.split(/ : /g)[1]);
  }
  for(i=0;i&lt;buyName.length;i++){
  var buyField = _this.getField(buyName[i]);
  if(!_.isNull(buyField)){
  buyField.setProperty("IsReadOnly",true);
  buyField.setComboDatas(dataBuy);
  buyField.setValue(dataBuy[0].VALUE_ID);
  }
  }
  _this.executeFunc("ClearAll",{FDName:deflaueField});
  callbackCore(info);
  });
 }
 else
  callbackCore(info);
 //#endregion:Etc
 //#region:EventEnd
 }
 else
  callbackCore(info);
 //#endregion:EventEnd</t>
  </si>
  <si>
    <t>รหัสชุดวิชา 1</t>
  </si>
  <si>
    <t>D_INT_06</t>
  </si>
  <si>
    <t>//#region:Ver
 //CD:10/15/58/11:49,CB:Tof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_this.getField("D_INT_09");
  var edu = 0;
  if(!_.isNull(eduField))
  edu = eduField.getValue();
  _this.executeFunc("EduList",{ComboType:4,Univ:1,Degree:1,EduID:edu,CourseID:val},function(result){
  var dataCourse = result.output.getDataSets().Table1;
  var dataBuy = result.output.getDataSets().Table2;
  var yearTerm = _this.getField("D_TEXT_03");
  var buyName = _this.getField("D_INT_01");
  var buyCodeField = _this.getField("D_TEXT_05");
  var buy=-1,buyCode = 0,term = 0,flag = true,bookup = 0;
  if(!_.isNull(yearTerm)) term = yearTerm.getValue().split(/\//g)[1];
  if(dataCourse.length &gt; 0)
  bookup = parseInt(dataCourse[0].BOOK_UP);
  if(val == "-1" || val == "1")
  buy = 98;
  else if(["4","5"].indexOf(term) != -1){
  buy = 100;
  buyCode = 2;
  }
  else if(bookup &gt; 0){
  buy = 99;
  buyCode = 1;
  }
  else
  flag = false;
  if(!_.isNull(buyName)){
  buyName.setComboDatas(dataBuy);
  buyName.setValue(buy);
  buyName.setProperty("IsReadOnly",flag);
  }
  if(!_.isNull(buyCodeField))
  buyCodeField.setValue(buyCode);
  _this.executeControl("D_TEXT_10",{datas:{eventName:"enter",isExec:true}},function(){
  callbackCore(info);
  });
  });
 }
 else
  callbackCore(info);
 //#endregion:Etc
 //#region:EventEnd
 }
 else
  callbackCore(info);
 //#endregion:EventEnd</t>
  </si>
  <si>
    <t>ซื้ออุปกรณ์การเรียน</t>
  </si>
  <si>
    <t>//#region:Ver
 //CD:10/19/58/14:00,CB:Tof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_this.getField("D_TEXT_05");
  var value = 0;
  if(data.length &gt; 0)
  value = data[0].VALUE_ID;
  if(!_.isNull(setField))
  setField.setValue(value);
  _this.executeControl("D_TEXT_10",{datas:{eventName:"enter",isExec:true}},function(){callbackCore(info);});
  }
  _this.executeFunc("CallSqlServP",params,CallbackCallSql);
 }
 else
  callbackCore(info);
 //#endregion:Etc
 //#region:EventEnd
 }
 else
  callbackCore(info);
 //#endregion:EventEnd</t>
  </si>
  <si>
    <t>ชื่อชุดวิชา</t>
  </si>
  <si>
    <t>D_TEXT_09</t>
  </si>
  <si>
    <t>REFNO11</t>
  </si>
  <si>
    <t>ซื้อ</t>
  </si>
  <si>
    <t>รหัสชุดวิชา1</t>
  </si>
  <si>
    <t>D_TEXT_10</t>
  </si>
  <si>
    <t>//#region:Ver
 //CD:10/19/58/15:19,CB:Tof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_this.getField("D_INT_06");
  var nameField = _this.getField("D_TEXT_09");
  var buyField = _this.getField("D_TEXT_05");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</si>
  <si>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รหัสชุดวิชา 2</t>
  </si>
  <si>
    <t>D_INT_07</t>
  </si>
  <si>
    <t>//#region:Ver
 //CD:10/15/58/11:50,CB:Tof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_this.getField("D_INT_09");
  var edu = 0;
  if(!_.isNull(eduField))
  edu = eduField.getValue();
  _this.executeFunc("EduList",{ComboType:4,Univ:1,Degree:1,EduID:edu,CourseID:val},function(result){
  var dataCourse = result.output.getDataSets().Table1;
  var dataBuy = result.output.getDataSets().Table2;
  var yearTerm = _this.getField("D_TEXT_03");
  var buyName = _this.getField("D_INT_02");
  var buyCodeField = _this.getField("D_TEXT_06");
  var buy=-1,buyCode = 0,term = 0,flag = true,bookup = 0;
  if(!_.isNull(yearTerm)) term = yearTerm.getValue().split(/\//g)[1];
  if(dataCourse.length &gt; 0)
  bookup = parseInt(dataCourse[0].BOOK_UP);
  if(val == "-1" || val == "1")
  buy = 98;
  else if(["4","5"].indexOf(term) != -1){
  buy = 100;
  buyCode = 2;
  }
  else if(bookup &gt; 0){
  buy = 99;
  buyCode = 1;
  }
  else
  flag = false;
  if(!_.isNull(buyName)){
  buyName.setComboDatas(dataBuy);
  buyName.setValue(buy);
  buyName.setProperty("IsReadOnly",flag);
  }
  if(!_.isNull(buyCodeField))
  buyCodeField.setValue(buyCode);
  _this.executeControl("D_TEXT_14",{datas:{eventName:"enter",isExec:true}},function(){
  callbackCore(info);
  });
  });
 }
 else
  callbackCore(info);
 //#endregion:Etc
 //#region:EventEnd
 }
 else
  callbackCore(info);
 //#endregion:EventEnd</t>
  </si>
  <si>
    <t>D_INT_02</t>
  </si>
  <si>
    <t>//#region:Ver
 //CD:10/19/58/14:00,CB:Tof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if([1,2,3].indexOf(eName) == -1){
  var val = field.getValue();
  var params = {Sql: "SELECT * FROM M_SERVICE_DATA WHERE SERV_DATA_ID = "+val};
  var CallbackCallSql = function(result){
  var data = result.output.getData().Data;
  var setField = _this.getField("D_TEXT_06");
  var value = 0;
  if(data.length &gt; 0)
  value = data[0].VALUE_ID;
  if(!_.isNull(setField))
  setField.setValue(value);
  _this.executeControl("D_TEXT_14",{datas:{eventName:"enter",isExec:true}},function(){callbackCore(info);});
  }
  _this.executeFunc("CallSqlServP",params,CallbackCallSql);
 }
 else
  callbackCore(info);
 //#endregion:Etc
 //#region:EventEnd
 }
 else
  callbackCore(info);
 //#endregion:EventEnd</t>
  </si>
  <si>
    <t>D_TEXT_07</t>
  </si>
  <si>
    <t>REFNO12</t>
  </si>
  <si>
    <t>รหัสชุดวิชา2</t>
  </si>
  <si>
    <t>D_TEXT_14</t>
  </si>
  <si>
    <t>REFNO8</t>
  </si>
  <si>
    <t>//#region:Ver
 //CD:10/19/58/15:39,CB:Tof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_this.getField("D_INT_07");
  var nameField = _this.getField("D_TEXT_07");
  var buyField = _this.getField("D_TEXT_06");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</si>
  <si>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รหัสชุดวิชา 3</t>
  </si>
  <si>
    <t>D_INT_08</t>
  </si>
  <si>
    <t>//#region:Ver
 //CD:10/15/58/11:50,CB:Tof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if([1,2,3].indexOf(eName) == -1){
  var val = field.getValue();
  var eduField = _this.getField("D_INT_09");
  var edu = 0;
  if(!_.isNull(eduField))
  edu = eduField.getValue();
  _this.executeFunc("EduList",{ComboType:4,Univ:1,Degree:1,EduID:edu,CourseID:val},function(result){
  var dataCourse = result.output.getDataSets().Table1;
  var dataBuy = result.output.getDataSets().Table2;
  var yearTerm = _this.getField("D_TEXT_03");
  var buyName = _this.getField("D_INT_03");
  var buyCodeField = _this.getField("D_TEXT_08");
  var buy=-1,buyCode = 0,term = 0,flag = true,bookup = 0;
  if(!_.isNull(yearTerm)) term = yearTerm.getValue().split(/\//g)[1];
  if(dataCourse.length &gt; 0)
  bookup = parseInt(dataCourse[0].BOOK_UP);
  if(val == "-1" || val == "1")
  buy = 98;
  else if(["4","5"].indexOf(term) != -1){
  buy = 100;
  buyCode = 2;
  }
  else if(bookup &gt; 0){
  buy = 99;
  buyCode = 1;
  }
  else
  flag = false;
  if(!_.isNull(buyName)){
  buyName.setComboDatas(dataBuy);
  buyName.setValue(buy);
  buyName.setProperty("IsReadOnly",flag);
  }
  if(!_.isNull(buyCodeField))
  buyCodeField.setValue(buyCode);
  _this.executeControl("D_TEXT_15",{datas:{eventName:"enter",isExec:true}},function(){
  callbackCore(info);
  });
  });
 }
 else
  callbackCore(info);
 //#endregion:Etc
 //#region:EventEnd
 }
 else
  callbackCore(info);
 //#endregion:EventEnd</t>
  </si>
  <si>
    <t>D_INT_03</t>
  </si>
  <si>
    <t>//#region:Ver
 //CD:10/19/58/14:01,CB:Tof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if([1,2,3].indexOf(eName) == -1){
  var val = field.getValue();
  var params = {Sql: "SELECT * FROM M_SERVICE_DATA WHERE SERV_DATA_ID = "+val};
  var CallbackCallSql = function(result){
  var data = result.output.getData().Data;
  var setField = _this.getField("D_TEXT_08");
  var value = 0;
  if(data.length &gt; 0)
  value = data[0].VALUE_ID;
  if(!_.isNull(setField))
  setField.setValue(value);
  _this.executeControl("D_TEXT_15",{datas:{eventName:"enter",isExec:true}},function(){callbackCore(info);});
  }
  _this.executeFunc("CallSqlServP",params,CallbackCallSql);
 }
 else
  callbackCore(info);
 //#endregion:Etc
 //#region:EventEnd
 }
 else
  callbackCore(info);
 //#endregion:EventEnd</t>
  </si>
  <si>
    <t>D_TEXT_11</t>
  </si>
  <si>
    <t>REFNO13</t>
  </si>
  <si>
    <t>D_TEXT_08</t>
  </si>
  <si>
    <t>รหัสชุดวิชา3</t>
  </si>
  <si>
    <t>D_TEXT_15</t>
  </si>
  <si>
    <t>REFNO9</t>
  </si>
  <si>
    <t>//#region:Ver
 //CD:10/19/58/15:39,CB:Tof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_this.getField("D_INT_08");
  var nameField = _this.getField("D_TEXT_11");
  var buyField = _this.getField("D_TEXT_08");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</si>
  <si>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REFNO14</t>
  </si>
  <si>
    <t>//#region:Ver
 //CD:05/06/15/13:10,CB:wisut
 //ED:09-29-15-15:26,EB:sompan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</si>
  <si>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ลงทะเบียนชุดวิชา ม.สุโขทัยธรรมาธิราช</t>
  </si>
  <si>
    <t>//#region:Ver
 //CD:05/18/59/14:54,CB:Tof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info.isLock = true;
  var val = field.getValue();
  var Params = {Condition: {0:{Value: 10,Operator: "=="}},Operations: "AND"};
  var ValReturn = _this.executeFunc("VerifyFieldLength",Params);
  if(!ValReturn)
  info.isError = true;
  else{
  var output = this.executeFunc("StouChkDigit",{Value:field.getValue()});
  if(!output.success || (output.success &amp;&amp; !output.output))
  info.isError = true; 
  }
  if(!info.isError &amp;&amp; [1,2,3].indexOf(eName) == -1){
  var stCodeField = _this.getField("D_TEXT_02");
  var amtField = _this.getField("D_MONEY_03");
  var yearField = _this.getField("D_INT_02");
  var stCode = val.substr(0,2);
  var amt = 0;
  var year = parseInt(stCode);
  if(!isNaN(year)){
  if(year &gt;= 56)
  amt = 500;
  else
  amt = 300;
  }
  if(!_.isNull(stCodeField))
  stCodeField.setValue(stCode);
  if(!_.isNull(amtField))
  amtField.setValue(amt);
  _this.executeControl("D_MONEY_02",{datas:{eventName:"enter",isExec:true}},function(){callbackCore(info);});
  }
  else 
  callbackCore(info);
 }
 else
  callbackCore(info);
 //#endregion:Etc
 //#region:EventEnd
 }
 else
  callbackCore(info);
 //#endregion:EventEnd</t>
  </si>
  <si>
    <t>ชื่อ-สกุล</t>
  </si>
  <si>
    <t>D_TEXT_13</t>
  </si>
  <si>
    <t>//#region:Ver
 //CD:05/18/59/14:54,CB:Tof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_this.executeFunc("EduList",{ComboType:1,Univ:1,Degree:1,TypeEdu:val},function(result){
  var data = result.output.getDataSets().Table1;
  var yearField = _this.getField("D_INT_02");
  var termField = _this.getField("D_INT_03");
  if(!_.isNull(yearField)){
 yearField.setComboDatas(data);
 yearField.setValue(-1);
  }
  if(!_.isNull(termField)){
 termField.setValue(-1);
 termField.setProperty("IsReadOnly",true);
  }
  _this.executeControl("D_TEXT_04",{datas:{eventName:"enter",isExec:true}},function(){
 _this.executeControl("D_TEXT_12",{datas:{eventName:"enter",isExec:true}},function(){
  callbackCore(info);
 });
  });
 });
 }
 else
 callbackCore(info);
 //#endregion:Etc
 //#region:EventEnd
 }
 else
 callbackCore(info);
 //#endregion:EventEnd</t>
  </si>
  <si>
    <t>//#region:Ver
 //CD:02/04/59/16:17,CB:Tof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typeField = _this.getField("D_INT_01");
  var type = "-1";
  if(!_.isNull(typeField))
  type = typeField.getValue();
  _this.executeFunc("EduList",{ComboType:2,Univ:1,Degree:1,TypeEdu:type,Year:val},function(result){
  var data = result.output.getDataSets().Table1;
  var termField = _this.getField("D_INT_03");
  var flag = (val == "-1") ? true : false;
  if(!_.isNull(termField)){
  termField.setComboDatas(data);
  termField.setValue(-1);
  termField.setProperty("IsReadOnly",flag);
  }
  _this.executeControl("D_TEXT_12",{datas:{eventName:"enter",isExec:true}},function(){
  callbackCore(info);
  });
  });
 }
 else
  callbackCore(info);
 //#endregion:Etc
 //#region:EventEnd
 }
 else
  callbackCore(info);
 //#endregion:EventEnd</t>
  </si>
  <si>
    <t>ภาคเรียน</t>
  </si>
  <si>
    <t>//#region:Ver
 //CD:07/11/59/11:05,CB:Tof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_this.executeControl("D_TEXT_12",{datas:{eventName:"enter",isExec:true}},function(){
 _this.executeControl("D_MONEY_02",{datas:{eventName:"enter",isExec:true}},function(){
 callbackCore(info); 
 });
 });
 }
 else
 callbackCore(info);
 //#endregion:Etc
 //#region:EventEnd
 }
 else
 callbackCore(info);
 //#endregion:EventEnd</t>
  </si>
  <si>
    <t>ภาค/ปีการศึกษา</t>
  </si>
  <si>
    <t>//#region:Ver
 //CD:05/18/59/14:57,CB:Tof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//info.loading.show();
 //info.loading.setMessage("กรุณารอซักครู่");
 var typeField = _this.getField("D_INT_01");
 var termField = _this.getField("D_INT_03");
 var term = "-1",val = field.get("DEFAULT_VALUE"),type;
 var amtField = _this.getField("D_MONEY_02");
 if(!_.isNull(termField)) term = termField.getValue();
 if(!_.isNull(amtField)) amtField.setValue(0);
 if(!_.isNull(typeField))
  type = typeField.getValue();
 _this.executeFunc("EduList",{ComboType:3,Univ:1,Degree:1,EduID:term},function(result){
  var dataTerm = result.output.getDataSets().Table1;
  var dataCourse = result.output.getDataSets().Table2;
  var dataBuy = result.output.getDataSets().Table3;
  var flag = (term == "-1" || type == "5") ? true : false;
  var stuName = ["D_INT_04","D_INT_06","D_INT_08"];
  var buyName = ["D_INT_05","D_INT_07","D_INT_09"];
  var deflaueField = ["D_TEXT_06","D_TEXT_07","D_TEXT_08","D_TEXT_09","D_TEXT_10","D_TEXT_11"];
  var courseName = ["D_TEXT_14","D_TEXT_15","D_TEXT_16"];
  console.log(field)
  if(dataTerm.length &gt; 0)
 val = dataTerm[0].SUBYEAR +"/"+ dataTerm[0].TERM_ID;
  field.setValue(val);
  for(i=0;i&lt;stuName.length;i++){
 var stuField = _this.getField(stuName[i]);
 var courseField = _this.getField(courseName[i]);
 if(!_.isNull(stuField)){
  stuField.setProperty("IsReadOnly",flag);
  stuField.setComboDatas(dataCourse);
  stuField.setValue(dataCourse[0].VALUE_ID);
 }
 if(!_.isNull(courseField))
  courseField.setValue(dataCourse[0].VALUE_NAME.split(/ : /g)[1]);
  }
  for(i=0;i&lt;buyName.length;i++){
 var buyField = _this.getField(buyName[i]);
 if(!_.isNull(buyField)){
  buyField.setProperty("IsReadOnly",true);
  buyField.setComboDatas(dataBuy);
  buyField.setValue(dataBuy[0].VALUE_ID);
 }
  }
  _this.executeFunc("ClearAll",{FDName:deflaueField});
 //info.loading.hide();
  callbackCore(info);
 });
 }
 else
 callbackCore(info);
 //#endregion:Etc
 //#region:EventEnd
 }
 else
 callbackCore(info);
 //#endregion:EventEnd</t>
  </si>
  <si>
    <t>ค่าบำรุงการศึกษา</t>
  </si>
  <si>
    <t>D_MONEY_03</t>
  </si>
  <si>
    <t>//#region:Ver
 //CD:01/22/59/10:10,CB:Tof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typeField = _this.getField("D_INT_01");
  var typeName;
  if(!_.isNull(typeField))
  typeName = typeField.getComponent().getField().find(":selected").html(); 
  field.setValue(typeName);
 }
 callbackCore(info);
 //#endregion:Etc
 //#region:EventEnd
 }
 else
  callbackCore(info);
 //#endregion:EventEnd</t>
  </si>
  <si>
    <t>รหัสนักศึกษา</t>
  </si>
  <si>
    <t>ค่าลงทะเบียน</t>
  </si>
  <si>
    <t>D_MONEY_04</t>
  </si>
  <si>
    <t>แจ้งเตือน</t>
  </si>
  <si>
    <t>//#region:Ver
 //CD:01/26/59/13:25,CB:Tof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yearField = _this.getField("D_INT_11");
  var termField = _this.getField("D_INT_04");
  var msg = field.get("DEFAULT_VALUE");
  if(!_.isNull(yearField) &amp;&amp; !_.isNull(termField)){
  var term = termField.getValue();
  var year = yearField.getValue();
  if(term == -1 &amp;&amp; (year != -1))
  msg = "ยังไม่ได้เลือกชนิดการลงทะเบียน"
  if(term != -1 &amp;&amp; (year != -1))
  msg = "ปีการศึกษา "+year+"/"+term+" เปิดให้ลงทะเบียนแล้ว";
  }
  field.setValue(msg);
 }
 callbackCore(info);
 //#endregion:Etc
 //#region:EventEnd
 }
 else
  callbackCore(info);
 //#endregion:EventEnd</t>
  </si>
  <si>
    <t>//#region:Ver
 //CD:05/06/59/11:25,CB:Tof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_this.getField("D_INT_03");
 var edu = 0;
 if(!_.isNull(eduField))
  edu = eduField.getValue();
 _this.executeFunc("EduList",{ComboType:4,Univ:1,Degree:1,EduID:edu,CourseID:val},function(result){
  var dataCourse = result.output.getDataSets().Table1;
  var dataBuy = result.output.getDataSets().Table2;
  var yearTerm = _this.getField("D_TEXT_12");
  var buyName = _this.getField("D_INT_05");
  var buyCodeField = _this.getField("D_TEXT_07");
  var buy = -1,buyCode = 0,term = 0,flag = true,bookup = 0;
  if(!_.isNull(yearTerm)) term = yearTerm.getValue().split(/\//g);
  if(dataCourse.length &gt; 0)
 bookup = parseInt(dataCourse[0].BOOK_UP);
  if(val == "-1" || val == "1")
 buy = 98;
  else if(["4","5"].indexOf(term[1]) != -1){
 buy = 100;
 buyCode = 2;
  }
 /*else if(bookup &gt; 0){
 buy = 99;
 buyCode = 1;
 }*/
  else
 flag = false;
  if(!_.isNull(buyName)){
 buyName.setComboDatas(dataBuy);
 buyName.setValue(buy);
 buyName.setProperty("IsReadOnly",flag);
  }
  if(!_.isNull(buyCodeField))
 buyCodeField.setValue(buyCode);
  _this.executeControl("D_TEXT_06",{datas:{eventName:"enter",isExec:true}},function(){
 _this.executeControl("D_MONEY_02",{datas:{eventName:"enter",isExec:true}},function(){
  callbackCore(info);
 });
  });
 });
 }
 else
 callbackCore(info);
 //#endregion:Etc
 //#region:EventEnd
 }
 else
 callbackCore(info);
 //#endregion:EventEnd</t>
  </si>
  <si>
    <t>//#region:Ver
 //CD:06/11/58/14:08,CB:Tof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_this.getField("D_TEXT_07");
  var value = 0;
  if(data.length &gt; 0)
  value = data[0].VALUE_ID;
  if(!_.isNull(setField))
  setField.setValue(value);
  _this.executeControl("D_TEXT_06",{datas:{eventName:"enter",isExec:true}},function(){
  _this.executeControl("D_MONEY_02",{datas:{eventName:"enter",isExec:true}},function(){callbackCore(info);});
  });
  }
  _this.executeFunc("CallSqlServP",params,CallbackCallSql);
 }
 else
  callbackCore(info);
 //#endregion:Etc
 //#region:EventEnd
 }
 else
  callbackCore(info);
 //#endregion:EventEnd</t>
  </si>
  <si>
    <t>//#region:Ver
 //CD:03/14/59/16:22,CB:Tof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_this.getField("D_INT_04");
  var nameField = _this.getField("D_TEXT_14");
  var buyField = _this.getField("D_TEXT_07");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</si>
  <si>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ยืนยันการซื้อ</t>
  </si>
  <si>
    <t>//#region:Ver
 //CD:05/06/59/11:25,CB:Tof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_this.getField("D_INT_03");
 var edu = 0;
 if(!_.isNull(eduField))
  edu = eduField.getValue();
 _this.executeFunc("EduList",{ComboType:4,Univ:1,Degree:1,EduID:edu,CourseID:val},function(result){
  var dataCourse = result.output.getDataSets().Table1;
  var dataBuy = result.output.getDataSets().Table2;
  var yearTerm = _this.getField("D_TEXT_12");
  var buyName = _this.getField("D_INT_07");
  var buyCodeField = _this.getField("D_TEXT_09");
  var buy=-1,buyCode = 0,term = 0,flag = true,bookup = 0;
  if(!_.isNull(yearTerm)) term = yearTerm.getValue().split(/\//g);
  if(dataCourse.length &gt; 0)
 bookup = parseInt(dataCourse[0].BOOK_UP);
  if(val == "-1" || val == "1")
 buy = 98;
  else if(["4","5"].indexOf(term[1]) != -1){
 buy = 100;
 buyCode = 2;
  }
 /*else if(bookup &gt; 0){
 buy = 99;
 buyCode = 1;
 }*/
  else
 flag = false;
  if(!_.isNull(buyName)){
 buyName.setComboDatas(dataBuy);
 buyName.setValue(buy);
 buyName.setProperty("IsReadOnly",flag);
  }
  if(!_.isNull(buyCodeField))
 buyCodeField.setValue(buyCode);
  _this.executeControl("D_TEXT_08",{datas:{eventName:"enter",isExec:true}},function(){
 _this.executeControl("D_MONEY_02",{datas:{eventName:"enter",isExec:true}},function(){
  callbackCore(info);
 });
  });
 });
 }
 else
 callbackCore(info);
 //#endregion:Etc
 //#region:EventEnd
 }
 else
 callbackCore(info);
 //#endregion:EventEnd</t>
  </si>
  <si>
    <t>//#region:Ver
 //CD:06/11/58/14:08,CB:Tof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_this.getField("D_TEXT_09");
  var value = 0;
  if(data.length &gt; 0)
  value = data[0].VALUE_ID;
  if(!_.isNull(setField))
  setField.setValue(value);
  _this.executeControl("D_TEXT_08",{datas:{eventName:"enter",isExec:true}},function(){
  _this.executeControl("D_MONEY_02",{datas:{eventName:"enter",isExec:true}},function(){callbackCore(info);});
  });
  }
  _this.executeFunc("CallSqlServP",params,CallbackCallSql);
 }
 else
  callbackCore(info);
 //#endregion:Etc
 //#region:EventEnd
 }
 else
  callbackCore(info);
 //#endregion:EventEnd</t>
  </si>
  <si>
    <t>//#region:Ver
 //CD:01/22/59/13:26,CB:Tof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_this.getField("D_INT_06");
  var nameField = _this.getField("D_TEXT_15");
  var buyField = _this.getField("D_TEXT_09");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</si>
  <si>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//#region:Ver
 //CD:05/06/59/11:24,CB:Tof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_this.getField("D_INT_03");
 var edu = 0;
 if(!_.isNull(eduField))
  edu = eduField.getValue();
 _this.executeFunc("EduList",{ComboType:4,Univ:1,Degree:1,EduID:edu,CourseID:val},function(result){
  var dataCourse = result.output.getDataSets().Table1;
  var dataBuy = result.output.getDataSets().Table2;
  var yearTerm = _this.getField("D_TEXT_12");
  var buyName = _this.getField("D_INT_09");
  var buyCodeField = _this.getField("D_TEXT_11");
  var buy  = -1,buyCode = 0,term = 0,flag = true,bookup = 0;
  if(!_.isNull(yearTerm)) term = yearTerm.getValue().split(/\//g);
  if(dataCourse.length &gt; 0)
 bookup = parseInt(dataCourse[0].BOOK_UP);
  if(val == "-1" || val == "1")
 buy = 98;
  else if(["4","5"].indexOf(term[1]) != -1){
 buy = 100;
 buyCode = 2;
  }
 /*else if(bookup &gt; 0){
 buy = 99;
 buyCode = 1;
 }*/
  else
 flag = false;
  if(!_.isNull(buyName)){
 buyName.setComboDatas(dataBuy);
 buyName.setValue(buy);
 buyName.setProperty("IsReadOnly",flag);
  }
  if(!_.isNull(buyCodeField))
 buyCodeField.setValue(buyCode);
 _this.executeControl("D_TEXT_10",{datas:{eventName:"enter",isExec:true}},function(){
 _this.executeControl("D_MONEY_02",{datas:{eventName:"enter",isExec:true}},function(){
  callbackCore(info);
 });
  });
 });
 }
 else
 callbackCore(info);
 //#endregion:Etc
 //#region:EventEnd
 }
 else
 callbackCore(info);
 //#endregion:EventEnd</t>
  </si>
  <si>
    <t>//#region:Ver
 //CD:06/11/58/14:08,CB:Tof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_this.getField("D_TEXT_11");
  var value = 0;
  if(data.length &gt; 0)
  value = data[0].VALUE_ID;
  if(!_.isNull(setField))
  setField.setValue(value);
  _this.executeControl("D_TEXT_10",{datas:{eventName:"enter",isExec:true}},function(){
  _this.executeControl("D_MONEY_02",{datas:{eventName:"enter",isExec:true}},function(){callbackCore(info);});
  });
  }
  _this.executeFunc("CallSqlServP",params,CallbackCallSql);
 }
 else
  callbackCore(info);
 //#endregion:Etc
 //#region:EventEnd
 }
 else
  callbackCore(info);
 //#endregion:EventEnd</t>
  </si>
  <si>
    <t>//#region:Ver
 //CD:01/22/59/13:28,CB:Tof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_this.getField("D_INT_08");
  var nameField = _this.getField("D_TEXT_16");
  var buyField = _this.getField("D_TEXT_11");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</si>
  <si>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D_TEXT_16</t>
  </si>
  <si>
    <t>//#region:Ver
 //CD:05/06/59/10:55,CB:Tof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var eduField  = _this.getField("D_INT_03");
 var typeField = _this.getField("D_INT_01");
 var termYearField = _this.getField("D_TEXT_12");
 var fixAmtField = _this.getField("D_MONEY_04");
 var fixAmtField2 = _this.getField("D_MONEY_03");
 var stuField  = _this.getField("D_TEXT_02");
 var edu,term,year,fixAmt = 0,fixAmt2 = 0,stu="",sql = "",termYear = [0,0];
 var fdname = ["D_INT_04","D_INT_06","D_INT_08"];
 var buyname = ["D_TEXT_07","D_TEXT_09","D_TEXT_11"];
 var type = parseInt(typeField.getValue());
 var fixAmt2 = 0;
 if(!_.isNull(termYearField)){
  termYear = termYearField.getValue().split(/\//g);
  term = parseInt(termYear[1]);
  year = parseInt(termYear[0]);
 }
 if(!_.isNull(stuField)) stu = stuField.getValue();
 if(!_.isNull(eduField)) edu = eduField.getValue();
 if([4,5].indexOf(term) != -1)
 fixAmt2 = 0;
 else if(stu &lt; 56){
 if(year &lt; 59)
 fixAmt2 = 300;
 else
 fixAmt2 = 500;
 }
 else
 fixAmt2 = 500;
 fixAmtField2.setValue(fixAmt2);
 if([4,5].indexOf(term) == -1){
  if(!_.isNull(fixAmtField)) fixAmt = parseFloat(fixAmtField.getValue());
  if(!_.isNull(fixAmtField2) &amp;&amp; [2].indexOf(type) == -1) fixAmt2 = parseFloat(fixAmtField2.getValue());
 }
 stu = parseFloat(stu);
 if(!isNaN(stu)){
  for(i=0;i&lt;fdname.length;i++){
 var fdField = _this.getField(fdname[i]);
 var buyField = _this.getField(buyname[i]);
 var seq = 0,buy = "";
 if(!_.isNull(fdField)) seq = fdField.getValue();
 if(!_.isNull(buyField)) buy = buyField.getValue();
 if(buy == "") buy = "NULL";
 if(sql != "") sql = sql + "UNION ALL \n";
 sql = sql+"SELECT EDU_ID,COURSE_ID,BOOK_UP,OLD_STU_AMT_1,NEW_STU_AMT_1,OLD_STU_AMT_2,NEW_STU_AMT_2,ISNULL("+buy+",-1) AS BUY \n"
  + "FROM M_EDU_MAP_DETAIL \n"
  + "WHERE (1=1) AND EDU_ID = "+edu+" AND COURSE_ID = "+seq+" \n";
  }
  var CallbackCallSql = function(result){
 var data = result.output.getData().Data;
 var amt = 0,sum =0,needBuy,bookup;
 if(data.length &gt; 0){
  for(j=0;j&lt;data.length;j++){
 amt = 0;
 needBuy = data[j].BUY;
 bookup = data[j].BOOK_UP;
 if(bookup &gt; 0 || needBuy == 1) 
 amt = (stu &gt;= 56 || year &gt;= 59) ? data[j].NEW_STU_AMT_1:data[j].OLD_STU_AMT_1;
 else 
 amt = (stu &gt;= 56 || year &gt;= 59) ? data[j].NEW_STU_AMT_2:data[j].OLD_STU_AMT_2;
 if([4,5].indexOf(term) != -1) amt = data[j].NEW_STU_AMT_1;
 amt = isNaN(parseFloat(amt)) ? 0 : parseFloat(amt);
 if([0,-1].indexOf(needBuy) == -1)
 sum += fixAmt + amt;
  }
 sum = sum + fixAmt2;
 }
 else if([1,5].indexOf(type) != -1)
 sum = fixAmt2;
 field.setValue(sum);
 callbackCore(info);
  }
  _this.executeFunc("CallSqlServP",{Sql: sql},CallbackCallSql);
 }
 else 
  callbackCore(info);
 }
 else
 callbackCore(info);
 //#endregion:Etc
 //#region:EventEnd
 }
 else
 callbackCore(info);
 //#endregion:EventEnd</t>
  </si>
  <si>
    <t>//#region:Ver
 //CD:03/10/59/15:57,CB:Tof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</si>
  <si>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ลงทะเบียนเรียน (กรณีชำระเงินเพิ่ม ป.ตรี)</t>
  </si>
  <si>
    <t>//#region:Ver
 //CD:04/09/58/13:37,CB:jirapat
 //ED:05/06/15/11:33,EB:wisut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10,Operator: "=="}
  }
  ,Operations: "AND"
  }
  var ValReturn = this.executeFunc("VerifyFieldLength",Params);
  var output = this.executeFunc("StouChkDigit",{Value:val});
  if(!ValReturn || !output.success || (output.success &amp;&amp; !output.output))
  info.isError = true;
  if(!ValReturn)
  info.VerifyCode = "-420";
 }
 callbackCore(info);
 //#endregion:Etc
 //#region:EventEnd
 }
 else
  callbackCore(info);
 //#endregion:EventEnd</t>
  </si>
  <si>
    <t>รหัสตรวจสอบ</t>
  </si>
  <si>
    <t>REFNO15</t>
  </si>
  <si>
    <t>//#region:Ver
 //CD:04/07/59/14:36,CB:Tof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{Condition: {0:{Value: 9,Operator: "=="}} ,Operations: "AND"}
  var ValLen = _this.executeFunc("VerifyFieldLength",Len);
  if(!ValLen){
  info.isError = true;
  info.VerifyCode = "-410";
  }
 }
 callbackCore(info);
 //#endregion:Etc
 //#region:EventEnd
 }
 else
  callbackCore(info);
 //#endregion:EventEnd</t>
  </si>
  <si>
    <t>//#region:Ver
 //CD:10/16/58/18:32,CB:Tof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_this.executeFunc("EduList",{ComboType:2,Univ:1,Degree:1,TypeEdu:3,Year:val},function(result){
  var data = result.output.getDataSets().Table1;
  var termField = _this.getField("D_INT_06");
  var flag = (val == "-1") ? true : false;
  if(!_.isNull(termField)){
  termField.setComboDatas(data);
  termField.setValue(-1);
  termField.setProperty("IsReadOnly",flag);
  }
  _this.executeControl("D_TEXT_04",{datas:{eventName:"enter",isExec:true}},function(){
  callbackCore(info);
  });
  });
 }
 else
  callbackCore(info);
 //#endregion:Etc
 //#region:EventEnd
 }
 else
  callbackCore(info);
 //#endregion:EventEnd</t>
  </si>
  <si>
    <t>//#region:Ver
 //CD:03/17/59/14:56,CB:Tof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_this.executeControl("D_TEXT_04",{datas:{eventName:"enter",isExec:true}},function(){callbackCore(info);});
 }
 else
  callbackCore(info);
 //#endregion:Etc
 //#region:EventEnd
 }
 else
  callbackCore(info);
 //#endregion:EventEnd</t>
  </si>
  <si>
    <t>//#region:Ver
 //CD:03/10/59/16:25,CB:Tof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termField = _this.getField("D_INT_06");
  var term = "-1",val = field.get("DEFAULT_VALUE");
  if(!_.isNull(termField)) term = termField.getValue();
  _this.executeFunc("EduList",{ComboType:3,Univ:1,Degree:1,EduID:term},function(result){
  var dataTerm = result.output.getDataSets().Table1;
  var dataCourse = result.output.getDataSets().Table2;
  var dataBuy = result.output.getDataSets().Table3;
  var flag = (term == "-1") ? true : false;
  var stuName = ["D_INT_04","D_INT_05"];
  var buyName = ["D_INT_02","D_INT_03"];
  var deflaueField = ["D_TEXT_05","D_TEXT_07","D_TEXT_10","D_TEXT_11"];
  var courseName = ["D_TEXT_06","D_TEXT_08"];
  if(dataTerm.length &gt; 0)
  val = dataTerm[0].SUBYEAR +"/"+ dataTerm[0].TERM_ID;
  field.setValue(val);
  for(i=0;i&lt;stuName.length;i++){
  var stuField = _this.getField(stuName[i]);
  var courseField = _this.getField(courseName[i]);
  if(!_.isNull(stuField)){
  stuField.setProperty("IsReadOnly",flag);
  stuField.setComboDatas(dataCourse);
  stuField.setValue(dataCourse[0].VALUE_ID);
  }
  if(!_.isNull(courseField))
  courseField.setValue(dataCourse[0].VALUE_NAME.split(/ : /g)[1]);
  }
  for(i=0;i&lt;buyName.length;i++){
  var buyField = _this.getField(buyName[i]);
  if(!_.isNull(buyField)){
  buyField.setProperty("IsReadOnly",true);
  buyField.setComboDatas(dataBuy);
  buyField.setValue(dataBuy[0].VALUE_ID);
  }
  }
  _this.executeFunc("ClearAll",{FDName:deflaueField});
  callbackCore(info);
  });
 }
 else
  callbackCore(info);
 //#endregion:Etc
 //#region:EventEnd
 }
 else
  callbackCore(info);
 //#endregion:EventEnd</t>
  </si>
  <si>
    <t>//#region:Ver
 //CD:10/16/58/18:13,CB:Tof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_this.getField("D_INT_06");
  var edu = 0;
  if(!_.isNull(eduField))
  edu = eduField.getValue();
  _this.executeFunc("EduList",{ComboType:4,Univ:1,Degree:1,EduID:edu,CourseID:val},function(result){
  var dataCourse = result.output.getDataSets().Table1;
  var dataBuy = result.output.getDataSets().Table2;
  var yearTerm = _this.getField("D_TEXT_04");
  var buyName = _this.getField("D_INT_02");
  var buyCodeField = _this.getField("D_TEXT_07");
  var buy=-1,buyCode = 0,term = 0,flag = true,bookup = 0;
  if(!_.isNull(yearTerm)) term = yearTerm.getValue().split(/\//g)[0];
  if(dataCourse.length &gt; 0)
  bookup = parseInt(dataCourse[0].BOOK_UP);
  if(val == "-1" || val == "1")
  buy = 98;
  else if(["4","5"].indexOf(term[1]) != -1){
  buy = 100;
  buyCode = 2;
  }
  else if(bookup &gt; 0){
  buy = 99;
  buyCode = 1;
  }
  else
  flag = false;
  if(!_.isNull(buyName)){
  buyName.setComboDatas(dataBuy);
  buyName.setValue(buy);
  buyName.setProperty("IsReadOnly",flag);
  }
  if(!_.isNull(buyCodeField))
  buyCodeField.setValue(buyCode);
  _this.executeControl("D_TEXT_05",{datas:{eventName:"enter",isExec:true}},function(){
  callbackCore(info);
  });
  });
 }
 else
  callbackCore(info);
 //#endregion:Etc
 //#region:EventEnd
 }
 else
  callbackCore(info);
 //#endregion:EventEnd</t>
  </si>
  <si>
    <t>//#region:Ver
 //CD:03/10/59/16:33,CB:Tof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_this.getField("D_TEXT_07");
  var value = 0;
  if(data.length &gt; 0)
  value = data[0].VALUE_ID;
  if(!_.isNull(setField))
  setField.setValue(value);
  _this.executeControl("D_TEXT_05",{datas:{eventName:"enter",isExec:true}},function(){callbackCore(info);});
  }
  _this.executeFunc("CallSqlServP",params,CallbackCallSql);
 }
 else
  callbackCore(info);
 //#endregion:Etc
 //#region:EventEnd
 }
 else
  callbackCore(info);
 //#endregion:EventEnd</t>
  </si>
  <si>
    <t xml:space="preserve"> </t>
  </si>
  <si>
    <t>รหัสชุดวิชา</t>
  </si>
  <si>
    <t>//#region:Ver
 //CD:03/17/59/14:41,CB:Tof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_this.getField("D_INT_04");
  var nameField = _this.getField("D_TEXT_06");
  var buyField = _this.getField("D_TEXT_07");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</si>
  <si>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//#region:Ver
 //CD:10/16/58/18:14,CB:Tof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eduField = _this.getField("D_INT_06");
  var edu = 0;
  if(!_.isNull(eduField))
  edu = eduField.getValue();
  _this.executeFunc("EduList",{ComboType:4,Univ:1,Degree:1,EduID:edu,CourseID:val},function(result){
  var dataCourse = result.output.getDataSets().Table1;
  var dataBuy = result.output.getDataSets().Table2;
  var yearTerm = _this.getField("D_TEXT_04");
  var buyName = _this.getField("D_INT_03");
  var buyCodeField = _this.getField("D_TEXT_10");
  var buy=-1,buyCode = 0,term = 0,flag = true,bookup = 0;
  if(!_.isNull(yearTerm)) term = yearTerm.getValue().split(/\//g)[0];
  if(dataCourse.length &gt; 0)
  bookup = parseInt(dataCourse[0].BOOK_UP);
  if(val == "-1" || val == "1")
  buy = 98;
  else if(["4","5"].indexOf(term[1]) != -1){
  buy = 100;
  buyCode = 2;
  }
  else if(bookup &gt; 0){
  buy = 99;
  buyCode = 1;
  }
  else
  flag = false;
  if(!_.isNull(buyName)){
  buyName.setComboDatas(dataBuy);
  buyName.setValue(buy);
  buyName.setProperty("IsReadOnly",flag);
  }
  if(!_.isNull(buyCodeField))
  buyCodeField.setValue(buyCode);
  _this.executeControl("D_TEXT_11",{datas:{eventName:"enter",isExec:true}},function(){
  callbackCore(info);
  });
  });
 }
 else
  callbackCore(info);
 //#endregion:Etc
 //#region:EventEnd
 }
 else
  callbackCore(info);
 //#endregion:EventEnd</t>
  </si>
  <si>
    <t>//#region:Ver
 //CD:03/10/59/16:33,CB:Tof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_this.getField("D_TEXT_10");
  var value = 0;
  if(data.length &gt; 0)
  value = data[0].VALUE_ID;
  if(!_.isNull(setField))
  setField.setValue(value);
  _this.executeControl("D_TEXT_11",{datas:{eventName:"enter",isExec:true}},function(){callbackCore(info);});
  }
  _this.executeFunc("CallSqlServP",params,CallbackCallSql);
 }
 else
  callbackCore(info);
 //#endregion:Etc
 //#region:EventEnd
 }
 else
  callbackCore(info);
 //#endregion:EventEnd</t>
  </si>
  <si>
    <t>//#region:Ver
 //CD:03/17/59/14:42,CB:Tof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comboField = _this.getField("D_INT_05");
  var nameField = _this.getField("D_TEXT_08");
  var buyField = _this.getField("D_TEXT_10");
  var name = "",val,buy = "0";
  if(!_.isNull(comboField)){
  name = comboField.getComponent().getField().find(":selected").html();
  val = name.split(/ : /g);
  }
  if(!_.isNull(buyField))
  buy = buyField.getValue();
  if(!_.isNull(nameField) &amp;&amp; (val.length &gt; 1))
  nameField.setValue(val[1]);
  field.setValue(val[0]+"/"+buy);
 }
 callbackCore(info);
 //#endregion:Etc
 //#region:EventEnd
 }
 else
  callbackCore(info);
 //#endregion:EventEnd</t>
  </si>
  <si>
    <t>//#region:Ver
 //CD:04/16/58/10:00,CB:Tof
 //ED:05/06/15/11:34,EB:wisut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</si>
  <si>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//CD:04/09/58/14:08,CB:jirapat
 //ED:05/06/15/11:35,EB:wisut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
  ,Operations: "OR"
  };
  var ValReturn = this.executeFunc("SPVerifyField",Params);
  if(!ValReturn.success || (ValReturn.success &amp;&amp; (ValReturn.output))){
  info.isError = true;
  info.VerifyCode = ValReturn.ErrorCode;
  }
 }
 callbackCore(info);
 //#endregion:Etc
 //#region:EventEnd
 }
 else
  callbackCore(info);
 //#endregion:EventEnd</t>
  </si>
  <si>
    <t>สมัครใหม่/ค่าธรรมเนียม/สัมฤทธิ์ ป.ตรีมสธ</t>
  </si>
  <si>
    <t>//#region:Ver
 //CD:09/16/58/17:22,CB:Tof
 //ED:07/06/59/19:32,EB:Tof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fieldRef3 = _this.getField("D_TEXT_04");
  var fieldRef4 = _this.getField("D_TEXT_03");
  var ref4 = "",ref3="";
  var val = field.getValue();
  var len = val.length;
  if(len == 16){
  var Params = {
  Condition: { 
  0:{Value: "111001",Operator: "==",Start: 0,Num: 6}
  ,1:{Value: "111002",Operator: "==",Start: 0,Num: 6}
  ,2:{Value: "111600",Operator: "==",Start: 0,Num: 6}
  ,3:{Value: "111003",Operator: "==",Start: 0,Num: 6}
  }
  ,Operations: "OR"
  }
  var ValReturn = _this.executeFunc("VerifyFieldSubStr",Params);
  if(!ValReturn)
  info.isError = true;
  }
  else if(val != "111003")
  info.isError = true;
  if(!info.isError &amp;&amp; [2,3].indexOf(eName) == -1){
  ref4 = val.substr(3,3);
  if(len == 6){
  var output = _this.executeFunc("FormatZero",{LenFormat: 10,Value: ref3});
  ref3 = output.output;
  }
  else if(len &gt;= 16)
  ref3 = val.substr(6,10);
  if(!_.isNull(fieldRef3))
  fieldRef3.setValue(ref3);
  if(!_.isNull(fieldRef4))
  fieldRef4.setValue(ref4);
  }
 }
 callbackCore(info);
 //#endregion:Etc
 //#region:EventEnd
 }
 else
  callbackCore(info);
 //#endregion:EventEnd</t>
  </si>
  <si>
    <t>ประเภทการชำระเงิน</t>
  </si>
  <si>
    <t>เลขที่อ้างอิง</t>
  </si>
  <si>
    <t>คำนำหน้าชื่อ</t>
  </si>
  <si>
    <t>//#region:Ver
 //CD:09/16/58/17:42,CB:Tof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params = {MapData:[{FDName:"D_TEXT_05",Column:"VALUE_NAME"}]};
 this.executeFunc("ServDataCombo",params);
 }
 callbackCore(info);
 //#endregion:Etc
 //#region:EventEnd
 }
 else
 callbackCore(info);
 //#endregion:EventEnd</t>
  </si>
  <si>
    <t>ชื่อ</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</si>
  <si>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</si>
  <si>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นามสกุล</t>
  </si>
  <si>
    <t>//#region:Ver
 //CD:04/20/59/14:07,CB:Tof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</si>
  <si>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บัตรประจำตัวประชาชน</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</si>
  <si>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ValReturn = this.executeFunc("CheckIDCardNo");
 if(!ValReturn)
 info.isError = true;
 }
 callbackCore(info);
 //#endregion:Etc
 //#region:EventEnd
 }
 else
 callbackCore(info);
 //#endregion:EventEnd</t>
  </si>
  <si>
    <t>//#region:Ver
 //CD:09/16/58/18:03,CB:Tof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</si>
  <si>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ID คำนำหน้า</t>
  </si>
  <si>
    <t>NumberField</t>
  </si>
  <si>
    <t>D_INT_01_CBV</t>
  </si>
  <si>
    <t>คำนำหน้าย่อ</t>
  </si>
  <si>
    <t>บริษัท กรุ๊ปลีส จำกัด (มหาชน)</t>
  </si>
  <si>
    <t>ชำระเงินค่าเช่าซื้อ บริษัท กรุ๊ปลีส</t>
  </si>
  <si>
    <t>BRCDE</t>
  </si>
  <si>
    <t>//#region:Ver
 //CD:05/06/15/16:20,CB:wisut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var val  = field.getValue();
 var fieldRef3 = _this.getField("D_TEXT_03");
 var ref3  = "";
 if(val.substr(0,16) == "|010753700032701")
 ref3 = val.substr(16,9);
 else if(val.substr(0,16) == "|010753700032702")
 ref3 = val.substr(16,11);
 else if(["0107537000327","|310138716201"].indexOf(val.substr(0,13)) != -1 || val.substr(0,10) == "|3101387162")
 ref3 = val.substr(13,9);
 else 
 info.isError = true;
 if(!info.isError){
 if(!_.isNull(fieldRef3))
 fieldRef3.setValue(ref3);
 }
 }
 callbackCore(info);
 //#endregion:Etc
 //#region:EventEnd
 }
 else
 callbackCore(info);
 //#endregion:EventEnd</t>
  </si>
  <si>
    <t>//#region:Ver
 //CD:10/01/58/16:13,CB:Tof
 //ED:01/12/60/15:17,EB:Tof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output = _this.executeFunc("GroupLease",{CusNo:val});
  if(!output.success || (output.success &amp;&amp; !output.output) || val.substr(0,1) == "0")
  info.isError = true;*/
  var Lang = {
  Condition: {Language: "NUM"}//TH,EN,NUM,THEN,THNUM,ENNUM
  ,Operations: "AND"
  }
  var ValLang = this.executeFunc("VerifyFieldLanguage",Lang);
  if (!ValLang){
  info.isError = true;
  info.VerifyCode = "-320";
  }
  if(!info.isError)
  _this.executeFunc("GroupLeaseNew",{CusNo:val},function(output){
  if(!output.success || (output.success &amp;&amp; !output.output))
  info.isError = true;
  callbackCore(info);
  });
  else 
  callbackCore(info);
 }
 else
  callbackCore(info);
 //#endregion:Etc
 //#region:EventEnd
 }
 else
  callbackCore(info);
 //#endregion:EventEnd</t>
  </si>
  <si>
    <t>//#region:Ver
 //CD:05/06/15/16:21,CB:wisut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</si>
  <si>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ธนาคารกรุงไทย</t>
  </si>
  <si>
    <t>ค่าปรับจราจร</t>
  </si>
  <si>
    <t>อ่านบัตรประชาชน</t>
  </si>
  <si>
    <t>Button</t>
  </si>
  <si>
    <t>ONLINE_1</t>
  </si>
  <si>
    <t>//#region:Ver
 //CD:08/18/58/16:49,CB:Tof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if([1,2,3].indexOf(eName) == -1){
  var smCardCallback = function(data){
  var _data = data.Data,_info = _data.Data;
  var focusField = _this.getField("D_TEXT_03");
  var cardNoField = _this.getField("D_TEXT_03");
  if(_data.ErrorCode == 1){
  if(!_.isNull(cardNoField))
  cardNoField.setValue(_info.CitizenID);
  if(!_.isNull(focusField))
  focusField.focus();//focus Field
  }
  else
  _this.executeFunc("SPMsgBoxOk",{Msg:"กรุณาตรวจสอบเครื่องอ่านบัตร",Title:_data.Title});
  };
  if(eName == 7)
  _this.readSmartCard(smCardCallback);
 }
 else
  callbackCore(info);
 //#endregion:Etc
 //#region:EventEnd
 }
 else
  callbackCore(info);
 //#endregion:EventEnd</t>
  </si>
  <si>
    <t>เลขที่ธนาณัตืพิเศษ</t>
  </si>
  <si>
    <t>สแกนบาร์โค้ด</t>
  </si>
  <si>
    <t>var _this = this;
 var _callback = callback;
 var field = _this.getField();
 var chkEvent = _this.executeFunc('CheckEvent',{Data:datas});
 var info = chkEvent.output;
 var eName = info.eName;
 var callbackCore = function(result){
  _this.executeFunc('CallbackCore',{Data:result},_callback);
 };
 //eName = enter
 if([1,2,3,8].indexOf(eName) != -1 || eName == 8){
  var params = {
  Condition: { 
  0:{Value: "|099400015904822",Operator: "==",Start: 0,Num: 16}
  }
  ,Operations: "AND"
  }
  var isTaxId = _this.executeFunc("VerifyFieldSubStr",params);
  if(!isTaxId){
  info.isError = true;
  info.VerifyCode = "-5101";
  }
  callbackCore(info);
 }
 else
  callbackCore(info);</t>
  </si>
  <si>
    <t>หมายเลขบัตรประชาชน</t>
  </si>
  <si>
    <t>var _this = this;
 var _callback = callback;
 var field = _this.getField();
 var chkEvent = _this.executeFunc("CheckEvent",{Data:datas});
 var info = chkEvent.output;
 var eName = info.eName;
 var callbackCore = function(result){
  _this.executeFunc("CallbackCore",{Data:result},_callback);
 };
 //eName = enter
 if([1,2,3,8].indexOf(eName) != -1 || eName == 8){
 if([1].indexOf(eName) == -1){
  var ValReturn = _this.executeFunc("CheckIDCardNo");
  if(!ValReturn){
  info.isError = true;
  info.VerifyCode = "-290";
  }
 }
  callbackCore(info);
 }
 else
  callbackCore(info);</t>
  </si>
  <si>
    <t>เลขที่ใบสั่ง</t>
  </si>
  <si>
    <t>var _this = this;
 var _callback = callback;
 var field = _this.getField();
 var chkEvent = _this.executeFunc("CheckEvent",{Data:datas});
 var info = chkEvent.output;
 var eName = info.eName;
 var callbackCore = function(result){
  _this.executeFunc("CallbackCore",{Data:result},_callback);
 };
 //eName = enter
 if([1,2,3,8].indexOf(eName) != -1 || eName == 8){
  _this.executeFunc("ChkDupBar",{BARCODE:[field.getValue()],FieldChk:["REFNO4"]},function(result){
  if(!result.success || !_.isUndefined(result.output.Msg)){
  info.Msg = result.output.Msg;
  info.isError = result.output.isError;
  info.isClear = false;
  }
  callbackCore(info);
  });
 }
 else
  callbackCore(info);</t>
  </si>
  <si>
    <t>เลขทะเบียนรถยนต์</t>
  </si>
  <si>
    <t>TCN_INF_INQUIRY</t>
  </si>
  <si>
    <t>IPAddress</t>
  </si>
  <si>
    <t>ComCode</t>
  </si>
  <si>
    <t>Currency code</t>
  </si>
  <si>
    <t>TranRefNo</t>
  </si>
  <si>
    <t>TranDate</t>
  </si>
  <si>
    <t>TranTime</t>
  </si>
  <si>
    <t>TranBackendTime</t>
  </si>
  <si>
    <t>TranBackendRef</t>
  </si>
  <si>
    <t>TranNetFree</t>
  </si>
  <si>
    <t>บริษัท อยุธยา แคปปิตอล เซอร์วิสเซส จำกัด</t>
  </si>
  <si>
    <t>ชำระค่าสินเชื่อจีอีมันนี่PERSONAL CREDIT</t>
  </si>
  <si>
    <t>//#region:Ver
 //CD:05/06/58/13:45,CB:jirapat
 //ED:05/08/15/09:51,EB:wisut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"301151153403",Operator: "!=",Start: 0,Num: 12}
  ,1:{Value: "|301151153403",Operator: "!=",Start: 0,Num: 13}
 }
  ,Operations: "OR"
 }
 var ValReturn = this.executeFunc("VerifyFieldSubStr",Params);
 if(!ValReturn)
 info.isError = true;
 }
 callbackCore(info);
 //#endregion:Etc
 //#region:EventEnd
 }
 else
 callbackCore(info);
 //#endregion:EventEnd</t>
  </si>
  <si>
    <t>LOAN NO. (REF 1)</t>
  </si>
  <si>
    <t>//#region:Ver
 //CD:10/05/58/13:37,CB:Tof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output = this.executeFunc("GeMod10",{Value:val});
 if("1299" != val.substr(0,4) || !output.success || (output.success &amp;&amp; !output.output))
 info.isError = true;
 }
 callbackCore(info);
 //#endregion:Etc
 //#region:EventEnd
 }
 else
 callbackCore(info);
 //#endregion:EventEnd</t>
  </si>
  <si>
    <t>//#region:Ver
 //CD:01-21-16-16:34,CB:sompan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</si>
  <si>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ธนาคารพัฒนาวิสาหกิจฯSME BANK</t>
  </si>
  <si>
    <t>ชำระเงินกู้ธนาคาร SME BANK</t>
  </si>
  <si>
    <t>//#region:Ver
 //CD:09-25-15-15:47,CB:sompan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fieldRef3 = _this.getField("D_TEXT_04");
 var field1 = _this.getField("D_TEXT_03");
 var field2 = _this.getField("D_TEXT_05");
 var field3 = _this.getField("D_TEXT_06");
 var ref3;
 var Params = {
 Condition: { 
 0:{Value: "|410703757000",Operator: "==",Start: 0,Num: 13}
 ,1:{Value: "|099400018891900",Operator: "==",Start: 0,Num: 16}
 }
 ,Operations: "OR"
 }
 var ValReturn = _this.executeFunc("VerifyFieldSubStr",Params);
 if(!ValReturn)
 info.isError = true;
 if(!info.isError &amp;&amp; [2,3].indexOf(eName) == -1){
 if(val.substr(0,13) == "|410703757000")
 ref3 = val.substr(13,val.length - 14);
 if(val.substr(0,16) == "|099400018891900")
 ref3 = val.substr(16,val.length - 17);
 if(!_.isNull(fieldRef3))
 fieldRef3.setValue(ref3);
 if(!_.isNull(field1))
 field1.setValue("00");
 if(!_.isNull(field2))
 field2.setValue("0");
 if(!_.isNull(field3))
 field3.setValue("0");
 }
 }
 callbackCore(info);
 //#endregion:Etc
 //#region:EventEnd
 }
 else
 callbackCore(info);
 //#endregion:EventEnd</t>
  </si>
  <si>
    <t>พิมพ์รหัสธนาคาร</t>
  </si>
  <si>
    <t>หมายเลขบัญชีเงินกู้</t>
  </si>
  <si>
    <t>//#region:Ver
 //CD:09/30/58/12:03,CB:Tof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output = this.executeFunc("SmeCheckDigit",{Data:field.getValue()});
 if(!output.success || (output.success &amp;&amp; !output.output))
 info.isError = true;
 }
 callbackCore(info);
 //#endregion:Etc
 //#region:EventEnd
 }
 else
 callbackCore(info);
 //#endregion:EventEnd</t>
  </si>
  <si>
    <t>รหัสสาขา</t>
  </si>
  <si>
    <t>ประเภทสินเชื่อ</t>
  </si>
  <si>
    <t>//#region:Ver
 //CD:05/12/15/15:08,CB:wisut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</si>
  <si>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กรุงเทพประกันภัย จำกัด (มหาชน)</t>
  </si>
  <si>
    <t>ชำระค่าเบี้ยประกัน กรุงเทพประกันภัย</t>
  </si>
  <si>
    <t>สแกนบาร์โค้ด/เลขผู้เสียภาษี</t>
  </si>
  <si>
    <t>//#region:Ver
 //CD:05/12/15/15:15,CB:wisut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"3101000047",Operator: "!=",Start: 0,Num: 10}
  ,1:{Value: "0107536000625",Operator: "!=",Start: 0,Num: 13}
  ,2:{Value: "|0107536000625000000",Operator: "!=",Start: 0,Num: 20}
  ,3:{Value: "|310100004700000000",Operator: "!=",Start: 0,Num: 19}
 }
 ,Operations: "AND"
 }
 var ValReturn = this.executeFunc("VerifyFieldSubStr",Params);
 if(ValReturn==true)
 info.isError = true;
 }
 callbackCore(info);
 //#endregion:Etc
 //#region:EventEnd
 }
 else
 callbackCore(info);
 //#endregion:EventEnd</t>
  </si>
  <si>
    <t>ชื่อ - สกุล ผู้ซื้อกรมธรรม์</t>
  </si>
  <si>
    <t>//#region:Ver
 //CD:05/12/15/15:16,CB:wisut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</si>
  <si>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เลขที่กรมธรรม์</t>
  </si>
  <si>
    <t>//#region:Ver
 //CD:05/12/15/15:17,CB:wisut
 //ED:07/21/58/11:38,EB:jirapat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info.isLock = true;
 var ParamsLang = {
 Condition: {Language: "NUM"}//TH,EN,NUM,THEN,THNUM,ENNUM
 ,Operations: "AND"
 }
 var ValLang = this.executeFunc("VerifyFieldLanguage",ParamsLang);
 if(!ValLang)
 info.VerifyCode = "-320";
 if(ValLang==false)
 info.isError = true;
 }
 callbackCore(info);
 //#endregion:Etc
 //#region:EventEnd
 }
 else
 callbackCore(info);
 //#endregion:EventEnd</t>
  </si>
  <si>
    <t>เลขที่สลักหลัง</t>
  </si>
  <si>
    <t>//#region:Ver
 //CD:01-20-16-16:23,CB:sompan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</si>
  <si>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//CD:09/16/58/16:28,CB:Tof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</si>
  <si>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ชำระประกัน กรุงเทพประกันภัย</t>
  </si>
  <si>
    <t>//#region:Ver
 //CD:11-03-15-11:31,CB:sompan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Substr = {
  Condition: [
  {Value: "|010753600062501",Operator: "==",Start: 0,Num: 16,ErrorCode: "-710"}
  ]
  ,Operations: "AND"
  }
  var Valsub = _this.executeFunc("SPVerifyFieldSubStr",Substr);
  if(!Valsub.success || (Valsub.success &amp;&amp; !Valsub.output) ){
  info.isError = true;
  info.VerifyCode = Valsub.ErrorCode;
  }
 }
 callbackCore(info);
 //#endregion:Etc
 //#region:EventEnd
 }
 else
  callbackCore(info);
 //#endregion:EventEnd</t>
  </si>
  <si>
    <t>รหัสโปรดักส์</t>
  </si>
  <si>
    <t>Ref No.</t>
  </si>
  <si>
    <t>กรมธรรม์เลขที่</t>
  </si>
  <si>
    <t>กรุงเทพประกันภัย</t>
  </si>
  <si>
    <t>TabPanel</t>
  </si>
  <si>
    <t>fd_1_1</t>
  </si>
  <si>
    <t>ชำระกรุงเทพประกันภัย</t>
  </si>
  <si>
    <t>fd_1_2</t>
  </si>
  <si>
    <t>Tab</t>
  </si>
  <si>
    <t>fd_1</t>
  </si>
  <si>
    <t>Web</t>
  </si>
  <si>
    <t>fd_3</t>
  </si>
  <si>
    <t>สหกรณ์ออมทรัพย์ กสท.</t>
  </si>
  <si>
    <t>ชำระค่าหุ้น ค่างวด สหกรณ์ออมทรัพย์ กสท.</t>
  </si>
  <si>
    <t>//#region:Ver
 //CD:05/07/15/16:11,CB:wisut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!=1){ 
 var Params = {
 Condition: { 
 0:{Value: "|099400016732600",Operator: "!=",Start: 0,Num: 16}
 }
 ,Operations: "AND"
 }
 var ValReturn = this.executeFunc("VerifyFieldSubStr",Params);
 if(ValReturn==true)
 info.isError = true;
 }
 callbackCore(info);
 //#endregion:Etc
 //#region:EventEnd
 }
 else
 callbackCore(info);
 //#endregion:EventEnd</t>
  </si>
  <si>
    <t>Ref No.1</t>
  </si>
  <si>
    <t>Ref No.2</t>
  </si>
  <si>
    <t>//#region:Ver
 //CD:05/07/15/16:12,CB:wisut
 //ED:05/19/58/13:14,EB:jirapat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</si>
  <si>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รหัสสังกัด</t>
  </si>
  <si>
    <t>//#region:Ver
 //CD:07/21/58/15:32,CB:jirapat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"NUM"}
 ,Operations: "AND"
 }
 var Lang = this.executeFunc("VerifyFieldLanguage",ParamsLang);
 if(!Lang)
 info.isError = true;
 if(!Lang)
 info.VerifyCode = "-320";
 info.isLock = true;
 }
 callbackCore(info);
 //#endregion:Etc
 //#region:EventEnd
 }
 else
 callbackCore(info);
 //#endregion:EventEnd</t>
  </si>
  <si>
    <t>สังกัด</t>
  </si>
  <si>
    <t>//#region:Ver
 //CD:01-27-16-11:45,CB:sompan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!=1){ 
 info.isLock = true;
 }
 callbackCore(info);
 //#endregion:Etc
 //#region:EventEnd
 }
 else
 callbackCore(info);
 //#endregion:EventEnd</t>
  </si>
  <si>
    <t>//#region:Ver
 //CD:05/07/15/16:13,CB:wisut
 //ED:09-15-15-16:56,EB:sompan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3000000,Operator: "&gt;",ErrorCode: "-894"}]
 ,Operations: "OR"
 };
 var ValReturn = this.executeFunc("SPVerifyField",Params);
 if(!ValReturn.success || (ValReturn.success &amp;&amp; ValReturn.output) ){
 info.isError = true;
 info.VerifyCode = ValReturn.ErrorCode;
 }
 }
 callbackCore(info);
 //#endregion:Etc
 //#region:EventEnd
 }
 else
 callbackCore(info);
 //#endregion:EventEnd</t>
  </si>
  <si>
    <t>ชำระหนี้ก่อนกำหนด สหกรณ์ออมทรัพย์ กสท.</t>
  </si>
  <si>
    <t>เลขที่สมาชิก</t>
  </si>
  <si>
    <t>//#region:Ver
 //CD:04/17/58/10:42,CB:Tof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info.isError = true;
 }
 callbackCore(info);
 //#endregion:Etc
 //#region:EventEnd
 }
 else
 callbackCore(info);
 //#endregion:EventEnd</t>
  </si>
  <si>
    <t>พิมพ์ 1-4</t>
  </si>
  <si>
    <t>D_INT_10</t>
  </si>
  <si>
    <t>//#region:Ver
 //CD:04/08/58/16:53,CB:jirapat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var CallbackServData = function(result){
 if(info.isValid){
 if(result.success){
 var Params = {
 FDName:"D_INT_02_CBV"
 ,Condition: { 
  0:{Value: 1,Operator: "!="}
  ,1:{Value: 2,Operator: "!="}
  ,2:{Value: 3,Operator: "!="}
  ,3:{Value: 4,Operator: "!="}
  ,4:{Value: 5,Operator: "!="}
 }
  ,Operations: "AND"
 }
 var ValReturn = this.executeFunc("VerifyField",Params);
 if(ValReturn)
 info.isError = true;
 if(!info.isError){
 var name = field.getComponent().getField().find(":selected").html(); 
 var val = name.split(/: /g);
 var field1 = _this.getField("D_TEXT_04");
 var field2 = _this.getField("D_TEXT_05");
 var valName;
 if(val.length &gt; 1)
 valName = val[1];
 else
 valName = val[0];
 field1.setValue(valName);
 }
 }
 }
 callbackCore(info);
 }
 this.executeFunc("ServDataCombo",{},CallbackServData);
 //#endregion:Etc
 //#region:EventEnd
 }
 else
 callbackCore(info);
 //#endregion:EventEnd</t>
  </si>
  <si>
    <t>D_INT_10_CBV</t>
  </si>
  <si>
    <t>ประเภทเงินกู้</t>
  </si>
  <si>
    <t>ชื่อเจ้าของบัญชี</t>
  </si>
  <si>
    <t>//#region:Ver
 //CD:04/08/58/16:53,CB:jirapat
 //ED:07/13/59/11:25,EB:Tof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info.isError = true;
 info.VerifyCode = ValReturn.ErrorCode;
 }
 }
 callbackCore(info);
 //#endregion:Etc
 //#region:EventEnd
 }
 else
 callbackCore(info);
 //#endregion:EventEnd</t>
  </si>
  <si>
    <t>รับเงินฝาก สหกรณ์ออมทรัพย์ กสท.</t>
  </si>
  <si>
    <t>//#region:Ver
 //CD:05/25/58/10:45,CB:jirapat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info.VerifyCode = "-320"
 if(ValReturn==false)
 info.isError = true;
 }
 callbackCore(info);
 //#endregion:Etc
 //#region:EventEnd
 }
 else
 callbackCore(info);
 //#endregion:EventEnd</t>
  </si>
  <si>
    <t>เลขที่บัญชีเงินฝาก</t>
  </si>
  <si>
    <t>//#region:Ver
 //CD:05/25/58/10:44,CB:jirapat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info.VerifyCode = "-320";
 if(ValReturn==false)
 info.isError = true;
 }
 callbackCore(info);
 //#endregion:Etc
 //#region:EventEnd
 }
 else
 callbackCore(info);
 //#endregion:EventEnd</t>
  </si>
  <si>
    <t>//#region:Ver
 //CD:04/16/58/10:00,CB:Tof
 //ED:05/06/15/16:46,EB:wisut
 //ED:05/25/58/10:44,EB:jirapat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</si>
  <si>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//CD:04/08/58/16:50,CB:jirapat
 //ED:05/06/15/16:46,EB:wisut
 //ED:07/25/59/11:08,EB:Tof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</si>
  <si>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ซิงเกอร์ประเทศไทย จำกัด (มหาชน)</t>
  </si>
  <si>
    <t>ชำระค่าผ่อนสินค้า บ.ซิงเกอร์ประเทศไทย</t>
  </si>
  <si>
    <t>//#region:Ver
 //CD:05/12/15/15:48,CB:wisut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"310101129602",Operator: "!=",Start: 0,Num: 12}
 }
 ,Operations: "AND"
 }
 var ValReturn = this.executeFunc("VerifyFieldSubStr",Params);
 if(ValReturn==true)
 info.isError = true;
 info.isLock = true;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</si>
  <si>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</si>
  <si>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รหัสลูกค้า (Ref.No.1)</t>
  </si>
  <si>
    <t>//#region:Ver
 //CD:01-27-16-16:49,CB:sompan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
 callbackCore(info);
 //#endregion:Etc
 //#region:EventEnd
 }
 else
 callbackCore(info);
 //#endregion:EventEnd</t>
  </si>
  <si>
    <t>เลขที่อ้างอิง (Ref. No.2)</t>
  </si>
  <si>
    <t>//#region:Ver
 //CD:01-27-16-16:50,CB:sompan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
 callbackCore(info);
 //#endregion:Etc
 //#region:EventEnd
 }
 else
 callbackCore(info);
 //#endregion:EventEnd</t>
  </si>
  <si>
    <t>//#region:Ver
 //CD:01-27-16-16:49,CB:sompan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</si>
  <si>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กรมธุรกิจพลังงาน</t>
  </si>
  <si>
    <t>ค่าธรรมเนียม ประกาศคณะปฏิวัติ ปว.28</t>
  </si>
  <si>
    <t>พิมพ์รหัสบริการ PAY AT POST</t>
  </si>
  <si>
    <t>//#region:Ver
 //CD:05/12/15/16:04,CB:wisut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"50316",Operator: "!="}
  ,1:{Value: "316",Operator: "!="}
 }
 ,Operations: "AND"
 }
 var ValReturn = this.executeFunc("VerifyField",Params);
 if(ValReturn)
 info.isError = true;
 }
 callbackCore(info);
 //#endregion:Etc
 //#region:EventEnd
 }
 else
 callbackCore(info);
 //#endregion:EventEnd</t>
  </si>
  <si>
    <t>ชื่อผู้ประกอบการ</t>
  </si>
  <si>
    <t>//#region:Ver
 //CD:04/16/58/10:00,CB:Tof
 //ED:10-05-15-17:34,EB:sompan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if(ValReturn2==false||ValReturn1==true)
 info.isError = true;
 else if([2,3].indexOf(eName) == -1)
 this.getField("D_MONEY_01").setValue("100");
 }
 callbackCore(info);
 //#endregion:Etc
 //#region:EventEnd
 }
 else
 callbackCore(info);
 //#endregion:EventEnd</t>
  </si>
  <si>
    <t>ใบรับแจ้ง เลขที่</t>
  </si>
  <si>
    <t>//#region:Ver
 //CD:01-27-16-11:59,CB:sompan
 //ED:09-27-16-16:08,EB:sompan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ParamsLang = {
 Condition: {Language: "NUM"}
 ,Operations: "AND"
 }
 var Lang = this.executeFunc("VerifyFieldLanguage",ParamsLang);
 if(!Lang)
 info.isError = true;
 info.VerifyCode = "-320";*/
 }
 callbackCore(info);
 //#endregion:Etc
 //#region:EventEnd
 }
 else
 callbackCore(info);
 //#endregion:EventEnd</t>
  </si>
  <si>
    <t>ยืนยัน ใบรับแจ้ง เลขที่</t>
  </si>
  <si>
    <t>PasswordField</t>
  </si>
  <si>
    <t>//#region:Ver
 //CD:06/11/15/09:59,CB:Art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output = this.executeFunc("CheckDupField",{setField:"D_TEXT_04"});
 if(!output.output)
 info.isError = true;
 if(!info.isError){
 var val = field.getValue();
 var refField = _this.getField("D_TEXT_08");
 var ref = "";
 for(i=0;i&lt;12;i++){
 ref = ref + "*";
 }
 if(!_.isNull(refField))
 refField.setValue(ref);
 }
 }
 callbackCore(info);
 //#endregion:Etc
 //#region:EventEnd
 }
 else
 callbackCore(info);
 //#endregion:EventEnd</t>
  </si>
  <si>
    <t>ประเภทใบอนุญาต</t>
  </si>
  <si>
    <t>//#region:Ver
 //CD:05/12/15/16:06,CB:wisut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if([2,3].indexOf(eName) == -1){
 var CallbackServData = function(result){
 if(info.isValid = true){
 if(result.seccess){
 var Params = {
 FDName:"D_INT_02_CBV"
 ,Condition: { 
 0:{Value: 1,Operator: "=="}
 ,1:{Value: 2,Operator: "=="}
 ,2:{Value: 3,Operator: "=="}
 ,3:{Value: 4,Operator: "=="}
 ,4:{Value: 5,Operator: "=="}
 }
  ,Operations: "AND"
 }
 var ValReturn = _this.executeFunc("VerifyField",Params);
 if(ValReturn)
 info.isError = true;
 }
 }
 callbackCore(info);
 }
 this.executeFunc("ServDataCombo",{},function(){
 var name = field.getComponent("").getField().find(":selected").html();
 _this.getField("D_TEXT_06").setValue(name);
 callbackCore(info); 
 });
 }
 else {
 var Params = {
 FDName:"D_INT_02_CBV"
 ,Condition: { 
 0:{Value: 1,Operator: "=="}
 ,1:{Value: 2,Operator: "=="}
 ,2:{Value: 3,Operator: "=="}
 ,3:{Value: 4,Operator: "=="}
 ,4:{Value: 5,Operator: "=="}
 }
  ,Operations: "AND"
 }
 var ValReturn = this.executeFunc("VerifyField",Params);
 if(ValReturn)
 info.isError = true;
 callbackCore(info);
 }
 //#endregion:Etc
 //#region:EventEnd
 }
 else
 callbackCore(info);
 //#endregion:EventEnd</t>
  </si>
  <si>
    <t>ที่ตั้งสถานประกอบการ</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</si>
  <si>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Params2 = {
 Condition: { 
  0:{Value: 50,Operator: "&lt;="}
 }
 ,Operations: "AND"
 }
 var ValReturn2 = this.executeFunc("VerifyFieldLength",Params2);
 var Params1 = {
 Condition: { 
  0:{Character: ";"}
 }
 ,Operations: "AND"
 }
 var ValReturn1 = this.executeFunc("VerifyFieldCharacter",Params1);
 if(ValReturn2==false||ValReturn1==true)
 info.isError = true;
 }
 callbackCore(info);
 //#endregion:Etc
 //#region:EventEnd
 }
 else
 callbackCore(info);
 //#endregion:EventEnd</t>
  </si>
  <si>
    <t>//#region:Ver
 //CD:10-27-15-10:31,CB:sompan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</si>
  <si>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ค่าธรรมเนียมค้าน้ำมันเชื้อเพลิง43รายใหม่</t>
  </si>
  <si>
    <t>//#region:Ver
 //CD:05/12/15/16:07,CB:wisut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"50357",Operator: "!="}
  ,1:{Value: "357",Operator: "!="}
 }
 ,Operations: "AND"
 }
 var ValReturn = this.executeFunc("VerifyField",Params);
 if(ValReturn==true)
 info.isError = true;
 }
 callbackCore(info);
 //#endregion:Etc
 //#region:EventEnd
 }
 else
 callbackCore(info);
 //#endregion:EventEnd</t>
  </si>
  <si>
    <t>//#region:Ver
 //CD:04/16/58/10:00,CB:Tof
 //ED:10-05-15-17:37,EB:sompan
 //ED:08-03-16-11:40,EB:sompan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</si>
  <si>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ชำระค่าธรรมเนียมตามมาตรา</t>
  </si>
  <si>
    <t>//#region:Ver
 //CD:05/12/15/16:08,CB:wisut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CallbackServData = function(result){
 if(result.seccess){
 var Params = {
 FDName:"D_INT_02_CBV"
 ,Condition: { 
  0:{Value: 1,Operator: "!="}
  ,1:{Value: 2,Operator: "!="}
  ,2:{Value: 3,Operator: "!="}
  ,3:{Value: 4,Operator: "!="}
 }
  ,Operations: "AND"
 }
 var ValReturn = this.executeFunc("VerifyField",Params);
 if(ValReturn==true)
 info.isError = true;
 }
 callbackCore(info);
 }
 this.executeFunc("ServDataCombo",{MapData:[{FDName:"D_TEXT_04",Column:"VALUE_NAME"}]},CallbackServData);
 }
 else
 callbackCore(info);
 //#endregion:Etc
 //#region:EventEnd
 }
 else
 callbackCore(info);
 //#endregion:EventEnd</t>
  </si>
  <si>
    <t>//#region:Ver
 //CD:02-23-16-11:48,CB:sompan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if(!info.isError)
 field.setLock(true);
 else 
 field.setLock(false);
 }
 callbackCore(info);
 //#endregion:Etc
 //#region:EventEnd
 }
 else
 callbackCore(info);
 //#endregion:EventEnd</t>
  </si>
  <si>
    <t>//#region:Ver
 //CD:06/11/15/10:00,CB:Art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pwfield = _this.getField("D_TEXT_08");
 var val = field.getValue();
 var output = this.executeFunc("CheckDupField",{setField:"D_TEXT_05"});
 var pwVal = "";
 if(!output.output)
 info.isError = true;
 if(!info.isError &amp;&amp; [1,2,3].indexOf(eName) ==-1){
 for(i=0;i&lt;9;i++){
 pwVal += "*";
 }
 if(!_.isNull(pwfield))
 pwfield.setValue(pwVal);
 }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</si>
  <si>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</si>
  <si>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ค่าคำขอ</t>
  </si>
  <si>
    <t>//#region:Ver
 //CD:11/24/58/17:17,CB:Tof
 //ED:08-03-16-11:55,EB:sompan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info.isLock = true;
 _this.executeControl("D_MONEY_01",{datas:{eventName:"enter",isExec:true}});
 callbackCore(info);
 //#endregion:Etc
 //#region:EventEnd
 }
 else
 callbackCore(info);
 //#endregion:EventEnd</t>
  </si>
  <si>
    <t>ค่าใบทะเบียน</t>
  </si>
  <si>
    <t>//#region:Ver
 //CD:11/24/58/17:17,CB:Tof
 //ED:08-03-16-15:54,EB:sompan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info.isLock = true;
 _this.executeControl("D_MONEY_01",{datas:{eventName:"enter",isExec:true}});
 callbackCore(info);
 //#endregion:Etc
 //#region:EventEnd
 }
 else
 callbackCore(info);
 //#endregion:EventEnd</t>
  </si>
  <si>
    <t>ค่าธรรมเนียมรายปี</t>
  </si>
  <si>
    <t>//#region:Ver
 //CD:11/24/58/17:17,CB:Tof
 //ED:08-03-16-15:54,EB:sompan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info.isLock = true;
 _this.executeControl("D_MONEY_01",{datas:{eventName:"enter",isExec:true}});
 }
 callbackCore(info);
 //#endregion:Etc
 //#region:EventEnd
 }
 else
 callbackCore(info);
 //#endregion:EventEnd</t>
  </si>
  <si>
    <t>//#region:Ver
 //CD:11/24/58/17:15,CB:Tof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field1 = _this.getField("D_MONEY_02");
 var field2 = _this.getField("D_MONEY_03");
 var field3 = _this.getField("D_MONEY_04");
 var val = 0,amt1=0;amt2=0;amt3=0;
 if(!_.isNull(field1))
 amt1 = parseFloat(field1.getValue());
 if(!_.isNull(field2))
 amt2 = parseFloat(field2.getValue());
 if(!_.isNull(field3))
 amt3 = parseFloat(field3.getValue());
 val = amt1 + amt2 + amt3;
 field.setValue(val);
 }
 callbackCore(info);
 /*if(info.isValid &amp;&amp; eName != 1){
 var Params = {
 Condition:[{Value: 1,Operator: "&lt;",ErrorCode: "-770"}]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</si>
  <si>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ค่าธรรมเนียมพรบ.การค้าน้ำมันเชื้อเพลิง43</t>
  </si>
  <si>
    <t>//#region:Ver
 //CD:05/12/15/15:58,CB:wisut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"50315",Operator: "=="}
 ,1:{Value: "315",Operator: "=="}
 }
 ,Operations: "OR"
 }
 var ValReturn = this.executeFunc("VerifyField",Params);
 if(!ValReturn)
 info.isError = true
 }
 callbackCore(info);
 //#endregion:Etc
 //#region:EventEnd
 }
 else
 callbackCore(info);
 //#endregion:EventEnd</t>
  </si>
  <si>
    <t>ประจำปี</t>
  </si>
  <si>
    <t>//#region:Ver
 //CD:05/12/15/15:59,CB:wisut
 //ED:10/26/58/10:55,EB:Tof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[1,2].indexOf(eName) == -1){
 _this.executeFunc("StartAndEnd_Date",{TYPE:0},function(result){
 if(!result.success || result.output.isError){
 info.Msg = result.output.Msg;
 info.isError = result.output.isError;
 }
 if(!info.isError){
 var Information = [{FDName:"D_TEXT_20",Format:field.get("DISPLAY_FORMAT"),IsBud:field.get("IS_BE_DATE")}];
 _this.executeFunc("SetDateINF",{Information:Information},function(){callbackCore(info);});
 }
 else
 callbackCore(info);
 });
 }
 else{ 
 info.Msg = "กรุณากรอกวันที่ให้ถูกต้อง ("+field.get("DISPLAY_FORMAT")+")";
 callbackCore(info);
 }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</si>
  <si>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</si>
  <si>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//#region:Ver
 //CD:05/12/15/16:00,CB:wisut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name = field.getComponent().getField().find(":selected").html();
 var fieldSet = _this.getField("D_TEXT_03");
 if(!_.isNull(fieldSet))
 fieldSet.setValue(name);
 }
 callbackCore(info);
 //#endregion:Etc
 //#region:EventEnd
 }
 else
 callbackCore(info);
 //#endregion:EventEnd</t>
  </si>
  <si>
    <t>//#region:Ver
 //CD:06/11/15/09:58,CB:Art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output = this.executeFunc("CheckDupField",{setField:"D_TEXT_06"});
 if(!output.output)
 info.isError = true;
 if(!info.isError){
 var val  = field.getValue();
 var refField = _this.getField("D_TEXT_09");
 var ref  = "";
 for(i=0;i&lt;12;i++){
 ref = ref + "*";
 }
 if(!_.isNull(refField))
 refField.setValue(ref);
 }
 }
 callbackCore(info);
 //#endregion:Etc
 //#region:EventEnd
 }
 else
 callbackCore(info);
 //#endregion:EventEnd</t>
  </si>
  <si>
    <t>//#region:Ver
 //CD:04/17/58/10:31,CB:Tof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{Language: "NUM"}
 ,Operations: "AND"
 }
 var ValReturn = this.executeFunc("VerifyFieldLanguage",Params);
 if(!ValReturn)
 info.VerifyCode = "-320";
 if(ValReturn==false)
 info.isError = true;
 field.setLock(true);
 }
 callbackCore(info);
 //#endregion:Etc
 //#region:EventEnd
 }
 else
 callbackCore(info);
 //#endregion:EventEnd</t>
  </si>
  <si>
    <t>//#region:Ver
 //CD:04/17/58/10:31,CB:Tof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{Language: "NUM"}
 ,Operations: "AND"
 }
 var ValReturn = this.executeFunc("VerifyFieldLanguage",Params);
 if(!ValReturn)
 info.VerifyCode = "-320";
 if(ValReturn==false)
 info.isError = true;
 field.setLock(true);
 }
 callbackCore(info);
 //#endregion:Etc
 //#region:EventEnd
 }
 else
 callbackCore(info);
 //#endregion:EventEnd</t>
  </si>
  <si>
    <t>//#region:Ver
 //CD:10/01/58/15:43,CB:Tof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var dateField = _this.getField("D_TEXT_20");
 var amtField2 = _this.getField("D_TEXT_10");
 if(!_.isNull(amtField2))
 amtField2.setValue(field.getValue());
 if(!_.isNull(dateField)){
 var date = dateField.getValue();
 var amt = field.getValue();
 var Params = {YEAR : date
  ,AMT : amt};
 var callbackEC = function(result){
 var setField = _this.getField("D_MONEY_05");
 var amtField = _this.getField("D_MONEY_01");
 var field1 = _this.getField("D_MONEY_02");
 var field2 = _this.getField("D_MONEY_03");
 var amtVal = 0;
 if(!_.isNull(setField))
 setField.setValue(result.output);
 if(!_.isNull(amtField) &amp;&amp; !_.isNull(field1) &amp;&amp; !_.isNull(field2)){
 amtVal = parseFloat(amt) 
  + parseFloat(field1.getValue()) 
  + parseFloat(field2.getValue()) 
  + parseFloat(result.output);
 amtField.setValue(amtVal);
 }
 callbackCore(info);
 }
 _this.executeFunc("EnergyCheck",Params,callbackEC)
 }
 }
 else
 callbackCore(info);
 //#endregion:Etc
 //#region:EventEnd
 }
 else
 callbackCore(info);
 //#endregion:EventEnd</t>
  </si>
  <si>
    <t>ชำระเกินกำหนดเวลา ปรับ 3 %</t>
  </si>
  <si>
    <t>D_MONEY_05</t>
  </si>
  <si>
    <t>//#region:Ver
 //CD:01-04-16-14:36,CB:sompan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</si>
  <si>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D_TEXT_20</t>
  </si>
  <si>
    <t>ค่าธรรมเนียมพรบ.ควบคุมน้ำมันเชื้อเพลิง42</t>
  </si>
  <si>
    <t>//#region:Ver
 //CD:05/12/15/15:54,CB:wisut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"50314",Operator: "!="}
  ,1:{Value: "314",Operator: "!="}
 }
 ,Operations: "AND"
 }
 var ValReturn = this.executeFunc("VerifyField",Params);
 if(ValReturn==true)
 info.isError = true;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</si>
  <si>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ParamsLen = {
 Condition: { 
  0:{Value: 50,Operator: "&lt;="}
 }
 ,Operations: "AND"
 }
 var Len = this.executeFunc("VerifyFieldLength",ParamsLen);
 var ParamsChar = {
 Condition: { 
  0:{Character: ";"}
 }
 ,Operations: "AND"
 }
 var Char = this.executeFunc("VerifyFieldCharacter",ParamsChar);
 if(!Len || Char)
 info.isError = true;
 if(Char)
 info.VerifyCode = "-50";
 if(!Len)
 info.VerifyCode = "-90";
 }
 callbackCore(info);
 //#endregion:Etc
 //#region:EventEnd
 }
 else
 callbackCore(info);
 //#endregion:EventEnd</t>
  </si>
  <si>
    <t>//#region:Ver
 //CD:03-03-16-15:57,CB:sompan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</si>
  <si>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//CD:06/10/15/18:13,CB:Art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output = this.executeFunc("CheckDupField",{setField:"D_TEXT_04"});
 if(!output.output)
 info.isError = true;
 if(!info.isError){
 var val = field.getValue();
 var refField = _this.getField("D_TEXT_08");
 var ref = "";
 for(i=0;i&lt;12;i++){
 ref = ref + "*";
 }
 if(!_.isNull(refField))
 refField.setValue(ref);
 }
 }
 callbackCore(info);
 //#endregion:Etc
 //#region:EventEnd
 }
 else
 callbackCore(info);
 //#endregion:EventEnd</t>
  </si>
  <si>
    <t>//#region:Ver
 //CD:05/12/15/15:56,CB:wisut
 //ED:10/26/58/14:04,EB:Tof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this.executeFunc("ServDataCombo",{},function(){
 var name = field.getComponent("").getField().find(":selected").html();
 _this.getField("D_TEXT_06").setValue(name);
 callbackCore(info); 
 });
 else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</si>
  <si>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ParamsLength = {
 Condition: { 
  0:{Value: 50,Operator: "&lt;="}
 }
 ,Operations: "AND"
 }
 var ParamsChar = {
 Condition: { 
  0:{Character: ";"}
 }
 ,Operations: "AND"
 }
 var ValLength = this.executeFunc("VerifyFieldLength",ParamsLength);
 var ValChar = this.executeFunc("VerifyFieldCharacter",ParamsChar);
 if(!ValLength || ValChar)
 info.isError = true;
 if(ValChar)
 info.VerifyCode = "-50";
 if(!ValLength)
 info.VerifyCode = "-90";
 }
 callbackCore(info);
 //#endregion:Etc
 //#region:EventEnd
 }
 else
 callbackCore(info);
 //#endregion:EventEnd</t>
  </si>
  <si>
    <t>//#region:Ver
 //CD:05/12/15/15:57,CB:wisut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</si>
  <si>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ค่าธรรมเนียมฯพรบ.43 บาร์ 1 แถวผู้ค้าเก่า</t>
  </si>
  <si>
    <t>//#region:Ver
 //CD:05/12/15/16:29,CB:wisut
 //ED:06/09/58/15:47,EB:jirapat
 //ED:07/27/15/17:25,EB:Art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_Callback = function(result){ 
 var Params = {
 Condition: { 
 0:{Value: "|403003632902",Operator: "!=",Start: 0,Num: 13}
  ,1:{Value: "|099400003633702",Operator: "!=",Start: 0,Num: 16}
 }
 ,Operations: "AND"
 }
 var ValReturn = _this.executeFunc("VerifyFieldSubStr",Params);
 if(ValReturn==true)
 {
 info.isError = true;
  _this.getField("D_DATE_01").setValue("");
  _this.getField("D_TEXT_04").setValue("");
  _this.getField("D_MONEY_02").setValue(0);
  _this.getField("D_MONEY_03").setValue(0);
 }
 else{
 _this.getField("D_MONEY_03").setValue(result.output);
 }
 _this.executeControl("D_MONEY_01",{datas:{eventName:"enter",isExec:true}},function(){
 callbackCore(info);
 });
 };
 _this.executeFunc("EnergyCheck_915",{Data:val},_Callback);
 }
 else
 callbackCore(info);
 //#endregion:Etc
 //#region:EventEnd
 }
 else
 callbackCore(info);
 //#endregion:EventEnd</t>
  </si>
  <si>
    <t>วันที่ครบกำหนดชำระ</t>
  </si>
  <si>
    <t>//#region:Ver
 //CD:10/22/58/14:22,CB:Tof
 //ED:10/22/58/16:05,EB:Tof
 //ED:07/06/59/15:51,EB:Tof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if(!info.isError){
 var Information = [{FDName:"D_TEXT_20",Format:field.get("DISPLAY_FORMAT"),IsBud:field.get("IS_BE_DATE")}];
 _this.executeFunc("SetDateINF",{Information:Information},function(){callbackCore(info);});
 }
 else
 callbackCore(info);
 }
 else
 callbackCore(info);
 //#endregion:Etc
 //#region:EventEnd
 }
 else
 callbackCore(info);
 //#endregion:EventEnd</t>
  </si>
  <si>
    <t>//#region:Ver
 //CD:04/16/58/10:00,CB:Tof
 //ED:07/27/15/17:24,EB:Art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field1 = _this.getField("D_MONEY_02");
 var field2 = _this.getField("D_MONEY_03");
 var val = 0,amt1=0;amt2=0;
 if(!_.isNull(field1))
 amt1 = parseFloat(field1.getValue());
 if(!_.isNull(field2))
 amt2 = parseFloat(field2.getValue());
 val = amt1 + amt2;
 field.setValue(val);
 }
 if(info.isValid &amp;&amp; eName != 1){
 var Params = {
 Condition:[{Value: 1,Operator: "&lt;",ErrorCode: "-770"}]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</si>
  <si>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ค่าธรรมเนียมฯพรบ.43 บาร์ 1 แถวผู้ค้าใหม่</t>
  </si>
  <si>
    <t>//#region:Ver
 //CD:05/07/58/16:28,CB:jirapat
 //ED:07/15/59/17:06,EB:Tof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Params1,Params2,Params3,ValReturn1,ValReturn2,ValReturn3;
 Params1 = {
 Condition: { 
 0:{Value: "|403003632901",Operator: "!=",Start: 0,Num: 13}
 }
 ,Operations: "AND"
 }
 Params2 = {
 Condition: { 
  0:{Value: "|099400003633701",Operator: "!=",Start: 0,Num: 16}
 }
 ,Operations: "AND"
 }
 ValReturn1 = this.executeFunc("VerifyFieldSubStr",Params1);
 ValReturn2 = this.executeFunc("VerifyFieldSubStr",Params2);
 if(ValReturn1 &amp;&amp; ValReturn2)
 info.isError = true;
 }
 callbackCore(info);
 //#endregion:Etc
 //#region:EventEnd
 }
 else
 callbackCore(info);
 //#endregion:EventEnd</t>
  </si>
  <si>
    <t>//#region:Ver
 //CD:04/16/58/10:00,CB:Tof
 //ED:07/15/59/17:06,EB:Tof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</si>
  <si>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ซีเอส ล็อกซอินโฟ จำกัด</t>
  </si>
  <si>
    <t>ชำระค่าบริการ CS LOXINFO บาร์โค้ด 1 แถว</t>
  </si>
  <si>
    <t>เลขที่หนังสือเดินทาง กรณีเป็นชาวต่างชาติ</t>
  </si>
  <si>
    <t>//#region:Ver
 //CD:04/08/58/17:41,CB:jirapat
 //ED:09-24-15-15:48,EB:sompan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"|301145508101",Operator: "==",Start: 0,Num: 13}
  ,1:{Value: "|010754600037701",Operator: "==",Start: 0,Num: 16}
 }
 ,Operations: "OR"
 }
 var ValReturn = _this.executeFunc("VerifyFieldSubStr",Params);
 if(!ValReturn)
 info.isError = true;
 }
 callbackCore(info);
 //#endregion:Etc
 //#region:EventEnd
 }
 else
 callbackCore(info);
 //#endregion:EventEnd</t>
  </si>
  <si>
    <t>เลขที่อ้างอิง (Ref. No.)</t>
  </si>
  <si>
    <t>//#region:Ver
 //CD:04/16/58/10:00,CB:Tof
 //ED:09-24-15-15:49,EB:sompan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</si>
  <si>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//CD:01-27-16-18:04,CB:sompan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</si>
  <si>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การไฟฟ้าส่วนภูมิภาค (สำนักงานใหญ่)</t>
  </si>
  <si>
    <t>ค่าไฟฟ้าส่วนภูมิภาค (บาร์โค๊ดใหม่BOT)</t>
  </si>
  <si>
    <t>รหัสบาร์โค้ดแถวที่ 1</t>
  </si>
  <si>
    <t>//#region:Ver
 //CD:09/07/59/15:10,CB:Tof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len = val.length;
 var params = {
 Date:{Day:val.substr(28,6),Format:"YYMMDD"}
 ,ToRate:{D:6,M:0,Y:0}
 ,AD:false
 }
 var CallbackDueDate = function(result){
 if(!result.success || result.output)
 info.isError = true;
 if(!info.isError){
 var fieldRef3 = _this.getField("D_TEXT_05");
 var fieldRef15 = _this.getField("D_TEXT_03");
 var fieldAmt = _this.getField("D_MONEY_01");
 var fieldVat = _this.getField("AGENT_VAT_AMOUNT");
 var fieldVat2 = _this.getField("D_MONEY_02");
 var ref3,ref15,amt;
 ref3 = val.substr(16,12);
 ref15 = val.substr(32,2)+val.substr(30,2)+val.substr(28,2);
 amt = val.substr(34,10) * 0.01;
 var Params = {Amt:amt,VatMode:false//true:vat out,false:vat in
 ,Rate:"7"}
 var output = _this.executeFunc("CalcVat",Params);
 if(!_.isNull(fieldRef3))
 fieldRef3.setValue(ref3);
 if(!_.isNull(fieldRef15))
 fieldRef15.setValue(ref15);
 if(!_.isNull(fieldAmt))
 fieldAmt.setValue(amt);
 if(!_.isNull(fieldVat))
 fieldVat.setValue(output.output.vat);
 if(!_.isNull(fieldVat2))
 fieldVat2.setValue(output.output.vat);
 }
 callbackCore(info);
 }
 _this.executeFunc("CheckDueDate",params,CallbackDueDate);
 }
 else
 callbackCore(info);
 //#endregion:Etc
 //#region:EventEnd
 }
 else
 callbackCore(info);
 //#endregion:EventEnd</t>
  </si>
  <si>
    <t>รหัสบาร์โค้ดแถวที่ 2</t>
  </si>
  <si>
    <t>//#region:Ver
 //CD:09/07/59/15:22,CB:Tof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barcode = _this.getField("D_TEXT_01");
  var val = field.getValue();
  var len = val.length;
  var Lang = {
  Condition: {Language: "NUM"}//TH,EN,NUM,THEN,THNUM,ENNUM
  ,Operations: "AND"
  }
  var ValLang = _this.executeFunc("VerifyFieldLanguage",Lang);
  if(!ValLang){
  info.isError = true;
  info.Msg = "ข้อมูลต้องเป็นตัวเลข และไม่เป็นภาษาไทย";
  }
  else if(len != 34){
  info.isError = true;
  info.VerifyCode = "-5080";
  }
  else{
  var output = _this.executeFunc("ChkbarElec",{Barcode1:barcode.getValue(),Barcode2:val});
  if(!output.success || !output.output){
  info.isError = true;
  }
  }
  if(!info.isError &amp;&amp; [1,2,3].indexOf(eName) == -1){
  var fieldRef4 = _this.getField("D_TEXT_08");
  var fieldRef5 = _this.getField("D_TEXT_04");
  var fieldRef6 = _this.getField("D_TEXT_06");
  var fieldRef7 = _this.getField("D_TEXT_09");
  var fieldRef11 = _this.getField("D_TEXT_07");
  var ref4 = val.substr(14,12);
  var ref5 = "";
  var ref6 = val.substr(10,2)+"/"+"25"+val.substr(8,2);
  var ref7 = parseFloat(val.substr(26,6));
  var ref11 = val.substr(12,2);
  switch(val.substr(0,3)){
  case "001": ref5 = "A";
  break;
  case "002": ref5 = "B";
  break;
  case "003": ref5 = "C";
  break;
  case "004": ref5 = "D";
  break;
  case "005": ref5 = "E";
  break;
  case "006": ref5 = "F";
  break;
  case "007": ref5 = "G";
  break;
  case "008": ref5 = "H";
  break;
  case "009": ref5 = "I";
  break;
  case "010": ref5 = "J";
  break;
  case "011": ref5 = "K";
  break;
  case "012": ref5 = "L";
  break;
  }
  ref5 = ref5 + val.substr(3,3) + val.substr(6,2);
  if(!_.isNull(fieldRef4))
  fieldRef4.setValue(ref4);
  if(!_.isNull(fieldRef5))
  fieldRef5.setValue(ref5);
  if(!_.isNull(fieldRef6))
  fieldRef6.setValue(ref6);
  if(!_.isNull(fieldRef7))
  fieldRef7.setValue(ref7);
  if(!_.isNull(fieldRef11))
  fieldRef11.setValue(ref11);
  }
  if(!info.isError){
  _this.executeFunc("ChkDupBar",{BARCODE:[barcode.getValue(),val],FieldChk:["BRCDE","REFNO13"]},function(result){
  if(!result.success || !_.isUndefined(result.output.Msg)){
  info.Msg = result.output.Msg;
  info.isError = result.output.isError;
  info.isClear = false;
  }
  callbackCore(info);
  });
  }
  else
  callbackCore(info);
 }
 else
  callbackCore(info);
 //#endregion:Etc
 //#region:EventEnd
 }
 else
  callbackCore(info);
 //#endregion:EventEnd</t>
  </si>
  <si>
    <t>รหัสการไฟฟ้า</t>
  </si>
  <si>
    <t>หมายเลขผู้ใช้ไฟฟ้า</t>
  </si>
  <si>
    <t>บิลประจำเดือน</t>
  </si>
  <si>
    <t>ประเภทภาษี</t>
  </si>
  <si>
    <t>เลขที่ใบแจ้งหนี้</t>
  </si>
  <si>
    <t>หน่วยการใช้ไฟฟ้า</t>
  </si>
  <si>
    <t>ภาษีมูลค่าเพิ่ม</t>
  </si>
  <si>
    <t>AGENT_VAT_AMOUNT</t>
  </si>
  <si>
    <t>VAT</t>
  </si>
  <si>
    <t>คุรุสภา</t>
  </si>
  <si>
    <t>ชำระบริการต่าง ๆ ของคุรุสภา มีบาร์โค้ด</t>
  </si>
  <si>
    <t>//#region:Ver
 //CD:14/97/60/15:07,CB:Tof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if("|099400000008101" != val.substr(0,16) &amp;&amp; "|099400000008110" != val.substr(0,16))
  info.isError = true;
 }
 callbackCore(info);
 //#endregion:Etc
 //#region:EventEnd
 }
 else
  callbackCore(info);
 //#endregion:EventEnd</t>
  </si>
  <si>
    <t>//#region:Ver
 //CD:14/97/60/15:07,CB:Tof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(!ValLen)
  info.VerifyCode = "-90";
  if (ValChar)
  info.VerifyCode = "-50";
  if(!ValLang || !ValLen || ValChar)
  info.isError = true;
 }
 callbackCore(info);
 //#endregion:Etc
 //#region:EventEnd
 }
 else
  callbackCore(info);
 //#endregion:EventEnd</t>
  </si>
  <si>
    <t>//#region:Ver
 //CD:14/97/60/15:07,CB:Tof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val = field.getValue();
  var ChkDueDate = {ToRate:{D:0,M:0,Y:0},AD:true};
  var CallbackDueDate = function(result,_this){
  if((result.success &amp;&amp; (result.output)) || !result.success)
  info.isError = true;
  if(!info.isError){
  var Information = [{FDName:"D_TEXT_20",Format:field.get("DISPLAY_FORMAT"),IsBud:field.get("IS_BE_DATE")}];
  _this.executeFunc("SetDateINF",{Information:Information},function(){ callbackCore(info);});
  }
  else
  callbackCore(info);
  }
  _this.executeFunc("CheckDueDate",ChkDueDate,CallbackDueDate);
 }
 else
  callbackCore(info);
 //#endregion:Etc
 //#region:EventEnd
 }
 else
  callbackCore(info);
 //#endregion:EventEnd</t>
  </si>
  <si>
    <t>//#region:Ver
 //CD:14/97/60/15:07,CB:Tof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this.executeFunc("CheckIDCardNo");
  if(!ValReturn)
  info.isError = true;
 }
 callbackCore(info);
 //#endregion:Etc
 //#region:EventEnd
 }
 else
  callbackCore(info);
 //#endregion:EventEnd</t>
  </si>
  <si>
    <t>var _this = this;
 var _callback = callback;
 var field = _this.getField();
 var chkEvent = _this.executeFunc('CheckEvent',{Data:datas});
 var info = chkEvent.output;
 var eName = info.eName;
 var callbackCore = function(result){
  _this.executeFunc('CallbackCore',{Data:result},_callback);
 };
 //eName = enter
 if([1,2,3,8].indexOf(eName) != -1 || eName == 8){
 if(info.isValid){
  var val = field.getValue();
  var chkDgConcil = function(value){
 var len = value.length;
  var digit = (len == 18) ? value.substr(11,1) : value.substr(12,1);
 var index = (len == 18) ? 1 : 2;
 var loop_len = (len == 18) ? 11 : 12;
  var sum = 0;
  var mod,chk;
  for(i=index,x=11;i&lt;loop_len;i++,x--){
  sum += (value.substr(i,1) * x);
  }
  mod = sum % 11;
  if(mod == 0)
  chk = "1";
  else if(mod == 1)
  chk = "0";
  else
  chk = (11 - mod).toString();
  if(chk == digit)
  return false;
  else
  return true;
  };
  info.isError = chkDgConcil(val);
 }
 callbackCore(info);
 }
 else
  callbackCore(info);</t>
  </si>
  <si>
    <t>//#region:Ver
 //CD:17-07-60-14:26,CB:Tof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_this.executeFunc("SPVerifyField",Params);
  if(!(ValReturn.success || !ValReturn.output)){
  info.isError = true;
  info.VerifyCode = ValReturn.ErrorCode;
  }
 }
 callbackCore(info);
 //#endregion:Etc
 //#region:EventEnd
 }
 else
  callbackCore(info);
 //#endregion:EventEnd</t>
  </si>
  <si>
    <t>บริษัทบัตรเครดิตกรุงศรีอยุธยา</t>
  </si>
  <si>
    <t>ชำระค่าบัตรเครดิตกรุงศรีอยุธยา</t>
  </si>
  <si>
    <t>//#region:Ver
 //CD:04/08/58/17:28,CB:jirapat
 //ED:04/27/58/15:13,EB:jirapat
 //ED:05/07/15/13:55,EB:wisut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Params1,Params2,ValReturn1,ValReturn2;
 Params1 = {
 Condition: { 
  0:{Value: "|301176257802",Operator: "!=",Start: 0,Num: 13}
 }
 ,Operations: "AND"
 }
 Params2 = {
 Condition: { 
  0:{Value: "|010553909631102",Operator: "!=",Start: 0,Num: 16}
 }
 ,Operations: "AND"
 }
 ValReturn1 = this.executeFunc("VerifyFieldSubStr",Params1);
 ValReturn2 = this.executeFunc("VerifyFieldSubStr",Params2);
 if(ValReturn1 &amp;&amp; ValReturn2)
 info.isError = true;
 }
 callbackCore(info);
 //#endregion:Etc
 //#region:EventEnd
 }
 else
 callbackCore(info);
 //#endregion:EventEnd</t>
  </si>
  <si>
    <t>เลขที่บัญชี</t>
  </si>
  <si>
    <t>//#region:Ver
 //CD:06/11/17/10:49,CB:Tof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info.isClear = false;
 if(info.isValid &amp;&amp; (eName != 1)){
 //TH,EN,NUM,TH|EN,EN|NUM,TH|NUM,TH|$$,EN|$$,TH|EN|$$,EN|NUM|$$,TH|NUM|$$
 var ParamsLang = {Condition: {Language: "NUM"},Operations: "AND"};
 var ValLang = _this.executeFunc("VerifyFieldLanguage",ParamsLang);
 if(!ValLang) info.isError = true;
 }
 callbackCore(info);
 //#endregion:Etc
 //#region:EventEnd
 }
 else
  callbackCore(info);
 //#endregion:EventEnd</t>
  </si>
  <si>
    <t>เลขที่ใบกำกับภาษี</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</si>
  <si>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</si>
  <si>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ชำระค่าบัตรเครดิตกรุงศรีอยุธยา(DreamLoan)</t>
  </si>
  <si>
    <t>สแกนบาร์โค๊ด</t>
  </si>
  <si>
    <t>//#region:Ver
 //CD:04/08/58/16:49,CB:jirapat
 //ED:05/08/15/15:32,EB:wisut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val = field.getValue();
 var value = "";
 var Params1 = {
 Condition: { 
 0:{Value: "|3011762578011",Operator: "==",Start: 0,Num: 13}
 ,1:{Value: "|010553909631101",Operator: "==",Start: 0,Num: 16}
 }
 ,Operations: "OR"
 }
 var ValReturn1 = this.executeFunc("VerifyFieldSubStr",Params1);
 if(!ValReturn1)
  info.isError = true;
 }
 callbackCore(info);
 //#endregion:Etc
 //#region:EventEnd
 }
 else
 callbackCore(info);
 //#endregion:EventEnd</t>
  </si>
  <si>
    <t>//#region:Ver
 //CD:07/14/58/11:08,CB:jirapat
 //ED:09-24-15-17:03,EB:sompan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"01",Operator: "!=",Start: 10,Num: 2}
 ,1:{Value: "02",Operator: "!=",Start: 10,Num: 2}
 ,2:{Value: "01",Operator: "!=",Start: 13,Num: 2}
 ,3:{Value: "02",Operator: "!=",Start: 13,Num: 2}
 }
 ,Operations: "AND"
 }
 var ValReturn = this.executeFunc("VerifyFieldSubStr",Params);
 if(ValReturn==true)
 info.isError = true;
 }
 callbackCore(info);
 //#endregion:Etc
 //#region:EventEnd
 }
 else
 callbackCore(info);
 //#endregion:EventEnd</t>
  </si>
  <si>
    <t>เลขที่สัญญา/Ref 1</t>
  </si>
  <si>
    <t>//#region:Ver
 //CD:07/14/58/11:11,CB:jirapat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"1278",Operator: "!=",Start: 0,Num: 4}
 ,1:{Value: "438096",Operator: "!=",Start: 0,Num: 6}
 ,2:{Value: "998800",Operator: "!=",Start: 0,Num: 6}
 ,3:{Value: "998820",Operator: "!=",Start: 0,Num: 6}
 }
 ,Operations: "AND"
 }
 var ValReturn = this.executeFunc("VerifyFieldSubStr",Params);
 if(ValReturn==true)
 info.isError = true;
 }
 callbackCore(info);
 //#endregion:Etc
 //#region:EventEnd
 }
 else
 callbackCore(info);
 //#endregion:EventEnd</t>
  </si>
  <si>
    <t>//#region:Ver
 //CD:04/08/58/16:48,CB:jirapat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</si>
  <si>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ซิลลิค ฟาร์มา จำกัด</t>
  </si>
  <si>
    <t>ชำระค่าสินค้า บริษัท ซิลลิค ฟาร์มา</t>
  </si>
  <si>
    <t>//#region:Ver
 //CD:04/09/15/10:45,CB:wisut
 //ED:09-24-15-15:44,EB:sompan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"301177081800",Operator: "!=",Start: 0,Num: 12}
  ,1:{Value: "|301177081800",Operator: "!=",Start: 0,Num: 13}
  ,2:{Value: "010553910691100",Operator: "!=",Start: 0,Num: 15}
  ,3:{Value: "|010553910691100",Operator: "!=",Start: 0,Num: 16}
 }
 ,Operations: "AND"
 }
 var ValReturn = this.executeFunc("VerifyFieldSubStr",Params);
 if(ValReturn==true)
 info.isError = true;
 }
 callbackCore(info);
 //#endregion:Etc
 //#region:EventEnd
 }
 else
 callbackCore(info);
 //#endregion:EventEnd</t>
  </si>
  <si>
    <t>//#region:Ver
 //CD:04/09/15/10:46,CB:wisut
 //ED:09-24-15-15:44,EB:sompan
 //ED:09-24-15-15:45,EB:sompan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</si>
  <si>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//#region:Ver
 //CD:04/09/15/10:48,CB:wisut
 //ED:11-05-15-11:26,EB:sompan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</si>
  <si>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เอไอเอ จำกัด</t>
  </si>
  <si>
    <t>ค่าเบี้ยประกันชีวิต AIA Barcode 1 แถว</t>
  </si>
  <si>
    <t>หมายเลขรหัสหน่วยงาน AIA</t>
  </si>
  <si>
    <t>//#region:Ver
 //ED:62-11-22 11:26,EB:phanomkorn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tax = ["|310400092100", "|010054400762900"];
  var Substr = {
  Condition: [
  {Value: tax[0],Operator: "==",Start: 0,Num: 13},
  {Value: tax[1],Operator: "==",Start: 0,Num: 16}
  ],Operations: "OR"
  }
  var Valsub = _this.executeFunc("SPVerifyFieldSubStr",Substr);
  if(!Valsub)
  info.isError = true;
  if(!info.isError &amp;&amp; [3].indexOf(eName) == -1 ){
  var val = field.getValue();
  var len = val.length;
  var o_tax = val.substr(0,13);
  var n_tax = val.substr(0,16);
  var o_bano = val.substr(29,2);
  var n_bano = val.substr(32,2);
  var refField = _this.getField("D_TEXT_03");
  var dateField = _this.getField("D_TEXT_20");
  var amtField = _this.getField("D_MONEY_01");
  var mes = "บาร์โค้ดไม่ถูกต้อง กรุณาทำรายการใหม่";
  var date = mes,ref = mes ,amt=0;
  if(o_tax == tax[0] &amp;&amp; (len &gt; 33)){
  ref = val.substr(13,10);
  if(len &gt; 33 &amp;&amp; (len &lt; 40) &amp;&amp; (o_bano != "01")){
  amt = val.substr(29) * 0.01;
  date = val.substr(23,6);
  }
  else if(len &gt; 35 &amp;&amp; (len &lt; 43) &amp;&amp; (o_bano == "01")){
  amt = val.substr(31) * 0.01;
  date = val.substr(23,8);
  }
  }
  else if(n_tax == tax[1] &amp;&amp; (len &gt; 36)){
  ref = val.substr(16,10);
  if(len &gt; 36 &amp;&amp; (len &lt; 44) &amp;&amp; (n_bano != "01")){
  amt = val.substr(32) * 0.01;
  date = val.substr(26,6);
  }
  else if(len &gt; 38 &amp;&amp; (len &lt; 47) &amp;&amp; (n_bano == "01")){
  amt = val.substr(34) * 0.01;
  date = val.substr(26,8);
  }
  }
  if(!_.isNull(refField))
  refField.setValue(ref);
  if(!_.isNull(dateField))
  dateField.setValue(date);
  if(!_.isNull(amtField))
  amtField.setValue(amt);
  callbackCore(info);
  }
  else
  callbackCore(info);
 }
 else
  callbackCore(info);
 //#endregion:Etc
 //#region:EventEnd
 }
 else
  callbackCore(info);
 //#endregion:EventEnd</t>
  </si>
  <si>
    <t>หมายเลขอ้างอิง</t>
  </si>
  <si>
    <t>//#region:Ver
 //CD:01-14-16-15:59,CB:sompan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</si>
  <si>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บริษัทไปรษณีย์ไทย</t>
  </si>
  <si>
    <t>ค่าไปรษณีย์ฝากเงินสดเครื่องประทับ</t>
  </si>
  <si>
    <t>ชื่อนามสกุล</t>
  </si>
  <si>
    <t>//#region:Ver
 //CD:05/04/15/17:54,CB:wisut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</si>
  <si>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เลขที่ใบอนุญาต(ปณท. ออกให้)</t>
  </si>
  <si>
    <t>//#region:Ver
 //CD:05/25/58/11:05,CB:jirapat
 //ED:11-06-15-10:25,EB:sompan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info.isLock = true;
 var Params = {
 Condition: {Language: "NUM"}
 ,Operations: "AND"
 }
 var ValReturn = this.executeFunc("VerifyFieldLanguage",Params);
 var Params2 = {
 Condition: { 
 0:{Value: 9,Operator: "=="}
 }
 ,Operations: "AND"
 }
 var ValReturn2 = this.executeFunc("VerifyFieldLength",Params2); 
 if (!ValReturn)
 info.VerifyCode = "-320";
 if (!ValReturn2)
 info.VerifyCode = "-410";
 if(!ValReturn || !ValReturn2)
 info.isError = true;
 }
 callbackCore(info);
 //#endregion:Etc
 //#region:EventEnd
 }
 else
 callbackCore(info);
 //#endregion:EventEnd</t>
  </si>
  <si>
    <t>จำนวนเงินฝากส่ง</t>
  </si>
  <si>
    <t>//#region:Ver
 //CD:05/04/15/17:55,CB:wisut
 //ED:08/02/59/16:01,EB:Tof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500000,Operator: "&gt;",ErrorCode: "-893"}]
 ,Operations: "OR"
 };
 var ValReturn = this.executeFunc("SPVerifyField",Params);
 if(!ValReturn.success || (ValReturn.success &amp;&amp; ValReturn.output) ){
 info.isError = true;
 info.VerifyCode = ValReturn.ErrorCode;
 }
 }
 callbackCore(info);
 //#endregion:Etc
 //#region:EventEnd
 }
 else
 callbackCore(info);
 //#endregion:EventEnd</t>
  </si>
  <si>
    <t>ธ.ซีไอเอ็มบี ไทย จำกัด(มหาชน)</t>
  </si>
  <si>
    <t>ชำระค่างวด บ.บีทีเวิลด์ลีส จำกัด ตจว.</t>
  </si>
  <si>
    <t>//#region:Ver
 //CD:09-28-15-16:19,CB:sompan
 //ED:09-28-15-16:22,EB:sompan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if(!field.isClear())
 info.isClear = false;
 if(info.isValid){
 var Params = {
 Condition: { 
 0:{Value: "301143014901",Operator: "==",Start: 0,Num: 12}
 ,1:{Value: "|301143014901",Operator: "==",Start: 0,Num: 13}
 ,2:{Value: "010553706634201",Operator: "==",Start: 0,Num: 15}
 ,3:{Value: "|010553706634201",Operator: "==",Start: 0,Num: 16}
 }
 ,Operations: "OR"
 }
 var ValReturn = this.executeFunc("VerifyFieldSubStr",Params);
 if(!ValReturn)
 info.isError = true;
 }
 callbackCore(info);
 //#endregion:Etc
 //#region:EventEnd
 }
 else
 callbackCore(info);
 //#endregion:EventEnd</t>
  </si>
  <si>
    <t>//#region:Ver
 //CD:09/02/58/12:16,CB:Tof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Params = {
  Condition: {Language: "NUM"}//TH,EN,NUM,THEN,THNUM,ENNUM
 ,Operations: "AND"
 }
 var Params1 = {
 Condition: { 
 0:{Value: 9,Operator: "=="}
 ,1:{Value: 11,Operator: "=="}
 }
 ,Operations: "OR"
 }
 var ValLen = this.executeFunc("VerifyFieldLength",Params1);
 var ValReturn = this.executeFunc("VerifyFieldLanguage",Params);
 if(!ValReturn||!ValLen)
 info.isError = true;
 if(!ValReturn)
 info.VerifyCode = "-320";
 }
 callbackCore(info);
 //#endregion:Etc
 //#region:EventEnd
 }
 else
 callbackCore(info);
 //#endregion:EventEnd</t>
  </si>
  <si>
    <t>ใบแจ้งหนี้ เลขที่</t>
  </si>
  <si>
    <t>//#region:Ver
 //CD:09/02/58/12:17,CB:Tof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Params = {
  Condition: {Language: "NUM"}//TH,EN,NUM,THEN,THNUM,ENNUM
 ,Operations: "AND"
 }
 var Params1 = {
 Condition: { 
 0:{Value: 12,Operator: "=="}
 ,1:{Value: 14,Operator: "=="}
 }
 ,Operations: "OR"
 }
 var ValLen = this.executeFunc("VerifyFieldLength",Params1);
 var ValReturn = this.executeFunc("VerifyFieldLanguage",Params);
 if(!ValReturn||!ValLen)
 info.isError = true;
 if(!ValReturn)
 info.VerifyCode = "-320";
 }
 callbackCore(info);
 //#endregion:Etc
 //#region:EventEnd
 }
 else
 callbackCore(info);
 //#endregion:EventEnd</t>
  </si>
  <si>
    <t>ชื่อลูกค้า</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</si>
  <si>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</si>
  <si>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 = {
 Condition:[{Value: 100,Operator: "&lt;",ErrorCode: "-800"},{Value: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</si>
  <si>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ชำระค่างวด บ.บีทีเวิลด์ลีส จำกัด(กท-ตจว)</t>
  </si>
  <si>
    <t>//#region:Ver
 //CD:05/12/58/16:50,CB:jirapat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"301143014901",Operator: "!=",Start: 0,Num: 12}
  ,1:{Value: "|301143014901",Operator: "!=",Start: 0,Num: 13}
  ,2:{Value: "010553706634201",Operator: "!=",Start: 0,Num: 15}
  ,3:{Value: "|010553706634201",Operator: "!=",Start: 0,Num: 16}
 }
 ,Operations: "AND"
 }
 var ValReturn = this.executeFunc("VerifyFieldSubStr",Params);
 if(ValReturn==true)
 info.isError = true;
 }
 callbackCore(info);
 //#endregion:Etc
 //#region:EventEnd
 }
 else
 callbackCore(info);
 //#endregion:EventEnd</t>
  </si>
  <si>
    <t>//#region:Ver
 //CD:04/17/58/10:42,CB:Tof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Params1 = {
 Condition: { 
 0:{Value: 9,Operator: "=="}
 ,1:{Value: 11,Operator: "=="}
 }
 ,Operations: "OR"
 }
 var ValLen = this.executeFunc("VerifyFieldLength",Params1);
 var ValReturn = this.executeFunc("VerifyFieldLanguage",Params);
 if(!ValReturn||!ValLen)
 info.isError = true;
 if(!ValReturn)
 info.VerifyCode = "-320";
 }
 callbackCore(info);
 //#endregion:Etc
 //#region:EventEnd
 }
 else
 callbackCore(info);
 //#endregion:EventEnd</t>
  </si>
  <si>
    <t>//#region:Ver
 //CD:04/17/58/10:42,CB:Tof
 //ED:05/12/58/16:52,EB:jirapat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Params1 = {
 Condition: { 
 0:{Value: 12,Operator: "=="}
 ,1:{Value: 14,Operator: "=="}
 }
 ,Operations: "OR"
 }
 var ValLen = this.executeFunc("VerifyFieldLength",Params1);
 var ValReturn = this.executeFunc("VerifyFieldLanguage",Params);
 if(!ValLen || !ValReturn)
 info.isError = true;
 if(!ValReturn)
 info.VerifyCode = "-320";
 }
 callbackCore(info);
 //#endregion:Etc
 //#region:EventEnd
 }
 else
 callbackCore(info);
 //#endregion:EventEnd</t>
  </si>
  <si>
    <t>//#region:Ver
 //CD:04/16/58/10:00,CB:Tof
 //ED:07/15/59/17:53,EB:Tof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</si>
  <si>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ชำระค่าบัญชีสินเชื่อ Extra Cash</t>
  </si>
  <si>
    <t>//#region:Ver
 //CD:05/12/58/15:55,CB:jirapat
 //ED:09-25-15-11:37,EB:sompan
 //ED:08/01/59/11:19,EB:Tof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field1 = _this.getField("D_MONEY_02");
 var Params1,Params2,ValReturn1,ValReturn2;
 Params1 = {
 Condition: { 
  0:{Value: "310108556301",Operator: "!=",Start: 0,Num: 12}
  ,1:{Value: "|310108556301",Operator: "!=",Start: 0,Num: 13} 
 }
 ,Operations: "AND"
 }
 Params2 = {
 Condition: { 
  0:{Value: "|010753700233801",Operator: "!=",Start: 0,Num: 16}
 }
 ,Operations: "AND"
 }
 ValReturn1 = this.executeFunc("VerifyFieldSubStr",Params1);
 ValReturn2 = this.executeFunc("VerifyFieldSubStr",Params2);
 if(ValReturn1 &amp;&amp; ValReturn2)
 info.isError = true;
 if(!info.isError &amp;&amp; !_.isNull(field1))
 field1.setValue(val.substr(val.length-1));
 }
 callbackCore(info);
 //#endregion:Etc
 //#region:EventEnd
 }
 else
 callbackCore(info);
 //#endregion:EventEnd</t>
  </si>
  <si>
    <t>//#region:Ver
 //CD:05/12/58/15:53,CB:jirapat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</si>
  <si>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จำนวนเงินตามใบแจ้งหนี้</t>
  </si>
  <si>
    <t>//#region:Ver
 //CD:01-14-16-15:57,CB:sompan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</si>
  <si>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ชำระเบี้ยประกัน บ.ทีคิวเอ็ม โบรคเกอร์ฯ</t>
  </si>
  <si>
    <t>//#region:Ver
 //CD:05/12/58/15:35,CB:jirapat
 //ED:07/28/15/16:43,EB:Art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"|010554008414300",Operator: "!=",Start: 0,Num: 16}
 }
 ,Operations: "AND"
 }
 var ValReturn = this.executeFunc("VerifyFieldSubStr",Params);
 if(ValReturn==true)
  info.isError = true;
 }
 callbackCore(info);
 //#endregion:Etc
 //#region:EventEnd
 }
 else
 callbackCore(info);
 //#endregion:EventEnd</t>
  </si>
  <si>
    <t>//#region:Ver
 //CD:04/16/58/10:00,CB:Tof
 //ED:07/28/15/16:43,EB:Art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</si>
  <si>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เลขที่อ้างอิง (Ref. No.1)</t>
  </si>
  <si>
    <t>//#region:Ver
 //CD:04/16/58/10:00,CB:Tof
 //ED:07/28/15/16:44,EB:Art
 //ED:08/02/59/16:05,EB:Tof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</si>
  <si>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ชำระเบี้ยประกันบ.ทีคิวเอ็มไลฟ์ อินซัวร์ฯ</t>
  </si>
  <si>
    <t>//#region:Ver
 //CD:05/12/58/15:32,CB:jirapat
 //ED:09-25-15-14:15,EB:sompan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"010555110614300",Operator: "!=",Start: 0,Num: 15}
  ,1:{Value: "|010555110614300",Operator: "!=",Start: 0,Num: 16}
 }
 ,Operations: "AND"
 }
 var ValReturn = this.executeFunc("VerifyFieldSubStr",Params);
 if(ValReturn==true)
 info.isError = true;
 }
 callbackCore(info);
 //#endregion:Etc
 //#region:EventEnd
 }
 else
 callbackCore(info);
 //#endregion:EventEnd</t>
  </si>
  <si>
    <t>//#region:Ver
 //CD:04/16/58/10:00,CB:Tof
 //ED:09-25-15-14:17,EB:sompan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</si>
  <si>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//CD:04/16/58/10:00,CB:Tof
 //ED:08/02/59/16:07,EB:Tof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</si>
  <si>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ชำระสินเชื่อCONSUMER PROไทยธนาคาร</t>
  </si>
  <si>
    <t>//#region:Ver
 //CD:04/10/15/15:35,CB:wisut
 //ED:04/28/58/13:10,EB:jirapat
 //ED:05/08/15/10:10,EB:wisut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true){ 
 var Params1,Params2,ValReturn1,ValReturn2;
 Params1 = {
 Condition: { 
  0:{Value: "|010753700233800",Operator: "!=",Start: 0,Num: 16}
 }
 ,Operations: "AND"
 }
 Params2 = {
 Condition: { 
  0:{Value: "|310108556300",Operator: "!=",Start: 0,Num: 13}
 }
 ,Operations: "AND"
 }
 ValReturn1 = this.executeFunc("VerifyFieldSubStr",Params1);
 ValReturn2 = this.executeFunc("VerifyFieldSubStr",Params2);
 if(ValReturn1==true&amp;&amp;ValReturn2==true)
  info.isError = true;
 }
 callbackCore(info);
 //#endregion:Etc
 //#region:EventEnd
 }
 else
 callbackCore(info);
 //#endregion:EventEnd</t>
  </si>
  <si>
    <t>//#region:Ver
 //CD:04/10/15/15:35,CB:wisut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</si>
  <si>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เลขที่ บ/ช ลูกค้า(Ref. No1)</t>
  </si>
  <si>
    <t>//#region:Ver
 //CD:11/09/60/14:21,CB:Tof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info.isClear = false;
 if(info.isValid &amp;&amp; (eName != 1)){
  var ParamsLang = {Condition: {Language: "NUM"},Operations: "AND"};
  var ValLang = _this.executeFunc("VerifyFieldLanguage",ParamsLang);
  if(!ValLang) info.isError = true;
 }
 callbackCore(info);
 //#endregion:Etc
 //#region:EventEnd
 }
 else
  callbackCore(info);
 //#endregion:EventEnd</t>
  </si>
  <si>
    <t>วงเงินกู้ (Ref No2)</t>
  </si>
  <si>
    <t>//#region:Ver
 //CD:11/09/60/14:22,CB:Tof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info.isClear = false;
 if(info.isValid &amp;&amp; (eName != 1)){
  var ParamsLang = {Condition: {Language: "NUM"},Operations: "AND"};
  var ValLang = _this.executeFunc("VerifyFieldLanguage",ParamsLang);
  if(!ValLang) info.isError = true;
 }
 callbackCore(info);
 //#endregion:Etc
 //#region:EventEnd
 }
 else
  callbackCore(info);
 //#endregion:EventEnd</t>
  </si>
  <si>
    <t>//#region:Ver
 //CD:04/16/58/10:00,CB:Tof
 //ED:05/08/15/10:11,EB:wisut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</si>
  <si>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เมืองไทยประกันภัย จำกัด (BARCODE) (กท-ตจว)</t>
  </si>
  <si>
    <t>//#region:Ver
 //CD:05/12/58/15:42,CB:jirapat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"|303310020401",Operator: "==",Start: 0,Num: 13}
 }
 ,Operations: "AND"
 }
 var ValReturn = this.executeFunc("VerifyFieldSubStr",Params);
 if(!ValReturn)
 info.isError = true;
 if([2,3].indexOf(eName) == -1 &amp;&amp; !info.isError){
 var val = field.getValue();
 var len = val.length;
 var prefix = ["|303310020401"];
 var amt = 0,old_prefix,new_prefix,ref,ref1,ref2; 
 old_prefix = val.substr(0,13);
 if(old_prefix == prefix[0]){
 if(len &gt; 36){
 ref = val.substr(13,10);
 ref1 = val.substr(23,8);
 ref2 = val.substr(31);
 }
 else{
 ref = val.substr(13,8);
 ref1 = "0";
 ref2 = val.substr(21);
 }
 }
 ref2 = ref2 * 0.01;
 var fieldRef = _this.getField("D_TEXT_04");
 var fieldRef1 = _this.getField("D_TEXT_05");
 var fieldRef2 = _this.getField("D_MONEY_01");
 if(!_.isNull(fieldRef))
 fieldRef.setValue(ref);
 if(!_.isNull(fieldRef1))
 fieldRef1.setValue(ref1);
 if(!_.isNull(fieldRef2))
 fieldRef2.setValue(ref2);
 }
 }
 callbackCore(info);
 //#endregion:Etc
 //#region:EventEnd
 }
 else
 callbackCore(info);
 //#endregion:EventEnd</t>
  </si>
  <si>
    <t>//#region:Ver
 //CD:05/12/58/15:43,CB:jirapat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</si>
  <si>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//CD:07/03/58/15:32,CB:Minny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8,Operator: "&gt;="}
 ,1:{Value: 10,Operator: "&lt;="}
 }
 ,Operations: "AND"
 }
 var ValReturn = this.executeFunc("VerifyFieldLength",Params);
 if(ValReturn !=true)
 info.isError = true;
 }
 callbackCore(info);
 //#endregion:Etc
 //#region:EventEnd
 }
 else
 callbackCore(info);
 //#endregion:EventEnd</t>
  </si>
  <si>
    <t>REFERENCE NO.</t>
  </si>
  <si>
    <t>เมืองไทยประกันภัย จำกัด (มหาชน)(กท-ตจว)</t>
  </si>
  <si>
    <t>//#region:Ver
 //CD:05/12/58/16:54,CB:jirapat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"3033100204",Operator: "!=",Start: 0,Num: 10}
  ,1:{Value: "|3033100204",Operator: "!=",Start: 0,Num: 11}
 }
 ,Operations: "AND"
 }
 var ValReturn = this.executeFunc("VerifyFieldSubStr",Params);
 if(ValReturn==true)
 info.isError = true;
 }
 callbackCore(info);
 //#endregion:Etc
 //#region:EventEnd
 }
 else
 callbackCore(info);
 //#endregion:EventEnd</t>
  </si>
  <si>
    <t>//#region:Ver
 //CD:05/12/58/16:54,CB:jirapat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</si>
  <si>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Transaction No. (Ref.1)</t>
  </si>
  <si>
    <t>//#region:Ver
 //CD:05/12/58/16:56,CB:jirapat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8,Operator: "=="}
  ,1:{Value: 9,Operator: "=="}
  ,2:{Value: 10,Operator: "=="}
 }
 ,Operations: "OR"
 }
 var ValReturn = this.executeFunc("VerifyFieldLength",Params);
 var ParamsLang = {
 Condition: {Language: "NUM"}
 ,Operations: "AND"
 }
 var Lang = this.executeFunc("VerifyFieldLanguage",ParamsLang);
 if(!Lang)
 info.VerifyCode = "-320";
 if(!ValReturn||!Lang)
 info.isError = true;
 }
 callbackCore(info);
 //#endregion:Etc
 //#region:EventEnd
 }
 else
 callbackCore(info);
 //#endregion:EventEnd</t>
  </si>
  <si>
    <t>Customer ID (Ref.2)</t>
  </si>
  <si>
    <t>//#region:Ver
 //CD:05/12/58/16:56,CB:jirapat
 //ED:05-17-16-15:36,EB:sompan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8,Operator: "=="}
  ,1:{Value: 9,Operator: "=="}
  ,2:{Value: 10,Operator: "=="}
 }
 ,Operations: "OR"
 }
 var ValReturn = this.executeFunc("VerifyFieldLength",Params);
 var ParamsLang = {
 Condition: {Language: "NUM"}
 ,Operations: "AND"
 }
 var Lang = this.executeFunc("VerifyFieldLanguage",ParamsLang);
 if(!ValReturn || !Lang)
 info.isError = true;
 }
 callbackCore(info);
 //#endregion:Etc
 //#region:EventEnd
 }
 else
 callbackCore(info);
 //#endregion:EventEnd</t>
  </si>
  <si>
    <t>ธนาคารธนชาติ จำกัด (มหาชน)</t>
  </si>
  <si>
    <t>close ชำระค่าสินเชื่อ Personal loan ธนชาต(กท-ตจว)</t>
  </si>
  <si>
    <t>//#region:Ver
 //CD:05/12/58/15:16,CB:jirapat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"|310106919812",Operator: "==",Start: 0,Num: 13}
  ,1:{Value: "3101069198",Operator: "==",Start: 0,Num: 10}
  ,2:{Value: "|010753600140112",Operator: "==",Start: 0,Num: 16}
  ,3:{Value: "0107536001401",Operator: "==",Start: 0,Num: 13}
 }
  ,Operations: "OR"
 }
 var ValReturn = this.executeFunc("VerifyFieldSubStr",Params);
 var output = this.executeFunc("ThanaChkDigit",{Barcode:field.getValue()});
 if(!ValReturn || !output.success || (output.success &amp;&amp; !output.output))
 info.isError = true;
 }
 callbackCore(info);
 //#endregion:Etc
 //#region:EventEnd
 }
 else
 callbackCore(info);
 //#endregion:EventEnd</t>
  </si>
  <si>
    <t>//#region:Ver
 //CD:04/16/58/10:00,CB:Tof
 //ED:05/12/58/15:16,EB:jirapat
 //ED:09-25-15-12:23,EB:sompan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</si>
  <si>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//CD:01-14-16-15:56,CB:sompan
 //ED:05/18/59/10:53,EB:Tof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</si>
  <si>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Closeชำระเงินค่าสินเชื่อ&amp;ค่าใช้จ่ายอื่น ธนชาต</t>
  </si>
  <si>
    <t>//#region:Ver
 //CD:07/05/60/12:10,CB:Tof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taxid = ["0107537000017","0107536001401"];
  var fieldRef1 = _this.getField("D_TEXT_04");
  var fieldRef2 = _this.getField("D_TEXT_05");
  var suffix;
  var ref1,ref2,amt;
  var ParamsLang = {Condition: {Language: "NUM"},Operations: "AND"};
  if(val.substr(0,1) == "|")
  ParamsLang.Values = val.substr(1);
  var ValLang = _this.executeFunc("VerifyFieldLanguage",ParamsLang);
  if(!ValLang)
  info.isError = true;
  if(taxid.indexOf(val) != -1){
  ref1 = "";
  ref2 = "";
  }
  else if(val.length &gt; 29 &amp;&amp; (val.substr(0,14) == "|"+taxid[0])){
  suffix = val.substr(14,2);
  if(suffix == "00"){
  ref1 = val.substr(16,13);
  ref2 = val.substr(29,7);
  amt = parseFloat(val.substr(36,val.length)) * 0.01;
  }
 // else if(suffix == "01"){
 // ref1 = val.substr(13,12);
 // ref2 = val.substr(25,7);
 // }
 // else if(suffix == "05"){
 // ref1 = val.substr(13,16);
 // ref2 = val.substr(29,1);;
 // }
  else
  info.isError = true;
  }
  else if(val.length &gt; 29 &amp;&amp; (val.substr(0,14) != "|"+taxid[2])){
  suffix = val.substr(14,2);
  if(suffix == "00"){
  ref1 = val.substr(16,13);
  ref2 = val.substr(29,7);
  amt = parseFloat(val.substr(36,val.length)) * 0.01;
  }
  // else if(suffix == "01"){
 // ref1 = "สแกนบาร์โค้ดไม่ถูกต้องหรือพิมพ์ TAX_ID ไม่ถูกต้อง";
 // ref2 = "สแกนบาร์โค้ดไม่ถูกต้องหรือพิมพ์ TAX_ID ไม่ถูกต้อง";
 // }
 // else if(suffix == "05"){
 // ref1 = val.substr(16,16);
 // ref2 = val.substr(32,1);;
 // }
  else
  info.isError = true;
  }
  else
  info.isError = true;
  if(!info.isError){ 
  var amtField = _this.getField("D_MONEY_01");
  var fieldRef1 = _this.getField("D_TEXT_04");
  var fieldRef2 = _this.getField("D_TEXT_05");
  if(!_.isNull(fieldRef1))
  fieldRef1.setValue(ref1);
  if(!_.isNull(fieldRef2))
  fieldRef2.setValue(ref2);
  if(!_.isNull(amtField))
  amtField.setValue(amt);
  }
  if(!info.isError){
  if(!_.isNull(fieldRef1))
  fieldRef1.setValue(ref1);
  if(!_.isNull(fieldRef2))
  fieldRef2.setValue(ref2);
  }
  console.log(val);
  console.log(ref1);
  console.log(ref2);
  console.log(amt);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</si>
  <si>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</si>
  <si>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//CD:01/10/61/11:30,CB:Tof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13,Operator: "=="}
  ,1:{Value: 12,Operator: "=="}
  ,2:{Value: 16,Operator: "=="}
  }
  ,Operations: "OR"
  }
  var ValReturn = _this.executeFunc("VerifyFieldLength",Params);
  var ParamsLang = {Condition: {Language: "NUM"},Operations: "AND"};
  var ValLang = _this.executeFunc("VerifyFieldLanguage",ParamsLang);
  if(!ValReturn || !ValLang)
  info.isError = true;
 }
 callbackCore(info);
 //#endregion:Etc
 //#region:EventEnd
 }
 else
  callbackCore(info);
 //#endregion:EventEnd</t>
  </si>
  <si>
    <t>//#region:Ver
 //CD:10/01/61/11:32,CB:Tof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7,Operator: "=="}
  ,1:{Value: 1,Operator: "=="}
  }
  ,Operations: "OR"
  }
  var ValReturn = _this.executeFunc("VerifyFieldLength",Params);
  var ParamsLang = {Condition: {Language: "NUM"},Operations: "AND"};
  var ValLang = _this.executeFunc("VerifyFieldLanguage",ParamsLang);
  if(!ValReturn || !ValLang)
  info.isError = true;
 }
 callbackCore(info);
 info.Control = [""]
 //#endregion:Etc
 //#region:EventEnd
 }
 else
  callbackCore(info);
 //#endregion:EventEnd</t>
  </si>
  <si>
    <t>เบอร์โทรศัพท์</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</si>
  <si>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_this.executeFunc("SPVerifyField",Params);
 if(!ValReturn.success || (ValReturn.success &amp;&amp; ValReturn.output) ){
 info.isError = true;
 info.VerifyCode = ValReturn.ErrorCode;
 }
 }
 callbackCore(info);
 //#endregion:Etc
 //#region:EventEnd
 }
 else
 callbackCore(info);
 //#endregion:EventEnd</t>
  </si>
  <si>
    <t>//#region:Ver
 //CD:11/20/58/17:05,CB:Tof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if(!field.isClear())
 info.isClear = false;
 if(info.isValid === true){
 var Verify = ["|3101069198","3101069198","|0107536001401","0107536001401"];
 var suffix = ["00","01","05"]
 Params = {
 Condition: { 
 0:{Value: Verify[0]+suffix[0],Operator: "==",Start: 0,Num: 13}
 ,1:{Value: Verify[1]+suffix[0],Operator: "==",Start: 0,Num: 12}
 ,2:{Value: Verify[2]+suffix[0],Operator: "==",Start: 0,Num: 16} 
 ,3:{Value: Verify[3]+suffix[0],Operator: "==",Start: 0,Num: 15} 
 }
 ,Operations: "OR"
 }
 var Val1 = this.executeFunc("VerifyFieldSubStr",Params);
 Params.Condition[0].Value = Verify[0]+suffix[1];
 Params.Condition[1].Value = Verify[1]+suffix[1];
 Params.Condition[2].Value = Verify[2]+suffix[1];
 Params.Condition[3].Value = Verify[3]+suffix[1];
 var Val2 = this.executeFunc("VerifyFieldSubStr",Params);
 Params.Condition[0].Value = Verify[0]+suffix[2];
 Params.Condition[1].Value = Verify[1]+suffix[2];
 Params.Condition[2].Value = Verify[2]+suffix[2];
 Params.Condition[3].Value = Verify[3]+suffix[2];
 var Val3 = this.executeFunc("VerifyFieldSubStr",Params);
 if(!Val1 &amp;&amp; !Val2 &amp;&amp; !Val3)
 info.isError = true;
 }
 callbackCore(info);
 //#endregion:Etc
 //#region:EventEnd
 }
 else
 callbackCore(info);
 //#endregion:EventEnd</t>
  </si>
  <si>
    <t>//#region:Ver
 //CD:04/16/58/10:00,CB:Tof
 //ED:09-24-15-15:47,EB:sompan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</si>
  <si>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//CD:07/14/58/11:39,CB:jirapat
 //ED:11-04-15-15:46,EB:sompan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Params = {
 Condition: { 
 0:{Value: 13,Operator: "!="}
 ,1:{Value: 12,Operator: "!="}
 ,2:{Value: 16,Operator: "!="}
 }
 ,Operations: "AND"
 }
 var ValReturn = this.executeFunc("VerifyFieldLength",Params);
 if(ValReturn==true)
 info.isError = true;
 }
 callbackCore(info);
 //#endregion:Etc
 //#region:EventEnd
 }
 else
 callbackCore(info);
 //#endregion:EventEnd</t>
  </si>
  <si>
    <t>//#region:Ver
 //CD:07/14/58/11:39,CB:jirapat
 //ED:11-04-15-15:46,EB:sompan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Params = {
 Condition: { 
 0:{Value: 7,Operator: "!="}
 ,1:{Value: 1,Operator: "!="}
 }
 ,Operations: "AND"
 }
 var ValReturn = this.executeFunc("VerifyFieldLength",Params);
 if(ValReturn==true)
 info.isError = true;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</si>
  <si>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 = {
 Condition:[{Value: 100,Operator: "&lt;",ErrorCode: "-800"},{Value: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</si>
  <si>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สำนักงานประกันสังคม</t>
  </si>
  <si>
    <t>เงินสมทบประกันสังคมของผู้ประกันตน ม.39</t>
  </si>
  <si>
    <t>เลขประจำตัวประชาชน</t>
  </si>
  <si>
    <t>//#region:Ver
 //CD:01/06/60/14:32,CB:Tof
 //ED:01/06/60/14:32,EB:Tof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posFlag = Parameters.getParameters().SriptTextParam;
  info.isLock = true;
  var val = field.getValue();
  var ValReturn = _this.executeFunc("CheckIDCardNo");
  if(posFlag.OrderID == -1){
  info.isError = true;
  info.Msg = "บริการนี้ เป็นบริการที่ต้องเปิดบิลก่อน กรุณาไปที่ฟังก์ชั่นการขาย แล้วเปิดบิลใหม่";
  info.isBarcode = true;
  }
  var params = {Sql: "SELECT o.* FROM T_WORK_DATE wd \n"
  +"INNER JOIN T_ORDER o ON o.OUTLET_ID = wd.OUTLET_ID AND o.SERVER_ID = wd.SERVER_ID AND o.ORDER_DATE = wd.WORK_DATE \n"
  +"INNER JOIN T_ORDER_ITEM oi ON oi.SERVER_ID = o.SERVER_ID AND oi.ORDER_ID = o.ORDER_ID AND oi.V_STATUS = 0\n"
  +"WHERE wd.IS_CLOSED = 0 \n"
  +"AND wd.SERVER_ID = "+posFlag.ServerID+" \n"
  +"AND wd.OUTLET_ID = "+posFlag.OutletID+" \n"
  +"AND o.ORDER_ID = "+posFlag.OrderID+" \n"
  +"AND oi.ITEM_ID = "+posFlag.ItemID};
  var CallbackCallSql = function(result){
  var data = result.output.getData().Data;
  info.isShowF8 = true;
  if(data.length &gt; 0){
  info.isError = true;
  info.Msg = "บริการนี้ มีเงื่อนไขทำรายการได้ไม่เกิน 1 รายการต่อเลขที่บิล(TR)";
  info.isBarcode = true;
  }
  if(!ValReturn || val.replace(/ /g,"") == "")
  info.isError = true;
  if(!info.isError &amp;&amp; [1,2,3].indexOf(eName) == -1){
  _this.executeControl("BUTTON1",{datas:{eventName:"btnClick",isExec:true}},function(result){
  var ServiceIF = result.externalServiceResult;
  if(_.isNull(ServiceIF) || _.isUndefined(ServiceIF)){
  field.setValue("");
  field.setLock(false);
  field.focus();
  }
  else
  callbackCore(info);
  });
  }
  else
  callbackCore(info);
  }
  _this.executeFunc("CallSqlServP",params,CallbackCallSql);
 }
 else
  callbackCore(info);
 //#endregion:Etc
 //#region:EventEnd
 }
 else
  callbackCore(info);
 //#endregion:EventEnd</t>
  </si>
  <si>
    <t>ตรวจสอบข้อมูล</t>
  </si>
  <si>
    <t>BUTTON1</t>
  </si>
  <si>
    <t>//#region:Ver
 //CD:11/20/58/13:20,CB:Tof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if([1,2,3].indexOf(eName) == -1){
 var ServiceIF = datas.externalServiceResult;
 var focusField = _this.getField("D_TEXT_01");
 if(!_.isNull(ServiceIF) &amp;&amp; !_.isUndefined(ServiceIF)){
 if(!_.isNull(focusField))
 focusField.focus();
 }
 callbackCore(info);
 }
 else
 callbackCore(info);
 //#endregion:Etc
 //#region:EventEnd
 }
 else
 callbackCore(info);
 //#endregion:EventEnd</t>
  </si>
  <si>
    <t>BUTTON1_1</t>
  </si>
  <si>
    <t>//#region:Ver
 //CD:04/08/59/14:23,CB:Tof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if([1,2,3].indexOf(eName) == -1){
 _this.executeControl("D_TEXT_01",{datas:{eventName:"enter",isExec:true}},function(result){
 console.log(result);
 if(!result.ExecError)
 _this.executeControl("BUTTON1",{datas:{eventName:"btnClick",isExec:true}},function(){
 callbackCore(info);
 });
 else
 callbackCore(info);
 });
 }
 else
 callbackCore(info);
 //#endregion:Etc
 //#region:EventEnd
 }
 else
 callbackCore(info);
 //#endregion:EventEnd</t>
  </si>
  <si>
    <t>ชื่อ-สกุล ผู้ประกันตน</t>
  </si>
  <si>
    <t>//#region:Ver
 //CD:22/11/60/13:57,CB:Tof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paramScript = Parameters.getParameters().SriptTextParam;
 if(info.isValid &amp;&amp; (eName != 1)){ 
 console.log("aaaaaaaaaaaaaaaaaaaaaaaaaaaaaaaaaaaaaaaaaaaa");
  var isRequire = function(_datas){
  var output = {};
  var fdName = (_.isUndefined(_datas.FDName) || _.isNull(_datas.FDName)) ? [] : _datas.FDName;
  var field,fdType,isReadOnly,isRequire,isVisible,val,fdName2,lbName;
  var isError;
  for(i=0;i&lt;fdName.length;i++){
  fdName2 = fdName[i];
  field = _this.getField(fdName[i]);
  if(!_.isNull(field)){
  fdType = field.get("FD_TYPE");
  lbName = field.get("LB_NAME");
  isReadOnly = field.getProperty("IsReadOnly");
  isRequire = field.getProperty("IsRequire");
  isVisible = field.getProperty("Visible");
  if([6,7,11,14,18,19,20,21,100].indexOf(fdType) != -1)
  val = field.getValue();
  if([19,20,100].indexOf(fdType) != -1 &amp;&amp; (parseFloat(val) == 0)){
  isError = true;
  break;
  }
  if([14].indexOf(fdType) != -1 &amp;&amp; (val == -1)){
  isError = true;
  break;
  }
  if([6,11,18,21].indexOf(fdType) != -1 &amp;&amp; (val.replace(/ /g,"") == "")){
  isError = true;
  break;
  }
  }
  }
  if(isError){
  if(fdName2 == "D_TEXT_02"){
  fdName2 = "D_TEXT_01";
  fdType = 6;
  isReadOnly = false;
  }
  output.isError = isError;
  output.Msg = 'กรุณากรอกข้อมูล "'+lbName+'"';
  output.FD_NAME = fdName2;
  output.ctrlDatas =[{FD_NAME:fdName2,FD_TYPE:fdType,IS_READONLY:isReadOnly}];
  }
  return output;
  }
  var fdName = ["D_TEXT_01","D_TEXT_02","D_DATE_01","D_MONEY_02","D_TEXT_09","D_MONEY_01","D_TEXT_07","TCN_INF_INQUIRY"];
  var outputRequire = isRequire({FDName:fdName});
  //chk isRequire
  if(outputRequire.isError){
  info.isError = true; 
  paramScript.Msg = outputRequire.Msg;
  paramScript.ctrlDatas = outputRequire.ctrlDatas;
  }
 }
 else if(!info.isValid){
  info.isShowF8 = true;
  info.isClear = false;
  info.Msg = paramScript.Msg;
  info.ctrlDatas = paramScript.ctrlDatas;
  delete paramScript.Msg;
  delete paramScript.ctrlDatas;
 }
 callbackCore(info);
 //#endregion:Etc
 //#region:EventEnd
 }
 else
  callbackCore(info);
 //#endregion:EventEnd</t>
  </si>
  <si>
    <t>งวดที่ชำระ</t>
  </si>
  <si>
    <t>//#region:Ver
 //CD:09/12/59/11:26,CB:Tof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val = field.getValue();
 var params = {ToRate:{D:0,M:1,Y:0},ChkDate:"M",NeedFuture:false};
 var flag = true;
 var CallbackDueDate = function(result){
 if((result.success &amp;&amp; result.output) || !result.success || val == ""){
 info.isError = true;
 info.ExecError = true;
 flag  = false;
 }
 if(!info.isError){
 if(!info.isExec){
 var Information = [{FDName:"D_TEXT_20",Format:field.get("DISPLAY_FORMAT"),IsBud:field.get("IS_BE_DATE")}];
 _this.executeFunc("SetDateINF",{Information:Information},function(){
 if([1,2,3].indexOf(eName) == -1){
 _this.executeControl("D_MONEY_02",{datas:{eventName:"enter",isExec:true}},function(){
 field.setProperty("IsReadOnly",flag);
 callbackCore(info);
 });
 }
 else 
 callbackCore(info);
 });
 }
 else
 callbackCore(info);
 }
 else
 callbackCore(info);
 }
 _this.executeFunc("CheckDueDate",params,CallbackDueDate);
 }
 else 
 callbackCore(info);
 //#endregion:Etc
 //#region:EventEnd
 }
 else
 callbackCore(info);
 //#endregion:EventEnd</t>
  </si>
  <si>
    <t>เงินสมทบผู้ประกันตน</t>
  </si>
  <si>
    <t>//#region:Ver
 //CD:10/20/58/11:35,CB:Tof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fieldDate = _this.getField("D_DATE_01");
 if(info.isValid){
  if(info.isExec){
  var amt = 0,val;
  var ref9 = _this.getField("D_TEXT_03");
  if(!_.isNull(fieldDate)){
  val = fieldDate.getValue();
  if(val != "" &amp;&amp; !_.isNull(val) &amp;&amp; !_.isUndefined(val))
  //amt = 432;
  amt = 86;
  }
  field.setValue(amt);
  if(!_.isNull(ref9))
  ref9.setValue(field.getValue());
  }
  else{
  if(parseFloat(field.getValue()) == 0)
  info.isError = true;
  }
 }
 if(!_.isNull(fieldDate)){
  info.ctrlDatas =[{
  FD_NAME:fieldDate.get("FD_NAME")
  ,FD_TYPE:fieldDate.get("FD_TYPE")
  ,IS_READONLY:fieldDate.get("IS_READONLY")
  }]
 }
 callbackCore(info);
 //#endregion:Etc
 //#region:EventEnd
 }
 else
  callbackCore(info);
 //#endregion:EventEnd</t>
  </si>
  <si>
    <t>ยืนยันการชำระเงินเพิ่ม กด Y หรือ N</t>
  </si>
  <si>
    <t>REFNO17</t>
  </si>
  <si>
    <t>//#region:Ver
 //CD:10/20/58/11:33,CB:Tof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"Y",Operator: "=="}
  ,1:{Value: "N",Operator: "=="}
 }
  ,Operations: "OR"
 }
 var ValReturn = this.executeFunc("VerifyField",Params);
 if(!ValReturn || val == "")
 info.isError = true;
 var dateFieldSub = _this.getField("D_TEXT_20");
 if(dateFieldSub.getValue() == ""){
 var dateField = _this.getField("D_DATE_01");
 info.isError = true;
 info.Msg  = "กรุณาเลือกงวดที่ชำระ แล้วกดปุ่ม Enter";
 info.ctrlDatas =[{
 FD_NAME:dateField.get("FD_NAME")
 ,FD_TYPE:dateField.get("FD_TYPE")
 ,IS_READONLY:dateField.get("IS_READONLY")
 }]
 }
 if(!info.isError &amp;&amp; [1,2,3].indexOf(eName) == -1){
 _this.executeControl("D_DATE_01",{datas:{eventName:"keyTyped",isExec:true,ExecError:false}},function(result){
 if(!result.ExecError)
 _this.executeControl("fd_3",{datas:{eventName:"btnClick",isExec:true}},function(result){
 var ServiceIF = result.externalServiceResult;
 if(_.isNull(ServiceIF) || _.isUndefined(ServiceIF)){
 field.focus();
 field.setValue("");
 field.setLock(false);
 }
 else
 callbackCore(info);
 });
 else 
 callbackCore(info);
 });
 }
 else
 callbackCore(info);
 }
 callbackCore(info);
 //#endregion:Etc
 //#region:EventEnd
 }
 else
 callbackCore(info);
 //#endregion:EventEnd</t>
  </si>
  <si>
    <t>//#region:Ver
 //CD:11/10/58/12:02,CB:Tof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if([1,2,3].indexOf(eName) == -1){
 var ServiceIF = datas.externalServiceResult;
 var focusField = _this.getField("D_TEXT_09");
 var field1 = _this.getField("D_MONEY_02");
 var field2 = _this.getField("D_MONEY_03");
 var field3 = _this.getField("D_MONEY_01");
 var amt = 0,amt1 = 0,val = 0;
 if(!_.isNull(field1) &amp;&amp; !_.isNull(field2)){
 amt = parseFloat(field1.getValue());
 amt1 = parseFloat(field2.getValue());
 val = amt + amt1;
 }
 if(!_.isNull(field3))
 field3.setValue(val);
 if(!_.isNull(ServiceIF) &amp;&amp; !_.isUndefined(ServiceIF)){
 if(!_.isNull(focusField))
 focusField.focus();
 }
 callbackCore(info);
 }
 else
 callbackCore(info);
 //#endregion:Etc
 //#region:EventEnd
 }
 else
 callbackCore(info);
 //#endregion:EventEnd</t>
  </si>
  <si>
    <t>fd_3_1</t>
  </si>
  <si>
    <t>//#region:Ver
 //CD:04/08/59/14:29,CB:Tof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if([1,2,3].indexOf(eName) == -1){
 _this.executeControl("D_DATE_01",{datas:{eventName:"keyTyped",isExec:true,ExecError:false}},function(result){
 if(!result.ExecError)
 _this.executeControl("D_TEXT_09",{datas:{eventName:"enter",isExec:true,ExecError:false}},function(results){
 if(!results.ExecError)
 _this.executeControl("fd_3",{datas:{eventName:"btnClick",isExec:true}},function(){
 callbackCore(info);
 });
 else
 callbackCore(info);
 });
 else 
 callbackCore(info);
 });
 }
 else
 callbackCore(info);
 //#endregion:Etc
 //#region:EventEnd
 }
 else
 callbackCore(info);
 //#endregion:EventEnd</t>
  </si>
  <si>
    <t>เงินเพิ่ม</t>
  </si>
  <si>
    <t>//#region:Ver
 //CD:04/08/59/14:29,CB:Tof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if([1,2].indexOf(eName) == -1){
  var val = field.getValue();
  var ref18 = _this.getField("D_TEXT_22");
  if(!_.isNull(ref18))
  ref18.setValue(val);
  callbackCore(info);
 }
 else
  callbackCore(info);
 //#endregion:Etc
 //#region:EventEnd
 }
 else
  callbackCore(info);
 //#endregion:EventEnd</t>
  </si>
  <si>
    <t>เงินสมทบที่นำส่งทั้งสิ้น</t>
  </si>
  <si>
    <t>//#region:Ver
 //CD:05/18/58/14:00,CB:jirapat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"&lt;"},{Value: 50000,Operator: "&gt;",ErrorCode: "-870"}]
 ,Operations: "OR"
 };
 var ValReturn = this.executeFunc("SPVerifyField",Params);
 if(!ValReturn.success || (ValReturn.success &amp;&amp; ValReturn.output) ){
 info.isError = true;
 info.VerifyCode = ValReturn.ErrorCode;
 }
 }
 var fieldDate = _this.getField("D_TEXT_09");
 if(!_.isNull(fieldDate)){
 info.ctrlDatas =[{
 FD_NAME:fieldDate.get("FD_NAME")
 ,FD_TYPE:fieldDate.get("FD_TYPE")
 ,IS_READONLY:fieldDate.get("IS_READONLY")
 }]
 }
 callbackCore(info);
 callbackCore(info);
 //#endregion:Etc
 //#region:EventEnd
 }
 else
 callbackCore(info);
 //#endregion:EventEnd</t>
  </si>
  <si>
    <t>ยืนยันข้อมูล กด Y เท่านั้น</t>
  </si>
  <si>
    <t>REFNO16</t>
  </si>
  <si>
    <t>//#region:Ver
 //CD:05/18/58/14:01,CB:jirapat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"Y",Operator: "=="}
 }
  ,Operations: "OR"
 }
 var ValReturn = this.executeFunc("VerifyField",Params);
 if(!ValReturn || val =="")
 info.isError = true;
 }
 callbackCore(info);
 //#endregion:Etc
 //#region:EventEnd
 }
 else
 callbackCore(info);
 //#endregion:EventEnd</t>
  </si>
  <si>
    <t>เลขที่ใบเสร็จรับเงิน</t>
  </si>
  <si>
    <t>Ref2</t>
  </si>
  <si>
    <t>D_TEXT_21</t>
  </si>
  <si>
    <t>Vat</t>
  </si>
  <si>
    <t>ค่าธรรมเนียม</t>
  </si>
  <si>
    <t>D_TEXT_22</t>
  </si>
  <si>
    <t>REFNO18</t>
  </si>
  <si>
    <t>บ.ไทยทิคเก็ตเมเจอร์ จำกัด</t>
  </si>
  <si>
    <t>จองตั๋วรายการบันเทิงและอื่นของ TTM ใหม่</t>
  </si>
  <si>
    <t>ชำระจองตั๋วรายการบันเทิง</t>
  </si>
  <si>
    <t>button</t>
  </si>
  <si>
    <t>//#region:Ver
 //CD:04/08/59/13:53,CB:Tof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btnClick
 if([1,2,3,8].indexOf(eName) != -1 || eName == 7){
 //#endregion:LoadData
 //#region:Etc
 if([1,2,3].indexOf(eName) == -1){
 var Params = {
 TabFDName:"TAB"
 ,FocusFDName:"D_TEXT_02"
 ,isNext:true
 }
 _this.executeFunc("NextOrBackTab",Params);
 }
 callbackCore(info);
 //#endregion:Etc
 //#region:EventEnd
 }
 else
 callbackCore(info);
 //#endregion:EventEnd</t>
  </si>
  <si>
    <t>//#region:Ver
 //CD:05/15/60/10:36,CB:Tof
 //MD:06/08/65/13:45,MB:Visitsak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info.isBarcode = true;
  info.Control = ["D_TEXT_02"];
  var val = field.getValue();
  var fieldRef3 = _this.getField("D_TEXT_03");
  var fieldRef4 = _this.getField("D_MONEY_03");
  var fieldRef5 = _this.getField("D_MONEY_02");
  var fieldRef6 = _this.getField("D_INT_01");
  var fieldRef6Pappu = _this.getField("D_TEXT_10");
  var fieldAmt = _this.getField("D_MONEY_01");
  var Params = {
  Condition: { 
  0:{Value: "303007027201",Operator: "==",Start: 1,Num: 12}
  }
  ,Operations: "OR"
  }
  var ValReturn = _this.executeFunc("VerifyFieldSubStr",Params);
  _this.executeFunc("ChkDupBar",{BARCODE:[val],FieldChk:["BRCDE"]},function(result){
  if(!result.success || !_.isUndefined(result.output.Msg)){
  info.Msg = result.output.Msg;
  info.isError = result.output.isError;
  info.isClear = false;
  }
  callbackCore(info);
  });
  if(!ValReturn || val.length != 37)
  info.isError = true;
  if([2,3].indexOf(eName) == -1 &amp;&amp; !info.isError){
  if(!_.isNull(fieldRef3))
  fieldRef3.setValue(val.substr(13,8));
  if(!_.isNull(fieldRef4))
  fieldRef4.setValue(val.substr(21,6) * 0.01);
  if(!_.isNull(fieldRef5))
  fieldRef5.setValue(val.substr(27,7) * 0.01);
  if(!_.isNull(fieldRef6))
  fieldRef6.setValue(val.substr(34,3));
  if(!_.isNull(fieldRef6Pappu))
  fieldRef6Pappu.setValue(val.substr(34,3));
  _this.executeControl("D_MONEY_01",{datas:{eventName:"enter",isExec:true}},function(){
  callbackCore(info);
  });
  }
  callbackCore(info);
 }
 else
  callbackCore(info);
 //#endregion:Etc
 //#region:EventEnd
 }
 else
  callbackCore(info);
 //#endregion:EventEnd</t>
  </si>
  <si>
    <t>ค่าบริการ</t>
  </si>
  <si>
    <t>ราคา ตั๋ว</t>
  </si>
  <si>
    <t>จำนวนตั๋ว</t>
  </si>
  <si>
    <t>//#region:Ver
 //CD:09/03/58/19:09,CB:Tof
 //ED:10-27-15-16:16,EB:sompan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if(info.isExec){
 var money = _this.getField("D_MONEY_02").getValue();
 var money1 = _this.getField("D_MONEY_03").getValue();
 //var money2 = this.getField("D_INT_01").getValue();
 if(_.isNull(money) &amp;&amp; !_.isNull(money1) &amp;&amp; !_.isNull(money2))
 var val = field.getValue();
 var sum = ((parseFloat(money))+(parseFloat(money1)));
 field.setValue(sum);
 }
 var Params = {
 Condition: { 
  0:{Value: 1,Operator: "&gt;="}
  ,1:{Value: 50000,Operator: "&lt;="}
 }
 ,Operations: "AND"
 }
 var ValReturn = _this.executeFunc("VerifyField",Params);
 if(!ValReturn)
 info.isError = true;
 }
 callbackCore(info);
 //#endregion:Etc
 //#region:EventEnd
 }
 else
 callbackCore(info);
 //#endregion:EventEnd</t>
  </si>
  <si>
    <t>Tran ID</t>
  </si>
  <si>
    <t>ชื่อ บริษัทผู้ประกอบการรถทัวร์ , ชานชลา</t>
  </si>
  <si>
    <t>รหัสเที่ยวรถ, จุดขึ้น-ลง</t>
  </si>
  <si>
    <t>วัน-เวลา เดินทาง, ประเภทรถ, ที่นั่ง</t>
  </si>
  <si>
    <t>ตั๋ว</t>
  </si>
  <si>
    <t>TextArea</t>
  </si>
  <si>
    <t>D_AREA</t>
  </si>
  <si>
    <t>I_FRAME</t>
  </si>
  <si>
    <t>จองตั๋ว</t>
  </si>
  <si>
    <t>TAB_PANEL1</t>
  </si>
  <si>
    <t>TAB_PANEL2</t>
  </si>
  <si>
    <t>TAB</t>
  </si>
  <si>
    <t>บริษัทตะวันออกพาณิชย์ลีสซิ่ง จำกัด (มหาชน)</t>
  </si>
  <si>
    <t>ชำระค่างวด ตะวันออก ลีสซิ่ง(กท-ตจว)</t>
  </si>
  <si>
    <t>//#region:Ver
 //CD:05/12/58/16:20,CB:jirapat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"3030907585",Operator: "!="}
 }
 ,Operations: "AND"
 }
 var ValReturn = this.executeFunc("VerifyField",Params);
 if(ValReturn==true)
 info.isError = true;
 }
 callbackCore(info);
 //#endregion:Etc
 //#region:EventEnd
 }
 else
 callbackCore(info);
 //#endregion:EventEnd</t>
  </si>
  <si>
    <t>//#region:Ver
 //CD:05/12/58/16:21,CB:jirapat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</si>
  <si>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//CD:05/12/58/16:23,CB:jirapat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outletID = Parameters.getParameters().SriptTextParam.OutletID;
 info.isLock = true;
 var val  = field.getValue();
 var chkVal = val.substr(11,1)
 var Params = {
 Condition: { 
  0:{Value: 12,Operator: "=="}
 }
 ,Operations: "AND"
 }
 var ValReturn = this.executeFunc("VerifyFieldLength",Params);
 if(!ValReturn){
 info.isError = true;
 info.VerifyCode = "-440";
 callbackCore(info);
 }
 else {
 outletID = (_.isUndefined(outletID)) ? null : outletID;
 var params = {Sql: "SELECT * FROM M_OUTLET WHERE OUTLET_ID = ISNULL("+outletID+",0)"}
 var CallbackCallSql = function(result){
 var data = result.output.getData().Data;
 var arr = [111,211,212,215/*,242,246*/];
 if(data.length &gt; 0){
 var prv_id = data[0].PROVINCE_ID;
 if(arr.indexOf(prv_id) == -1){
 if(chkVal != "2"){
 info.isError = true;
 info.Msg = "ต้องบันทึกให้ครบทั้ง 12 หลัก และตัวสุดท้ายต้องเป็น 2";
 }
 }
 else{
 if(chkVal != "1"){
 info.isError = true;
 info.Msg = "ต้องบันทึกให้ครบทั้ง 12 หลัก และตัวสุดท้ายต้องเป็น 1";
 }
 }
 }
 else{
 info.isError = true;
 info.Msg = "ไม่พบข้อมูล ปณ."
 }
 callbackCore(info);
 }
 _this.executeFunc("CallSqlServP",params,CallbackCallSql);
 }
 }
 else
 callbackCore(info);
 //#endregion:Etc
 //#region:EventEnd
 }
 else
 callbackCore(info);
 //#endregion:EventEnd</t>
  </si>
  <si>
    <t>//#region:Ver
 //CD:03-03-16-17:15,CB:sompan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</si>
  <si>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</si>
  <si>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CITIGROUP</t>
  </si>
  <si>
    <t>ชำระค่างวดรถ นิสสัน ลีสซิ่ง(กท-ตจว)</t>
  </si>
  <si>
    <t>//#region:Ver
 //CD:05/18/58/10:13,CB:jirapat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Params1,Params2,Params3,Params4,ValReturn1,ValReturn2,ValReturn3,ValReturn4; 
 Params1 = {
 Condition: { 
  0:{Value: "|010554810197700",Operator: "!=",Start: 0,Num: 16}
 }
 ,Operations: "AND"
 }
 Params2 = {
 Condition: { 
  0:{Value: "|338011566100",Operator: "!=",Start: 0,Num: 13}
 }
 ,Operations: "AND"
 }
 Params3 = {
 Condition: { 
  0:{Value: "010554810197700",Operator: "!=",Start: 0,Num: 15}
 }
 ,Operations: "AND"
 }
 Params4 = {
 Condition: { 
  0:{Value: "338011566100",Operator: "!=",Start: 0,Num: 12}
 }
 ,Operations: "AND"
 }
 if(ValReturn1==true&amp;&amp;ValReturn2==true&amp;&amp;ValReturn3==true&amp;&amp;ValReturn4==true)
 info.isError = true;
 }
 callbackCore(info);
 //#endregion:Etc
 //#region:EventEnd
 }
 else
 callbackCore(info);
 //#endregion:EventEnd</t>
  </si>
  <si>
    <t>//#region:Ver
 //CD:04/16/58/10:00,CB:Tof
 //ED:05/18/58/10:13,EB:jirapat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</si>
  <si>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//ED:05/18/58/10:14,EB:jirapat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</si>
  <si>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ชำระค่าสินค้า-บริการเครือCITIGROUPกลุ่ม2</t>
  </si>
  <si>
    <t>สแกน/พิมพ์รหัสบาร์โค้ดหรือREF1</t>
  </si>
  <si>
    <t>//#region:Ver
 //CD:07/27/59/15:56,CB:Tof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setField = _this.getField("D_TEXT_03");
 var val = field.getValue();
 var len = val.length;
 var val2  = val.substr(0,6);
 console.log("aa");
 switch(len){
 case 4:
 var array = ["4586","4587","4588"];
 if(array.indexOf(val) == -1)
 info.isError = true;
 break;
 case 6:
 var array = ["125135","113985","120937","126519","123372","126636","127085","122934","126520","124854"];
 if(array.indexOf(val2) == -1)
 info.isError = true;
 break;
 case 10:
 var array = ["4586","4587","4588"];
 var array2 = ["124854","118279"];
 if(array.indexOf(val.substr(0,4)) != -1) 
 val = val.substr(0,4);
 else if(array2.indexOf(val.substr(0,6)) != -1)
 val = val.substr(0,6);
 else
 info.isError = true;
 break;
 case 13:
 var array = ["118279"];
 if(array.indexOf(val2) == -1)
 info.isError = true;
 break;
 case 18:
 var array = ["125135","123208"];
 if(array.indexOf(val2) == -1)
 info.isError = true;
 break;
 default:
 val = "ข้อมูลไม่ใช่บริษัทในเครือ CITI GROUP บริการ 743";
 info.isError = true;
 break;
 }
 if(!info.isError &amp;&amp; [1,2,3].indexOf(eName) == -1){
 if(!_.isNull(setField))
 setField.setValue(val);
 _this.executeControl("D_TEXT_03",{datas:{eventName:"enter",isExec:true}});
 }
 else
 callbackCore(info);
 }
 else
 callbackCore(info);
 //#endregion:Etc
 //#region:EventEnd
 }
 else
 callbackCore(info);
 //#endregion:EventEnd</t>
  </si>
  <si>
    <t>//#region:Ver
 //CD:11-12-15-10:50,CB:sompan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value1 = field.getValue();
 var value = value1.substr(0,6); 
 var len = value1.length;
 var val;
 if([2,3].indexOf(eName) == -1 &amp;&amp; !info.isError){
 if(len == 4){
 switch(value){
 case "4586": val = "J AND J Consumer";
 break;
 case "4587": val = "J AND J TH";
 break;
 case "4588": val = "J AND J Vision Care";
 break;
 default:
 break;
 }
 }
 else if(len == 6){
 switch(value){
 case "125135": val = "BSH HOME APPLIANCES LTD.";
 break;
 case "113985": val = "SYNGENTA SEEDS";
 break;
 case "120937": val = "SYNGENTA GROUP";
 break;
 case "126519": val = "National healthcare Systems Co.,Ltd";
 break;
 case "126520": val = "Bio Molecular Laboratories(Thailand) Co.,Ltd";
 break;
 case "123372": val = "SGS (Thailand) Co.,Ltd";
 break;
 case "126636": val = "ISET Thailand Co.,Ltd";
 break;
 case "122934": val = "Dell Corporation (Thailand) Co.,Ltd";
 break;
 case "127085": val = "Global Lithotripsy Services Co.,Ltd";
 break;
 case "124854": val = "Janssen - Cilag";
 break;
 default:
 break;
 }
 }
 else if(len == 13 &amp;&amp; value == "118279"){
 switch(value){
 case "118279": val = "Thaisri Insurance Co.,Ltd";
 break;
 default:
 break;
 }
 }
 else if(len == 18){
 switch(value){
 case "125135": val = "BSH HOME APPLIANCES LTD.";
 break;
 case "123208": val = "QBE Insurance(Thailand) Co.,Ltd";
 break;
 default:
 break;
 }
 }
 else{
 val  = "";
 info.isError = true;
 }
 if(val != "")
 this.getField("D_TEXT_04").setValue(val);
 else
 this.executeFunc("Clear",{FDName:"D_TEXT_04"});
 if(info.isExec)
 this.getField("D_TEXT_05").focus();
 }
 field.setLock(true);
 }
 callbackCore(info);
 //#endregion:Etc
 //#region:EventEnd
 }
 else
 callbackCore(info);
 //#endregion:EventEnd</t>
  </si>
  <si>
    <t>ชื่อผู้ฝาก</t>
  </si>
  <si>
    <t>//#region:Ver
 //CD:04/16/58/10:00,CB:Tof
 //ED:09-29-15-13:47,EB:sompan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</si>
  <si>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ชำระค่าสินค้า-บริการเครือCITIGROUPมีบาร์</t>
  </si>
  <si>
    <t>//#region:Ver
 //CD:05/15/15/09:51,CB:wisut
 //ED:08/15/59/14:03,EB:Tof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len = val.length;
 var array = ["21","24","26","27","34","35","36","37","39"];
 var base,cal = 0;
 var ref3  = "ข้อมูล REF 1 ไม่ถูกต้อง";
 var ref4  = "ข้อมูล REF 2 ไม่ถูกต้อง";
 var fieldRef3 = _this.getField("D_TEXT_03");
 var fieldRef4 = _this.getField("D_TEXT_04");
 var suffix;
 if(val.substr(0,11) == "|3104005162" &amp;&amp; array.indexOf(val.substr(11,2)) != -1){
 suffix = val.substr(11,2);
 base = val.substr(13,6);
 cal = 0;
 }
 else if(val.substr(0,14) == "|0100528000127" &amp;&amp; array.indexOf(val.substr(14,2)) != -1){
 suffix = val.substr(14,2);
 base = val.substr(16,6);
 cal = 3;
 }
 else
 info.isError = true;
 if(!info.isError &amp;&amp; [2,3].indexOf(eName) == -1){
 switch(suffix){
  case "21":
 if(base == "116258"){//LOCKTON
 ref3 = val.substr(13+cal,6);
 ref4 = val.substr(19+cal,len - 20 - cal);
 }
 break;
  case "24":
 if(base == "119417"){//AXA แอคซ่าประกันภัย
 ref3 = val.substr(13+cal,16);
 ref4 = val.substr(29+cal,len - 30 - cal);
 }
 break;
  case "26":
 if(base == "126438"){//ซิกน่าประกันวินาศภัย
 ref3 = val.substr(13+cal,13);
 ref4 = val.substr(26+cal,18);
 }
 break;
  case "27":
 if(base == "126428"){//ซิกน่า โบรกเกอเรจเซอร์วิส//Allianz C.P.
 ref3 = val.substr(13+cal,13);
 ref4 = val.substr(26+cal,18);
 }
 break;
  case "34":
 if(base == "125449"){//TOKIO MARING SRI MUANG
 ref3 = val.substr(13+cal,8);
 ref4 = val.substr(21+cal,18);
 }
 break;
  case "35":
 if(base == "124741"){//Allianz C.P.
 ref3 = val.substr(13+cal,15);
 ref4 = val.substr(28+cal,len - 29 - cal);
 }
 break;
  case "36":
 if(base == "126519"){//National Healthcare
 ref3 = val.substr(13+cal,6);
 ref4 = val.substr(19+cal,len - 20 - cal);
 }
 break;
  case "37":
 if(base == "126520"){//Bio Molecular Laboratories
 ref3 = val.substr(13+cal,6);
 ref4 = val.substr(19+cal,len - 20 - cal);
 }
 break;
  case "39":
 if(base == "125134"){//เอช ไลฟ์ แอสชัวรันซ์
 ref3 = val.substr(13+cal,17);
 ref4 = val.substr(33+cal,1);
 }
 break;
  default:
 break;
 }
 if(!_.isNull(fieldRef3))
 fieldRef3.setValue(ref3);
 if(!_.isNull(fieldRef4))
 fieldRef4.setValue(ref4);
 }
 }
 callbackCore(info);
 //#endregion:Etc
 //#region:EventEnd
 }
 else
 callbackCore(info);
 //#endregion:EventEnd</t>
  </si>
  <si>
    <t>ชำระค่าสินค้าและบริการในเครือCITIGROUP</t>
  </si>
  <si>
    <t>//#region:Ver
 //CD:07/08/59/12:08,CB:Tof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setField = _this.getField("D_TEXT_03");
 var setField2 = _this.getField("D_TEXT_05");
 var val = field.getValue();
 var len = val.length;
 var val2  = val.substr(0,6);
 switch(len){
  case 6:
 var array = ["551645","123370","551706","125571","126097","116258","126243","126366","124750"
 ,"126307","125679","123687","126230","125725","125723","123776","126278","126390"];
 if(array.indexOf(val2) == -1)
 info.isError = true;
 break;
  case 8:
 var array = ["125449"];
 if(array.indexOf(val2) == -1)
 info.isError = true;
 break;
  case 10:
 var array = ["121673"];
 if(array.indexOf(val2) == -1)
 info.isError = true;
 break;
  case 13:
 var array = ["119417"];
 if(array.indexOf(val2) == -1)
 info.isError = true;
 break;
  case 15:
 var array = ["124741"];
 if(array.indexOf(val2) == -1)
 info.isError = true;
 break;
  case 16:
 var array = ["123185","126363","126364"];
 if(array.indexOf(val2) == -1)
 info.isError = true;
 break;
  case 17:
 var array = ["118907"];
 if(array.indexOf(val2) == -1)
 info.isError = true;
 break;
  default:
 val = "ข้อมูลไม่ใช่บริษัทในเครือ CITI GROUP บริการ 645";
 info.isError = true;
 break;
 }
 if(!info.isError &amp;&amp; [1,2,3].indexOf(eName) == -1){
 var val3 = "";
 if(len &gt; 24)
 val3 = val.substr(24,len-25);
 if(!_.isNull(setField))
 setField.setValue(val);
 if(!_.isNull(setField2))
 setField2.setValue(val3);
 _this.executeControl("D_TEXT_03",{datas:{eventName:"enter",isExec:true}});
 }
 else
 callbackCore(info);
 }
 else
 callbackCore(info);
 //#endregion:Etc
 //#region:EventEnd
 }
 else
 callbackCore(info);
 //#endregion:EventEnd</t>
  </si>
  <si>
    <t>//#region:Ver
 //CD:07/09/58/10:40,CB:jirapat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value1 = field.getValue();
 var output = _this.executeFunc("CitiGR645Chkdigit",{Data:value1});
 var value = value1.substr(0,6); 
 var len = value1.length;
 var val;
 if(!output.success || (output.success &amp;&amp; !output.output))
 info.isError = true;
 if([2,3].indexOf(eName) == -1 &amp;&amp; !info.isError){
 if(len == 16){
 switch(value){
 case "123185": val = "LMG INSURANCE CO.,LTD";
 break;
 case "126363": val = "PACNET INTERNET (THAILAND) LTD.";
 break;
 case "126364": val = "WORLD NET SERVICES CO.,LTD";
 break;
 default:
 break;
 }
 }
 else if(len == 6){
 switch(value){
 case "551645": val = "NILFISK-ADVANCE CO.,LTD";
 break;
 case "123370": val = "MARSH PB CO.,LTD";
 break;
 case "551706": val = "TT_T SS";
 break;
 case "125571": val = "Pfizer";
 break;
 case "126097": val = "KUNIA";
 break;
 case "116258": val = "LOCKTON";
 break;
 case "126243": val = "GLOFIN X";
 break;
 case "126366": val = "YARA (THAILAND) LTD.";
 break;
 case "124750": val = "HENKEL (THAILAND) LIMITED";
 break;
 case "125679": val = "SIAM SANITARY WARE INDUSTRY";
 break;
 case "123687": val = "BAUSCH LOMB";
 break;
 case "126230": val = "ACE INA OVERSEAS INS";
 break;
 case "125725": val = "SODEXO SUPPORT SERVICES";
 break;
 case "125723": val = "SODEXO HEALTHCARE SUPPORT";
 break;
 case "123776": val = "JOHNSON CONTROLS INTER";
 break;
 case "126307": val = "GLOFIN X LAWYERS CO.,LTD";
 break;
 case "126278": val = "ADP Dealer Services";
 break;
 case "126390": val = "INTERVET (THAILAND) LTD";
 break;
 default:
 break;
 }
 }
 else if(len == 10 &amp;&amp; value == "121673")
 val = "Thai Samsung Electronics Co.,Ltd";
 else if(len == 8 &amp;&amp; value == "125449")
 val = "THE SRI MUANG INS";
 else if(len == 15 &amp;&amp; value == "124741")
 val = "Allianz C.P.";
 else if(len == 13 &amp;&amp; value == "119417")
 val = "AXA INSURANCE PUBLIC CO.,Ltd";
 else if(len == 17 &amp;&amp; value == "118907")
 val = "MANULIFE INSURANCE";
 else
 val = "";
 if(val != "")
 this.getField("D_TEXT_04").setValue(val);
 else
 this.executeFunc("Clear",{FDName:"D_TEXT_04"});
 if(info.isExec)
 this.getField("D_TEXT_05").focus();
 }
 field.setLock(true);
 }
 callbackCore(info);
 //#endregion:Etc
 //#region:EventEnd
 }
 else
 callbackCore(info);
 //#endregion:EventEnd</t>
  </si>
  <si>
    <t>//#region:Ver
 //CD:05/18/58/10:46,CB:jirapat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</si>
  <si>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//#region:Ver
 //CD:03-02-16-14:59,CB:sompan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</si>
  <si>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//CD:04/16/58/10:00,CB:Tof
 //ED:05/18/58/10:44,EB:jirapat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</si>
  <si>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//ED:05/18/58/10:44,EB:jirapat
 //ED:11-05-15-10:43,EB:sompan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</si>
  <si>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ประกันชีวิต บมจ.พรูเด็นเชียล ทีเอส ไลฟ์</t>
  </si>
  <si>
    <t>//#region:Ver
 //CD:05/18/58/10:34,CB:jirapat
 //ED:09-24-15-17:46,EB:sompan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"|010753700189700",Operator: "==",Start: 0,Num: 16}
 ,1:{Value: "|310126249000",Operator: "==",Start: 0,Num: 13}
 }
 ,Operations: "OR"
 }
 var ValReturn = this.executeFunc("VerifyFieldSubStr",Params);
 if(!ValReturn)
 info.isError = true;
 }
 callbackCore(info);
 //#endregion:Etc
 //#region:EventEnd
 }
 else
 callbackCore(info);
 //#endregion:EventEnd</t>
  </si>
  <si>
    <t>//#region:Ver
 //CD:04/16/58/10:00,CB:Tof
 //ED:09-24-15-17:46,EB:sompan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</si>
  <si>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//CD:03-02-16-11:14,CB:sompan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</si>
  <si>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ประกันชีวิต บมจ.อลิอันซ์ อยุธยา</t>
  </si>
  <si>
    <t>//#region:Ver
 //CD:05/18/58/10:27,CB:jirapat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var Params = {
 Condition: { 
  0:{Value: "|310103225300",Operator: "!=",Start: 0,Num: 13}
  ,1:{Value: "|010753700131500",Operator: "!=",Start: 0,Num: 16}
 }
 ,Operations: "AND"
 }
 var ValReturn = this.executeFunc("VerifyFieldSubStr",Params);
 if(ValReturn==true)
 info.isError = true;
 }
 callbackCore(info);
 //#endregion:Etc
 //#region:EventEnd
 }
 else
 callbackCore(info);
 //#endregion:EventEnd</t>
  </si>
  <si>
    <t>//#region:Ver
 //CD:05/14/58/15:22,CB:Tof
 //ED:05/18/58/10:26,EB:jirapat
 //ED:05/28/58/11:35,EB:jirapat
 //ED:10-07-15-14:31,EB:sompan
 //ED:10/26/58/10:04,EB:Tof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Information = [{FDName:"D_TEXT_20",Format:field.get("DISPLAY_FORMAT"),IsBud:field.get("IS_BE_DATE")}];
 _this.executeFunc("SetDateINF",{Information:Information},function(){callbackCore(info);});
 }
 else
 callbackCore(info);
 //#endregion:Etc
 //#region:EventEnd
 }
 else
 callbackCore(info);
 //#endregion:EventEnd</t>
  </si>
  <si>
    <t>//#region:Ver
 //CD:04/16/58/10:00,CB:Tof
 //ED:05/18/58/10:22,EB:jirapat
 //ED:08/06/58/14:17,EB:Tof
 //ED:11-04-15-10:46,EB:sompan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</si>
  <si>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//CD:03-02-16-11:11,CB:sompan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</si>
  <si>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//CD:04/16/58/10:00,CB:Tof
 //ED:05/18/58/10:22,EB:jirapat
 //ED:11-04-15-10:46,EB:sompan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</si>
  <si>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โตโยต้า ลีสซิ่ง ประเทศไทย จำกัด(ลูกค้าใหม่)</t>
  </si>
  <si>
    <t>ชำระค่างวดรถ โตโยต้า ลีสซิ่ง(กท-ตจว)</t>
  </si>
  <si>
    <t>//#region:Ver
 //ED:10/09/62/14:01,CB:Pay_At_Post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"|010553611355004",Operator: "!=",Start: 0,Num: 16}
 ,1:{Value: "|301133590100",Operator: "!=",Start: 0,Num: 13}
 ,2:{Value: "|301133590101",Operator: "!=",Start: 0,Num: 13}
 ,3:{Value: "|301133590102",Operator: "!=",Start: 0,Num: 13}
 }
 ,Operations: "AND"
 }
 var ValReturn = _this.executeFunc("VerifyFieldSubStr",Params);
 var output = _this.executeFunc("ToyotaLeasedNewbar",{Data:val});
 var output1 = _this.executeFunc("ToyotaLeasingChkdg",{Barcode:val});
 if(!output.success || (output.success &amp;&amp; !output.output.ChkBar) ||
 !output1.success || (output1.success &amp;&amp; !output1.output))
 info.isError = true;
 if(!info.isError)
 {
 var ref_2 = _this.getField("D_TEXT_06");
 var cal = 0;
 if(val.substr(0,2) != "|3")
  {
 cal = 3;
  }
  else
  {
  cal = 0;
  }
 if (!_.isNull(ref_2))
 ref_2.setValue(val.substr(20 + cal,val.length-(21 + cal)));
 }
 }
 callbackCore(info);
 //#endregion:Etc
 //#region:EventEnd
 }
 else
 callbackCore(info);
 //#endregion:EventEnd</t>
  </si>
  <si>
    <t>ขอหนังสือรับรอง/ใบรายงาน บ.29 (ป.โท)</t>
  </si>
  <si>
    <t>ID คำนำหน้าชื่อ</t>
  </si>
  <si>
    <t>//#region:Ver
 //CD:04/21/58/11:56,CB:jirapat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if(!output)
 info.VerifyCode = "-110";
 if(!ValReturn)
 info.VerifyCode = "-420"; 
 if(!ValReturn)
 info.isError = true;
 else{
 var output = this.executeFunc("StouChkDigit",{Value:val,FuncType:"MDANDDR"});
 if(!output.success || (output.success &amp;&amp; !output.output))
 info.isError = true; 
 }
 }
 callbackCore(info);
 //#endregion:Etc
 //#region:EventEnd
 }
 else
 callbackCore(info);
 //#endregion:EventEnd</t>
  </si>
  <si>
    <t>//#region:Ver
 //CD:10/16/58/14:04,CB:Tof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this.executeFunc("ServDataCombo",{MapData:[{FDName:"D_TEXT_11",Column:"VALUE_NAME"}]});
 callbackCore(info)
 //#endregion:Etc
 //#region:EventEnd
 }
 else
 callbackCore(info);
 //#endregion:EventEnd</t>
  </si>
  <si>
    <t>//#region:Ver
 //CD:04/16/58/10:00,CB:Tof
 //ED:11-05-15-10:59,EB:sompan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</si>
  <si>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//ED:05/12/58/14:21,EB:jirapat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</si>
  <si>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มีความประสงค์จะขอรับ 1</t>
  </si>
  <si>
    <t>//#region:Ver
 //CD:10/16/58/13:58,CB:Tof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valDefulat = field.get("DEFAULT_VALUE");
 var numField = _this.getField("D_INT_08"); 
 var flag  = false;
 if(!_.isNull(numField)){
 if(val == -1 || val == valDefulat){
 flag = true;
 numField.setValue(0);
 }
 numField.setProperty("IsReadOnly",flag);
 }
 _this.executeControl("D_TEXT_08",{datas:{eventName:"enter",isExec:true}},function(){callbackCore(info);});
 }
 else
 callbackCore(info);
 //#endregion:Etc
 //#region:EventEnd
 }
 else
 callbackCore(info);
 //#endregion:EventEnd</t>
  </si>
  <si>
    <t>จำนวน</t>
  </si>
  <si>
    <t>//#region:Ver
 //CD:10/16/58/13:58,CB:Tof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[1,2].indexOf(eName) == -1){
 var val = field.getValue();
 if(!field.getProperty("IsReadOnly") &amp;&amp; val &lt;= 0)
 info.isError = true;
 if([3].indexOf(eName) == -1)
 _this.executeControl("D_TEXT_08",{datas:{eventName:"enter",isExec:true}},function(){callbackCore(info);});
 else 
 callbackCore(info);
 }
 else
 callbackCore(info);
 //#endregion:Etc
 //#region:EventEnd
 }
 else
 callbackCore(info);
 //#endregion:EventEnd</t>
  </si>
  <si>
    <t>//#region:Ver
 //CD:10/16/58/13:58,CB:Tof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servField = _this.getField("D_INT_02");
 var numField = _this.getField("D_INT_08");
 var amtField = _this.getField("D_MONEY_04");
 var descField = _this.getField("D_TEXT_03");
 var servID,Num,inf,desc,amt = 0,valName,valID;
 if(!_.isNull(servField))
 servID = servField.getValue();
 if(!_.isNull(numField))
 Num = numField.getValue();
 var params = {Sql: "SELECT * FROM M_SERVICE_DATA WHERE SERV_DATA_ID = "+servID};
 var CallbackCallSql = function(result){
 if(result.success){
 var data = result.output.getData().Data;
 if(data.length &gt; 0){
 valID = data[0].VALUE_ID;
 valName = data[0].VALUE_NAME;
 amt = data[0].AMOUNT;
 if(!_.isNull(Num) &amp;&amp; Num != ""){
 inf = valID.toString()+"/"+Num.toString();
 desc = valName + " จำนวน "+Num+" ฉบับ";
 }
 if(numField.getProperty("IsReadOnly"))
 desc = servField.getComponent().getField().find(":selected").html();
 }
 }
 if(!_.isNull(amtField))
 amtField.setValue(amt);
 if(!_.isNull(descField))
 descField.setValue(desc);
 field.setValue(inf);
 _this.executeControl("D_MONEY_01",{datas:{eventName:"enter",isExec:true}},function(){callbackCore(info);});
 }
 _this.executeFunc("CallSqlServP",params,CallbackCallSql);
 }
 else
 callbackCore(info);
 //#endregion:Etc
 //#region:EventEnd
 }
 else
 callbackCore(info);
 //#endregion:EventEnd</t>
  </si>
  <si>
    <t>amount</t>
  </si>
  <si>
    <t>มีความประสงค์จะขอรับ 2</t>
  </si>
  <si>
    <t>//#region:Ver
 //CD:10/16/58/14:00,CB:Tof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valDefulat = field.get("DEFAULT_VALUE");
 var numField = _this.getField("D_INT_09"); 
 var flag  = false;
 if(!_.isNull(numField)){
 if(val == -1 || val == valDefulat){
 flag = true;
 numField.setValue(0);
 }
 numField.setProperty("IsReadOnly",flag);
 }
 _this.executeControl("D_TEXT_09",{datas:{eventName:"enter",isExec:true}},function(){callbackCore(info);});
 }
 else
 callbackCore(info);
 //#endregion:Etc
 //#region:EventEnd
 }
 else
 callbackCore(info);
 //#endregion:EventEnd</t>
  </si>
  <si>
    <t>//#region:Ver
 //CD:10/16/58/14:00,CB:Tof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[1,2].indexOf(eName) == -1){
 var val = field.getValue();
 if(!field.getProperty("IsReadOnly") &amp;&amp; val &lt;= 0)
 info.isError = true;
 if([3].indexOf(eName) == -1)
 _this.executeControl("D_TEXT_09",{datas:{eventName:"enter",isExec:true}},function(){callbackCore(info);});
 else 
 callbackCore(info);
 }
 else
 callbackCore(info);
 //#endregion:Etc
 //#region:EventEnd
 }
 else
 callbackCore(info);
 //#endregion:EventEnd</t>
  </si>
  <si>
    <t>//#region:Ver
 //CD:10/16/58/14:00,CB:Tof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servField = _this.getField("D_INT_04");
 var numField = _this.getField("D_INT_09");
 var amtField = _this.getField("D_MONEY_03");
 var descField = _this.getField("D_TEXT_07");
 var servID,Num,inf,desc,amt = 0,valName,valID;
 if(!_.isNull(servField))
 servID = servField.getValue();
 if(!_.isNull(numField))
 Num = numField.getValue();
 var params = {Sql: "SELECT * FROM M_SERVICE_DATA WHERE SERV_DATA_ID = "+servID};
 var CallbackCallSql = function(result){
 if(result.success){
 var data = result.output.getData().Data;
 if(data.length &gt; 0){
 valID = data[0].VALUE_ID;
 valName = data[0].VALUE_NAME;
 amt = data[0].AMOUNT;
 if(!_.isNull(Num) &amp;&amp; Num != ""){
 inf = valID.toString()+"/"+Num.toString();
 desc = valName + " จำนวน "+Num+" ฉบับ";
 }
 if(numField.getProperty("IsReadOnly"))
 desc = servField.getComponent().getField().find(":selected").html();
 }
 }
 if(!_.isNull(amtField))
 amtField.setValue(amt);
 if(!_.isNull(descField))
 descField.setValue(desc);
 field.setValue(inf);
 _this.executeControl("D_MONEY_01",{datas:{eventName:"enter",isExec:true}},function(){callbackCore(info);});
 }
 _this.executeFunc("CallSqlServP",params,CallbackCallSql);
 }
 else
 callbackCore(info);
 //#endregion:Etc
 //#region:EventEnd
 }
 else
 callbackCore(info);
 //#endregion:EventEnd</t>
  </si>
  <si>
    <t>มีความประสงค์จะขอรับ 3</t>
  </si>
  <si>
    <t>//#region:Ver
 //CD:10/16/58/14:01,CB:Tof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valDefulat = field.get("DEFAULT_VALUE");
 var numField = _this.getField("D_INT_10"); 
 var flag  = false;
 if(!_.isNull(numField)){
 if(val == -1 || val == valDefulat){
 flag = true;
 numField.setValue(0);
 }
 numField.setProperty("IsReadOnly",flag);
 }
 _this.executeControl("D_TEXT_10",{datas:{eventName:"enter",isExec:true}},function(){callbackCore(info);});
 }
 else
 callbackCore(info);
 //#endregion:Etc
 //#region:EventEnd
 }
 else
 callbackCore(info);
 //#endregion:EventEnd</t>
  </si>
  <si>
    <t>//#region:Ver
 //CD:10/16/58/14:01,CB:Tof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[1,2].indexOf(eName) == -1){
 var val = field.getValue();
 if(!field.getProperty("IsReadOnly") &amp;&amp; val &lt;= 0)
 info.isError = true;
 if([3].indexOf(eName) == -1)
 _this.executeControl("D_TEXT_10",{datas:{eventName:"enter",isExec:true}},function(){callbackCore(info);});
 else 
 callbackCore(info);
 }
 else
 callbackCore(info);
 //#endregion:Etc
 //#region:EventEnd
 }
 else
 callbackCore(info);
 //#endregion:EventEnd</t>
  </si>
  <si>
    <t>//#region:Ver
 //CD:10/16/58/14:01,CB:Tof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servField = _this.getField("D_INT_05");
 var numField = _this.getField("D_INT_10");
 var amtField = _this.getField("D_MONEY_02");
 var descField = _this.getField("D_TEXT_06");
 var servID,Num,inf,desc,amt = 0,valName,valID;
 if(!_.isNull(servField))
 servID = servField.getValue();
 if(!_.isNull(numField))
 Num = numField.getValue();
 var params = {Sql: "SELECT * FROM M_SERVICE_DATA WHERE SERV_DATA_ID = "+servID};
 var CallbackCallSql = function(result){
 if(result.success){
 var data = result.output.getData().Data;
 if(data.length &gt; 0){
 valID = data[0].VALUE_ID;
 valName = data[0].VALUE_NAME;
 amt = data[0].AMOUNT;
 if(!_.isNull(Num) &amp;&amp; Num != ""){
 inf = valID.toString()+"/"+Num.toString();
 desc = valName + " จำนวน "+Num+" ฉบับ";
 }
 if(numField.getProperty("IsReadOnly"))
 desc = servField.getComponent().getField().find(":selected").html();
 }
 }
 if(!_.isNull(amtField))
 amtField.setValue(amt);
 if(!_.isNull(descField))
 descField.setValue(desc);
 field.setValue(inf);
 _this.executeControl("D_MONEY_01",{datas:{eventName:"enter",isExec:true}},function(){callbackCore(info);});
 }
 _this.executeFunc("CallSqlServP",params,CallbackCallSql);
 }
 else
 callbackCore(info);
 //#endregion:Etc
 //#region:EventEnd
 }
 else
 callbackCore(info);
 //#endregion:EventEnd</t>
  </si>
  <si>
    <t>//#region:Ver
 //CD:02-23-16-16:24,CB:sompan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Wish1 = _this.getField("D_INT_08").getValue();
 var Wish2 = _this.getField("D_INT_09").getValue();
 var Wish3 = _this.getField("D_INT_10").getValue();
 var amount1 = _this.getField("D_MONEY_04").getValue();
 var amount2 = _this.getField("D_MONEY_03").getValue();
 var amount3 = _this.getField("D_MONEY_02").getValue();
 var sum = (Wish1*amount1)+(Wish2*amount2)+(Wish3*amount3);
 field.setValue(sum);
 }
 callbackCore(info);
 //#endregion:Etc
 //#region:EventEnd
 }
 else
 callbackCore(info);
 //#endregion:EventEnd</t>
  </si>
  <si>
    <t>ขึ้นทะเบียนมหาบัณฑิต บ.16 (ป.โท-เอก)</t>
  </si>
  <si>
    <t>//#region:Ver
 //CD:04/21/58/11:49,CB:jirapat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info.isError = true;
 info.VerifyCode = "-420";
 }
 else{
 var output = this.executeFunc("StouChkDigit",{Value:val,FuncType:"MDANDDR"});
 if(!output.success || (output.success &amp;&amp; !output.output))
 info.isError = true; 
 }
 if(!info.isError){
 var field1 = _this.getField("D_MONEY_01");
 var amt = 0;
 if(["1","2","5","7"].indexOf(val.substr(0,1)) != -1)
 amt = 1000;
 else
 amt = 3000;
 if(!_.isNull(field1))
 field1.setValue(amt);
 }
 }
 callbackCore(info);
 //#endregion:Etc
 //#region:EventEnd
 }
 else
 callbackCore(info);
 //#endregion:EventEnd</t>
  </si>
  <si>
    <t>//#region:Ver
 //CD:09-17-15-10:57,CB:sompan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params = {MapData:[{FDName:"D_TEXT_03",Column:"VALUE_NAME"}]};
 this.executeFunc("ServDataCombo",params);
 }
 callbackCore(info);
 //#endregion:Etc
 //#region:EventEnd
 }
 else
 callbackCore(info);
 //#endregion:EventEnd</t>
  </si>
  <si>
    <t>//#region:Ver
 //CD:04/16/58/10:00,CB:Tof
 //ED:05/12/58/13:50,EB:jirapat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</si>
  <si>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ความจำนงขึ้นทะเบียน</t>
  </si>
  <si>
    <t>//#region:Ver
 //CD:09/17/58/12:13,CB:Tof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params = {Column:"AMOUNT"};
 this.executeFunc("ServDataCombo",params,function(result,_this){
 console.log(result)
 if(result.success)
 _this.executeControl("D_INT_03_CBV",{datas:{eventName:"changed",isExec:true}});
 });
 }
 else
 callbackCore(info);
 //#endregion:Etc
 //#region:EventEnd
 }
 else
 callbackCore(info);
 //#endregion:EventEnd</t>
  </si>
  <si>
    <t>//#region:Ver
 //CD:09-17-15-11:04,CB:sompan
 //ED:09-17-15-11:04,EB:sompan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</si>
  <si>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ยอดชำระขึ้นทะเบียน</t>
  </si>
  <si>
    <t>D_INT_03_CBV</t>
  </si>
  <si>
    <t>//#region:Ver
 //CD:09/17/58/12:16,CB:Tof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datas.isExec){
 this.getField("D_MONEY_01").setValue(field.getValue());
 }
 callbackCore(info);
 //#endregion:Etc
 //#region:EventEnd
 }
 else
 callbackCore(info);
 //#endregion:EventEnd</t>
  </si>
  <si>
    <t>คำร้องต่าง ๆ (ป.โท-เอก)</t>
  </si>
  <si>
    <t>เลขประจำตัวนักศึกษา</t>
  </si>
  <si>
    <t>//#region:Ver
 //CD:05/15/58/16:33,CB:jirapat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info.isError = true;
 info.VerifyCode = "-420";
 }
 else{
 var output = this.executeFunc("StouChkDigit",{Value:val,FuncType:"MDANDDR"});
 if(!output.success || (output.success &amp;&amp; !output.output))
 info.isError = true; 
 }
 }
 callbackCore(info);
 //#endregion:Etc
 //#region:EventEnd
 }
 else
 callbackCore(info);
 //#endregion:EventEnd</t>
  </si>
  <si>
    <t>//#region:Ver
 //CD:09/16/58/18:19,CB:Tof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params = {MapData:[{FDName:"D_TEXT_03",Column:"VALUE_NAME"}]};
 this.executeFunc("ServDataCombo",params);
 }
 callbackCore(info);
 //#endregion:Etc
 //#region:EventEnd
 }
 else
 callbackCore(info);
 //#endregion:EventEnd</t>
  </si>
  <si>
    <t>//#region:Ver
 //CD:04/16/58/10:00,CB:Tof
 //ED:05/15/58/16:34,EB:jirapat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</si>
  <si>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เลข บ</t>
  </si>
  <si>
    <t>//#region:Ver
 //CD:04/21/58/10:38,CB:jirapat
 //ED:09-23-15-16:41,EB:sompan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name = field.getComponent().getField().find(":selected").html().split(/: /g);
 var params = {Sql: "select * from M_SERVICE_DATA WHERE SERV_DATA_ID = "+field.getValue()};
 var CallbackCallSql = function(result){
 var data  = result.output.getData().Data;
 var nameField = _this.getField("D_TEXT_07");
 var amtField = _this.getField("D_MONEY_02");
 var stuField = _this.getField("D_TEXT_02");
 var cbvField = _this.getField("D_INT_02_CBV");
 var Valuename,amt = 0,stu,stou,val; 
 if(data.length &gt; 0){
 Valuename = (name.length &gt; 1) ? name[1] : name[0];
 amt  = data[0].AMOUNT;
 val  = data[0].VALUE_ID;
 if(!_.isNull(stuField)){
 stu = stuField.getValue().substr(4,1);
 stou = stuField.getValue().substr(0,1);
 }
 switch(val){
  case "19" :
 if(stu == 2)
 amt = data[0].AMOUNT1;
 break;
  case "31" :
 if(["1","2","5","7"].indexOf(stou) != -1)
 amt = data[0].AMOUNT1;
 break;
 }
 }
 if(!_.isNull(amtField))
 amtField.setValue(amt);
 if(!_.isNull(nameField))
 nameField.setValue(Valuename);
 if(!_.isNull(cbvField))
 cbvField.setValue(val);
 callbackCore(info);
 }
 _this.executeFunc("CallSqlServP",params,CallbackCallSql);
 }
 else
 callbackCore(info)
 //#endregion:Etc
 //#region:EventEnd
 }
 else
 callbackCore(info);
 //#endregion:EventEnd</t>
  </si>
  <si>
    <t>คำร้อง</t>
  </si>
  <si>
    <t>//#region:Ver
 //CD:01-14-16-16:00,CB:sompan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</si>
  <si>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คำนำหน้า</t>
  </si>
  <si>
    <t>D_INT_02_CBV</t>
  </si>
  <si>
    <t>โครงการสัมฤทธิบัตรบัณฑิตศึกษา</t>
  </si>
  <si>
    <t>//#region:Ver
 //CD:03/17/59/16:49,CB:Tof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termField = _this.getField("D_INT_04");
 var term  = "-1",val,flag = true;
 if(!_.isNull(termField)) term = termField.getValue();
 var sqlStu = "SELECT EM.COURSE_ID AS VALUE_ID,EC.COURSE_CODE +' : '+ EC.COURSE_NAME AS VALUE_NAME \n"
 + "FROM M_EDU_MAP_DETAIL EM \n"
 + "LEFT JOIN M_EDU_COURSE EC ON EC.COURSE_ID = EM.COURSE_ID \n"
 + "WHERE EM.EDU_ID = "+term+" \n"
 + "AND ISNULL(EM.S_DATE,GETDATE()) &lt;= GETDATE() \n"
 + "AND ISNULL(EM.E_DATE,GETDATE()) &gt;= GETDATE() \n"
 + "AND ISNULL(EM.INACTIVE,0) = 0 \n";
 var sqlregis = "SELECT SERV_DATA_ID AS VALUE_ID,VALUE_NAME FROM M_SERVICE_DATA WHERE P_SERV_DATA_ID = 767 ORDER BY SEQ";
 var fdName = ["D_INT_03","D_INT_05","D_TEXT_09","D_TEXT_10","D_INT_05_CBV"];
 var stuName = ["D_INT_03"];
 _this.executeFunc("ClearAll",{FDName:fdName});
 _this.executeFunc("ClearAll",{isReadOnly:true,FDName:fdName});
 _this.executeFunc("ClearAll",{FDName:"D_MONEY_01"});
 if(term == "-1")
 field.setValue(val);
 else{
 flag = false;
 var CallbackCallSql = function(result){
 if(result.success){
 var data = result.output.getData().Data;
 if(data.length &gt; 0)
 field.setValue(data[0].YEAR_ID.toString().substr(2,2)+"/"+data[0].TERM_ID);
 }
 }
 _this.executeFunc("CallSqlServP",{Sql: "SELECT * FROM M_EDU_MAP WHERE EDU_ID = "+term},CallbackCallSql);
 }
 for(i=0;i&lt;stuName.length;i++){
 var stuField = _this.getField(stuName[i]);
 if(!_.isNull(stuField))
 stuField.setProperty("IsReadOnly",flag);
 }
 _this.executeFunc("LoadComboSP",{FDName: stuName[0],Sql: sqlStu},function(){
 _this.executeFunc("LoadComboSP",{FDName: "D_INT_05",Sql: sqlregis},function(){
 var regisField = _this.getField("D_INT_05");
 if(!_.isNull(regisField)){
 regisField.setProperty("IsReadOnly",true);
 regisField.setValue(2268);
 }
 callbackCore(info);
 });
 });
 }
 else
 callbackCore(info);
 //#endregion:Etc
 //#region:EventEnd
 }
 else
 callbackCore(info);
 //#endregion:EventEnd</t>
  </si>
  <si>
    <t>//#region:Ver
 //CD:09/17/58/16:25,CB:Tof
 //ED:10/26/58/14:30,EB:Tof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sql = "SELECT AA.VALUE_ID,AA.VALUE_NAME \n"
 +"FROM( \n"
 +"SELECT EM.EDU_ID AS VALUE_ID, CONVERT(NVARCHAR(50),EY.TERM_NAME) AS VALUE_NAME \n"
 +",ROW_NUMBER() OVER (PARTITION BY EM.YEAR_ID,EM.TERM_ID ORDER BY EM.POST_DATE DESC) AS ROWNUM \n"
 +"FROM M_EDU_MAP EM \n"
 +"LEFT JOIN Z_EDU_TERM EY ON EY.TERM_ID = EM.TERM_ID \n"
 +"WHERE ISNULL(EM.APPROVED,0) = 1 AND EM.UNIV_ID = 1 AND EM.DEGREE_ID = 2 \n"
 +"AND ISNULL(EM.TERM_ID,0) IN(1,2,3) \n"
 +"AND ISNULL(EM.YEAR_ID,0) = "+val+" \n"
 +"AND ISNULL(EM.INACTIVE,0) = 0 \n"
 +"AND ISNULL(EY.INACTIVE,0) = 0 \n"
 +"AND ISNULL(EM.S_DATE,GETDATE()) &lt;= GETDATE() \n"
 +"AND ISNULL(EM.E_DATE,GETDATE()) &gt;= GETDATE() \n"
 +")AA \n"
 +"WHERE AA.ROWNUM = 1 \n";
 _this.executeFunc("LoadComboSP",{FDName: "D_INT_04",Sql: sql},function(){
 var setField = _this.getField("D_INT_04");
 if(!_.isNull(setField))
 setField.setValue(-1);
 _this.executeControl("D_TEXT_02",{datas:{eventName:"enter",isExec:true}},function(){callbackCore(info);});
 });
 }
 else
 callbackCore(info);
 //#endregion:Etc
 //#region:EventEnd
 }
 else
 callbackCore(info);
 //#endregion:EventEnd</t>
  </si>
  <si>
    <t>//#region:Ver
 //CD:03/10/59/14:16,CB:Tof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_this.executeControl("D_TEXT_02",{datas:{eventName:"enter",isExec:true}},function(){callbackCore(info);});
 }
 else
 callbackCore(info);
 //#endregion:Etc
 //#region:EventEnd
 }
 else
 callbackCore(info);
 //#endregion:EventEnd</t>
  </si>
  <si>
    <t>รุ่นที่</t>
  </si>
  <si>
    <t>//#region:Ver
 //CD:04/16/58/13:04,CB:jirapat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 
  0:{Value: "21",Operator: "!="}
  ,1:{Value: "22",Operator: "!="}
  ,2:{Value: "23",Operator: "!="}
  ,3:{Value: "24",Operator: "!="}
  ,4:{Value: "25",Operator: "!="}
  ,5:{Value: "26",Operator: "!="}
  ,6:{Value: "27",Operator: "!="}
  ,7:{Value: "28",Operator: "!="}
  ,8:{Value: "29",Operator: "!="}
  ,9:{Value: "30",Operator: "!="}
  ,10:{Value: "31",Operator: "!="}
  ,11:{Value: "32",Operator: "!="}
  ,12:{Value: "33",Operator: "!="}
  ,13:{Value: "34",Operator: "!="}
  ,14:{Value: "35",Operator: "!="}
  ,15:{Value: "36",Operator: "!="}
  ,16:{Value: "37",Operator: "!="}
  ,17:{Value: "38",Operator: "!="}
  ,18:{Value: "39",Operator: "!="}
  ,19:{Value: "40",Operator: "!="}
  ,20:{Value: "41",Operator: "!="}
  ,21:{Value: "42",Operator: "!="}
  ,22:{Value: "43",Operator: "!="}
  }
  ,Operations: "AND"
  }
  var ValReturn = this.executeFunc("VerifyField",Params);
  if(ValReturn==true)
  info.isError = true;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</si>
  <si>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ValReturn = this.executeFunc("CheckIDCardNo");
 if(ValReturn == false)
 info.isError = true;
 }
 callbackCore(info);
 //#endregion:Etc
 //#region:EventEnd
 }
 else
 callbackCore(info);
 //#endregion:EventEnd</t>
  </si>
  <si>
    <t>//#region:Ver
 //CD:09/17/58/14:52,CB:Tof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name  = field.getComponent().getField().find(":selected").html(); 
 var FieldName = _this.getField("D_TEXT_08");
 if(!_.isNull(FieldName))
 FieldName.setValue(name);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</si>
  <si>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</si>
  <si>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วิชาสัมฤทธิบัตร</t>
  </si>
  <si>
    <t>//#region:Ver
 //CD:09/17/58/16:12,CB:Tof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value = field.getValue();
 var fieldname = this.getField("D_TEXT_09");
 var fieldSet = this.getField("D_INT_05");
 var fullname = field.getComponent().getField().find(":selected").html();
 var name  = fullname.split(/: /g);
 var val = name[0];
 var flag  = false;
 var valSet = -1;
 var sqlregis = "SELECT SERV_DATA_ID AS VALUE_ID,VALUE_NAME FROM M_SERVICE_DATA WHERE P_SERV_DATA_ID = 767";
 if(name.length &gt; 1)
 val = name[1];
 if(!_.isNull(fieldname))
 fieldname.setValue(val);
 if(value == -1 || value == 906){
 flag = true;
 valSet = 2268;
 }
 else
 sqlregis = sqlregis + " AND SERV_DATA_ID NOT IN(2268)";
 sqlregis = sqlregis + " ORDER BY SEQ";
 _this.executeFunc("LoadComboSP",{FDName: "D_INT_05",Sql: sqlregis},function(){
 if(!_.isNull(fieldSet)){
 fieldSet.setValue(valSet);
 fieldSet.setProperty("IsReadOnly",flag);
 }
 _this.executeControl("D_TEXT_10",{datas:{eventName:"enter",isExec:true}},function(){callbackCore(info);});
 });
 }
 else
 callbackCore(info);
 //#endregion:Etc
 //#region:EventEnd
 }
 else
 callbackCore(info);
 //#endregion:EventEnd</t>
  </si>
  <si>
    <t>การสมัครเรียน</t>
  </si>
  <si>
    <t>//#region:Ver
 //CD:09/17/58/15:37,CB:Tof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_this.executeFunc("ServDataCombo",{},function(result){
 _this.executeControl("D_INT_05_CBV",{datas:{eventName:"enter",isExec:true}},function(){callbackCore(info);});
 });
 }
 else
 callbackCore(info);
 //#endregion:Etc
 //#region:EventEnd
 }
 else
 callbackCore(info);
 //#endregion:EventEnd</t>
  </si>
  <si>
    <t>D_INT_05_CBV</t>
  </si>
  <si>
    <t>//#region:Ver
 //CD:09/17/58/15:44,CB:Tof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datas.isExec){
 var comboValue = this.getField("D_INT_05").getValue();
 var value = field.getValue();
 var servdataid = (_.isNull(comboValue) || _.isUndefined(comboValue)) ? "-1" : comboValue;
 var valueid = (_.isNull(value) || _.isUndefined(value)) ? "-1" : value;
 var sql = "SELECT * FROM M_SERVICE_DATA WHERE SERV_DATA_ID = '"+servdataid+"' \n"
 + "AND VALUE_ID = '"+valueid+"'"
 var params = {Sql: sql}
 var CallbackCallSql = function(result,_this){
 var fieldamt = _this.getField("D_MONEY_01");
 if(result.success){
 var data = result.output.getData().Data;
 var amt = _.isNull(data[0].AMOUNT) ? 0 : data[0].AMOUNT;
 fieldamt.setValue(amt);
 }
 else
 _this.executeFunc("Clear",{FDName:"D_MONEY_01"});
 _this.executeControl("D_TEXT_10",{datas:{eventName:"enter",isExec:true}},function(){callbackCore(info);});
 }
 _this.executeFunc("CallSqlServP",params,CallbackCallSql);
 }
 else
 callbackCore(info);
 //#endregion:Etc
 //#region:EventEnd
 }
 else
 callbackCore(info);
 //#endregion:EventEnd</t>
  </si>
  <si>
    <t>//#region:Ver
 //CD:10/26/58/16:00,CB:Tof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field1 = _this.getField("D_INT_03");
 var field2 = _this.getField("D_INT_05_CBV");
 var val = "00000/0";
 var stou,stou1;
 var code = "";
 if(!_.isNull(field1) &amp;&amp; !_.isNull(field2)){
 stou = field1.getValue();
 if(stou != -1 &amp;&amp; stou1 != ""){
 code = field1.getComponent().getField().find(":selected").html().split(/ : /g); 
 val = code[0].substr(0,5) +"/"+ field2.getValue();
 }
 }
 field.setValue(val);
 }
 callbackCore(info);
 //#endregion:Etc
 //#region:EventEnd
 }
 else
 callbackCore(info);
 //#endregion:EventEnd</t>
  </si>
  <si>
    <t>//#region:Ver
 //CD:03/10/59/15:55,CB:Tof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</si>
  <si>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ชำระค่าธรรมเนียมการตรวจบทคัดย่อฯ มสธ.</t>
  </si>
  <si>
    <t>//#region:Ver
 //CD:09/05/59/13:47,CB:Tof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info.isError = true;
 info.VerifyCode = "-420";
 }
 else{
 var output = this.executeFunc("StouChkDigit",{Value:val,FuncType:"MDANDDR"});
 if(!output.success || (output.success &amp;&amp; !output.output))
 info.isError = true; 
 }
 }
 callbackCore(info);
 //#endregion:Etc
 //#region:EventEnd
 }
 else
 callbackCore(info);
 //#endregion:EventEnd</t>
  </si>
  <si>
    <t>//#region:Ver
 //CD:09/05/59/13:45,CB:Tof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name  = field.getComponent().getField().find(":selected").html(); 
 var FieldName = _this.getField("D_TEXT_03");
 if(!_.isNull(FieldName))
 FieldName.setValue(name);
 }
 callbackCore(info);
 //#endregion:Etc
 //#region:EventEnd
 }
 else
 callbackCore(info);
 //#endregion:EventEnd</t>
  </si>
  <si>
    <t>//#region:Ver
 //CD:09/05/59/13:49,CB:Tof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</si>
  <si>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//CD:09/05/59/14:09,CB:Tof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if(result.success){
 var data  = result.output.getData().Data;
 var valField = _this.getField("D_TEXT_06");
 var nameField = _this.getField("D_TEXT_07");
 var amtField = _this.getField("D_MONEY_02");
 var name  = data[0].VALUE_NAME.split(/ : /g);
 var fullname = "";
 if(name.length &gt; 1)
 fullname = name[1];
 else 
 fullname = name[0];
 if(!_.isNull(nameField))
 nameField.setValue(fullname);
 if(!_.isNull(valField))
 valField.setValue(data[0].VALUE_ID);
 if(!_.isNull(amtField))
 amtField.setValue(data[0].AMOUNT);
 }
 callbackCore(info);
 }
 _this.executeFunc("CallSqlServP",params,CallbackCallSql);
 }
 else 
 callbackCore(info);
 //#endregion:Etc
 //#region:EventEnd
 }
 else
 callbackCore(info);
 //#endregion:EventEnd</t>
  </si>
  <si>
    <t>//#region:Ver
 //CD:09/05/59/14:46,CB:Tof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</si>
  <si>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ใบรายงานผลฯ/หนังสือรับรอง บ10ป.โท-เอก</t>
  </si>
  <si>
    <t>//#region:Ver
 //CD:04/21/58/11:51,CB:jirapat
 //ED:11-05-15-10:51,EB:sompan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info.VerifyCode = "-420";
 if(!output)
 info.VerifyCode = "-110";
 if(!ValReturn)
 info.isError = true;
 else{
 var output = this.executeFunc("StouChkDigit",{Value:val,FuncType:"MDANDDR"});
 if(!output.success || (output.success &amp;&amp; !output.output))
 info.isError = true; 
 }
 }
 callbackCore(info);
 //#endregion:Etc
 //#region:EventEnd
 }
 else
 callbackCore(info);
 //#endregion:EventEnd</t>
  </si>
  <si>
    <t>//#region:Ver
 //CD:05-17-16-15:24,CB:sompan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this.executeFunc("ServDataCombo",{MapData:[{FDName:"D_TEXT_03",Column:"VALUE_NAME"}]});
 callbackCore(info)
 //#endregion:Etc
 //#region:EventEnd
 }
 else
 callbackCore(info);
 //#endregion:EventEnd</t>
  </si>
  <si>
    <t>ชื่อคำนำหน้า</t>
  </si>
  <si>
    <t>Idคำนำหน้า</t>
  </si>
  <si>
    <t>//#region:Ver
 //CD:04/16/58/10:00,CB:Tof
 //ED:05/12/58/14:06,EB:jirapat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</si>
  <si>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ใบรายงานผลการศึกษาภาษาไทย จำนวน</t>
  </si>
  <si>
    <t>//#region:Ver
 //CD:09-18-15-15:52,CB:sompan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=true){
 this.executeControl("D_MONEY_01",{datas:{eventName:"enter",isExec:true}});
 }
 callbackCore(info)
 //#endregion:Etc
 //#region:EventEnd
 }
 else
 callbackCore(info);
 //#endregion:EventEnd</t>
  </si>
  <si>
    <t>ใบรายงานผลการศึกษาภาษาอังกฤษ จำนวน</t>
  </si>
  <si>
    <t>//#region:Ver
 //CD:09-18-15-15:58,CB:sompan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=true){
 this.executeControl("D_MONEY_01",{datas:{eventName:"enter",isExec:true}});
 }
 callbackCore(info)
 //#endregion:Etc
 //#region:EventEnd
 }
 else
 callbackCore(info);
 //#endregion:EventEnd</t>
  </si>
  <si>
    <t>หนังสือรับรองการศึกษา จำนวน</t>
  </si>
  <si>
    <t>//#region:Ver
 //CD:09-18-15-15:57,CB:sompan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=true){
 this.executeControl("D_MONEY_01",{datas:{eventName:"enter",isExec:true}});
 }
 callbackCore(info)
 //#endregion:Etc
 //#region:EventEnd
 }
 else
 callbackCore(info);
 //#endregion:EventEnd</t>
  </si>
  <si>
    <t>หนังสือรับรองการศึกษา ภาษาอังกฤษ จำนวน</t>
  </si>
  <si>
    <t>หนังสือรับรองครบโครงสร้างหลักสูตร จำนวน</t>
  </si>
  <si>
    <t>หนังสือรับรองครบโครงสร้างหลักสูตร ภาษาอังกฤษ จำนวน</t>
  </si>
  <si>
    <t>//#region:Ver
 //CD:09-18-15-15:09,CB:sompan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ReportTH = this.getField("D_INT_03").getValue();
 var ReportEN = this.getField("D_INT_04").getValue();
 var StructTH = this.getField("D_INT_07").getValue();
 var StructEH = this.getField("D_INT_08").getValue();
 var CertifTH = this.getField("D_INT_05").getValue();
 var CertifEN = this.getField("D_INT_06").getValue();
 var sum = (ReportTH*200)+(ReportEN*200)+(StructTH*100)+(StructEH*100)+(CertifTH*100)+(CertifEN*100)
 field.setValue(sum);
 }
 callbackCore(info);
 //#endregion:Etc
 //#region:EventEnd
 }
 else
 callbackCore(info);
 //#endregion:EventEnd</t>
  </si>
  <si>
    <t>รับชำระค่าสั่งซื้อใบสมัครปริญญาโท มสธ.</t>
  </si>
  <si>
    <t>//#region:Ver
 //CD:04/21/58/13:46,CB:jirapat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</si>
  <si>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//CD:04/21/58/13:47,CB:jirapat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ValReturn = this.executeFunc("CheckIDCardNo");
 if(ValReturn == false)
 info.isError = true;
 }
 callbackCore(info);
 //#endregion:Etc
 //#region:EventEnd
 }
 else
 callbackCore(info);
 //#endregion:EventEnd</t>
  </si>
  <si>
    <t>จำนวนที่สั่งซื้อ</t>
  </si>
  <si>
    <t>//#region:Ver
 //CD:07/03/58/16:25,CB:Minny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Report = field.getValue();
 var sum = (Report*200)
 if(Report &gt; 0)
 _this.getField("D_MONEY_01").setValue(sum);
 else
 info.isError = true;
 /*
 var Params = {
 Condition: {Language: "NUM"}//TH,EN,NUM,THEN,THNUM,ENNUM
 ,Operations: "AND"
 }
 var ValReturn = this.executeFunc("VerifyFieldLanguage",Params);
 if(!ValReturn)
 info.VerifyCode = "-320";
 if(ValReturn!=true)
 info.isError = true;*/
 }
 callbackCore(info);
 //#endregion:Etc
 //#region:EventEnd
 }
 else
 callbackCore(info);
 //#endregion:EventEnd</t>
  </si>
  <si>
    <t>//#region:Ver
 //CD:04/16/58/10:00,CB:Tof
 //ED:07/15/59/17:13,EB:Tof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</si>
  <si>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ลงทะเบียนบัณฑิตศึกษา มสธ. (ป.โท)</t>
  </si>
  <si>
    <t>//#region:Ver
 //CD:04/21/58/11:03,CB:jirapat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info.VerifyCode = "-420";
  if(!ValReturn)
  info.isError = true;
  else{
  var output = this.executeFunc("StouChkDigit",{Value:val,FuncType:"MD"});
  if(!output.success || (output.success &amp;&amp; !output.output))
  info.isError = true; 
  }
 }
 callbackCore(info);
 //#endregion:Etc
 //#region:EventEnd
 }
 else
  callbackCore(info);
 //#endregion:EventEnd</t>
  </si>
  <si>
    <t>//#region:Ver
 //CD:04/21/58/11:22,CB:jirapat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</si>
  <si>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D_INT_15</t>
  </si>
  <si>
    <t>//#region:Ver
 //CD:01/27/59/15:57,CB:Tof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_this.executeFunc("ServDataCombo");
 callbackCore(info);
 //#endregion:Etc
 //#region:EventEnd
 }
 else
  callbackCore(info);
 //#endregion:EventEnd</t>
  </si>
  <si>
    <t>D_INT_14</t>
  </si>
  <si>
    <t>//#region:Ver
 //CD:01/26/59/17:20,CB:Tof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_this.executeFunc("EduList",{ComboType:2,Univ:1,Degree:2,TypeEdu:1,Year:val},function(result){
  var data = result.output.getDataSets().Table1;
  var termField = _this.getField("D_INT_05");
  var flag = (val == "-1") ? true : false;
  if(!_.isNull(termField)){
  termField.setComboDatas(data);
  termField.setValue(-1);
  termField.setProperty("IsReadOnly",flag);
  }
  _this.executeControl("D_TEXT_21",{datas:{eventName:"enter",isExec:true}},function(){
  callbackCore(info);
  });
  });
 }
 else
  callbackCore(info);
 //#endregion:Etc
 //#region:EventEnd
 }
 else
  callbackCore(info);
 //#endregion:EventEnd</t>
  </si>
  <si>
    <t>//#region:Ver
 //CD:10/15/58/11:04,CB:Tof
 //ED:10/26/58/19:29,EB:Tof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_this.executeControl("D_TEXT_21",{datas:{eventName:"enter",isExec:true}},function(){callbackCore(info);});
 }
 else
  callbackCore(info);
 //#endregion:Etc
 //#region:EventEnd
 }
 else
  callbackCore(info);
 //#endregion:EventEnd</t>
  </si>
  <si>
    <t>D_INT_15_CBV</t>
  </si>
  <si>
    <t>//#region:Ver
 //CD:10/14/58/18:05,CB:Tof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eduField = _this.getField("D_INT_05");
  var edu = 0;
  if(!_.isNull(eduField))
  edu = eduField.getValue();
  _this.executeFunc("EduList",{ComboType:4,Univ:1,Degree:2,EduID:edu,CourseID:val},function(result){
  var dataCourse = result.output.getDataSets().Table1;
  var dataBuy = result.output.getDataSets().Table2;
  var dataRegis = result.output.getDataSets().Table3;
  var buyName = _this.getField("D_INT_01");
  var regisName = _this.getField("D_INT_13");
  var buyCodeField = _this.getField("D_INT_01_CBV");
  var regisCodeField = _this.getField("D_INT_13_CBV");
  var buy=-1,regis=-1,term = 0,flag = true;
  if(val == "-1" || val == "1"){
  buy = 98;
  regis = 1796;
  }
  else
  flag = false;
  if(!_.isNull(buyName)){
  buyName.setComboDatas(dataBuy);
  buyName.setValue(buy);
  buyName.setProperty("IsReadOnly",flag);
  }
  if(!_.isNull(regisName)){
  regisName.setComboDatas(dataRegis);
  regisName.setValue(regis);
  regisName.setProperty("IsReadOnly",flag);
  }
  if(!_.isNull(buyCodeField))
  buyCodeField.setValue(0);
  if(!_.isNull(regisCodeField))
  regisCodeField.setValue(0);
  _this.executeControl("D_TEXT_04",{datas:{eventName:"enter",isExec:true}},function(){
  callbackCore(info);
  });
  });
 }
 else
  callbackCore(info);
 //#endregion:Etc
 //#region:EventEnd
 }
 else
  callbackCore(info);
 //#endregion:EventEnd</t>
  </si>
  <si>
    <t>ลงทะเบียนครั้งที่</t>
  </si>
  <si>
    <t>D_INT_13</t>
  </si>
  <si>
    <t>//#region:Ver
 //CD:10/14/58/18:55,CB:Tof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_this.executeFunc("ServDataCombo",{},function(){
  _this.executeControl("D_TEXT_04",{datas:{eventName:"enter",isExec:true}},function(){callbackCore(info);});
  });
 else
  callbackCore(info);
 //#endregion:Etc
 //#region:EventEnd
 }
 else
  callbackCore(info);
 //#endregion:EventEnd</t>
  </si>
  <si>
    <t>//#region:Ver
 //CD:11/17/59/17:32,CB:Tof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stuField = _this.getField("D_INT_06");
 var buyField = _this.getField("D_INT_01_CBV");
 var regisField = _this.getField("D_INT_13_CBV");
 var nameField = _this.getField("D_TEXT_06");
 var stu = (!_.isNull(stuField)) ? stuField.getValue() : "-1";
 var buyID = (!_.isNull(buyField)) ? buyField.getValue() : "";
 var regisID = (!_.isNull(regisField)) ? regisField.getValue() : "";
 var name = (!_.isNull(stuField)) ? stuField.getComponent().getField().find(":selected").html().split(/ : /g) : [];
 var val = field.get("DEFAULT_VALUE");
 var stuCode = name[0],stuName;
 buyID = (buyID == "") ? "0" : buyID;
 regisID = (regisID == "") ? "0" : regisID;
 if(name.length &gt; 1)
  stuName = name[1];
 if(stuCode.substr(5,1) == "0")
 stuCode = stuCode.substr(0,5);
 if(!_.isNull(nameField))
  nameField.setValue(stuName);
 if(stu != "-1")
 val = stuCode +"/"+regisID+"/"+buyID;
 field.setValue(val);
 }
 callbackCore(info);
 //#endregion:Etc
 //#region:EventEnd
 }
 else
 callbackCore(info);
 //#endregion:EventEnd</t>
  </si>
  <si>
    <t>ซื้อ1</t>
  </si>
  <si>
    <t>ลงทะเบียน1</t>
  </si>
  <si>
    <t>D_INT_13_CBV</t>
  </si>
  <si>
    <t>//#region:Ver
 //CD:10/14/58/18:05,CB:Tof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eduField = _this.getField("D_INT_05");
  var edu = 0;
  if(!_.isNull(eduField))
  edu = eduField.getValue();
  _this.executeFunc("EduList",{ComboType:4,Univ:1,Degree:2,EduID:edu,CourseID:val},function(result){
  var dataCourse = result.output.getDataSets().Table1;
  var dataBuy = result.output.getDataSets().Table2;
  var dataRegis = result.output.getDataSets().Table3;
  var buyName = _this.getField("D_INT_02");
  var regisName = _this.getField("D_INT_12");
  var buyCodeField = _this.getField("D_INT_02_CBV");
  var regisCodeField = _this.getField("D_INT_12_CBV");
  var buy=-1,regis=-1,term = 0,flag = true;
  if(val == "-1" || val == "1"){
  buy = 98;
  regis = 1796;
  }
  else
  flag = false;
  if(!_.isNull(buyName)){
  buyName.setComboDatas(dataBuy);
  buyName.setValue(buy);
  buyName.setProperty("IsReadOnly",flag);
  }
  if(!_.isNull(regisName)){
  regisName.setComboDatas(dataRegis);
  regisName.setValue(regis);
  regisName.setProperty("IsReadOnly",flag);
  }
  if(!_.isNull(buyCodeField))
  buyCodeField.setValue(0);
  if(!_.isNull(regisCodeField))
  regisCodeField.setValue(0);
  _this.executeControl("D_TEXT_05",{datas:{eventName:"enter",isExec:true}},function(){
  callbackCore(info);
  });
  });
 }
 else
  callbackCore(info);
 //#endregion:Etc
 //#region:EventEnd
 }
 else
  callbackCore(info);
 //#endregion:EventEnd</t>
  </si>
  <si>
    <t>D_INT_12</t>
  </si>
  <si>
    <t>//#region:Ver
 //CD:10/14/58/18:55,CB:Tof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_this.executeFunc("ServDataCombo",{},function(){
  _this.executeControl("D_TEXT_05",{datas:{eventName:"enter",isExec:true}},function(){callbackCore(info);});
  });
 else
  callbackCore(info);
 //#endregion:Etc
 //#region:EventEnd
 }
 else
  callbackCore(info);
 //#endregion:EventEnd</t>
  </si>
  <si>
    <t>//#region:Ver
 //CD:10/14/58/18:56,CB:Tof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_this.executeFunc("ServDataCombo",{},function(){
  _this.executeControl("D_TEXT_05",{datas:{eventName:"enter",isExec:true}},function(){callbackCore(info);});
  });
 else
  callbackCore(info);
 //#endregion:Etc
 //#region:EventEnd
 }
 else
  callbackCore(info);
 //#endregion:EventEnd</t>
  </si>
  <si>
    <t>//#region:Ver
 //CD:11/17/59/17:33,CB:Tof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stuField = _this.getField("D_INT_07");
 var buyField = _this.getField("D_INT_02_CBV");
 var regisField = _this.getField("D_INT_12_CBV");
 var nameField = _this.getField("D_TEXT_08");
 var stu = (!_.isNull(stuField)) ? stuField.getValue() : "-1";
 var buyID = (!_.isNull(buyField)) ? buyField.getValue() : "";
 var regisID = (!_.isNull(regisField)) ? regisField.getValue() : "";
 var name = (!_.isNull(stuField)) ? stuField.getComponent().getField().find(":selected").html().split(/ : /g) : [];
 var val = field.get("DEFAULT_VALUE");
 var stuCode = name[0],stuName;
 buyID = (buyID == "") ? "0" : buyID;
 regisID = (regisID == "") ? "0" : regisID;
 if(name.length &gt; 1)
  stuName = name[1];
 if(stuCode.substr(5,1) == "0")
 stuCode = stuCode.substr(0,5);
 if(!_.isNull(nameField))
  nameField.setValue(stuName);
 if(stu != "-1")
 val = stuCode +"/"+regisID+"/"+buyID;
 field.setValue(val);
 }
 callbackCore(info)
 //#endregion:Etc
 //#region:EventEnd
 }
 else
 callbackCore(info);
 //#endregion:EventEnd</t>
  </si>
  <si>
    <t>ลงทะเบียน2</t>
  </si>
  <si>
    <t>D_INT_12_CBV</t>
  </si>
  <si>
    <t>ซื้อ2</t>
  </si>
  <si>
    <t>//#region:Ver
 //CD:10/14/58/18:05,CB:Tof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eduField = _this.getField("D_INT_05");
  var edu = 0;
  if(!_.isNull(eduField))
  edu = eduField.getValue();
  _this.executeFunc("EduList",{ComboType:4,Univ:1,Degree:2,EduID:edu,CourseID:val},function(result){
  var dataCourse = result.output.getDataSets().Table1;
  var dataBuy = result.output.getDataSets().Table2;
  var dataRegis = result.output.getDataSets().Table3;
  var buyName = _this.getField("D_INT_03");
  var regisName = _this.getField("D_INT_11");
  var buyCodeField = _this.getField("D_INT_03_CBV");
  var regisCodeField = _this.getField("D_INT_11_CBV");
  var buy=-1,regis=-1,term = 0,flag = true;
  if(val == "-1" || val == "1"){
  buy = 98;
  regis = 1796;
  }
  else
  flag = false;
  if(!_.isNull(buyName)){
  buyName.setComboDatas(dataBuy);
  buyName.setValue(buy);
  buyName.setProperty("IsReadOnly",flag);
  }
  if(!_.isNull(regisName)){
  regisName.setComboDatas(dataRegis);
  regisName.setValue(regis);
  regisName.setProperty("IsReadOnly",flag);
  }
  if(!_.isNull(buyCodeField))
  buyCodeField.setValue(0);
  if(!_.isNull(regisCodeField))
  regisCodeField.setValue(0);
  _this.executeControl("D_TEXT_07",{datas:{eventName:"enter",isExec:true}},function(){
  callbackCore(info);
  });
  });
 }
 else
  callbackCore(info);
 //#endregion:Etc
 //#region:EventEnd
 }
 else
  callbackCore(info);
 //#endregion:EventEnd</t>
  </si>
  <si>
    <t>D_INT_11</t>
  </si>
  <si>
    <t>//#region:Ver
 //CD:10/14/58/18:56,CB:Tof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_this.executeFunc("ServDataCombo",{},function(){
  _this.executeControl("D_TEXT_07",{datas:{eventName:"enter",isExec:true}},function(){callbackCore(info);});
  });
 else
  callbackCore(info);
 //#endregion:Etc
 //#region:EventEnd
 }
 else
  callbackCore(info);
 //#endregion:EventEnd</t>
  </si>
  <si>
    <t>//#region:Ver
 //CD:11/17/59/17:33,CB:Tof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stuField = _this.getField("D_INT_08");
 var buyField = _this.getField("D_INT_03_CBV");
 var regisField = _this.getField("D_INT_11_CBV");
 var nameField = _this.getField("D_TEXT_10");
 var stu = (!_.isNull(stuField)) ? stuField.getValue() : "-1";
 var buyID = (!_.isNull(buyField)) ? buyField.getValue() : "";
 var regisID = (!_.isNull(regisField)) ? regisField.getValue() : "";
 var name = (!_.isNull(stuField)) ? stuField.getComponent().getField().find(":selected").html().split(/ : /g) : [];
 var val = field.get("DEFAULT_VALUE");
 var stuCode = name[0],stuName;
 buyID = (buyID == "") ? "0" : buyID;
 regisID = (regisID == "") ? "0" : regisID;
 if(name.length &gt; 1)
  stuName = name[1];
 if(stuCode.substr(5,1) == "0")
 stuCode = stuCode.substr(0,5);
 if(!_.isNull(nameField))
  nameField.setValue(stuName);
 if(stu != "-1")
 val = stuCode +"/"+regisID+"/"+buyID;
 field.setValue(val);
 }
 callbackCore(info)
 //#endregion:Etc
 //#region:EventEnd
 }
 else
 callbackCore(info);
 //#endregion:EventEnd</t>
  </si>
  <si>
    <t>ลงทะเบียน3</t>
  </si>
  <si>
    <t>D_INT_11_CBV</t>
  </si>
  <si>
    <t>ซื้อ3</t>
  </si>
  <si>
    <t>รหัสชุดวิชา 4</t>
  </si>
  <si>
    <t>//#region:Ver
 //CD:10/14/58/18:06,CB:Tof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eduField = _this.getField("D_INT_05");
  var edu = 0;
  if(!_.isNull(eduField))
  edu = eduField.getValue();
  _this.executeFunc("EduList",{ComboType:4,Univ:1,Degree:2,EduID:edu,CourseID:val},function(result){
  var dataCourse = result.output.getDataSets().Table1;
  var dataBuy = result.output.getDataSets().Table2;
  var dataRegis = result.output.getDataSets().Table3;
  var buyName = _this.getField("D_INT_04");
  var regisName = _this.getField("D_INT_10");
  var buyCodeField = _this.getField("D_INT_04_CBV");
  var regisCodeField = _this.getField("D_INT_10_CBV");
  var buy=-1,regis=-1,term = 0,flag = true;
  if(val == "-1" || val == "1"){
  buy = 98;
  regis = 1796;
  }
  else
  flag = false;
  if(!_.isNull(buyName)){
  buyName.setComboDatas(dataBuy);
  buyName.setValue(buy);
  buyName.setProperty("IsReadOnly",flag);
  }
  if(!_.isNull(regisName)){
  regisName.setComboDatas(dataRegis);
  regisName.setValue(regis);
  regisName.setProperty("IsReadOnly",flag);
  }
  if(!_.isNull(buyCodeField))
  buyCodeField.setValue(0);
  if(!_.isNull(regisCodeField))
  regisCodeField.setValue(0);
  _this.executeControl("D_TEXT_09",{datas:{eventName:"enter",isExec:true}},function(){
  callbackCore(info);
  });
  });
 }
 else
  callbackCore(info);
 //#endregion:Etc
 //#region:EventEnd
 }
 else
  callbackCore(info);
 //#endregion:EventEnd</t>
  </si>
  <si>
    <t>//#region:Ver
 //CD:10/14/58/18:56,CB:Tof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_this.executeFunc("ServDataCombo",{},function(){
  _this.executeControl("D_TEXT_09",{datas:{eventName:"enter",isExec:true}},function(){callbackCore(info);});
  });
 else
  callbackCore(info);
 //#endregion:Etc
 //#region:EventEnd
 }
 else
  callbackCore(info);
 //#endregion:EventEnd</t>
  </si>
  <si>
    <t>//#region:Ver
 //CD:11/17/59/17:33,CB:Tof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stuField = _this.getField("D_INT_09");
 var buyField = _this.getField("D_INT_04_CBV");
 var regisField = _this.getField("D_INT_10_CBV");
 var nameField = _this.getField("D_TEXT_12");
 var stu = (!_.isNull(stuField)) ? stuField.getValue() : "-1";
 var buyID = (!_.isNull(buyField)) ? buyField.getValue() : "";
 var regisID = (!_.isNull(regisField)) ? regisField.getValue() : "";
 var name = (!_.isNull(stuField)) ? stuField.getComponent().getField().find(":selected").html().split(/ : /g) : [];
 var val = field.get("DEFAULT_VALUE");
 var stuCode = name[0],stuName;
 buyID = (buyID == "") ? "0" : buyID;
 regisID = (regisID == "") ? "0" : regisID;
 if(name.length &gt; 1)
  stuName = name[1];
 if(stuCode.substr(5,1) == "0")
 stuCode = stuCode.substr(0,5);
 if(!_.isNull(nameField))
  nameField.setValue(stuName);
 if(stu != "-1")
 val = stuCode +"/"+regisID+"/"+buyID;
 field.setValue(val);
 }
 callbackCore(info)
 //#endregion:Etc
 //#region:EventEnd
 }
 else
 callbackCore(info);
 //#endregion:EventEnd</t>
  </si>
  <si>
    <t>ลงทะเบียน4</t>
  </si>
  <si>
    <t>ซื้อ4</t>
  </si>
  <si>
    <t>D_INT_04_CBV</t>
  </si>
  <si>
    <t>//#region:Ver
 //CD:01/27/59/10:25,CB:Tof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termField = _this.getField("D_INT_05");
  var term = "-1",val = field.get("DEFAULT_VALUE");
  if(!_.isNull(termField)) term = termField.getValue();
  _this.executeFunc("EduList",{ComboType:3,Univ:1,Degree:2,EduID:term},function(result){
  var dataTerm = result.output.getDataSets().Table1;
  var dataCourse = result.output.getDataSets().Table2;
  var dataBuy = result.output.getDataSets().Table3;
  var dataRegis = result.output.getDataSets().Table4;
  var flag = (term == "-1") ? true : false;
  var stuName = ["D_INT_06","D_INT_07","D_INT_08","D_INT_09"];
  var buyName = ["D_INT_01","D_INT_02","D_INT_03","D_INT_04"];
  var regisName = ["D_INT_13","D_INT_12","D_INT_11","D_INT_10"];
  var deflaueField = ["D_TEXT_04","D_INT_01_CBV","D_INT_13_CBV","D_TEXT_05","D_INT_12_CBV","D_INT_02_CBV"
  ,"D_TEXT_07","D_INT_11_CBV","D_INT_03_CBV","D_TEXT_09","D_INT_10_CBV","D_INT_04_CBV"];
  var courseName = ["D_TEXT_06","D_TEXT_08","D_TEXT_10","D_TEXT_12"];
  if(dataTerm.length &gt; 0)
  val = dataTerm[0].SUBYEAR +"/"+ dataTerm[0].TERM_ID;
  field.setValue(val);
  for(i=0;i&lt;stuName.length;i++){
  var stuField = _this.getField(stuName[i]);
  var courseField = _this.getField(courseName[i]);
  if(!_.isNull(stuField)){
  stuField.setProperty("IsReadOnly",flag);
  stuField.setComboDatas(dataCourse);
  stuField.setValue(dataCourse[0].VALUE_ID);
  }
  if(!_.isNull(courseField))
  courseField.setValue(dataCourse[0].VALUE_NAME.split(/ : /g)[1]);
  }
  for(i=0;i&lt;buyName.length;i++){
  var buyField = _this.getField(buyName[i]);
  if(!_.isNull(buyField)){
  buyField.setProperty("IsReadOnly",true);
  buyField.setComboDatas(dataRegis);
  buyField.setValue(dataRegis[0].VALUE_ID);
  }
  }
  for(i=0;i&lt;regisName.length;i++){
  var regisField = _this.getField(regisName[i]);
  if(!_.isNull(regisField)){
  regisField.setProperty("IsReadOnly",true);
  regisField.setComboDatas(dataBuy);
  regisField.setValue(dataBuy[0].VALUE_ID);
  }
  }
  _this.executeFunc("ClearAll",{FDName:deflaueField});
  callbackCore(info);
  });
 }
 else
  callbackCore(info);
 //#endregion:Etc
 //#region:EventEnd
 }
 else
  callbackCore(info);
 //#endregion:EventEnd</t>
  </si>
  <si>
    <t>//#region:Ver
 //CD:04/21/58/11:23,CB:jirapat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</si>
  <si>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ลงทะเบียนปริญญาเอก มสธ.</t>
  </si>
  <si>
    <t>//#region:Ver
 //CD:09/17/58/17:25,CB:Tof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(!ValLang)
  info.VerifyCode = "-10";
  if (!ValLen)
  info.VerifyCode = "-90";
  if (ValChar)
  info.VerifyCode = "-50";
  if(!ValLang || !ValLen || ValChar)
  info.isError = true;
 }
 callbackCore(info);
 //#endregion:Etc
 //#region:EventEnd
 }
 else
  callbackCore(info);
 //#endregion:EventEnd</t>
  </si>
  <si>
    <t>//#region:Ver
 //CD:04/21/58/13:42,CB:jirapat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{Condition: {0:{Value: 10,Operator: "=="}},Operations: "AND"};
  var ValReturn = _this.executeFunc("VerifyFieldLength",Params);
  if(!ValReturn)
  info.VerifyCode = "-420";
  if(!ValReturn)
  info.isError = true;
  else{
  var output = _this.executeFunc("StouChkDigit",{Value:val});
  if(!output.success || (output.success &amp;&amp; !output.output))
  info.isError = true; 
  }
  if(!info.isError &amp;&amp; [1,2,3].indexOf(eName) == -1){
  var fdstd = ["D_INT_06","D_INT_08","D_INT_09"];
  var fdbuy = ["D_INT_07","D_INT_12","D_INT_10"];
  var fdmon = ["D_MONEY_03","D_MONEY_04","D_MONEY_05"];
  var year = _this.getField("D_INT_01").getValue();
  var loop = 3;
  _this.executeFunc("SetValueSubStr",Params);
  if(year != "-1"){
  for(i=0;i&lt;loop;i++){
  field1 = _this.getField(fdbuy[i]);
  field2 = _this.getField(fdmon[i]);
  field3 = _this.getField(fdstd[i]);
  field1.setValue(-1);
  field2.setValue(0);
  field3.setValue(-1);
  }
  }
  }
 }
 callbackCore(info);
 //#endregion:Etc
 //#region:EventEnd
 }
 else
  callbackCore(info);
 //#endregion:EventEnd</t>
  </si>
  <si>
    <t>//#region:Ver
 //CD:09/17/58/17:43,CB:Tof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_this.executeFunc("EduList",{ComboType:2,Univ:1,Degree:3,TypeEdu:1,Year:val},function(result){
  var data = result.output.getDataSets().Table1;
  var termField = _this.getField("D_INT_08");
  var flag = (val == "-1") ? true : false;
  if(!_.isNull(termField)){
  termField.setComboDatas(data);
  termField.setValue(-1);
  termField.setProperty("IsReadOnly",flag);
  }
  _this.executeControl("D_TEXT_12",{datas:{eventName:"enter",isExec:true}},function(){
  callbackCore(info);
  });
  });
 }
 else
  callbackCore(info);
 //#endregion:Etc
 //#region:EventEnd
 }
 else
  callbackCore(info);
 //#endregion:EventEnd</t>
  </si>
  <si>
    <t>//#region:Ver
 //CD:01/27/59/16:38,CB:Tof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_this.executeControl("D_TEXT_12",{datas:{eventName:"enter",isExec:true}},function(){callbackCore(info);});
 }
 else
  callbackCore(info);
 //#endregion:Etc
 //#region:EventEnd
 }
 else
  callbackCore(info);
 //#endregion:EventEnd</t>
  </si>
  <si>
    <t>//#region:Ver
 //CD:10/19/58/11:39,CB:Tof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termField = _this.getField("D_INT_08");
  var term = "-1",val = field.get("DEFAULT_VALUE");
  if(!_.isNull(termField)) term = termField.getValue();
  _this.executeFunc("EduList",{ComboType:3,Univ:1,Degree:2,EduID:term},function(result){
  var dataTerm = result.output.getDataSets().Table1;
  var dataCourse = result.output.getDataSets().Table2;
  var dataBuy = result.output.getDataSets().Table3;
  var dataRegis = result.output.getDataSets().Table4;
  var flag = (term == "-1") ? true : false;
  var stuName = ["D_INT_05","D_INT_06","D_INT_07"];
  var regisName = ["D_INT_09","D_INT_10","D_INT_11"];
  var deflaueField = ["D_TEXT_13","D_TEXT_14","D_TEXT_15","D_INT_09_CBV","D_INT_10_CBV","D_INT_11_CBV"];
  var courseName = ["D_TEXT_06","D_TEXT_08","D_TEXT_10"];
  if(dataTerm.length &gt; 0)
  val = dataTerm[0].SUBYEAR +"/"+ dataTerm[0].TERM_ID;
  field.setValue(val);
  for(i=0;i&lt;stuName.length;i++){
  var stuField = _this.getField(stuName[i]);
  var courseField = _this.getField(courseName[i]);
  if(!_.isNull(stuField)){
  stuField.setProperty("IsReadOnly",flag);
  stuField.setComboDatas(dataCourse);
  stuField.setValue(dataCourse[0].VALUE_ID);
  }
  if(!_.isNull(courseField))
  courseField.setValue(dataCourse[0].VALUE_NAME.split(/ : /g)[1]);
  }
  for(i=0;i&lt;regisName.length;i++){
  var regisField = _this.getField(regisName[i]);
  if(!_.isNull(regisField)){
  regisField.setProperty("IsReadOnly",true);
  regisField.setComboDatas(dataBuy);
  regisField.setValue(dataBuy[0].VALUE_ID);
  }
  }
  _this.executeFunc("ClearAll",{FDName:deflaueField});
  callbackCore(info);
  });
 }
 else
  callbackCore(info);
 //#endregion:Etc
 //#region:EventEnd
 }
 else
  callbackCore(info);
 //#endregion:EventEnd</t>
  </si>
  <si>
    <t>//#region:Ver
 //CD:09/18/58/12:23,CB:Tof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eduField = _this.getField("D_INT_01");
  var edu = 0;
  if(!_.isNull(eduField))
  edu = eduField.getValue();
  _this.executeFunc("EduList",{ComboType:4,Univ:1,Degree:3,EduID:edu,CourseID:val},function(result){
  var dataCourse = result.output.getDataSets().Table1;
  var dataRegis = result.output.getDataSets().Table3;
  var regisName = _this.getField("D_INT_09");
  var regisCodeField = _this.getField("D_INT_09_CBV");
  var regis=-1,term = 0,flag = true;
  if(val == "-1" || val == "1")
  regis = 1796;
  else
  flag = false;
  if(!_.isNull(regisName)){
  regisName.setComboDatas(dataRegis);
  regisName.setValue(regis);
  regisName.setProperty("IsReadOnly",flag);
  }
  if(!_.isNull(regisCodeField))
  regisCodeField.setValue(0);
  _this.executeControl("D_TEXT_13",{datas:{eventName:"enter",isExec:true}},function(){
  callbackCore(info);
  });
  });
 }
 else
  callbackCore(info);
 //#endregion:Etc
 //#region:EventEnd
 }
 else
  callbackCore(info);
 //#endregion:EventEnd</t>
  </si>
  <si>
    <t>//#region:Ver
 //CD:01/29/59/13:57,CB:Tof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_this.executeFunc("ServDataCombo",{},function(){
  _this.executeControl("D_TEXT_13",{datas:{eventName:"enter",isExec:true}},function(){callbackCore(info);});
  });
 else
  callbackCore(info);
 //#endregion:Etc
 //#region:EventEnd
 }
 else
  callbackCore(info);
 //#endregion:EventEnd</t>
  </si>
  <si>
    <t>D_INT_09_CBV</t>
  </si>
  <si>
    <t>//#region:Ver
 //CD:10/19/58/10:44,CB:Tof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eduField = _this.getField("D_INT_01");
  var edu = 0;
  if(!_.isNull(eduField))
  edu = eduField.getValue();
  _this.executeFunc("EduList",{ComboType:4,Univ:1,Degree:3,EduID:edu,CourseID:val},function(result){
  var dataCourse = result.output.getDataSets().Table1;
  var dataRegis = result.output.getDataSets().Table3;
  var regisName = _this.getField("D_INT_10");
  var regisCodeField = _this.getField("D_INT_10_CBV");
  var regis=-1,term = 0,flag = true;
  if(val == "-1" || val == "1")
  regis = 1796;
  else
  flag = false;
  if(!_.isNull(regisName)){
  regisName.setComboDatas(dataRegis);
  regisName.setValue(regis);
  regisName.setProperty("IsReadOnly",flag);
  }
  if(!_.isNull(regisCodeField))
  regisCodeField.setValue(0);
  _this.executeControl("D_TEXT_14",{datas:{eventName:"enter",isExec:true}},function(){
  callbackCore(info);
  });
  });
 }
 else
  callbackCore(info);
 //#endregion:Etc
 //#region:EventEnd
 }
 else
  callbackCore(info);
 //#endregion:EventEnd</t>
  </si>
  <si>
    <t>//#region:Ver
 //CD:01/29/59/13:59,CB:Tof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_this.executeFunc("ServDataCombo",{},function(){
  _this.executeControl("D_TEXT_14",{datas:{eventName:"enter",isExec:true}},function(){callbackCore(info);});
  });
 else
  callbackCore(info);
 //#endregion:Etc
 //#region:EventEnd
 }
 else
  callbackCore(info);
 //#endregion:EventEnd</t>
  </si>
  <si>
    <t>//#region:Ver
 //CD:09/18/58/12:24,CB:Tof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eduField = _this.getField("D_INT_01");
  var edu = 0;
  if(!_.isNull(eduField))
  edu = eduField.getValue();
  _this.executeFunc("EduList",{ComboType:4,Univ:1,Degree:3,EduID:edu,CourseID:val},function(result){
  var dataCourse = result.output.getDataSets().Table1;
  var dataRegis = result.output.getDataSets().Table3;
  var regisName = _this.getField("D_INT_11");
  var regisCodeField = _this.getField("D_INT_11_CBV");
  var regis=-1,term = 0,flag = true;
  if(val == "-1" || val == "1")
  regis = 1796;
  else
  flag = false;
  if(!_.isNull(regisName)){
  regisName.setComboDatas(dataRegis);
  regisName.setValue(regis);
  regisName.setProperty("IsReadOnly",flag);
  }
  if(!_.isNull(regisCodeField))
  regisCodeField.setValue(0);
  _this.executeControl("D_TEXT_15",{datas:{eventName:"enter",isExec:true}},function(){
  callbackCore(info);
  });
  });
 }
 else
  callbackCore(info);
 //#endregion:Etc
 //#region:EventEnd
 }
 else
  callbackCore(info);
 //#endregion:EventEnd</t>
  </si>
  <si>
    <t>//#region:Ver
 //CD:01/29/59/13:59,CB:Tof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_this.executeFunc("ServDataCombo",{},function(){
  _this.executeControl("D_TEXT_15",{datas:{eventName:"enter",isExec:true}},function(){callbackCore(info);});
  });
 else
  callbackCore(info);
 //#endregion:Etc
 //#region:EventEnd
 }
 else
  callbackCore(info);
 //#endregion:EventEnd</t>
  </si>
  <si>
    <t>//#region:Ver
 //CD:10/19/58/10:53,CB:Tof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stuField = _this.getField("D_INT_05");
  var nameField = _this.getField("D_TEXT_06");
  var buyField = _this.getField("D_INT_09_CBV");
  var val = "00000/0";
  var name,buy,stuName;
  if(!_.isNull(stuField) &amp;&amp; !_.isNull(buyField)){
  name = stuField.getComponent().getField().find(":selected").html().split(/ : /g); 
  buy = buyField.getValue();
  if(name.length &gt; 1)
  stuName = name[1];
  else
  stuName = name[0];
  if(!_.isNull(name[0]) &amp;&amp; !_.isNull(buy) &amp;&amp; (name[0] != "") &amp;&amp; (buy != ""))
  val = name[0]+"/"+buy;
  if(!_.isNull(nameField))
  nameField.setValue(stuName); 
  }
  field.setValue(val);
 }
 callbackCore(info);
 //#endregion:Etc
 //#region:EventEnd
 }
 else
  callbackCore(info);
 //#endregion:EventEnd</t>
  </si>
  <si>
    <t>//#region:Ver
 //CD:10/19/58/11:00,CB:Tof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stuField = _this.getField("D_INT_06");
  var nameField = _this.getField("D_TEXT_08");
  var buyField = _this.getField("D_INT_10_CBV");
  var val = "00000/0";
  var name,buy,stuName;
  if(!_.isNull(stuField) &amp;&amp; !_.isNull(buyField)){
  name = stuField.getComponent().getField().find(":selected").html().split(/ : /g); 
  buy = buyField.getValue();
  if(name.length &gt; 1)
  stuName = name[1];
  else
  stuName = name[0];
  if(!_.isNull(name[0]) &amp;&amp; !_.isNull(buy) &amp;&amp; (name[0] != "") &amp;&amp; (buy != ""))
  val = name[0]+"/"+buy;
  if(!_.isNull(nameField))
  nameField.setValue(stuName); 
  }
  field.setValue(val);
 }
 callbackCore(info);
 //#endregion:Etc
 //#region:EventEnd
 }
 else
  callbackCore(info);
 //#endregion:EventEnd</t>
  </si>
  <si>
    <t>//#region:Ver
 //CD:10/19/58/11:00,CB:Tof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var stuField = _this.getField("D_INT_07");
  var nameField = _this.getField("D_TEXT_10");
  var buyField = _this.getField("D_INT_11_CBV");
  var val = "00000/0";
  var name,buy,stuName;
  if(!_.isNull(stuField) &amp;&amp; !_.isNull(buyField)){
  name = stuField.getComponent().getField().find(":selected").html().split(/ : /g); 
  buy = buyField.getValue();
  if(name.length &gt; 1)
  stuName = name[1];
  else
  stuName = name[0];
  if(!_.isNull(name[0]) &amp;&amp; !_.isNull(buy) &amp;&amp; (name[0] != "") &amp;&amp; (buy != ""))
  val = name[0]+"/"+buy;
  if(!_.isNull(nameField))
  nameField.setValue(stuName); 
  }
  field.setValue(val);
 }
 callbackCore(info);
 //#endregion:Etc
 //#region:EventEnd
 }
 else
  callbackCore(info);
 //#endregion:EventEnd</t>
  </si>
  <si>
    <t>อื่น ๆ</t>
  </si>
  <si>
    <t>//#region:Ver
 //CD:10/19/58/13:37,CB:Tof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if(_.isNull(val) || val == "")
  info.isError = true;
 }
 callbackCore(info);
 //#endregion:Etc
 //#region:EventEnd
 }
 else
  callbackCore(info);
 //#endregion:EventEnd</t>
  </si>
  <si>
    <t>//#region:Ver
 //CD:10/19/58/11:27,CB:Tof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var field1 = _this.getField("D_MONEY_02");
  var field2 = _this.getField("D_MONEY_03");
  var field3 = _this.getField("D_MONEY_04");
  var amt = 0,val1,val2,val3;
  if(!_.isNull(field1) &amp;&amp; !_.isNull(field2) &amp;&amp; !_.isNull(field3)){
  val1 = isNaN(parseFloat(field1.getValue())) ? 0 : parseFloat(field1.getValue());
  val2 = isNaN(parseFloat(field2.getValue())) ? 0 : parseFloat(field2.getValue());
  val3 = isNaN(parseFloat(field3.getValue())) ? 0 : parseFloat(field3.getValue());
  amt = val1 + val2 + val3;
  }
  field.setValue(amt);
 }
 callbackCore(info);
 //#endregion:Etc
 //#region:EventEnd
 }
 else
  callbackCore(info);
 //#endregion:EventEnd</t>
  </si>
  <si>
    <t>//#region:Ver
 //CD:05/31/59/16:35,CB:Tof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</si>
  <si>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ลงทะเบียนเรียน (กรณีชำระเงินเพิ่ม ป.โท)</t>
  </si>
  <si>
    <t>//#region:Ver
 //CD:04/21/58/11:54,CB:jirapat
 //ED:11-05-15-16:21,EB:sompan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if(!ValReturn)
  info.VerifyCode = "-420";
  if(!ValReturn)
  info.isError = true;
  else{
  var output = this.executeFunc("StouChkDigit",{Value:val,FuncType:"MD"});
  if(!output.success || (output.success &amp;&amp; !output.output))
  info.isError = true; 
  }
 }
 callbackCore(info);
 //#endregion:Etc
 //#region:EventEnd
 }
 else
  callbackCore(info);
 //#endregion:EventEnd</t>
  </si>
  <si>
    <t>//#region:Ver
 //CD:10/26/58/18:55,CB:Tof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if([1,2,3].indexOf(eName) == -1){
  var val = field.getValue();
  _this.executeFunc("EduList",{ComboType:2,Univ:1,Degree:2,TypeEdu:3,Year:val},function(result){
  var data = result.output.getDataSets().Table1;
  var termField = _this.getField("D_INT_01");
  var flag = (val == "-1") ? true : false;
  if(!_.isNull(termField)){
  termField.setComboDatas(data);
  termField.setValue(-1);
  termField.setProperty("IsReadOnly",flag);
  }
  _this.executeControl("D_TEXT_03",{datas:{eventName:"enter",isExec:true}},function(){
  callbackCore(info);
  });
  });
 }
 else
  callbackCore(info);
 //#endregion:Etc
 //#region:EventEnd
 }
 else
  callbackCore(info);
 //#endregion:EventEnd</t>
  </si>
  <si>
    <t>//#region:Ver
 //CD:03/17/59/12:02,CB:Tof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_this.executeControl("D_TEXT_03",{datas:{eventName:"enter",isExec:true}},function(){callbackCore(info);});
 }
 else
  callbackCore(info);
 //#endregion:Etc
 //#region:EventEnd
 }
 else
  callbackCore(info);
 //#endregion:EventEnd</t>
  </si>
  <si>
    <t>//#region:Ver
 //CD:03/17/59/12:29,CB:Tof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termField = _this.getField("D_INT_01");
  var term = "-1",val = field.get("DEFAULT_VALUE");
  if(!_.isNull(termField)) term = termField.getValue();
  _this.executeFunc("EduList",{ComboType:3,Univ:1,Degree:2,EduID:term},function(result){
  var dataTerm = result.output.getDataSets().Table1;
  var dataCourse = result.output.getDataSets().Table2;
  var dataBuy = result.output.getDataSets().Table3;
  var dataRegis = result.output.getDataSets().Table4;
  var flag = (term == "-1") ? true : false;
  var stuName = ["D_INT_04","D_INT_05"];
  var buyName = ["D_INT_02","D_INT_06"];
  var regisName = ["D_INT_09","D_INT_07"];
  var deflaueField = ["D_TEXT_04","D_TEXT_05","D_TEXT_10","D_TEXT_07","D_TEXT_12","D_TEXT_13"];
  var courseName = ["D_TEXT_06","D_TEXT_08"];
  if(dataTerm.length &gt; 0)
  val = dataTerm[0].SUBYEAR +"/"+ dataTerm[0].TERM_ID;
  field.setValue(val);
  for(i=0;i&lt;stuName.length;i++){
  var stuField = _this.getField(stuName[i]);
  var courseField = _this.getField(courseName[i]);
  if(!_.isNull(stuField)){
  stuField.setProperty("IsReadOnly",flag);
  stuField.setComboDatas(dataCourse);
  stuField.setValue(dataCourse[0].VALUE_ID);
  }
  if(!_.isNull(courseField))
  courseField.setValue(dataCourse[0].VALUE_NAME.split(/ : /g)[1]);
  }
  for(i=0;i&lt;buyName.length;i++){
  var buyField = _this.getField(buyName[i]);
  if(!_.isNull(buyField)){
  buyField.setProperty("IsReadOnly",true);
  buyField.setComboDatas(dataRegis);
  buyField.setValue(dataRegis[0].VALUE_ID);
  }
  }
  for(i=0;i&lt;regisName.length;i++){
  var regisField = _this.getField(regisName[i]);
  if(!_.isNull(regisField)){
  regisField.setProperty("IsReadOnly",true);
  regisField.setComboDatas(dataBuy);
  regisField.setValue(dataBuy[0].VALUE_ID);
  }
  }
  _this.executeFunc("ClearAll",{FDName:deflaueField});
  callbackCore(info);
  });
 }
 else
  callbackCore(info);
 //#endregion:Etc
 //#region:EventEnd
 }
 else
  callbackCore(info);
 //#endregion:EventEnd</t>
  </si>
  <si>
    <t>//#region:Ver
 //CD:10/26/58/18:58,CB:Tof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eduField = _this.getField("D_INT_01");
  var edu = 0;
  if(!_.isNull(eduField))
  edu = eduField.getValue();
  _this.executeFunc("EduList",{ComboType:4,Univ:1,Degree:2,EduID:edu,CourseID:val},function(result){
  var dataCourse = result.output.getDataSets().Table1;
  var dataBuy = result.output.getDataSets().Table2;
  var dataRegis = result.output.getDataSets().Table3;
  var buyName = _this.getField("D_INT_02");
  var regisName = _this.getField("D_INT_09");
  var buyCodeField = _this.getField("D_TEXT_04");
  var regisCodeField = _this.getField("D_TEXT_10");
  var buy=-1,regis=-1,term = 0,flag = true;
  if(val == "-1" || val == "1"){
  buy = 98;
  regis = 1796;
  }
  else
  flag = false;
  if(!_.isNull(buyName)){
  buyName.setComboDatas(dataBuy);
  buyName.setValue(buy);
  buyName.setProperty("IsReadOnly",flag);
  }
  if(!_.isNull(regisName)){
  regisName.setComboDatas(dataRegis);
  regisName.setValue(regis);
  regisName.setProperty("IsReadOnly",flag);
  }
  if(!_.isNull(buyCodeField))
  buyCodeField.setValue(0);
  if(!_.isNull(regisCodeField))
  regisCodeField.setValue(0);
  _this.executeControl("D_TEXT_05",{datas:{eventName:"enter",isExec:true}},function(){
  callbackCore(info);
  });
  });
 }
 else
  callbackCore(info);
 //#endregion:Etc
 //#region:EventEnd
 }
 else
  callbackCore(info);
 //#endregion:EventEnd</t>
  </si>
  <si>
    <t>//#region:Ver
 //CD:12-24-15-16:23,CB:sompan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if([1,2,3].indexOf(eName) == -1){
  var val = field.getValue();
  var params = {Sql: "SELECT * FROM M_SERVICE_DATA WHERE SERV_DATA_ID = "+val};
  var CallbackCallSql = function(result){
  var data = result.output.getData().Data;
  var setField = _this.getField("D_TEXT_10");
  var value = 0;
  if(data.length &gt; 0)
  value = data[0].VALUE_ID;
  if(!_.isNull(setField))
  setField.setValue(value);
  _this.executeControl("D_TEXT_05",{datas:{eventName:"enter",isExec:true}},function(){callbackCore(info);});
  }
  _this.executeFunc("CallSqlServP",params,CallbackCallSql);
 }
 else
  callbackCore(info);
 //#endregion:Etc
 //#region:EventEnd
 }
 else
  callbackCore(info);
 //#endregion:EventEnd</t>
  </si>
  <si>
    <t>//#region:Ver
 //CD:03/17/59/14:16,CB:Tof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_this.getField("D_TEXT_04");
  var value = 0;
  if(data.length &gt; 0)
  value = data[0].VALUE_ID;
  if(!_.isNull(setField))
  setField.setValue(value);
  _this.executeControl("D_TEXT_05",{datas:{eventName:"enter",isExec:true}},function(){callbackCore(info);});
  }
  _this.executeFunc("CallSqlServP",params,CallbackCallSql);
 }
 else
  callbackCore(info);
 //#endregion:Etc
 //#region:EventEnd
 }
 else
  callbackCore(info);
 //#endregion:EventEnd</t>
  </si>
  <si>
    <t>//#region:Ver
 //CD:11/17/59/17:39,CB:Tof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stuField = _this.getField("D_INT_04");
 var buyField = _this.getField("D_TEXT_04");
 var regisField = _this.getField("D_TEXT_10");
 var nameField = _this.getField("D_TEXT_06");
 var stu  = (!_.isNull(stuField)) ? stuField.getValue() : "-1";
 var buyID = (!_.isNull(buyField)) ? buyField.getValue() : "";
 var regisID = (!_.isNull(regisField)) ? regisField.getValue() : "";
 var name = (!_.isNull(stuField)) ? stuField.getComponent().getField().find(":selected").html().split(/ : /g) : [];
 var val  = field.get("DEFAULT_VALUE");
 var stuCode = name[0],stuName;
 buyID = (buyID == "") ? "0" : buyID;
 regisID = (regisID == "") ? "0" : regisID;
 if(name.length &gt; 1)
  stuName = name[1];
 if(!_.isNull(nameField))
  nameField.setValue(stuName);
 if(stu != "-1")
 val = stuCode.substr(0,5) +"/"+regisID+"/"+buyID;
 field.setValue(val);
 }
 callbackCore(info);
 //#endregion:Etc
 //#region:EventEnd
 }
 else
 callbackCore(info);
 //#endregion:EventEnd</t>
  </si>
  <si>
    <t>//#region:Ver
 //CD:10/26/58/19:01,CB:Tof
 //ED:10/26/58/19:01,EB:Tof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eduField = _this.getField("D_INT_01");
  var edu = 0;
  if(!_.isNull(eduField))
  edu = eduField.getValue();
  _this.executeFunc("EduList",{ComboType:4,Univ:1,Degree:2,EduID:edu,CourseID:val},function(result){
  var dataCourse = result.output.getDataSets().Table1;
  var dataBuy = result.output.getDataSets().Table2;
  var dataRegis = result.output.getDataSets().Table3;
  var buyName = _this.getField("D_INT_06");
  var regisName = _this.getField("D_INT_07");
  var buyCodeField = _this.getField("D_TEXT_12");
  var regisCodeField = _this.getField("D_TEXT_13");
  var buy=-1,regis=-1,term = 0,flag = true;
  if(val == "-1" || val == "1"){
  buy = 98;
  regis = 1796;
  }
  else
  flag = false;
  if(!_.isNull(buyName)){
  buyName.setComboDatas(dataBuy);
  buyName.setValue(buy);
  buyName.setProperty("IsReadOnly",flag);
  }
  if(!_.isNull(regisName)){
  regisName.setComboDatas(dataRegis);
  regisName.setValue(regis);
  regisName.setProperty("IsReadOnly",flag);
  }
  if(!_.isNull(buyCodeField))
  buyCodeField.setValue(0);
  if(!_.isNull(regisCodeField))
  regisCodeField.setValue(0);
  _this.executeControl("D_TEXT_07",{datas:{eventName:"enter",isExec:true}},function(){
  callbackCore(info);
  });
  });
 }
 else
  callbackCore(info);
 //#endregion:Etc
 //#region:EventEnd
 }
 else
  callbackCore(info);
 //#endregion:EventEnd</t>
  </si>
  <si>
    <t>//#region:Ver
 //CD:03/17/59/14:17,CB:Tof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_this.getField("D_TEXT_13");
  var value = 0;
  if(data.length &gt; 0)
  value = data[0].VALUE_ID;
  if(!_.isNull(setField))
  setField.setValue(value);
  _this.executeControl("D_TEXT_07",{datas:{eventName:"enter",isExec:true}},function(){callbackCore(info);});
  }
  _this.executeFunc("CallSqlServP",params,CallbackCallSql);
 }
 else
  callbackCore(info);
 //#endregion:Etc
 //#region:EventEnd
 }
 else
  callbackCore(info);
 //#endregion:EventEnd</t>
  </si>
  <si>
    <t>//#region:Ver
 //CD:03/17/59/14:18,CB:Tof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var data = result.output.getData().Data;
  var setField = _this.getField("D_TEXT_12");
  var value = 0;
  if(data.length &gt; 0)
  value = data[0].VALUE_ID;
  if(!_.isNull(setField))
  setField.setValue(value);
  _this.executeControl("D_TEXT_07",{datas:{eventName:"enter",isExec:true}},function(){callbackCore(info);});
  }
  _this.executeFunc("CallSqlServP",params,CallbackCallSql);
 }
 else
  callbackCore(info);
 //#endregion:Etc
 //#region:EventEnd
 }
 else
  callbackCore(info);
 //#endregion:EventEnd</t>
  </si>
  <si>
    <t>//#region:Ver
 //CD:11/17/59/17:39,CB:Tof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stuField = _this.getField("D_INT_05");
 var buyField = _this.getField("D_TEXT_12");
 var regisField = _this.getField("D_TEXT_13");
 var nameField = _this.getField("D_TEXT_08");
 var stu  = (!_.isNull(stuField)) ? stuField.getValue() : "-1";
 var buyID = (!_.isNull(buyField)) ? buyField.getValue() : "";
 var regisID = (!_.isNull(regisField)) ? regisField.getValue() : "";
 var name = (!_.isNull(stuField)) ? stuField.getComponent().getField().find(":selected").html().split(/ : /g) : [];
 var val  = field.get("DEFAULT_VALUE");
 var stuCode = name[0],stuName;
 buyID = (buyID == "") ? "0" : buyID;
 regisID = (regisID == "") ? "0" : regisID;
 if(name.length &gt; 1)
  stuName = name[1];
 if(!_.isNull(nameField))
  nameField.setValue(stuName);
 if(stu != "-1")
  val = stuCode +"/"+regisID+"/"+buyID;
 field.setValue(val);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</si>
  <si>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</si>
  <si>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//CD:10-27-15-13:43,CB:sompan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 = {
  Condition:[{Value: 1,Operator: "&lt;",ErrorCode: "-770"}]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</si>
  <si>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สมัครเข้าศึกษาระดับบัณฑิตศึกษา</t>
  </si>
  <si>
    <t>//#region:Ver
 //CD:03/17/59/15:43,CB:Tof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year = _this.getField("D_INT_01");
 var term = _this.getField("D_INT_06");
 var val = "0/0";
 if(!_.isNull(year) &amp;&amp; !_.isNull(term))
 val = year.getValue().substr(2,2) +"/"+ term.getValue();
 field.setValue(val);
 }
 callbackCore(info);
 //#endregion:Etc
 //#region:EventEnd
 }
 else
 callbackCore(info);
 //#endregion:EventEnd</t>
  </si>
  <si>
    <t>//#region:Ver
 //CD:10-20-15-10:37,CB:sompan
 //ED:10/26/58/16:07,EB:Tof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_this.executeControl("D_TEXT_02",{datas:{eventName:"enter",isExec:true}},function(){callbackCore(info);});
 }
 else
 callbackCore(info);
 //#endregion:Etc
 //#region:EventEnd
 }
 else
 callbackCore(info);
 //#endregion:EventEnd</t>
  </si>
  <si>
    <t>//#region:Ver
 //CD:03/10/59/13:13,CB:Tof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_this.executeControl("D_TEXT_02",{datas:{eventName:"enter",isExec:true}},function(){callbackCore(info);});
 }
 else
 callbackCore(info);
 //#endregion:Etc
 //#region:EventEnd
 }
 else
 callbackCore(info);
 //#endregion:EventEnd</t>
  </si>
  <si>
    <t>//#region:Ver
 //CD:04/16/58/10:00,CB:Tof
 //ED:05/15/58/16:27,EB:jirapat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_this.executeFunc("CheckIDCardNo");
 if(!ValReturn)
 info.isError = true;
 var amtField = _this.getField("D_MONEY_01");
 if(!_.isNull(amtField) &amp;&amp; !info.isError &amp;&amp; [2,3].indexOf(eName) == -1)
 amtField.setValue("500");
 }
 callbackCore(info);
 //#endregion:Etc
 //#region:EventEnd
 }
 else
 callbackCore(info);
 //#endregion:EventEnd</t>
  </si>
  <si>
    <t>//#region:Ver
 //CD:03/10/59/13:22,CB:Tof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name = field.getComponent().getField().find(":selected").html();
 var setField = _this.getField("D_TEXT_04");
 if(!_.isNull(setField))
 setField.setValue(name);
 callbackCore(info);
 }
 else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</si>
  <si>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!ValReturn2 || ValReturn1)
 info.isError = true;
 }
 callbackCore(info);
 //#endregion:Etc
 //#region:EventEnd
 }
 else
 callbackCore(info);
 //#endregion:EventEnd</t>
  </si>
  <si>
    <t>สาขาวิชา</t>
  </si>
  <si>
    <t>//#region:Ver
 //CD:10/26/58/17:14,CB:Tof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_this.executeFunc("ServDataCombo",{MapData:[{FDName:"D_TEXT_08",Column:"VALUE_NAME"}]},function(){callbackCore(info);});
 else
 callbackCore(info);
 //#endregion:Etc
 //#region:EventEnd
 }
 else
 callbackCore(info);
 //#endregion:EventEnd</t>
  </si>
  <si>
    <t>แขนงวิชา</t>
  </si>
  <si>
    <t>//#region:Ver
 //CD:10/26/58/17:15,CB:Tof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_this.executeFunc("ServDataCombo",{MapData:[{FDName:"D_TEXT_10",Column:"VALUE_NAME"}]},function(){callbackCore(info);});
 else
 callbackCore(info);
 //#endregion:Etc
 //#region:EventEnd
 }
 else
 callbackCore(info);
 //#endregion:EventEnd</t>
  </si>
  <si>
    <t>วิชาเอก</t>
  </si>
  <si>
    <t>//#region:Ver
 //CD:10/26/58/17:15,CB:Tof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_this.executeFunc("ServDataCombo",{MapData:[{FDName:"D_TEXT_12",Column:"VALUE_NAME"}]},function(){callbackCore(info);});
 else
 callbackCore(info);
 //#endregion:Etc
 //#region:EventEnd
 }
 else
 callbackCore(info);
 //#endregion:EventEnd</t>
  </si>
  <si>
    <t>//#region:Ver
 //CD:03/10/59/13:19,CB:Tof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parseFloat(field.getValue());
 if(val != 500)
 info.isError = true;
 }
 callbackCore(info);
 //#endregion:Etc
 //#region:EventEnd
 }
 else
 callbackCore(info);
 //#endregion:EventEnd</t>
  </si>
  <si>
    <t>สมัครเข้าศึกษาระดับบัณฑิตศึกษา(ป.เอก)</t>
  </si>
  <si>
    <t>//#region:Ver
 //CD:04/16/58/10:00,CB:Tof
 //ED:05/12/58/14:24,EB:jirapat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this.executeFunc("CheckIDCardNo");
 if(ValReturn == false)
 info.isError = true;
 info.isLock = true;
 }
 callbackCore(info);
 //#endregion:Etc
 //#region:EventEnd
 }
 else
 callbackCore(info);
 //#endregion:EventEnd</t>
  </si>
  <si>
    <t>//#region:Ver
 //CD:10/19/58/09:52,CB:Tof
 //ED:08/03/59/12:04,EB:Tof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name = field.getComponent().getField().find(":selected").html();
 _this.getField("D_TEXT_09").setValue(name);
 }
 callbackCore(info);
 //#endregion:Etc
 //#region:EventEnd
 }
 else
 callbackCore(info);
 //#endregion:EventEnd</t>
  </si>
  <si>
    <t>//#region:Ver
 //CD:10/19/58/09:42,CB:Tof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[1,2,3].indexOf(eName) == -1){
 var val = field.getValue();
 var execParams = {MapData:[{FDName:"D_TEXT_03",Column:"VALUE_NAME"}]};
 if(val != -1 &amp;&amp; !_.isNull(val))
 this.executeFunc("ServDataCombo",execParams);
 else
 this.executeFunc("ClearAll",{FDName:["D_TEXT_03"]});
 }
 callbackCore(info);
 //#endregion:Etc
 //#region:EventEnd
 }
 else
 callbackCore(info);
 //#endregion:EventEnd</t>
  </si>
  <si>
    <t>//#region:Ver
 //CD:04/16/58/10:00,CB:Tof
 //ED:05/12/58/14:23,EB:jirapat
 //ED:09-18-15-17:47,EB:sompan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</si>
  <si>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//ED:09-18-15-17:47,EB:sompan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</si>
  <si>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//CD:10/15/58/13:54,CB:Tof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val = field.getValue();
 var fieldName = _this.getField("D_TEXT_08");
 var execParams = {MapData:[{FDName:"D_MONEY_01",Column:"AMOUNT"}]};
 if(val != -1 &amp;&amp; !_.isNull(val)){
 var fullname = field.getComponent().getField().find(":selected").html(); 
 var name = fullname.split(" : ");
 fieldName.setValue(name[1]);
 _this.executeFunc("ServDataCombo",execParams);
 }
 else{
 fieldName.setValue("ข้อมูลที่บันทึกไม่ถูกต้อง");
 _this.getField("D_MONEY_01").setValue(0);
 }
 }
 callbackCore(info);
 //#endregion:Etc
 //#region:EventEnd
 }
 else
 callbackCore(info);
 //#endregion:EventEnd</t>
  </si>
  <si>
    <t>รหัสวิชาเอก</t>
  </si>
  <si>
    <t>//#region:Ver
 //CD:04/21/58/12:02,CB:jirapat
 //ED:09-23-15-16:54,EB:sompan
 //ED:09-23-15-16:54,EB:sompan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var Params = {
 Condition: { 
  0:{Value: "10108",Operator: "!="}
  ,1:{Value: "20108",Operator: "!="}
  ,2:{Value: "20308",Operator: "!="}
  ,3:{Value: "20408",Operator: "!="}
  ,4:{Value: "20508",Operator: "!="}
  ,5:{Value: "20808",Operator: "!="}
  ,6:{Value: "30108",Operator: "!="}
  ,7:{Value: "15108",Operator: "!="}
  ,8:{Value: "90118",Operator: "!="}
  ,9:{Value: "00000",Operator: "!="}
  ,10:{Value: "20708",Operator: "!="}
 }
 ,Operations: "AND"
 }
 var ValReturn = this.executeFunc("VerifyField",Params);
 if(ValReturn==true)
 info.isError = true;
 else 
 _this.getField("D_MONEY_01").setValue("3000");
 }
 callbackCore(info);
 //#endregion:Etc
 //#region:EventEnd
 }
 else
 callbackCore(info);
 //#endregion:EventEnd</t>
  </si>
  <si>
    <t>สมาคมสุโขทัยธรรมาธิราช</t>
  </si>
  <si>
    <t>ค่าสั่งจองสิ่งของ สมาคมสุโขทัยฯ (ป ตรี)</t>
  </si>
  <si>
    <t>//#region:Ver
 //CD:10-20-15-10:40,CB:sompan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if(result.success){
 var data  = result.output.getData().Data;
 var nameField = _this.getField("D_TEXT_15");
 var idField = _this.getField("D_INT_01_CBV");
 var name  = (data.length &gt; 0) ? data[0].VALUE_NAME : "";
 if(!_.isNull(nameField))
 nameField.setValue(name);
 if(!_.isNull(idField))
 idField.setValue(name);
 }
 callbackCore(info);
 }
 _this.executeFunc("CallSqlServP",params,CallbackCallSql);
 }
 else
 callbackCore(info);
 //#endregion:Etc
 //#region:EventEnd
 }
 else
 callbackCore(info);
 //#endregion:EventEnd</t>
  </si>
  <si>
    <t>ชื่อนำหน้า</t>
  </si>
  <si>
    <t>//#region:Ver
 //CD:04/21/58/13:55,CB:jirapat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</si>
  <si>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//CD:04/09/58/13:37,CB:jirapat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var Lang = {
 Condition: {Language: "NUM"}
 ,Operations: "AND"
 }
 var ValLang = this.executeFunc("VerifyFieldLanguage",Lang);
 if(!ValReturn)
 info.VerifyCode = "-420";
 if(!ValLang)
 info.VerifyCode = "-320";
 var output = this.executeFunc("StouChkDigit",{Value:val});
 if(!ValLang || !ValReturn || !output.success || (output.success &amp;&amp; !output.output))
 info.isError = true;
 }
 callbackCore(info);
 //#endregion:Etc
 //#region:EventEnd
 }
 else
 callbackCore(info);
 //#endregion:EventEnd</t>
  </si>
  <si>
    <t>หมายเลขโทรศัพท์</t>
  </si>
  <si>
    <t>//#region:Ver
 //CD:03-04-16-16:31,CB:sompan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</si>
  <si>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รหัสเข็มฯ/จำนวนอัน</t>
  </si>
  <si>
    <t>//#region:Ver
 //CD:11/02/58/15:23,CB:Tof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_this.getField("D_INT_11");
 var numField = _this.getField("D_INT_02");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</si>
  <si>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รหัสทำเนียบฯ/จำนวนเล่ม</t>
  </si>
  <si>
    <t>//#region:Ver
 //CD:11/02/58/15:24,CB:Tof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_this.getField("D_INT_12");
 var numField = _this.getField("D_INT_03");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</si>
  <si>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รหัสปกติขาว-พระราชทาน/จำนวนชุด</t>
  </si>
  <si>
    <t>//#region:Ver
 //CD:11/02/58/15:24,CB:Tof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_this.getField("D_INT_13");
 var numField = _this.getField("D_INT_04");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</si>
  <si>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รหัสครุย/จำนวนชุด</t>
  </si>
  <si>
    <t>//#region:Ver
 //CD:11/02/58/15:26,CB:Tof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_this.getField("D_INT_14");
 var numField = _this.getField("D_INT_05");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</si>
  <si>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รหัสแหวนรุ่น/จำนวนวง</t>
  </si>
  <si>
    <t>//#region:Ver
 //CD:11/02/58/15:27,CB:Tof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_this.getField("D_INT_15");
 var numField = _this.getField("D_INT_06");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</si>
  <si>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//CD:11/02/58/15:27,CB:Tof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_this.getField("D_INT_16");
 var numField = _this.getField("D_INT_07");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</si>
  <si>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//CD:11/02/58/15:27,CB:Tof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_this.getField("D_INT_17");
 var numField = _this.getField("D_INT_08");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</si>
  <si>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//CD:11/02/58/15:27,CB:Tof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_this.getField("D_INT_18");
 var numField = _this.getField("D_INT_09");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</si>
  <si>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//CD:11/02/58/15:28,CB:Tof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_this.getField("D_INT_19");
 var numField = _this.getField("D_INT_10");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</si>
  <si>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รหัสเข็มฯ</t>
  </si>
  <si>
    <t>//#region:Ver
 //CD:11/02/58/13:19,CB:Tof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_this.getField("D_INT_02");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_this.executeControl("D_TEXT_06",{datas:{eventName:"enter",isExec:true}});
 callbackCore(info);
 }
 _this.executeFunc("CallSqlServP",params,CallbackCallSql);
 }
 else
 callbackCore(info);
 //#endregion:Etc
 //#region:EventEnd
 }
 else
 callbackCore(info);
 //#endregion:EventEnd</t>
  </si>
  <si>
    <t>//#region:Ver
 //CD:11/02/58/13:36,CB:Tof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_this.executeControl("D_TEXT_06",{datas:{eventName:"enter",isExec:true}},function(){callbackCore(info);});
 else
 callbackCore(info);
 }
 else
 callbackCore(info);
 //#endregion:Etc
 //#region:EventEnd
 }
 else
 callbackCore(info);
 //#endregion:EventEnd</t>
  </si>
  <si>
    <t>รหัสทำเนียบฯ</t>
  </si>
  <si>
    <t>//#region:Ver
 //CD:11/02/58/13:26,CB:Tof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_this.getField("D_INT_03");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_this.executeControl("D_TEXT_07",{datas:{eventName:"enter",isExec:true}});
 callbackCore(info);
 }
 _this.executeFunc("CallSqlServP",params,CallbackCallSql);
 }
 else
 callbackCore(info);
 //#endregion:Etc
 //#region:EventEnd
 }
 else
 callbackCore(info);
 //#endregion:EventEnd</t>
  </si>
  <si>
    <t>//#region:Ver
 //CD:11/02/58/13:35,CB:Tof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_this.executeControl("D_TEXT_07",{datas:{eventName:"enter",isExec:true}},function(){callbackCore(info);});
 else
 callbackCore(info);
 }
 else
 callbackCore(info);
 //#endregion:Etc
 //#region:EventEnd
 }
 else
 callbackCore(info);
 //#endregion:EventEnd</t>
  </si>
  <si>
    <t>รหัสปกติขาว-พระราชทาน</t>
  </si>
  <si>
    <t>//#region:Ver
 //CD:11/02/58/13:27,CB:Tof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_this.getField("D_INT_04");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_this.executeControl("D_TEXT_08",{datas:{eventName:"enter",isExec:true}});
 callbackCore(info);
 }
 _this.executeFunc("CallSqlServP",params,CallbackCallSql);
 }
 else
 callbackCore(info);
 //#endregion:Etc
 //#region:EventEnd
 }
 else
 callbackCore(info);
 //#endregion:EventEnd</t>
  </si>
  <si>
    <t>//#region:Ver
 //CD:11/02/58/13:34,CB:Tof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_this.executeControl("D_TEXT_08",{datas:{eventName:"enter",isExec:true}},function(){callbackCore(info);});
 else
 callbackCore(info);
 }
 else
 callbackCore(info);
 //#endregion:Etc
 //#region:EventEnd
 }
 else
 callbackCore(info);
 //#endregion:EventEnd</t>
  </si>
  <si>
    <t>รหัสครุย</t>
  </si>
  <si>
    <t>//#region:Ver
 //CD:11/02/58/13:28,CB:Tof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_this.getField("D_INT_05");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_this.executeControl("D_TEXT_09",{datas:{eventName:"enter",isExec:true}});
 callbackCore(info);
 }
 _this.executeFunc("CallSqlServP",params,CallbackCallSql);
 }
 else
 callbackCore(info);
 //#endregion:Etc
 //#region:EventEnd
 }
 else
 callbackCore(info);
 //#endregion:EventEnd</t>
  </si>
  <si>
    <t>//#region:Ver
 //CD:11/02/58/13:34,CB:Tof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_this.executeControl("D_TEXT_09",{datas:{eventName:"enter",isExec:true}},function(){callbackCore(info);});
 else
 callbackCore(info);
 }
 else
 callbackCore(info);
 //#endregion:Etc
 //#region:EventEnd
 }
 else
 callbackCore(info);
 //#endregion:EventEnd</t>
  </si>
  <si>
    <t>รหัสแหวนรุ่น</t>
  </si>
  <si>
    <t>//#region:Ver
 //CD:11/02/58/13:28,CB:Tof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_this.getField("D_INT_06");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_this.executeControl("D_TEXT_10",{datas:{eventName:"enter",isExec:true}});
 callbackCore(info);
 }
 _this.executeFunc("CallSqlServP",params,CallbackCallSql);
 }
 else
 callbackCore(info);
 //#endregion:Etc
 //#region:EventEnd
 }
 else
 callbackCore(info);
 //#endregion:EventEnd</t>
  </si>
  <si>
    <t>//#region:Ver
 //CD:11/02/58/13:33,CB:Tof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_this.executeControl("D_TEXT_10",{datas:{eventName:"enter",isExec:true}},function(){callbackCore(info);});
 else
 callbackCore(info);
 }
 else
 callbackCore(info);
 //#endregion:Etc
 //#region:EventEnd
 }
 else
 callbackCore(info);
 //#endregion:EventEnd</t>
  </si>
  <si>
    <t>D_INT_16</t>
  </si>
  <si>
    <t>//#region:Ver
 //CD:11/02/58/13:29,CB:Tof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_this.getField("D_INT_07");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_this.executeControl("D_TEXT_11",{datas:{eventName:"enter",isExec:true}});
 callbackCore(info);
 }
 _this.executeFunc("CallSqlServP",params,CallbackCallSql);
 }
 else
 callbackCore(info);
 //#endregion:Etc
 //#region:EventEnd
 }
 else
 callbackCore(info);
 //#endregion:EventEnd</t>
  </si>
  <si>
    <t>//#region:Ver
 //CD:11/02/58/13:33,CB:Tof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_this.executeControl("D_TEXT_11",{datas:{eventName:"enter",isExec:true}},function(){callbackCore(info);});
 else
 callbackCore(info);
 }
 else
 callbackCore(info);
 //#endregion:Etc
 //#region:EventEnd
 }
 else
 callbackCore(info);
 //#endregion:EventEnd</t>
  </si>
  <si>
    <t>D_INT_17</t>
  </si>
  <si>
    <t>//#region:Ver
 //CD:11/02/58/13:31,CB:Tof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_this.getField("D_INT_08");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_this.executeControl("D_TEXT_12",{datas:{eventName:"enter",isExec:true}});
 callbackCore(info);
 }
 _this.executeFunc("CallSqlServP",params,CallbackCallSql);
 }
 else
 callbackCore(info);
 //#endregion:Etc
 //#region:EventEnd
 }
 else
 callbackCore(info);
 //#endregion:EventEnd</t>
  </si>
  <si>
    <t>//#region:Ver
 //CD:11/02/58/13:33,CB:Tof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_this.executeControl("D_TEXT_12",{datas:{eventName:"enter",isExec:true}},function(){callbackCore(info);});
 else
 callbackCore(info);
 }
 else
 callbackCore(info);
 //#endregion:Etc
 //#region:EventEnd
 }
 else
 callbackCore(info);
 //#endregion:EventEnd</t>
  </si>
  <si>
    <t>D_INT_18</t>
  </si>
  <si>
    <t>//#region:Ver
 //CD:11/02/58/13:32,CB:Tof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_this.getField("D_INT_09");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_this.executeControl("D_TEXT_13",{datas:{eventName:"enter",isExec:true}});
 callbackCore(info);
 }
 _this.executeFunc("CallSqlServP",params,CallbackCallSql);
 }
 else
 callbackCore(info);
 //#endregion:Etc
 //#region:EventEnd
 }
 else
 callbackCore(info);
 //#endregion:EventEnd</t>
  </si>
  <si>
    <t>//#region:Ver
 //CD:11/02/58/13:33,CB:Tof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_this.executeControl("D_TEXT_13",{datas:{eventName:"enter",isExec:true}},function(){callbackCore(info);});
 else
 callbackCore(info);
 }
 else
 callbackCore(info);
 //#endregion:Etc
 //#region:EventEnd
 }
 else
 callbackCore(info);
 //#endregion:EventEnd</t>
  </si>
  <si>
    <t>D_INT_19</t>
  </si>
  <si>
    <t>//#region:Ver
 //CD:11/02/58/13:32,CB:Tof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_this.getField("D_INT_10");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_this.executeControl("D_TEXT_14",{datas:{eventName:"enter",isExec:true}});
 callbackCore(info);
 }
 _this.executeFunc("CallSqlServP",params,CallbackCallSql);
 }
 else
 callbackCore(info);
 //#endregion:Etc
 //#region:EventEnd
 }
 else
 callbackCore(info);
 //#endregion:EventEnd</t>
  </si>
  <si>
    <t>//#region:Ver
 //CD:11/02/58/13:33,CB:Tof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_this.executeControl("D_TEXT_14",{datas:{eventName:"enter",isExec:true}},function(){callbackCore(info);});
 else
 callbackCore(info);
 }
 else
 callbackCore(info);
 //#endregion:Etc
 //#region:EventEnd
 }
 else
 callbackCore(info);
 //#endregion:EventEnd</t>
  </si>
  <si>
    <t>รวมจำนวนเงินที่สั่งจองทั้งสิ้น</t>
  </si>
  <si>
    <t>//#region:Ver
 //CD:04/21/58/13:56,CB:jirapat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</si>
  <si>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ค่าสั่งจองสิ่งของ สมาคมสุโขทัยฯ (ป โท)</t>
  </si>
  <si>
    <t>//#region:Ver
 //CD:10-20-15-11:43,CB:sompan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params = {Sql: "SELECT * FROM M_SERVICE_DATA WHERE SERV_DATA_ID = "+val};
 var CallbackCallSql = function(result){
 if(result.success){
 var data  = result.output.getData().Data;
 var nameField = _this.getField("D_TEXT_15");
 var idField = _this.getField("D_INT_01_CBV");
 var name  = (data.length &gt; 0) ? data[0].VALUE_NAME : "";
 if(!_.isNull(nameField))
 nameField.setValue(name);
 if(!_.isNull(idField))
 idField.setValue(name);
 }
 callbackCore(info);
 }
 _this.executeFunc("CallSqlServP",params,CallbackCallSql);
 }
 else
 callbackCore(info);
 //#endregion:Etc
 //#region:EventEnd
 }
 else
 callbackCore(info);
 //#endregion:EventEnd</t>
  </si>
  <si>
    <t>//#region:Ver
 //CD:04/21/58/14:01,CB:jirapat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</si>
  <si>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//CD:04/09/58/13:37,CB:jirapat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 
  0:{Value: 10,Operator: "=="}
 }
 ,Operations: "AND"
 }
 var ValReturn = this.executeFunc("VerifyFieldLength",Params);
 var Lang = {
 Condition: {Language: "NUM"}
 ,Operations: "AND"
 }
 var ValLang = this.executeFunc("VerifyFieldLanguage",Lang);
 if(!ValReturn)
 info.VerifyCode = "-420";
 if(!ValLang)
 info.VerifyCode = "-320";
 var output = this.executeFunc("StouChkDigit",{Value:val,FuncType:"MD"});
 if(!ValLang || !ValReturn || !output.success || (output.success &amp;&amp; !output.output))
 info.isError = true;
 }
 callbackCore(info);
 //#endregion:Etc
 //#region:EventEnd
 }
 else
 callbackCore(info);
 //#endregion:EventEnd</t>
  </si>
  <si>
    <t>//#region:Ver
 //CD:03-04-16-16:40,CB:sompan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</si>
  <si>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//CD:11/02/58/17:44,CB:Tof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_this.getField("D_INT_11");
 var numField = _this.getField("D_INT_02");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</si>
  <si>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//CD:11/02/58/17:47,CB:Tof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_this.getField("D_INT_12");
 var numField = _this.getField("D_INT_03");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</si>
  <si>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//CD:11/02/58/17:48,CB:Tof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_this.getField("D_INT_13");
 var numField = _this.getField("D_INT_04");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</si>
  <si>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//CD:11/02/58/17:48,CB:Tof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_this.getField("D_INT_14");
 var numField = _this.getField("D_INT_05");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</si>
  <si>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_this.getField("D_INT_15");
 var numField = _this.getField("D_INT_06");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</si>
  <si>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_this.getField("D_INT_16");
 var numField = _this.getField("D_INT_07");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</si>
  <si>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//CD:11/02/58/17:50,CB:Tof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_this.getField("D_INT_17");
 var numField = _this.getField("D_INT_08");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</si>
  <si>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//CD:11/02/58/17:50,CB:Tof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_this.getField("D_INT_18");
 var numField = _this.getField("D_INT_09");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</si>
  <si>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//CD:11/02/58/17:50,CB:Tof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 [2,3].indexOf(eName) != -1){
 var itemField = _this.getField("D_INT_19");
 var numField = _this.getField("D_INT_10");
 var itemCode,numVal,val = "0/0";
 if(!_.isNull(itemField))
 itemCode = itemField.getValue();
 if(!_.isNull(numField))
 numVal = numField.getValue();
 var params = {Sql: "SELECT * FROM M_SERVICE_DATA WHERE SERV_DATA_ID = "+itemCode};
 var CallbackCallSql = function(result){
 var data = result.output.getData().Data;
 if(data.length &gt; 0 &amp;&amp; numVal != "" &amp;&amp; numVal != "")
 val = data[0].VALUE_ID+"/"+numVal;
 field.setValue(val);
 callbackCore(info);
 }
 _this.executeFunc("CallSqlServP",params,CallbackCallSql);
 }
 else
 callbackCore(info);
 //#endregion:Etc
 //#region:EventEnd
 }
 else
 callbackCore(info);
 //#endregion:EventEnd</t>
  </si>
  <si>
    <t>//#region:Ver
 //CD:11/02/58/17:41,CB:Tof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_this.getField("D_INT_02");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_this.executeControl("D_TEXT_06",{datas:{eventName:"enter",isExec:true}});
 callbackCore(info);
 }
 _this.executeFunc("CallSqlServP",params,CallbackCallSql);
 }
 else
 callbackCore(info);
 //#endregion:Etc
 //#region:EventEnd
 }
 else
 callbackCore(info);
 //#endregion:EventEnd</t>
  </si>
  <si>
    <t>//#region:Ver
 //CD:11/02/58/17:30,CB:Tof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_this.executeControl("D_TEXT_06",{datas:{eventName:"enter",isExec:true}},function(){callbackCore(info);});
 else
 callbackCore(info);
 }
 else
 callbackCore(info);
 //#endregion:Etc
 //#region:EventEnd
 }
 else
 callbackCore(info);
 //#endregion:EventEnd</t>
  </si>
  <si>
    <t>//#region:Ver
 //CD:11/02/58/17:42,CB:Tof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_this.getField("D_INT_03");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_this.executeControl("D_TEXT_07",{datas:{eventName:"enter",isExec:true}});
 callbackCore(info);
 }
 _this.executeFunc("CallSqlServP",params,CallbackCallSql);
 }
 else
 callbackCore(info);
 //#endregion:Etc
 //#region:EventEnd
 }
 else
 callbackCore(info);
 //#endregion:EventEnd</t>
  </si>
  <si>
    <t>//#region:Ver
 //CD:11/02/58/17:30,CB:Tof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_this.executeControl("D_TEXT_07",{datas:{eventName:"enter",isExec:true}},function(){callbackCore(info);});
 else
 callbackCore(info);
 }
 else
 callbackCore(info);
 //#endregion:Etc
 //#region:EventEnd
 }
 else
 callbackCore(info);
 //#endregion:EventEnd</t>
  </si>
  <si>
    <t>//#region:Ver
 //CD:11/02/58/17:43,CB:Tof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_this.getField("D_INT_04");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_this.executeControl("D_TEXT_08",{datas:{eventName:"enter",isExec:true}});
 callbackCore(info);
 }
 _this.executeFunc("CallSqlServP",params,CallbackCallSql);
 }
 else
 callbackCore(info);
 //#endregion:Etc
 //#region:EventEnd
 }
 else
 callbackCore(info);
 //#endregion:EventEnd</t>
  </si>
  <si>
    <t>//#region:Ver
 //CD:11/02/58/17:30,CB:Tof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_this.executeControl("D_TEXT_08",{datas:{eventName:"enter",isExec:true}},function(){callbackCore(info);});
 else
 callbackCore(info);
 }
 else
 callbackCore(info);
 //#endregion:Etc
 //#region:EventEnd
 }
 else
 callbackCore(info);
 //#endregion:EventEnd</t>
  </si>
  <si>
    <t>//#region:Ver
 //CD:11/02/58/17:43,CB:Tof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_this.getField("D_INT_05");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_this.executeControl("D_TEXT_09",{datas:{eventName:"enter",isExec:true}});
 callbackCore(info);
 }
 _this.executeFunc("CallSqlServP",params,CallbackCallSql);
 }
 else
 callbackCore(info);
 //#endregion:Etc
 //#region:EventEnd
 }
 else
 callbackCore(info);
 //#endregion:EventEnd</t>
  </si>
  <si>
    <t>//#region:Ver
 //CD:11/02/58/17:30,CB:Tof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_this.executeControl("D_TEXT_09",{datas:{eventName:"enter",isExec:true}},function(){callbackCore(info);});
 else
 callbackCore(info);
 }
 else
 callbackCore(info);
 //#endregion:Etc
 //#region:EventEnd
 }
 else
 callbackCore(info);
 //#endregion:EventEnd</t>
  </si>
  <si>
    <t>//#region:Ver
 //CD:11/02/58/17:26,CB:Tof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_this.getField("D_INT_06");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_this.executeControl("D_TEXT_10",{datas:{eventName:"enter",isExec:true}});
 callbackCore(info);
 }
 _this.executeFunc("CallSqlServP",params,CallbackCallSql);
 }
 else
 callbackCore(info);
 //#endregion:Etc
 //#region:EventEnd
 }
 else
 callbackCore(info);
 //#endregion:EventEnd</t>
  </si>
  <si>
    <t>//#region:Ver
 //CD:11/02/58/17:31,CB:Tof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_this.executeControl("D_TEXT_10",{datas:{eventName:"enter",isExec:true}},function(){callbackCore(info);});
 else
 callbackCore(info);
 }
 else
 callbackCore(info);
 //#endregion:Etc
 //#region:EventEnd
 }
 else
 callbackCore(info);
 //#endregion:EventEnd</t>
  </si>
  <si>
    <t>//#region:Ver
 //CD:11/02/58/17:26,CB:Tof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_this.getField("D_INT_07");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_this.executeControl("D_TEXT_11",{datas:{eventName:"enter",isExec:true}});
 callbackCore(info);
 }
 _this.executeFunc("CallSqlServP",params,CallbackCallSql);
 }
 else
 callbackCore(info);
 //#endregion:Etc
 //#region:EventEnd
 }
 else
 callbackCore(info);
 //#endregion:EventEnd</t>
  </si>
  <si>
    <t>//#region:Ver
 //CD:11/02/58/17:31,CB:Tof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_this.executeControl("D_TEXT_11",{datas:{eventName:"enter",isExec:true}},function(){callbackCore(info);});
 else
 callbackCore(info);
 }
 else
 callbackCore(info);
 //#endregion:Etc
 //#region:EventEnd
 }
 else
 callbackCore(info);
 //#endregion:EventEnd</t>
  </si>
  <si>
    <t>//#region:Ver
 //CD:11/02/58/17:26,CB:Tof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_this.getField("D_INT_08");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_this.executeControl("D_TEXT_12",{datas:{eventName:"enter",isExec:true}});
 callbackCore(info);
 }
 _this.executeFunc("CallSqlServP",params,CallbackCallSql);
 }
 else
 callbackCore(info);
 //#endregion:Etc
 //#region:EventEnd
 }
 else
 callbackCore(info);
 //#endregion:EventEnd</t>
  </si>
  <si>
    <t>//#region:Ver
 //CD:11/02/58/17:41,CB:Tof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_this.executeControl("D_TEXT_12",{datas:{eventName:"enter",isExec:true}},function(){callbackCore(info);});
 else
 callbackCore(info);
 }
 else
 callbackCore(info);
 //#endregion:Etc
 //#region:EventEnd
 }
 else
 callbackCore(info);
 //#endregion:EventEnd</t>
  </si>
  <si>
    <t>//#region:Ver
 //CD:11/02/58/17:26,CB:Tof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_this.getField("D_INT_09");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_this.executeControl("D_TEXT_13",{datas:{eventName:"enter",isExec:true}});
 callbackCore(info);
 }
 _this.executeFunc("CallSqlServP",params,CallbackCallSql);
 }
 else
 callbackCore(info);
 //#endregion:Etc
 //#region:EventEnd
 }
 else
 callbackCore(info);
 //#endregion:EventEnd</t>
  </si>
  <si>
    <t>//#region:Ver
 //CD:11/02/58/17:40,CB:Tof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_this.executeControl("D_TEXT_13",{datas:{eventName:"enter",isExec:true}},function(){callbackCore(info);});
 else
 callbackCore(info);
 }
 else
 callbackCore(info);
 //#endregion:Etc
 //#region:EventEnd
 }
 else
 callbackCore(info);
 //#endregion:EventEnd</t>
  </si>
  <si>
    <t>//#region:Ver
 //CD:11/02/58/17:26,CB:Tof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if([1,2,3].indexOf(eName) == -1){
 var val = field.getValue();
 var numField = _this.getField("D_INT_10");
 var flax = true;
 var params = {Sql: "SELECT * FROM M_SERVICE_DATA WHERE SERV_DATA_ID = "+val};
 var CallbackCallSql = function(result,_this){
 var data = result.output.getData().Data;
 var value = 0;
 if(data.length &gt; 0)
 value = data[0].VALUE_ID;
 if(value != 0)
 flax = false;
 if(!_.isNull(numField)){
 numField.setValue(0);
 numField.setProperty("IsReadOnly",flax);
 }
 _this.executeControl("D_TEXT_14",{datas:{eventName:"enter",isExec:true}});
 callbackCore(info);
 }
 _this.executeFunc("CallSqlServP",params,CallbackCallSql);
 }
 else
 callbackCore(info);
 //#endregion:Etc
 //#region:EventEnd
 }
 else
 callbackCore(info);
 //#endregion:EventEnd</t>
  </si>
  <si>
    <t>//#region:Ver
 //CD:11/02/58/17:34,CB:Tof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if(!field.getProperty("IsReadOnly")){
 if(field.getValue() &lt;= 0)
 info.isError = true;
 }
 if([1,2,3].indexOf(eName) == -1 &amp;&amp; !info.isError)
 _this.executeControl("D_TEXT_14",{datas:{eventName:"enter",isExec:true}},function(){callbackCore(info);});
 else
 callbackCore(info);
 }
 else
 callbackCore(info);
 //#endregion:Etc
 //#region:EventEnd
 }
 else
 callbackCore(info);
 //#endregion:EventEnd</t>
  </si>
  <si>
    <t>//#region:Ver
 //CD:09-21-15-13:55,CB:sompan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</si>
  <si>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สมาคมสุโขทัยธรรมาธิราช(สมาชิก)</t>
  </si>
  <si>
    <t>สมัครสมาชิกสมาคมสุโขทัยธรรมาธิราช</t>
  </si>
  <si>
    <t>//#region:Ver
 //CD:04/21/58/14:05,CB:jirapat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</si>
  <si>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//ED:05/12/58/13:12,EB:jirapat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ValReturn = this.executeFunc("CheckIDCardNo");
 if(ValReturn == false)
 info.isError = true;
 }
 callbackCore(info);
 //#endregion:Etc
 //#region:EventEnd
 }
 else
 callbackCore(info);
 //#endregion:EventEnd</t>
  </si>
  <si>
    <t>จังหวัด</t>
  </si>
  <si>
    <t>เบอร์โทรศัพท์ติดต่อ</t>
  </si>
  <si>
    <t>//#region:Ver
 //CD:05/25/58/11:16,CB:jirapat
 //ED:09-29-15-17:10,EB:sompan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info.VerifyCode = "-320";
 if(ValReturn==false)
 info.isError = true;
 else
 this.getField("D_MONEY_01").setValue("500");
 }
 callbackCore(info);
 //#endregion:Etc
 //#region:EventEnd
 }
 else
 callbackCore(info);
 //#endregion:EventEnd</t>
  </si>
  <si>
    <t>บริษัท บัตรกรุงไทย จำกัด (มหาชน)</t>
  </si>
  <si>
    <t>บัครเครดิต KTC Barcode 1 แถว(กท-ตจว)</t>
  </si>
  <si>
    <t>สแกนหรือพิมพ์หมายเลขบัตร</t>
  </si>
  <si>
    <t>//#region:Ver
 //CD:10/01/58/15:28,CB:Tof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"|010754500011001",Operator: "==",Start: 0,Num: 16}
 ,1:{Value: "|010754500011002",Operator: "==",Start: 0,Num: 16}
 ,2:{Value: "|010754500011004",Operator: "==",Start: 0,Num: 16}
 ,3:{Value: "|010754500011011",Operator: "==",Start: 0,Num: 16}
 ,4:{Value: "|301179767901",Operator: "==",Start: 0,Num: 13}
 ,5:{Value: "|301179767902",Operator: "==",Start: 0,Num: 13}
 ,6:{Value: "|301179767904",Operator: "==",Start: 0,Num: 13}
 ,7:{Value: "|301179767911",Operator: "==",Start: 0,Num: 13}
 }
  ,Operations: "OR"
 }
 var ValReturn = this.executeFunc("VerifyFieldSubStr",Params);
 var output = this.executeFunc("KtcCardNew",{Value:field.getValue()});
  if(!ValReturn || !output.success || (output.success &amp;&amp; !output.output))
 info.isError = true;
 }
 callbackCore(info);
 //#endregion:Etc
 //#region:EventEnd
 }
 else
 callbackCore(info);
 //#endregion:EventEnd</t>
  </si>
  <si>
    <t>//#region:Ver
 //CD:11/09/60/14:25,CB:Tof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info.isClear = false;
 if(info.isValid &amp;&amp; (eName != 1)){
  var Params = {
  Condition: { 
  0:{Value: "3011797679",Operator: "==",Start: 0,Num: 10}
  ,1:{Value: "0107545000110",Operator: "==",Start: 0,Num: 13}
  }
  ,Operations: "AND"
  }
  var ValReturn = _this.executeFunc("VerifyFieldSubStr",Params);
  if(ValReturn) info.isError = true;
  var ParamsLang = {Condition: {Language: "NUM"},Operations: "AND"};
  var ValLang = _this.executeFunc("VerifyFieldLanguage",ParamsLang);
  if(!ValLang) info.isError = true;
 }
 callbackCore(info);
 //#endregion:Etc
 //#region:EventEnd
 }
 else
  callbackCore(info);
 //#endregion:EventEnd</t>
  </si>
  <si>
    <t>หมายเลขบัตร/Card No.</t>
  </si>
  <si>
    <t>//#region:Ver
 //CD:11/09/60/14:29,CB:Tof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info.isClear = false;
 if(info.isValid &amp;&amp; (eName != 1)){ 
  var Params = {Condition: {0:{Value: 16,Operator: "=="}},Operations: "AND"};
  var ValReturn = _this.executeFunc("VerifyFieldLength",Params);
  var ParamsSub = {Condition: { 0:{Value: "|3011797679",Operator: "==",Start: 0,Num: 11}},Operations: "AND"};
  var ValReturnSub = _this.executeFunc("VerifyFieldSubStr",ParamsSub);
  if(!ValReturn){
  info.isError = true;
  info.VerifyCode = "-450";
  }
  if(ValReturnSub) info.isError = true;
  var ParamsLang = {Condition: {Language: "NUM"},Operations: "AND"};
  var ValLang = _this.executeFunc("VerifyFieldLanguage",ParamsLang);
  if(!ValLang) info.isError = true;
 }
 callbackCore(info);
 //#endregion:Etc
 //#region:EventEnd
 }
 else
  callbackCore(info);
 //#endregion:EventEnd</t>
  </si>
  <si>
    <t>//#region:Ver
 //CD:04/10/15/16:51,CB:wisut
 //ED:09-09-15-13:44,EB:sompan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</si>
  <si>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จองตั๋วรถโดยสาร บขส.(TTM)</t>
  </si>
  <si>
    <t>ชำระค่าจองตั๋วรถโดยสาร บขส./รถร่วม(TTM)</t>
  </si>
  <si>
    <t>ชำระค่าจองตั๋วรถโดยสาร</t>
  </si>
  <si>
    <t>//#region:Ver
 //CD:04/21/58/15:04,CB:jirapat
 //ED:09-29-15-14:24,EB:sompan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info.isBarcode = true;
 info.Control = ["D_TEXT_02"];
 var val = field.getValue();
 var fieldRef3 = _this.getField("D_TEXT_03");
 var fieldRef4 = _this.getField("D_MONEY_03");
 var fieldRef5 = _this.getField("D_MONEY_02");
 var fieldRef6 = _this.getField("D_INT_01");
 var fieldAmt = _this.getField("D_MONEY_01");
 var Params = {
 Condition: { 
 0:{Value: "303007027202",Operator: "==",Start: 1,Num: 12}
 }
 ,Operations: "OR"
 }
 var ValReturn = _this.executeFunc("VerifyFieldSubStr",Params);
 if(!ValReturn)
 info.isError = true;
 if([2,3].indexOf(eName) == -1 &amp;&amp; !info.isError){
 if(!_.isNull(fieldRef3))
 fieldRef3.setValue(val.substr(13,8));
 if(!_.isNull(fieldRef4))
 fieldRef4.setValue(val.substr(21,6) * 0.01);
 if(!_.isNull(fieldRef5))
 fieldRef5.setValue(val.substr(27,7) * 0.01);
 if(!_.isNull(fieldRef6))
 fieldRef6.setValue(val.substr(34,3));
 _this.executeControl("D_MONEY_01",{datas:{eventName:"enter",isExec:true}},function(){
 callbackCore(info);
 });
 }
 else 
 callbackCore(info);
 }
 else
 callbackCore(info);
 //#endregion:Etc
 //#region:EventEnd
 }
 else
 callbackCore(info);
 //#endregion:EventEnd</t>
  </si>
  <si>
    <t>//#region:Ver
 //CD:09/03/58/19:10,CB:Tof
 //ED:10-27-15-16:13,EB:sompan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if(info.isExec){
 var money = _this.getField("D_MONEY_02").getValue();
 var money1 = _this.getField("D_MONEY_03").getValue();
 var val = field.getValue();
 var sum = parseFloat(money)+parseFloat(money1);
 field.setValue(sum);
 }
 var Params = {
 Condition:[{Value: 1,Operator: "&lt;",ErrorCode: "-770"},{Value: 50000,Operator: "&gt;",ErrorCode: "-870"}]
 ,Operations: "OR"
 };
 var ValReturn = _this.executeFunc("SPVerifyField",Params);
 if(!ValReturn.success || (ValReturn.success &amp;&amp; ValReturn.output) ){
 info.isError = true;
 info.VerifyCode = ValReturn.ErrorCode;
 }
 }
 callbackCore(info);
 //#endregion:Etc
 //#region:EventEnd
 }
 else
 callbackCore(info);
 //#endregion:EventEnd</t>
  </si>
  <si>
    <t>การไฟฟ้านครหลวง (สำนักงานใหญ่)</t>
  </si>
  <si>
    <t>ค่าไฟฟ้านครหลวง</t>
  </si>
  <si>
    <t>รหัสบาร์โค้ดการไฟฟ้านครหลวง</t>
  </si>
  <si>
    <t>//#region:Ver
 //CD:10/21/58/19:23,CB:Tof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preFix = ["|410203025500","|099400016520000"];
 var paramsVerify = {
 Condition: {
 0:{Value:preFix[0],Operator: "==",Start: 0,Num: 13}
 ,1:{Value:preFix[1],Operator: "==",Start: 0,Num: 16}
 }
 ,Operations: "OR"
 }
 var output = this.executeFunc("VerifyFieldSubStr",paramsVerify);
 if(!output)
 info.isError = true;
 if(!info.isError){
 _this.executeFunc("ChkDupBar",{BARCODE:[val],FieldChk:["BRCDE"]},function(result){
 if(!result.success || !_.isUndefined(result.output.Msg)){
 info.Msg = result.output.Msg;
 info.isError = result.output.isError;
 info.isClear = false;
 }
 callbackCore(info);
 });
 }
 else 
 callbackCore(info);
 }
 else
 callbackCore(info);
 //#endregion:Etc
 //#region:EventEnd
 }
 else
 callbackCore(info);
 //#endregion:EventEnd</t>
  </si>
  <si>
    <t>//#region:Ver
 //CD:10/21/58/19:19,CB:Tof
 //ED:10/26/58/11:03,EB:Tof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val = field.getValue();
 var ChkDueDate = {
 ToRate:{D:0,M:0,Y:0}
 ,AD:true
 }
 var CallbackDueDate = function(result,_this){
 if((result.success &amp;&amp; result.output) || !result.success)
 info.isError = true;
 if(!info.isError){
 var Information = [{FDName:"D_TEXT_20",Format:field.get("DISPLAY_FORMAT"),IsBud:field.get("IS_BE_DATE")}];
 _this.executeFunc("SetDateINF",{Information:Information},function(){ callbackCore(info);});
 }
 else 
 callbackCore(info);
 }
 this.executeFunc("CheckDueDate",ChkDueDate,CallbackDueDate);
 }
 else
 callbackCore(info);
 //#endregion:Etc
 //#region:EventEnd
 }
 else
 callbackCore(info);
 //#endregion:EventEnd</t>
  </si>
  <si>
    <t>บัญชีแสดงสัญญาเลขที่</t>
  </si>
  <si>
    <t>เลขที่</t>
  </si>
  <si>
    <t>//#region:Ver
 //CD:10/12/58/17:53,CB:Tof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[2,3].indexOf(eName) == -1){
 var Senate = Parameters.getParameters();
 var outletID = Senate.dataOutletInfo.OUTLET_ID;
 var val = field.getValue();
 var params = {Sql: "SELECT OUTLET_ID,METER_ELEC FROM M_OUTLET WHERE OUTLET_ID = "+outletID.toString()}
 var CallbackCallSql = function(result){
 if(result.success){
 var data = result.output.getData().Data;
 if(data.length &gt; 0){
 if(val == data[0].METER_ELEC)
 _this.executeFunc("SPMsgBoxOk");
 }
 }
 callbackCore(info);
 }
 this.executeFunc("CallSqlServP",params,CallbackCallSql);
 }
 else
 callbackCore(info);
 //#endregion:Etc
 //#region:EventEnd
 }
 else
 callbackCore(info);
 //#endregion:EventEnd</t>
  </si>
  <si>
    <t>ประจำ เดือน/ปี</t>
  </si>
  <si>
    <t>D_DATE_02</t>
  </si>
  <si>
    <t>//#region:Ver
 //CD:10/26/58/11:04,CB:Tof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Information = [{FDName:"D_TEXT_19",Format:field.get("DISPLAY_FORMAT"),IsBud:field.get("IS_BE_DATE")}];
 _this.executeFunc("SetDateINF",{Information:Information},function(){callbackCore(info);});
 }
 else 
 callbackCore(info);
 //#endregion:Etc
 //#region:EventEnd
 }
 else
 callbackCore(info);
 //#endregion:EventEnd</t>
  </si>
  <si>
    <t>//#region:Ver
 //CD:09/24/58/10:56,CB:Tof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[2,3].indexOf(eName) == -1){
 if([2,3].indexOf(eName) == -1){
 var vat = {
 Amt:field.getValue()
 ,VatMode:false//true:vat out,false:vat in
 ,Rate:"7"
 }
 var output = this.executeFunc("CalcVat",vat);
 var vat = output.success ? output.output.vat : 0.00;
 var vatField = _this.getField("D_MONEY_02");
 var vatField1 = _this.getField("AGENT_VAT_AMOUNT");
 if(info.isError)
 vat = 0;
 if(!_.isNull(vatField))
 vatField.setValue(vat);
 if(!_.isNull(vatField1))
 vatField1.setValue(vat);
 }
 }
 callbackCore(info); 
 //#endregion:Etc
 //#region:EventEnd
 }
 else
 callbackCore(info);
 //#endregion:EventEnd</t>
  </si>
  <si>
    <t>D_TEXT_19</t>
  </si>
  <si>
    <t>บมจ.อิออนธนสินทรัพย์(ไทยแลนด์)</t>
  </si>
  <si>
    <t>เช่าซื้อสินค้า/เงินกู้/บัตรเครดิต(ใหม่)</t>
  </si>
  <si>
    <t>สแกนรหัสบาร์โค้ดแถวบน ขวา</t>
  </si>
  <si>
    <t>//#region:Ver
 //CD:09/24/58/12:29,CB:Tof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"|301117985700",Operator: "==",Start: 0,Num: 13}
  ,1:{Value: "|010754400007800",Operator: "==",Start: 0,Num: 16}
 }
  ,Operations: "OR"
 }
 var ValReturn = this.executeFunc("VerifyFieldSubStr",Params);
 var ParamsAeon = {BarCode: field.getValue()};
 var Aeon = this.executeFunc("AeonPoonBarTex13",ParamsAeon);
 if(!ValReturn || (!Aeon.success || (Aeon.success &amp;&amp; !Aeon.output)))
 info.isError = true;
 if([2,3].indexOf(eName) == -1 &amp;&amp; !info.isError){
 var val = field.getValue();
 var len = val.length;
 var amt = 0,old_prefix,new_prefix,ref,ref6;
 var prefix = ["|301117985700","|010754400007800"];
 old_prefix = val.substr(0,13);
 new_prefix = val.substr(0,16);
 if(old_prefix == prefix[0]){
 ref6 = val.substr(1,10);
 if(len == 26){
 if(["80","89"].indexOf(val.substr(13,2)) == -1)
 ref = val.substr(13,13);
 else
 ref = val.substr(13,12);
 }
 else if(len == 24)
 ref = val.substr(13,10);
 else if(len == 27)
 ref = val.substr(13,13);
 else if(len == 30)
 ref = val.substr(13,16);
 }
 else if(new_prefix == prefix[1]){
 ref6 = val.substr(1,13);
 if(len == 29){
 if(["80","89"].indexOf(val.substr(16,2)) == -1)
 ref = val.substr(16,13);
 else
 ref = val.substr(16,12);
 }
 else if(len == 27)
 ref = val.substr(16,10);
 else if(len == 30)
 ref = val.substr(16,13);
 else if(len == 33)
 ref = val.substr(16,16);
 }
 amt = parseFloat(val.substr(len-1,10)) * 0.01;
 var amtField = _this.getField("D_MONEY_02");
 var fieldRef3 = _this.getField("D_TEXT_05");
 var fieldRef6 = _this.getField("D_TEXT_04");
 if(!_.isNull(fieldRef3))
 fieldRef3.setValue(ref);
 if(!_.isNull(fieldRef6))
 fieldRef6.setValue(ref6);
 if(!_.isNull(amtField))
 amtField.setValue(amt);
 }
 }
 callbackCore(info);
 //#endregion:Etc
 //#region:EventEnd
 }
 else
 callbackCore(info);
 //#endregion:EventEnd</t>
  </si>
  <si>
    <t>ชื่อเจ้าของบัตร</t>
  </si>
  <si>
    <t>//#region:Ver
 //CD:05/19/15/15:33,CB:wisut
 //ED:09-22-15-17:45,EB:sompan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</si>
  <si>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เลขประจำตัวประชาชน/เลขที่สัญญา</t>
  </si>
  <si>
    <t>//#region:Ver
 //CD:05/11/15/13:59,CB:wisut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</si>
  <si>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สินค้าเชื่อ/งวดเงินกู้/บัตรเครดิต AEON</t>
  </si>
  <si>
    <t>รหัสบาร์โค๊ด</t>
  </si>
  <si>
    <t>//#region:Ver
 //CD:08/04/58/13:12,CB:Tof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if([1,2,3].indexOf(eName) == -1){
 info.isBarcode = true;
 info.Control = ["D_TEXT_04","D_TEXT_03","D_TEXT_02","D_TEXT_05","D_MONEY_01",];
 var val = field.getValue();
 var taxid  = val.substr(0,13);
 var idcard = val.substr(13);
 var exec  = {datas:{isExec:true,eventName:"changed",isValid:true}};
 this.getField("D_TEXT_02").setValue(idcard);
 this.getField("D_TEXT_05").setValue(taxid);
 if(field.isClear()){
 this.executeControl("D_TEXT_02",exec,
 function(_info){
 if(_info.isError){
 _this.executeFunc("ClearAll",{FDName:["D_TEXT_02","D_TEXT_04","D_TEXT_05"]});
 }
 callbackCore(info);
 });
 }
 }
 else
 callbackCore(info);
 //#endregion:Etc
 //#region:EventEnd
 }
 else
 callbackCore(info);
 //#endregion:EventEnd</t>
  </si>
  <si>
    <t>//#region:Ver
 //CD:06/15/15/13:54,CB:Art
 //ED:06/29/58/15:50,EB:jirapat
 //ED:09/23/58/16:16,EB:Tof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Params1 = {
 Condition: {Language: "NUM"}//TH,EN,NUM,THEN,THNUM,ENNUM
 ,Operations: "AND"
 }
 var value = this.getField().getValue(); 
 var Params = {IDCARDNO: value};
 var Aeon  = this.executeFunc("AeonPoon",Params);
 var ValReturn = this.executeFunc("VerifyFieldLanguage",Params1);
 if(!Aeon.output || !ValReturn){
 if(datas.isExec){
 var _field = this.getField("D_TEXT_04");
 info.datas.isError = true;
 info.datas.ctrlDatas = [{
 FD_NAME:"D_TEXT_04",
 FD_TYPE:_field.get("FD_TYPE"),
 IS_READONLY:_field.get("IS_READONLY")
 }];
 }
 info.isError = true;
 }
 var field2 = _this.getField("D_TEXT_02");
 if(!_.isNull(field2)){
 if(!info.isError){
 field.setLock(true);
 }
 else field.setLock(false);
 } 
 }
 callbackCore(info);
 //#endregion:Etc
 //#region:EventEnd
 }
 else
 callbackCore(info);
 //#endregion:EventEnd</t>
  </si>
  <si>
    <t>//#region:Ver
 //CD:05/06/15/13:30,CB:wisut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</si>
  <si>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//CD:05/06/15/13:24,CB:wisut
 //ED:11-03-15-11:18,EB:sompan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</si>
  <si>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Tax ID</t>
  </si>
  <si>
    <t>TISCO BANK</t>
  </si>
  <si>
    <t>สินเชื่อ/ประกัน/อื่นๆ TISCO BANK</t>
  </si>
  <si>
    <t>//#region:Ver
 //CD:11/04/58/14:54,CB:Tof
 //ED:11-05-15-15:49,EB:sompan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"|301173478000",Operator: "==",Start: 0,Num: 13} 
 ,1:{Value: "|010753900017100",Operator: "==",Start: 0,Num: 16}
 }
 ,Operations: "OR"
 }
 var ValReturn = this.executeFunc("VerifyFieldSubStr",Params);
 if(!ValReturn)
 info.isError = true;
 }
 callbackCore(info);
 //#endregion:Etc
 //#region:EventEnd
 }
 else
 callbackCore(info);
 //#endregion:EventEnd</t>
  </si>
  <si>
    <t>//#region:Ver
 //CD:04/16/58/10:00,CB:Tof
 //ED:05/08/15/10:51,EB:wisut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</si>
  <si>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//CD:11/10/60/10:40,CB:Tof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info.isClear = false;
 if(info.isValid &amp;&amp; (eName != 1)){
  var Params = {Condition: {0:{Character: "-"}},Operations: "AND"};
  var ValReturn = _this.executeFunc("VerifyFieldCharacter",Params);
  if(ValReturn){
  info.VerifyCode = "-60";
  info.isError = true;
  }
  var ParamsLang = {Condition: {Language: "NUM"},Operations: "AND"};
  var ValLang = _this.executeFunc("VerifyFieldLanguage",ParamsLang);
  if(!ValLang) info.isError = true;
 }
 callbackCore(info);
 //#endregion:Etc
 //#region:EventEnd
 }
 else
  callbackCore(info);
 //#endregion:EventEnd</t>
  </si>
  <si>
    <t>เลขที่สัญญา (Ref.No.2)</t>
  </si>
  <si>
    <t>//#region:Ver
 //CD:04/16/58/10:00,CB:Tof
 //ED:05/08/15/10:52,EB:wisut
 //ED:07/27/58/16:42,EB:jirapat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</si>
  <si>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Bank of ayudhya pub co.,ltd</t>
  </si>
  <si>
    <t>สินเชื่อบุคคล-ที่อยู่อาศัยกรุงศรีอยุธยา</t>
  </si>
  <si>
    <t>//#region:Ver
 //CD:05/06/58/15:55,CB:jirapat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Params1,Params2,ValReturn1,ValReturn2;
 Params1 = {
 Condition: { 
  0:{Value: "|3101025026",Operator: "!=",Start: 0,Num: 11}
 }
 ,Operations: "AND"
 }
 Params2 = {
 Condition: { 
  0:{Value: "|010753600107980",Operator: "!=",Start: 0,Num: 16}
  ,1:{Value: "|010753600107981",Operator: "!=",Start: 0,Num: 16}
  ,2:{Value: "|010753600107983",Operator: "!=",Start: 0,Num: 16}
 }
 ,Operations: "AND"
 }
 ValReturn1 = this.executeFunc("VerifyFieldSubStr",Params1);
 ValReturn2 = this.executeFunc("VerifyFieldSubStr",Params2);
 if(ValReturn1==true&amp;&amp;ValReturn2==true)
 info.isError = true;
 }
 callbackCore(info);
 //#endregion:Etc
 //#region:EventEnd
 }
 else
 callbackCore(info);
 //#endregion:EventEnd</t>
  </si>
  <si>
    <t>//#region:Ver
 //CD:05/06/58/15:56,CB:jirapat
 //ED:11-04-15-15:24,EB:sompan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</si>
  <si>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โตโยต้า อินชัวรันซ์</t>
  </si>
  <si>
    <t>ต่อประกันภัยรถยนต์ โตโยต้า อินชัวรันซ์</t>
  </si>
  <si>
    <t>//#region:Ver
 //CD:05/18/58/11:37,CB:jirapat
 //ED:10/05/58/09:50,EB:Tof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var val = field.getValue();
 var Params = {
 Condition: { 
 0:{Value: "301187559900",Operator: "==",Start: 0,Num: 12}
 ,1:{Value: "|303281147700",Operator: "==",Start: 0,Num: 13}
 ,2:{Value: "010555010599204",Operator: "==",Start: 0,Num: 15}
 ,3:{Value: "|010555010599204",Operator: "==",Start: 0,Num: 16}
 }
  ,Operations: "OR"
 }
 var ValReturn = this.executeFunc("VerifyFieldSubStr",Params);
 if(val.indexOf("|") == -1)
 val = "|"+val;
 var output = this.executeFunc("ToyotaTibChkDg",{Barcode:val});
 if(!ValReturn || !output.success || (output.success &amp;&amp; !output.output))
 info.isError = true;
 }
 callbackCore(info);
 //#endregion:Etc
 //#region:EventEnd
 }
 else
 callbackCore(info);
 //#endregion:EventEnd</t>
  </si>
  <si>
    <t>//#region:Ver
 //CD:04/16/58/10:00,CB:Tof
 //ED:05/18/58/11:37,EB:jirapat
 //ED:09-29-15-12:01,EB:sompan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</si>
  <si>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รหัสลูกค้า(Ref No.1)</t>
  </si>
  <si>
    <t>เลขที่บิล(Ref No.2)</t>
  </si>
  <si>
    <t>ธ.ไทยพาณิชย์ จำกัด(มหาชน)</t>
  </si>
  <si>
    <t>ค่างวดรถ ภาษี ประกัน พรบ. ธ.ไทยพาณิชย์</t>
  </si>
  <si>
    <t>//#region:Ver
 //CD:04/21/58/17:39,CB:jirapat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Params1,Params1,ValReturn1,ValReturn2;
 Params1 = {
 Condition: { 
  0:{Value: "|310102480702",Operator: "!=",Start: 0,Num: 13}
 }
 ,Operations: "AND"
 }
 ValReturn1 = this.executeFunc("VerifyFieldSubStr",Params1);
 Params2 = {
 Condition: { 
  0:{Value: "|010753600010202",Operator: "!=",Start: 0,Num: 16}
 }
 ,Operations: "AND"
 }
 ValReturn2 = this.executeFunc("VerifyFieldSubStr",Params2);
 if(ValReturn1==true&amp;&amp;ValReturn2==true)
 info.isError = true;
 }
 callbackCore(info);
 //#endregion:Etc
 //#region:EventEnd
 }
 else
 callbackCore(info);
 //#endregion:EventEnd</t>
  </si>
  <si>
    <t>//#region:Ver
 //CD:04/21/58/17:39,CB:jirapat
 //ED:09-20-16-15:35,EB:sompan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</si>
  <si>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เลขที่สัญญา</t>
  </si>
  <si>
    <t>//#region:Ver
 //CD:04/21/58/17:40,CB:jirapat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"NUM"}
 ,Operations: "AND"
 }
 var ValReturn = this.executeFunc("VerifyFieldLanguage",Params);
 var Params1 = {
 Condition: { 
 0:{Value: 11,Operator: "=="}
 }
 ,Operations: "AND"
 }
 var ValReturn1 = this.executeFunc("VerifyFieldLength",Params1);
 if (!ValReturn)
 info.VerifyCode = "-320";
 if (!ValReturn1)
 info.VerifyCode = "-430";
  if(ValReturn == false||ValReturn1==false)
 info.isError = true;
 }
 callbackCore(info);
 //#endregion:Etc
 //#region:EventEnd
 }
 else
 callbackCore(info);
 //#endregion:EventEnd</t>
  </si>
  <si>
    <t>//#region:Ver
 //CD:04/21/58/17:40,CB:jirapat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"NUM"}
 ,Operations: "AND"
 }
 var ValReturn = this.executeFunc("VerifyFieldLanguage",Params);
 var Params1 = {
 Condition: { 
 0:{Value: 2,Operator: "=="}
 }
 ,Operations: "AND"
 }
 var ValReturn1 = this.executeFunc("VerifyFieldLength",Params1);
 if (!ValReturn)
 info.VerifyCode = "-320";
 if (!ValReturn1)
 info.VerifyCode = "-340";
  if(ValReturn == false||ValReturn1==false)
 info.isError = true;
 }
 callbackCore(info);
 //#endregion:Etc
 //#region:EventEnd
 }
 else
 callbackCore(info);
 //#endregion:EventEnd</t>
  </si>
  <si>
    <t>//#region:Ver
 //CD:04/16/58/10:00,CB:Tof
 //ED:05/18/58/13:30,EB:jirapat
 //ED:11-04-15-14:49,EB:sompan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</si>
  <si>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บ.ทรูมันนี่จำกัดในฐานะตัวกลางชำระเงินเพื่อกลุ่มทรู</t>
  </si>
  <si>
    <t>ค่าบริการเพื่อกลุ่ม TRUE</t>
  </si>
  <si>
    <t>//#region:Ver
 //CD:09/15/58/13:40,CB:Tof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len = val.length;
 if(!(len == 1 &amp;&amp; val == "0")){
 var fieldRef3 = _this.getField("D_TEXT_02");
 var fieldRef4 = _this.getField("D_TEXT_03");
 var fieldAmt = _this.getField("D_MONEY_01");
 var fieldAmt2 = _this.getField("D_MONEY_03");
 var fieldRef7 = _this.getField("D_TEXT_08");
 var ref3,ref4,amt,ref7;
 var digit = val.substr(30,1);
 if(val.substr(0,11) == "|3031212756"){
 ref7 = "3031212756";
 if(len &gt;= 42 &amp;&amp; len &lt;= 48 &amp;&amp; digit != "0"){
 ref3 = val.substr(13,14);
 ref4 = val.substr(27,14);
 amt = val.substr(41);
 }
 else if(len &gt;= 41 &amp;&amp; len &lt;= 47 &amp;&amp; digit == "0"){
 ref3 = val.substr(13,9);
 ref4 = val.substr(23,18);
 amt = val.substr(40);
 }
 else
 info.isError = true;
 }
 else if(val.substr(0,14) == "|0105546149531"){
 ref7 = "0105546149531";
 if(len &gt;= 45 &amp;&amp; len &lt;= 51 &amp;&amp; digit != "0"){
 ref3 = val.substr(16,14);
 ref4 = val.substr(30,14);
 amt = val.substr(44);
 }
 else if(len &gt;= 44 &amp;&amp; len &lt;= 50 &amp;&amp; digit == "0"){
 ref3 = val.substr(16,9);
 ref4 = val.substr(25,18);
 amt = val.substr(43);
 }
 else
 info.isError = true;
 }
 else
 info.isError = true;
 if(!info.isError){
 amt = amt * 0.01;
 if(!_.isNull(fieldRef3))
 fieldRef3.setValue(ref3);
 if(!_.isNull(fieldRef4))
 fieldRef4.setValue(ref4);
 if(!_.isNull(fieldRef7))
 fieldRef7.setValue(ref7);
 if(!_.isNull(fieldAmt))
 fieldAmt.setValue(amt);
 if(!_.isNull(fieldAmt2))
 fieldAmt2.setValue(amt);
 }
 }
 }
 callbackCore(info);
 //#endregion:Etc
 //#region:EventEnd
 }
 else
 callbackCore(info);
 //#endregion:EventEnd</t>
  </si>
  <si>
    <t>รหัสลูกค้า(Account No./Ref1)</t>
  </si>
  <si>
    <t>เลขที่(Invoice No./Ref2)</t>
  </si>
  <si>
    <t>//#region:Ver
 //CD:04/16/58/10:00,CB:Tof
 //ED:05/11/58/14:16,EB:jirapat
 //ED:09-25-15-11:47,EB:sompan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if([1].indexOf(eName)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if(!ValReturn)
 info.isError = true;
 }
 if(info.isAfterVerify){
 field.setValue(0);
 field.focus();
 }
 var vat = {
 Amt:field.getValue()
 ,VatMode:false//true:vat out,false:vat in
 ,Rate:"7"
 }
 var output = this.executeFunc("CalcVat",vat);
 var vat = output.success ? output.output.vat : 0.00;
 var vatField = _this.getField("D_MONEY_02");
 var vatField1 = _this.getField("AGENT_VAT_AMOUNT");
 if(info.isError)
 vat = 0;
 if(!_.isNull(vatField))
 vatField.setValue(vat);
 if(!_.isNull(vatField1))
 vatField1.setValue(vat);
 }
 callbackCore(info);
 //#endregion:Etc
 //#region:EventEnd
 }
 else
 callbackCore(info);
 //#endregion:EventEnd</t>
  </si>
  <si>
    <t>ที่อยู่ลูกค้า</t>
  </si>
  <si>
    <t>Service type</t>
  </si>
  <si>
    <t>Ref3</t>
  </si>
  <si>
    <t>Ref4</t>
  </si>
  <si>
    <t>ref5</t>
  </si>
  <si>
    <t>transDate</t>
  </si>
  <si>
    <t>paymentDate</t>
  </si>
  <si>
    <t>transID</t>
  </si>
  <si>
    <t>จำนวนเงินคงเหลือ</t>
  </si>
  <si>
    <t>receiptNo</t>
  </si>
  <si>
    <t>receiptType</t>
  </si>
  <si>
    <t>กรมธนารักษ์</t>
  </si>
  <si>
    <t>ชำระค่าเช่าที่ราชพัสดุ กรมธนารักษ์</t>
  </si>
  <si>
    <t>//#region:Ver
 //CD:04/21/58/18:04,CB:jirapat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ParamsLen = {
 Condition: { 
  0:{Value: 50,Operator: "&lt;="}
 }
 ,Operations: "AND"
 }
 var Len = this.executeFunc("VerifyFieldLength",ParamsLen);
 var ParamsChar = {
 Condition: { 
  0:{Character: ";"}
 }
 ,Operations: "AND"
 }
 var Char = this.executeFunc("VerifyFieldCharacter",ParamsChar);
 if(!Len || Char)
 info.isError = true;
 if(Char)
 info.VerifyCode = "-50";
 if(!Len)
 info.VerifyCode = "-90";
 }
 callbackCore(info);
 //#endregion:Etc
 //#region:EventEnd
 }
 else
 callbackCore(info);
 //#endregion:EventEnd</t>
  </si>
  <si>
    <t>//#region:Ver
 //CD:10/02/58/16:34,CB:Tof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fieldRef5 = _this.getField("D_TEXT_04");
  var province;
  if(val.substr(0,14) == "|0994000165536"){
  var ref = val.substr(16,21);
  var digit = parseInt(val.substr(37,2));
  var sum = 0,chkDG;
  province = val.substr(17,4);
  for(i=0,x=0;i&lt;ref.length;i++){
  switch(i%3){
  case 0 : x = 7;
  break;
  case 1 : x = 0;
  break;
  case 2 : x = 9;
  break;
  }
  sum += (ref.substr(i,1) * x);
  }
  chkDG = (sum * 9) % 100;
  console.log(chkDG);
  if(chkDG != digit)
  info.isError = true;
  }
  else if(val.substr(0,11) == "|4102030590")
  province = val.substr(14,4);
  else
  info.isError = true;
  if(!info.isError &amp;&amp; [2,3].indexOf(eName) == -1){
  _this.executeFunc("ChkDupBar",{BARCODE:[val],FieldChk:["BRCDE"]},function(result){
  if(!result.success || !_.isUndefined(result.output.Msg)){
  info.Msg = result.output.Msg;
  info.isError = result.output.isError;
  info.isClear = false;
  field.setProperty("IsReadOnly",true);
  callbackCore(info);
  }
  else{//Function AGC_TANARAK_PROVINCE
  _this.executeFunc("CallSqlServP"
  ,{Sql: "SELECT * FROM M_SERVICE_DATA WHERE SERV_DATA_TYPE IN(5) AND ISNULL(INACTIVE,0) = 0 AND VALUE_ID LIKE '"+province+"'"}
  ,function(result,_this){
  if(result.success){
  var data = result.output.getData().Data;
  if(data.length &gt; 0){
  if(!_.isNull(fieldRef5))
  fieldRef5.setValue(data[0].VALUE_ID + " - " + data[0].VALUE_NAME);
  }else{
  info.isError = true;
  info.VerifyCode = "-5060";
  }
  }
  else{
  info.isError = true;
  info.VerifyCode = "-310";
  }
  callbackCore(info);
  });
  }
  });
  }
  else
  callbackCore(info);
 }
 else
  callbackCore(info);
 //#endregion:Etc
 //#region:EventEnd
 }
 else
  callbackCore(info);
 //#endregion:EventEnd</t>
  </si>
  <si>
    <t>รหัสจังหวัดกรมธนารักษ์</t>
  </si>
  <si>
    <t>เลขที่อ้างอิง 1/Cust no</t>
  </si>
  <si>
    <t>เลขที่อ้างอิง 2 / Due Date</t>
  </si>
  <si>
    <t>//#region:Ver
 //CD:07/21/58/14:54,CB:jirapat
 //ED:10/22/58/18:03,EB:Tof
 //ED:10/22/58/18:04,EB:Tof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</si>
  <si>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//ED:05/18/58/11:54,EB:jirapat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</si>
  <si>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เน็คซ์ แคปปิตอล จำกัด</t>
  </si>
  <si>
    <t>ชำระค่างวด และค่าใช้จ่ายของสินเชื่อเน็คซ์</t>
  </si>
  <si>
    <t>//#region:Ver
 //CD:05/04/15/17:20,CB:wisut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oldTax = "|303149661301";
 var newTax = "|010756300005301";
 var cal = 0;
 if(val.substr(0,13) != oldTax &amp;&amp; val.substr(0,16) != newTax)
 info.isError = true;
 else if(val.substr(0,16) == newTax)
 cal = 3;
 if(!info.isError &amp;&amp; [1,2,3].indexOf(eName) == -1){
  var field1 = _this.getField("D_TEXT_04");
  var field2 = _this.getField("D_TEXT_03");
  var field3 = _this.getField("D_MONEY_01");
  if(!_.isNull(field1))
  field1.setValue(val.substr(13 + cal,17));
  _this.executeControl("D_TEXT_04",{datas:{eventName:"enter",isExec:true}},function(){
  field3.focus();
  });
  }
  else
  callbackCore(info);
 }
 else
  callbackCore(info);
 //#endregion:Etc
 //#region:EventEnd
 }
 else
  callbackCore(info);
 //#endregion:EventEnd</t>
  </si>
  <si>
    <t>//#region:Ver
 //CD:05/18/58/15:08,CB:jirapat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info.isLock = true;
 var Params = {
 Condition: { 
  0:{Value: 17,Operator: "=="}
 }
 ,Operations: "AND"
 }
 var ValReturn = this.executeFunc("VerifyFieldLength",Params);
 if(!ValReturn)
 info.VerifyCode = "-481"
 if(ValReturn==false)
 info.isError = true;
 }
 callbackCore(info);
 //#endregion:Etc
 //#region:EventEnd
 }
 else
 callbackCore(info);
 //#endregion:EventEnd</t>
  </si>
  <si>
    <t>//#region:Ver
 //CD:05/18/58/15:09,CB:jirapat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</si>
  <si>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นวกิจประกันภัย จำกัด (มหาชน)</t>
  </si>
  <si>
    <t>ชำระค่าเบี้ยประกันภัย นวกิจฯ</t>
  </si>
  <si>
    <t>//#region:Ver
 //CD:05/07/58/13:39,CB:jirapat
 //ED:09-25-15-11:52,EB:sompan
 //ED:07/07/59/19:06,EB:Tof
 //ED:07/07/59/19:06,EB:Tof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loan = "";
  var Params = {
  Condition: { 
  0:{Value: "|310106398100",Operator: "==",Start: 0,Num: 13}
  ,1:{Value: "|010753600086200",Operator: "==",Start: 0,Num: 16}
  }
  ,Operations: "OR"
  }
  var ValReturn = _this.executeFunc("VerifyFieldSubStr",Params);
  if(!ValReturn)
  info.isError = true;
  if(!info.isError &amp;&amp; [2,3].indexOf(eName) == -1){
  var field2 = _this.getField("D_TEXT_04");
  var prefix = ["|310106398100","|010753600086200"];
  old_prefix = val.substr(0,13);
  new_prefix = val.substr(0,16);
  if(old_prefix == prefix[0]){
  loan = val.substr(13,val.length - 14);
  if(!_.isNull(field2))
  field2.setValue(loan);
  }
  else if(new_prefix == prefix[1]){
  loan = val.substr(16,9);
  if(!_.isNull(field2))
  field2.setValue(loan);
  }
  }
  callbackCore(info);
 }
 else
  callbackCore(info);
 //#endregion:Etc
 //#region:EventEnd
 }
 else
  callbackCore(info);
 //#endregion:EventEnd</t>
  </si>
  <si>
    <t>//#region:Ver
 //CD:04/16/58/10:00,CB:Tof
 //ED:09-25-15-11:51,EB:sompan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</si>
  <si>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บริษัท ยันมาร์ เครื่องจักรฯ</t>
  </si>
  <si>
    <t>ชำระค่าสินค้ายันมาร์</t>
  </si>
  <si>
    <t>//#region:Ver
 //CD:04/21/58/18:13,CB:jirapat
 //ED:09-25-15-11:53,EB:sompan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"0115547012903",Operator: "!=",Start: 0,Num: 13}
  ,1:{Value: "3031619005",Operator: "!=",Start: 0,Num: 10}
  ,2:{Value: "|011554701290300",Operator: "!=",Start: 0,Num: 16}
 }
 ,Operations: "AND"
 }
 var ValReturn = this.executeFunc("VerifyFieldSubStr",Params);
 if(ValReturn==true)
 info.isError = true;
 }
 callbackCore(info);
 //#endregion:Etc
 //#region:EventEnd
 }
 else
 callbackCore(info);
 //#endregion:EventEnd</t>
  </si>
  <si>
    <t>//#region:Ver
 //CD:04/16/58/10:00,CB:Tof
 //ED:09-25-15-11:53,EB:sompan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</si>
  <si>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//CD:05/18/58/15:14,CB:jirapat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info.VerifyCode = "-320";
 if(!ValReturn)
 info.isError = true;
 }
 callbackCore(info);
 //#endregion:Etc
 //#region:EventEnd
 }
 else
 callbackCore(info);
 //#endregion:EventEnd</t>
  </si>
  <si>
    <t>เลขที่ / Bill No.</t>
  </si>
  <si>
    <t>//#region:Ver
 //CD:03-04-16-11:03,CB:sompan
 //ED:08/05/59/11:17,EB:Tof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var val = field.getValue().toUpperCase();
 var len = val.length;
 var array2 = ["IC","IP","IS","IV"];
 var array4 = ["YAMT"];
 if(!(array2.indexOf(val.substr(0,2)) != -1 || array4.indexOf(val.substr(0,4)) != -1
 || (len == 11 &amp;&amp; (val.substr(3,1) == "5" || val.substr(4,1) == "5"))))
 info.isError = true;
 if(!info.isError &amp;&amp; [2,3].indexOf(eName) == -1)
 field.setValue(val);
 }
 callbackCore(info);
 //#endregion:Etc
 //#region:EventEnd
 }
 else
 callbackCore(info);
 //#endregion:EventEnd</t>
  </si>
  <si>
    <t>//#region:Ver
 //CD:04/16/58/10:00,CB:Tof
 //ED:05/18/58/15:14,EB:jirapat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</si>
  <si>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พรอมิส (ประเทศไทย) จำกัด</t>
  </si>
  <si>
    <t>ค่างวด สินเชื่อเงินสดและบริการ พรอมิส</t>
  </si>
  <si>
    <t>//#region:Ver
 //CD:05/07/58/12:03,CB:jirapat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Params1,Params2,ValReturn1,ValReturn2;
 Params1 = {
 Condition: { 
  0:{Value: "|010554704021400",Operator: "!=",Start: 0,Num: 16}
 }
 ,Operations: "AND"
 }
 Params2 = {
 Condition: { 
  0:{Value: "|303135643600",Operator: "!=",Start: 0,Num: 13}
 }
 ,Operations: "AND"
 }
 ValReturn1 = this.executeFunc("VerifyFieldSubStr",Params1);
 ValReturn2 = this.executeFunc("VerifyFieldSubStr",Params2);
 if(ValReturn1==true&amp;&amp;ValReturn2==true)
 info.isError = true;
 }
 callbackCore(info);
 //#endregion:Etc
 //#region:EventEnd
 }
 else
 callbackCore(info);
 //#endregion:EventEnd</t>
  </si>
  <si>
    <t>สมาชิกเลขที่ (REF 1)</t>
  </si>
  <si>
    <t>ธนาคารอิสลามแห่งประเทศไทย</t>
  </si>
  <si>
    <t>รับเงินฝาก-ชำระสินเชื่อ ธ.อิสลามฯ</t>
  </si>
  <si>
    <t>//#region:Ver
 //CD:05/07/58/14:24,CB:jirapat
 //ED:07/27/15/13:40,EB:Art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Params1,ValReturn1;
 Params1 = {
 Condition: { 
  0:{Value: "|3030757067",Operator: "!=",Start: 0,Num: 11}
 }
 ,Operations: "AND"
 }
 ValReturn1 = this.executeFunc("VerifyFieldSubStr",Params1);
 if(ValReturn1==true)
 info.isError = true;
 }
 callbackCore(info)
 //#endregion:Etc
 //#region:EventEnd
 }
 else
 callbackCore(info);
 //#endregion:EventEnd</t>
  </si>
  <si>
    <t>//#region:Ver
 //CD:04/16/58/10:00,CB:Tof
 //ED:05/07/58/14:25,EB:jirapat
 //ED:07/27/15/13:56,EB:Art
 //ED:07/15/59/17:41,EB:Tof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</si>
  <si>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ทริปเปิลที อินเทอร์เน็ท จำกัด</t>
  </si>
  <si>
    <t>ชำระเงินค่าบริการอินเทอร์เน็ต ทริปเปิลที</t>
  </si>
  <si>
    <t>//#region:Ver
 //CD:10/08/58/13:39,CB:Tof
 //ED:08-01-16-14:49,EB:sompan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"|303265731000",Operator: "==",Start: 0,Num: 13}
  ,1:{Value: "|010555005639800",Operator: "==",Start: 0,Num: 16}
 }
  ,Operations: "OR"
 }
 var ValReturn = this.executeFunc("VerifyFieldSubStr",Params);
 if(!ValReturn)
 info.isError = true;
 }
 callbackCore(info);
 //#endregion:Etc
 //#region:EventEnd
 }
 else
 callbackCore(info);
 //#endregion:EventEnd</t>
  </si>
  <si>
    <t>รหัสลูกค้า (Account No./Ref1)</t>
  </si>
  <si>
    <t>เลขที่ (Invoice No./Ref2)</t>
  </si>
  <si>
    <t>//#region:Ver
 //CD:04/16/58/10:00,CB:Tof
 //ED:07/27/15/15:52,EB:Art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</si>
  <si>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 ยูนิทรัย จำกัด</t>
  </si>
  <si>
    <t>เติมเงินผ่านบัตร Gamemoney @ Post</t>
  </si>
  <si>
    <t>รหัสลูกค้า</t>
  </si>
  <si>
    <t>//#region:Ver
 //CD:03-11-16-14:56,CB:sompan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"|303126681000",Operator: "==",Start: 0,Num: 13}
  ,1:{Value: "303126681000",Operator: "==",Start: 0,Num: 12}
 }
  ,Operations: "OR"
 }
 var ValReturn = this.executeFunc("VerifyFieldSubStr",Params);
 var Params = {
 Condition: {Language: "NUM"}//TH,EN,NUM,THEN,THNUM,ENNUM
 ,Operations: "AND"
 }
 var ValReturn1 = this.executeFunc("VerifyFieldLanguage",Params);
 if(!ValReturn1)
 info.VerifyCode = "-91";
 if(!ValReturn || !ValReturn1)
 info.isError = true;
 }
 callbackCore(info);
 //#endregion:Etc
 //#region:EventEnd
 }
 else
 callbackCore(info);
 //#endregion:EventEnd</t>
  </si>
  <si>
    <t>//#region:Ver
 //CD:07/15/58/11:38,CB:Minny
 //ED:09-10-15-11:57,EB:sompan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 
 0:{Value: 200,Operator: "&gt;="}
 ,1:{Value: 20000,Operator: "&lt;="}
 }
 ,Operations: "AND"
 }
 var ValReturn = this.executeFunc("VerifyField",Params);
 if(!ValReturn)
 info.isError = true;
 }
 callbackCore(info);
 //#endregion:Etc
 //#region:EventEnd
 }
 else
 callbackCore(info);
 //#endregion:EventEnd</t>
  </si>
  <si>
    <t>ประเภทการเติมเงิน</t>
  </si>
  <si>
    <t>//#region:Ver
 //CD:09/10/58/11:40,CB:Tof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 [1,2,3].indexOf(eName) == -1){
 var param = {};
 var callbackFunc = function(result,_this){
 if(result.success){
 var val = _this.getField("D_INT_01_CBV").getValue();
 if(["1","2"].indexOf(val) == -1)
 info.isError = true;
 }
 else
 info.isError = true;
 callbackCore(info);
 }
 this.executeFunc("ServDataCombo",param,callbackFunc);
 }
 else{
 var val = this.getField("D_INT_01_CBV").getValue();
 if(["1","2"].indexOf(val) == -1)
 info.isError = true;
 callbackCore(info);
 }
 //#endregion:Etc
 //#region:EventEnd
 }
 else
 callbackCore(info);
 //#endregion:EventEnd</t>
  </si>
  <si>
    <t>CustomerBarcode</t>
  </si>
  <si>
    <t>CustomerUsername</t>
  </si>
  <si>
    <t>CustomerPassword</t>
  </si>
  <si>
    <t>ประเภทเติมเงิน</t>
  </si>
  <si>
    <t>TranID</t>
  </si>
  <si>
    <t>มหาวิทยาลัยขอนแก่น</t>
  </si>
  <si>
    <t>ชำระค่าลงทะเบียน มหาวิทยาลัยขอนแก่น</t>
  </si>
  <si>
    <t>//#region:Ver
 //CD:20/07/60/00:00,CB:Tof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cal = 0;
  var calRef = 0;
  var val = field.getValue();
  var len = val.length;
  var ref3,ref4,amt=0;
  if(val.substr(0,16) == "|099400039152800"){
  cal = 3;
  if(len == 41)
  calRef = 4;
  }
  else if(val.substr(0,13) == "|445100070100"){
  cal = 0;
  if(len == 38)
  calRef = 4;
  }
  else
  info.isError = true;
  if(!info.isError &amp;&amp; [1].indexOf(eName) != -1){
  var fieldRef3 = _this.getField("D_TEXT_05");
  var fieldRef4 = _this.getField("D_TEXT_06");
  var fieldAmt = _this.getField("D_MONEY_01");
  ref3 = val.substr(13+cal,10);
  ref4 = val.substr(23+cal,4+calRef);
  amt = val.substr(27+cal+calRef) * 0.01;
  if(!_.isNull(fieldRef3))
  fieldRef3.setValue(ref3);
  if(!_.isNull(fieldRef4))
  fieldRef4.setValue(ref4);
  if(!_.isNull(fieldAmt))
  fieldAmt.setValue(amt);
  }
 }
 callbackCore(info);
 //#endregion:Etc
 //#region:EventEnd
 }
 else
  callbackCore(info);
 //#endregion:EventEnd</t>
  </si>
  <si>
    <t>//#region:Ver
 //CD:05/18/15/14:19,CB:wisut
 //ED:05/28/58/12:06,EB:jirapat
 //ED:07/27/15/14:28,EB:Art
 //ED:10/22/58/17:53,EB:Tof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eName !=1){
 var params = {ToRate:{D:0,M:0,Y:0},AD:true}
 _this.executeFunc("CheckDueDate",params,function(result){
 if(!result.success || (result.success &amp;&amp; result.output))
 info.isError = true;
 if(!info.isError &amp;&amp; [2].indexOf(eName)==-1){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</si>
  <si>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//ED:07/27/15/14:30,EB:Art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</si>
  <si>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รหัสประจำตัว</t>
  </si>
  <si>
    <t>//#region:Ver
 //CD:05/15/58/15:05,CB:jirapat
 //ED:07/27/15/14:31,EB:Art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len = val.length;
 var chk;
 if([1].indexOf(eName) != -1){
 val = val.substr(0,len-1) +"-"+val.substr(len-1,1)
 field.setValue(val);
 }
 chk = /[^0-9-_]/.exec(val);
 if(!_.isNull(chk))
 info.isError = true;
 }
 callbackCore(info);
 //#endregion:Etc
 //#region:EventEnd
 }
 else
 callbackCore(info);
 //#endregion:EventEnd</t>
  </si>
  <si>
    <t>//#region:Ver
 //CD:05/15/58/15:05,CB:jirapat
 //ED:07/27/15/14:32,EB:Art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info.VerifyCode = "-320";
 if(!ValReturn)
 info.isError = true;
 }
 callbackCore(info);
 //#endregion:Etc
 //#region:EventEnd
 }
 else
 callbackCore(info);
 //#endregion:EventEnd</t>
  </si>
  <si>
    <t>//#region:Ver
 //CD:04/16/58/10:00,CB:Tof
 //ED:07/27/15/14:35,EB:Art
 //ED:07/15/59/17:39,EB:Tof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</si>
  <si>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รับสมัครสอบและยืนยันสิทธิ์ ม.ขอนแก่น</t>
  </si>
  <si>
    <t>//#region:Ver
 //CD:04/16/58/10:00,CB:Tof
 //ED:04/22/58/13:33,EB:jirapat
 //ED:07/27/15/16:11,EB:Art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</si>
  <si>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//CD:04/17/58/10:42,CB:Tof
 //ED:04/22/58/13:33,EB:jirapat
 //ED:07/27/15/16:11,EB:Art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13,Operator: "=="}
 }
 ,Operations: "AND"
 }
 var ParamsLanguage = {
 Condition: {Language: "NUM"}//TH,EN,NUM,THEN,THNUM,ENNUM
 ,Operations: "AND"
 }
 var ValReturnLanguage = this.executeFunc("VerifyFieldLanguage",ParamsLanguage);
 var ValReturn = this.executeFunc("VerifyFieldLength",Params);
 if(!ValReturn){
 info.isError = true;
 info.VerifyCode = "-450";
 }
 if(!ValReturnLanguage){
 info.isError = true;
 info.VerifyCode = "-320";
 }
 info.isLock = true;
 }
 callbackCore(info);
 //#endregion:Etc
 //#region:EventEnd
 }
 else
 callbackCore(info);
 //#endregion:EventEnd</t>
  </si>
  <si>
    <t>//#region:Ver
 //CD:04/09/58/13:37,CB:jirapat
 //ED:07/27/15/16:12,EB:Art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10,Operator: "=="}
 }
 ,Operations: "AND"
 }
 var ParamsLanguage = {
 Condition: {Language: "NUM"}//TH,EN,NUM,THEN,THNUM,ENNUM
 ,Operations: "AND"
 }
 var ValReturnLanguage = this.executeFunc("VerifyFieldLanguage",ParamsLanguage);
 var ValReturn = this.executeFunc("VerifyFieldLength",Params);
 if(!ValReturn){
 info.isError = true;
 info.VerifyCode = "-420";
 }
 if(!ValReturnLanguage){
 info.isError = true;
 info.VerifyCode = "-320";
 }
 info.isLock = true;
 }
 callbackCore(info);
 //#endregion:Etc
 //#region:EventEnd
 }
 else
 callbackCore(info);
 //#endregion:EventEnd</t>
  </si>
  <si>
    <t>//#region:Ver
 //CD:04/16/58/10:00,CB:Tof
 //ED:05/08/58/16:50,EB:jirapat
 //ED:07/27/15/16:12,EB:Art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0.01,Operator: "&lt;",ErrorCode: "-771"}/*,{Value: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</si>
  <si>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มหาวิทยาลัยอุบลราชธานี</t>
  </si>
  <si>
    <t>รับชำระค่ายืนยันสิทธิ์ ม. อุบลราชธานี</t>
  </si>
  <si>
    <t>//#region:Ver
 //CD:05/18/15/16:06,CB:wisut
 //ED:05/28/58/12:05,EB:jirapat
 //ED:10/22/58/17:59,EB:Tof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</si>
  <si>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//ED:04/22/58/15:17,EB:jirapat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</si>
  <si>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//CD:04/17/58/10:42,CB:Tof
 //ED:04/22/58/15:18,EB:jirapat
 //ED:07/07/59/14:40,EB:Tof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13,Operator: "=="}
 }
 ,Operations: "AND"
 }
 var ValReturn = this.executeFunc("VerifyFieldLength",Params);
 if(!ValReturn){
 info.VerifyCode = "-450";
 info.isError = true;
 }
 var Params1 = {
 Condition: {Language: "NUM"}
 ,Operations: "AND"
 }
 var ValReturn1 = this.executeFunc("VerifyFieldLanguage",Params1);
 if(!ValReturn1){
 info.VerifyCode = "-320";
 info.isError = true;
 }
 info.isLock = true;
 }
 callbackCore(info);
 //#endregion:Etc
 //#region:EventEnd
 }
 else
 callbackCore(info);
 //#endregion:EventEnd</t>
  </si>
  <si>
    <t>//#region:Ver
 //CD:04/17/58/10:42,CB:Tof
 //ED:04/22/58/15:18,EB:jirapat
 //ED:07/07/59/14:39,EB:Tof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 = {
 Condition: {Language: "NUM"}
 ,Operations: "AND"
 }
 var ValReturn1 = this.executeFunc("VerifyFieldLanguage",Params1);
 if(!ValReturn1)
 info.VerifyCode = "-320";
 if(!ValReturn1)
 info.isError = true;
 info.isLock = true;
 }
 callbackCore(info);
 //#endregion:Etc
 //#region:EventEnd
 }
 else
 callbackCore(info);
 //#endregion:EventEnd</t>
  </si>
  <si>
    <t>//#region:Ver
 //CD:04/16/58/10:00,CB:Tof
 //ED:05/18/58/10:07,EB:jirapat
 //ED:07/07/59/14:44,EB:Tof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</si>
  <si>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รับชำระค่าลงทะเบียน ม.อุบลราชธานี</t>
  </si>
  <si>
    <t>//#region:Ver
 //CD:06/10/58/17:57,CB:Minny
 //ED:10/22/58/18:02,EB:Tof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</si>
  <si>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//CD:06/15/58/13:37,CB:Minny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Len = {
 Condition: { 
 0:{Value: 10,Operator: "=="}
 }
 ,Operations: "AND"
 }
 var ValLen = this.executeFunc("VerifyFieldLength",Len);
 var ValReturn = this.executeFunc("VerifyFieldLanguage",Params);
 if(!ValReturn || !ValLen)
 info.VerifyCode = "-320";
 info.VerifyCode = "-420";
 if(ValReturn==false||ValLen == false)
 info.isError = true;
 }
 callbackCore(info);
 //#endregion:Etc
 //#region:EventEnd
 }
 else
 callbackCore(info);
 //#endregion:EventEnd</t>
  </si>
  <si>
    <t>//#region:Ver
 //CD:04/22/58/14:48,CB:jirapat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</si>
  <si>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//CD:04/22/58/14:49,CB:jirapat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</si>
  <si>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รับชำระค่าสมัครสอบ ม. อุบลราชธานี</t>
  </si>
  <si>
    <t>//#region:Ver
 //CD:05/18/15/16:03,CB:wisut
 //ED:05/28/58/12:05,EB:jirapat
 //ED:10/22/58/18:00,EB:Tof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</si>
  <si>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//ED:04/22/58/14:53,EB:jirapat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</si>
  <si>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//CD:04/17/58/10:42,CB:Tof
 //ED:04/22/58/14:54,EB:jirapat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13,Operator: "=="}
 }
 ,Operations: "AND"
 }
 var ValReturn = this.executeFunc("VerifyFieldLength",Params);
 if(!ValReturn)
 info.VerifyCode = "-450";
 if(ValReturn==false)
 info.isError = true;
 }
 callbackCore(info);
 //#endregion:Etc
 //#region:EventEnd
 }
 else
 callbackCore(info);
 //#endregion:EventEnd</t>
  </si>
  <si>
    <t>//#region:Ver
 //CD:04/16/58/10:00,CB:Tof
 //ED:05/18/58/10:03,EB:jirapat
 //ED:07/15/59/17:46,EB:Tof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</si>
  <si>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ลงทะเบียน ม.อุบลฯCounterเมืองศรีไค</t>
  </si>
  <si>
    <t>//#region:Ver
 //CD:11/10/58/13:06,CB:Tof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[{FDName:"D_TEXT_04",Format:field.get("DISPLAY_FORMAT"),IsBud:field.get("IS_BE_DATE")}];
 _this.executeFunc("SetDateINF",{Information:Information},function(){callbackCore(info);});
 }
 else callbackCore(info);
 });
 }
 else
 callbackCore(info);
 //#endregion:Etc
 //#region:EventEnd
 }
 else
 callbackCore(info);
 //#endregion:EventEnd</t>
  </si>
  <si>
    <t>//#region:Ver
 //CD:11/10/58/13:12,CB:Tof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Params = {
 Condition: {Language: "NUM"}//TH,EN,NUM,THEN,THNUM,ENNUM
 ,Operations: "AND"
 }
 var ValReturn = this.executeFunc("VerifyFieldLanguage",Params); 
 var ParamsLen = {
 Condition: { 
 0:{Value: 10,Operator: "=="}
 }
 ,Operations: "AND"
 }
 var Len = this.executeFunc("VerifyFieldLength",ParamsLen);
 if(!Len)
 info.VerifyCode = "-420"; 
 if(!ValReturn)
 info.VerifyCode = "-320"; 
 if(!ValReturn||!Len)
 info.isError = true;
 }
 callbackCore(info);
 //#endregion:Etc
 //#region:EventEnd
 }
 else
 callbackCore(info);
 //#endregion:EventEnd</t>
  </si>
  <si>
    <t>//#region:Ver
 //CD:11/10/58/13:09,CB:Tof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</si>
  <si>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//CD:11/10/58/13:08,CB:Tof
 //ED:07/15/59/17:45,EB:Tof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</si>
  <si>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ธนาคารไทยเครดิตเพื่อสินเชื่อ</t>
  </si>
  <si>
    <t>ชำระค่าสินเชื่อ ธ.ไทยเครดิต ฯ</t>
  </si>
  <si>
    <t>//#region:Ver
 //CD:02/26/59/18:08,CB:Tof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value = field.getValue();
 var Params = {
 Condition: { 
  0:{Value: "010754800055202",Operator: "==",Start: 0,Num: 15}
  ,1:{Value: "|010754800055202",Operator: "==",Start: 0,Num: 16}
  ,2:{Value: "310115753602",Operator: "==",Start: 0,Num: 12}
  ,3:{Value: "|310115753602",Operator: "==",Start: 0,Num: 13}
  ,4:{Value: "310115753601",Operator: "==",Start: 0,Num: 12}
  ,5:{Value: "|310115753601",Operator: "==",Start: 0,Num: 13}
 }
 ,Operations: "OR"
 }
 var ValReturn = _this.executeFunc("VerifyFieldSubStr",Params);
 if(!ValReturn)
 info.isError = true;
 if(!info.isError){
 var output = _this.executeFunc("ThaicreditChkbar",{Value:value});
 var ref3 = _this.getField("D_TEXT_03"),ref4 = _this.getField("D_TEXT_04");
 if(output.success){
 if(!_.isNull(ref3))
 ref3.setValue(output.output.Bar1);
 if(!_.isNull(ref4))
 ref4.setValue(output.output.Bar2);
 }
 }
 }
 callbackCore(info);
 //#endregion:Etc
 //#region:EventEnd
 }
 else
 callbackCore(info);
 //#endregion:EventEnd</t>
  </si>
  <si>
    <t>//#region:Ver
 //CD:04/16/58/10:00,CB:Tof
 //ED:05/07/58/14:18,EB:jirapat
 //ED:11-04-15-15:21,EB:sompan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</si>
  <si>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โทรคมนาคมแห่งชาติ จำกัด (มหาชน)</t>
  </si>
  <si>
    <t>ค่าโทรศัพท์เคลื่อนที่ 3G ของ TOT</t>
  </si>
  <si>
    <t>//#region:Ver
 //CD:05/18/58/16:13,CB:jirapat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"303045946605",Operator: "!=",Start: 0,Num: 12}
  ,1:{Value: "|01075450001610596",Operator: "!=",Start: 0,Num: 18}
  ,2:{Value: "|01075450001610506",Operator: "!=",Start: 0,Num: 18}
  ,3:{Value: "|01075640000140596",Operator: "!=",Start: 0,Num: 18}
  ,4:{Value: "|01075640000140506",Operator: "!=",Start: 0,Num: 18}
  }
 ,Operations: "AND"
 }
 var ValReturn = this.executeFunc("VerifyFieldSubStr",Params);
 if(ValReturn)
  info.isError = true;
 }
 callbackCore(info);
 //#endregion:Etc
 //#region:EventEnd
 }
 else
 callbackCore(info);
 //#endregion:EventEnd</t>
  </si>
  <si>
    <t>//#region:Ver
 //CD:06/10/58/18:03,CB:Minny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[1,2,3].indexOf(eName) == -1){
  var params = {ToRate:{D:10,M:0,Y:0},AD:true}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</si>
  <si>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//ED:08-01-16-15:36,EB:sompan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if([1].indexOf(eName)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if(!ValReturn)
 info.isError = true;
 }
 if(info.isAfterVerify){
 field.setValue(0);
 field.focus();
 }
 var vat = {
 Amt:field.getValue()
 ,VatMode:false//true:vat out,false:vat in
 ,Rate:"7"
 }
 var output = this.executeFunc("CalcVat",vat);
 var vat = output.success ? output.output.vat : 0.00;
 var vatField = _this.getField("D_MONEY_02");
 var vatField1 = _this.getField("AGENT_VAT_AMOUNT");
 if(info.isError)
 vat = 0;
 if(!_.isNull(vatField))
 vatField.setValue(vat);
 if(!_.isNull(vatField1))
 vatField1.setValue(vat);
 }
 callbackCore(info);
 //#endregion:Etc
 //#region:EventEnd
 }
 else
 callbackCore(info);
 //#endregion:EventEnd</t>
  </si>
  <si>
    <t>การประปาส่วนภูมิภาค (สำนักงานใหญ่)</t>
  </si>
  <si>
    <t>ค่าน้ำประปาส่วนภูมิภาค 1 Bar สาขาใหม่</t>
  </si>
  <si>
    <t>//#region:Ver
 //CD:10-13-15-11:24,CB:sompan
 //ED:08/01/59/14:28,EB:Tof
 //ED:08/23/59/15:02,EB:Tof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len = val.length;
  var date = val.substr(4,2);
  if(len != 45)
  info.isError = true;
  var params = {Sql: "SELECT GETDATE() AS DATE"}
  var CallbackCallSql = function(result){
  var data = result.output.getData().Data;
  var date_now = (parseInt(data[0].DATE.substr(0,4)) + 543).toString().substr(2,2);
  if(date != date_now)
  info.isError = true;
  if(!info.isError){
  var fieldRef4 = _this.getField("D_TEXT_02");
  var fieldRef3 = _this.getField("D_TEXT_03");
  var fieldRef5 = _this.getField("D_TEXT_04");
  var fieldRef6 = _this.getField("D_TEXT_20");
  var fieldAmt = _this.getField("D_MONEY_01");
  var ref4 = val.substr(0,13);
  var ref3 = val.substr(13,11);
  var ref5 = val.substr(24,6);
  var ref6 = val.substr(30,6);
  var amt = val.substr(36,9) * 0.01;
  if(!_.isNull(fieldRef4))
  fieldRef4.setValue(ref4);
  if(!_.isNull(fieldRef3))
  fieldRef3.setValue(ref3);
  if(!_.isNull(fieldRef5))
  fieldRef5.setValue(ref5);
  if(!_.isNull(fieldRef6))
  fieldRef6.setValue(ref6);
  if(!_.isNull(fieldAmt))
  fieldAmt.setValue(amt);
  _this.executeFunc("ChkDupBar",{BARCODE:[val],FieldChk:["BRCDE"]},function(result){
  if(!result.success || !_.isUndefined(result.output.Msg)){
  info.Msg = result.output.Msg;
  info.isError = result.output.isError;
  info.isClear = false;
  callbackCore(info);
  }
  if([1,2,3].indexOf(eName) == -1){
  _this.executeControl("D_TEXT_04",{datas:{eventName:"enter",isExec:true}},function(){
  _this.executeControl("D_DATE_01",{datas:{eventName:"keyTyped",isExec:true}},function(){
  _this.executeControl("D_MONEY_01",{datas:{eventName:"enter",isExec:true}},function(){
  callbackCore(info);
  });
  });
  });
  }
  else
  callbackCore(info);
  });
  }
  else 
  callbackCore(info);
  }
  _this.executeFunc("CallSqlServP",params,CallbackCallSql);
 }
 else
 callbackCore(info);
 //#endregion:Etc
 //#region:EventEnd
 }
 else
  callbackCore(info);
 //#endregion:EventEnd</t>
  </si>
  <si>
    <t>ใบเสร็จรับเงินเลขที่</t>
  </si>
  <si>
    <t>เลขที่ผู้ใช้น้ำ</t>
  </si>
  <si>
    <t>รหัสหน่วยงานประปาภูมิภาค</t>
  </si>
  <si>
    <t>//#region:Ver
 //CD:10/06/58/13:53,CB:Tof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//Function PWA_CHK_BRCDE
 info.isValid = false;
 info.isClear = false;
 var val  = field.getValue();
 var Sql = "SELECT TOP 1 * FROM M_SERVICE_DATA WHERE SERV_DATA_TYPE IN(6) \n"
 +"AND ISNULL(INACTIVE,0) = 0 AND VALUE_ID LIKE '"+val+"' AND E_DATE IS NULL";
 var params = {Sql: Sql};
 var CallbackCallSql = function(result,_this){
 if(info.isValid){
 if(result.success){
 var data = result.output.getData().Data;
 if(data.length &lt;= 0)
 info.isError = true
 }
 else
 info.isError = true;
 }
 callbackCore(info);
 }
 this.executeFunc("CallSqlServP",params,CallbackCallSql);
 //#endregion:Etc
 //#region:EventEnd
 }
 else
 callbackCore(info);
 //#endregion:EventEnd</t>
  </si>
  <si>
    <t>//#region:Ver
 //CD:06/10/58/18:08,CB:Minny
 //ED:10/22/58/15:36,EB:Tof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[5].indexOf(eName) == -1){
 info.isClear = false;
 var dateField = _this.getField("D_TEXT_20");
 var val = dateField.getValue();
 var day = val.substr(0,2);
 var month = val.substr(2,2);
 var year  = val.substr(4,2);
 var params = {Sql: "SELECT YEAR(GETDATE()) AS YY"};
 _this.executeFunc("CallSqlServP",params,function(result){
 var data  = result.output.getData().Data;
 var yearSub = (data[0].YY).toString().substr(0,2);
 var yearSubTh = (parseInt(data[0].YY) + 543).toString().substr(0,2);
 var date  = (parseInt(yearSubTh+year) - 543).toString()+"-"+month+"-"+day;
 if([1,2,3].indexOf(eName) == -1)
 field.setValue(date);
 _this.executeFunc("CheckDueDate",{ToRate:{D:0,M:0,Y:0},AD:false},function(result){
 if((result.success &amp;&amp; result.output) || !result.success)
 info.isError = true;
 callbackCore(info);
 });
 });
 }
 else
 callbackCore(info);
 //#endregion:Etc
 //#region:EventEnd
 }
 else
 callbackCore(info);
 //#endregion:EventEnd</t>
  </si>
  <si>
    <t>//#region:Ver
 //CD:10/02/58/10:06,CB:Tof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info.isClear = false;
 var val = this.getField("D_TEXT_01").getValue();
 var output = this.executeFunc("PapCheck45Cis",{Value:val});
 if(!output.success || (output.success &amp;&amp; !output.output))
 info.isError = true;
 var vat = {
 Amt:field.getValue()
 ,VatMode:false//true:vat out,false:vat in
 ,Rate:"7"
 }
 var output = this.executeFunc("CalcVat",vat);
 var vat = output.success ? output.output.vat : 0.00;
 var vatField = _this.getField("D_MONEY_02");
 var vatField1 = _this.getField("AGENT_VAT_AMOUNT");
 if(info.isError)
 vat = 0;
 if(!_.isNull(vatField))
 vatField.setValue(vat);
 if(!_.isNull(vatField1))
 vatField1.setValue(vat);
 }
 callbackCore(info);
 //#endregion:Etc
 //#region:EventEnd
 }
 else
 callbackCore(info);
 //#endregion:EventEnd</t>
  </si>
  <si>
    <t>บริษัท ท็อปอัพฟอร์ยู จำกัด</t>
  </si>
  <si>
    <t>IEC 3g(สำหรับInternetDataCalling)</t>
  </si>
  <si>
    <t>//#region:Ver
 //CD:09/07/58/15:30,CB:Tof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"|303369259418" || val.length != 38)
 info.isError = true;
 }
 callbackCore(info);
 //#endregion:Etc
 //#region:EventEnd
 }
 else
 callbackCore(info);
 //#endregion:EventEnd</t>
  </si>
  <si>
    <t>รหัสสินค้า</t>
  </si>
  <si>
    <t>สินค้า</t>
  </si>
  <si>
    <t>//#region:Ver
 //CD:09/07/58/15:30,CB:Tof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</si>
  <si>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</si>
  <si>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SerialTopUp</t>
  </si>
  <si>
    <t>D_TEXT_60</t>
  </si>
  <si>
    <t>Intruction</t>
  </si>
  <si>
    <t>Pin</t>
  </si>
  <si>
    <t>SerialNo</t>
  </si>
  <si>
    <t>SONumber</t>
  </si>
  <si>
    <t>expireDate</t>
  </si>
  <si>
    <t>Imobile3gx(สำหรับInternetDataCalling)</t>
  </si>
  <si>
    <t>//#region:Ver
 //CD:06/05/58/12:17,CB:jirapat
 //ED:07/29/15/13:09,EB:Art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"|303369259417" || val.length != 38)
 info.isError = true;
 }
 callbackCore(info);
 //#endregion:Etc
 //#region:EventEnd
 }
 else
 callbackCore(info);
 //#endregion:EventEnd</t>
  </si>
  <si>
    <t>//#region:Ver
 //CD:09/07/58/16:20,CB:Tof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</si>
  <si>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//CD:04/16/58/10:00,CB:Tof
 //ED:07/29/15/13:08,EB:Art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</si>
  <si>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เติมเงิน @Cash</t>
  </si>
  <si>
    <t>//#region:Ver
 //CD:09/03/58/20:27,CB:Tof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"|303369259428" || val.length != 38)
 info.isError = true;
 }
 callbackCore(info);
 //#endregion:Etc
 //#region:EventEnd
 }
 else
 callbackCore(info);
 //#endregion:EventEnd</t>
  </si>
  <si>
    <t>//#region:Ver
 //CD:09/03/58/20:24,CB:Tof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</si>
  <si>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เติมเงิน Penquin</t>
  </si>
  <si>
    <t>//#region:Ver
 //CD:11/01/59/15:23,CB:Tof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"|303369259446" || val.length != 38)
 info.isError = true;
 }
 callbackCore(info);
 //#endregion:Etc
 //#region:EventEnd
 }
 else
 callbackCore(info);
 //#endregion:EventEnd</t>
  </si>
  <si>
    <t>//#region:Ver
 //CD:11/01/59/15:21,CB:Tof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</si>
  <si>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//CD:11/01/59/15:20,CB:Tof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</si>
  <si>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เติมเงิน Vplay GAME (เกมส์ Nostale)</t>
  </si>
  <si>
    <t>//#region:Ver
 //CD:09/07/58/18:39,CB:Tof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"|303369259423" || val.length != 38)
 info.isError = true;
 }
 callbackCore(info);
 //#endregion:Etc
 //#region:EventEnd
 }
 else
 callbackCore(info);
 //#endregion:EventEnd</t>
  </si>
  <si>
    <t>//#region:Ver
 //CD:09/07/58/18:39,CB:Tof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</si>
  <si>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เติมเงิน Vplay GAME (เกมส์ Trickster)</t>
  </si>
  <si>
    <t>//#region:Ver
 //CD:09/07/58/18:46,CB:Tof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"|303369259424" || val.length != 38)
 info.isError = true;
 }
 callbackCore(info);
 //#endregion:Etc
 //#region:EventEnd
 }
 else
 callbackCore(info);
 //#endregion:EventEnd</t>
  </si>
  <si>
    <t>//#region:Ver
 //CD:09/07/58/18:46,CB:Tof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</si>
  <si>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เติมเงินMOBILE TOP UP AIS</t>
  </si>
  <si>
    <t>//#region:Ver
 //CD:09/03/58/15:24,CB:Tof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"|303369259402" || val.length != 38)
 info.isError = true;
 }
 callbackCore(info);
 //#endregion:Etc
 //#region:EventEnd
 }
 else
 callbackCore(info);
 //#endregion:EventEnd</t>
  </si>
  <si>
    <t>//#region:Ver
 //CD:09/07/58/17:32,CB:Tof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</si>
  <si>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เติมเงินMOBILE TOP UP TOT</t>
  </si>
  <si>
    <t>//#region:Ver
 //CD:09/07/58/17:42,CB:Tof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"|303369259403" || val.length != 38)
 info.isError = true;
 }
 callbackCore(info);
 //#endregion:Etc
 //#region:EventEnd
 }
 else
 callbackCore(info);
 //#endregion:EventEnd</t>
  </si>
  <si>
    <t>//#region:Ver
 //CD:09/07/58/17:42,CB:Tof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</si>
  <si>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บัตรเงินสด (E-Cash Card PIN) TRUE</t>
  </si>
  <si>
    <t>//#region:Ver
 //CD:09/07/58/16:36,CB:Tof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"|303369259410" || val.length != 38)
 info.isError = true;
 }
 callbackCore(info);
 //#endregion:Etc
 //#region:EventEnd
 }
 else
 callbackCore(info);
 //#endregion:EventEnd</t>
  </si>
  <si>
    <t>//#region:Ver
 //CD:09/07/58/16:36,CB:Tof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</si>
  <si>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บัตรโทรศัพท์ระหว่างประเทศ(CAT phonenet)</t>
  </si>
  <si>
    <t>//#region:Ver
 //CD:09/07/58/17:27,CB:Tof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"|303369259411" || val.length != 38)
 info.isError = true;
 }
 callbackCore(info);
 //#endregion:Etc
 //#region:EventEnd
 }
 else
 callbackCore(info);
 //#endregion:EventEnd</t>
  </si>
  <si>
    <t>//#region:Ver
 //CD:09/07/58/17:27,CB:Tof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</si>
  <si>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บัตรโทรศัพท์ระหว่างประเทศ(CAT thaicard)</t>
  </si>
  <si>
    <t>//#region:Ver
 //CD:09/07/58/17:22,CB:Tof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"|303369259409" || val.length != 38)
 info.isError = true;
 }
 callbackCore(info);
 //#endregion:Etc
 //#region:EventEnd
 }
 else
 callbackCore(info);
 //#endregion:EventEnd</t>
  </si>
  <si>
    <t>//#region:Ver
 //CD:09/07/58/17:22,CB:Tof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</si>
  <si>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รหัสเติม True WiFi Prepaid</t>
  </si>
  <si>
    <t>//#region:Ver
 //CD:11/01/59/15:23,CB:Tof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"|303369259445" || val.length != 38)
 info.isError = true;
 }
 callbackCore(info);
 //#endregion:Etc
 //#region:EventEnd
 }
 else
 callbackCore(info);
 //#endregion:EventEnd</t>
  </si>
  <si>
    <t>รหัสเติมเงิน Bolo Calling Card</t>
  </si>
  <si>
    <t>//#region:Ver
 //CD:11/01/59/15:23,CB:Tof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"|303369259444" || val.length != 38)
 info.isError = true;
 }
 callbackCore(info);
 //#endregion:Etc
 //#region:EventEnd
 }
 else
 callbackCore(info);
 //#endregion:EventEnd</t>
  </si>
  <si>
    <t>รหัสเติมเงิน Internet WiFi(3BBWiFi)</t>
  </si>
  <si>
    <t>//#region:Ver
 //CD:09/07/58/17:52,CB:Tof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"|303369259434" || val.length != 38)
 info.isError = true;
 }
 callbackCore(info);
 //#endregion:Etc
 //#region:EventEnd
 }
 else
 callbackCore(info);
 //#endregion:EventEnd</t>
  </si>
  <si>
    <t>//#region:Ver
 //CD:09/07/58/17:51,CB:Tof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</si>
  <si>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รหัสเติมเงิน Line Prepaid</t>
  </si>
  <si>
    <t>//#region:Ver
 //CD:11/01/59/15:22,CB:Tof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"|303369259443" || val.length != 38)
 info.isError = true;
 }
 callbackCore(info);
 //#endregion:Etc
 //#region:EventEnd
 }
 else
 callbackCore(info);
 //#endregion:EventEnd</t>
  </si>
  <si>
    <t>//#region:Ver
 //CD:11/01/59/15:22,CB:Tof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</si>
  <si>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//CD:11/01/59/15:19,CB:Tof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</si>
  <si>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รหัสเติมเงิน MY (CAT CDMA)</t>
  </si>
  <si>
    <t>//#region:Ver
 //CD:06/05/58/15:35,CB:jirapat
 //ED:07/29/15/13:28,EB:Art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"|303369259441" || val.length != 38)
 info.isError = true;
 }
 callbackCore(info);
 //#endregion:Etc
 //#region:EventEnd
 }
 else
 callbackCore(info);
 //#endregion:EventEnd</t>
  </si>
  <si>
    <t>//#region:Ver
 //CD:09/03/58/19:17,CB:Tof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</si>
  <si>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//CD:04/16/58/10:00,CB:Tof
 //ED:07/29/15/13:27,EB:Art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</si>
  <si>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รหัสเติมเงินhappyPAYSBUYCash(HappyTopup)</t>
  </si>
  <si>
    <t>//#region:Ver
 //CD:06/05/58/15:44,CB:jirapat
 //ED:07/29/15/13:31,EB:Art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"|303369259442" || val.length != 38)
 info.isError = true;
 }
 callbackCore(info);
 //#endregion:Etc
 //#region:EventEnd
 }
 else
 callbackCore(info);
 //#endregion:EventEnd</t>
  </si>
  <si>
    <t>//#region:Ver
 //CD:09/03/58/19:01,CB:Tof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</si>
  <si>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//CD:04/16/58/10:00,CB:Tof
 //ED:07/29/15/13:31,EB:Art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</si>
  <si>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รหัสเติมเงินTune Talk (i-Kool 3G DATA)</t>
  </si>
  <si>
    <t>//#region:Ver
 //CD:06/05/58/15:28,CB:jirapat
 //ED:07/29/15/13:25,EB:Art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"|303369259440" || val.length != 38)
 info.isError = true;
 }
 callbackCore(info);
 //#endregion:Etc
 //#region:EventEnd
 }
 else
 callbackCore(info);
 //#endregion:EventEnd</t>
  </si>
  <si>
    <t>//#region:Ver
 //CD:09/03/58/19:31,CB:Tof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</si>
  <si>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//#region:Ver
 //CD:04/16/58/10:00,CB:Tof
 //ED:07/29/15/13:23,EB:Art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50000,Operator: "&lt;="}
 ,1:{Value: 0,Operator: "=="}
 }
 ,Operations: "OR"
 }
 var ValReturn = this.executeFunc("VerifyField",Params);
 if(ValReturn==false)
 info.isError = true;
 }
 callbackCore(info);
 //#endregion:Etc
 //#region:EventEnd
 }
 else
 callbackCore(info);
 //#endregion:EventEnd</t>
  </si>
  <si>
    <t>รหัสเติมเงินเกม online (DCARD)</t>
  </si>
  <si>
    <t>//#region:Ver
 //CD:09/07/58/17:04,CB:Tof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"|303369259426" || val.length != 38)
 info.isError = true;
 }
 callbackCore(info);
 //#endregion:Etc
 //#region:EventEnd
 }
 else
 callbackCore(info);
 //#endregion:EventEnd</t>
  </si>
  <si>
    <t>//#region:Ver
 //CD:09/07/58/17:02,CB:Tof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</si>
  <si>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รหัสเติมเงินเกม online CookieCard</t>
  </si>
  <si>
    <t>//#region:Ver
 //CD:09/07/58/12:45,CB:Tof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"|303369259430" || val.length != 38)
 info.isError = true;
 }
 callbackCore(info);
 //#endregion:Etc
 //#region:EventEnd
 }
 else
 callbackCore(info);
 //#endregion:EventEnd</t>
  </si>
  <si>
    <t>//#region:Ver
 //CD:09/07/58/12:46,CB:Tof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</si>
  <si>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รหัสโทรศัพท์ระหว่างประเทศ ThookDee</t>
  </si>
  <si>
    <t>//#region:Ver
 //CD:09/07/58/16:55,CB:Tof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field.getValue().replace(/ /g,"");
 if(val.substr(0,13) != "|303369259415" || val.length != 38)
 info.isError = true;
 }
 callbackCore(info);
 //#endregion:Etc
 //#region:EventEnd
 }
 else
 callbackCore(info);
 //#endregion:EventEnd</t>
  </si>
  <si>
    <t>//#region:Ver
 //CD:09/07/58/16:55,CB:Tof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var val = field.getValue();
 var params = {Sql: "SELECT * FROM M_SERVICE_DATA WHERE VALUE_CODE LIKE '"+val+"'"}
 var CallbackCallSql = function(result,_this){
 if([2,3].indexOf(eName) == -1 &amp;&amp; info.isValid){
 if(result.success){
 var data = result.output.getData().Data;
 var Product;
 if(data.length &gt; 0)
 Product = data[0].VALUE_NAME;
 }
 field.setValue(Product);
 }
 callbackCore(info);
 }
 this.executeFunc("CallSqlServP",params,CallbackCallSql);
 //#endregion:Etc
 //#region:EventEnd
 }
 else
 callbackCore(info);
 //#endregion:EventEnd</t>
  </si>
  <si>
    <t>มหาวิทยาลัยราชภัฏลำปาง</t>
  </si>
  <si>
    <t>ชำระค่าลงทะเบียน ม.ราชภัฏลำปาง</t>
  </si>
  <si>
    <t>//#region:Ver
 //CD:05/18/15/14:01,CB:wisut
 //ED:05/28/58/12:05,EB:jirapat
 //ED:10/22/58/17:58,EB:Tof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</si>
  <si>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//ED:04/22/58/15:37,EB:jirapat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(!ValLang)
 info.VerifyCode = "-10";
 if (!ValLen)
 info.VerifyCode = "-90";
 if (ValChar)
 info.VerifyCode = "-50";
 if(!ValLang || !ValLen || ValChar)
 info.isError = true;
 }
 callbackCore(info);
 //#endregion:Etc
 //#region:EventEnd
 }
 else
 callbackCore(info);
 //#endregion:EventEnd</t>
  </si>
  <si>
    <t>//#region:Ver
 //CD:05/15/58/15:44,CB:jirapat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11,Operator: "=="}
 }
 ,Operations: "AND"
 }
 var ValLen = this.executeFunc("VerifyFieldLength",Len);
 var Params = {
 Condition: {Language: "NUM"}//TH,EN,NUM,THEN,THNUM,ENNUM
 ,Operations: "AND"
 }
 var ValReturn = this.executeFunc("VerifyFieldLanguage",Params);
 if(!ValReturn)
 info.VerifyCode = "-320";
  if(!ValLen)
  info.VerifyCode = "-430";
 if(!ValReturn || !ValLen)
 info.isError = true;
 }
 callbackCore(info);
 //#endregion:Etc
 //#region:EventEnd
 }
 else
 callbackCore(info);
 //#endregion:EventEnd</t>
  </si>
  <si>
    <t>REF 2 NO. ใบรับการลงทะเบียน</t>
  </si>
  <si>
    <t>//#region:Ver
 //CD:10-20-15-10:55,CB:sompan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if([2,3].indexOf(eName) == -1)
 _this.executeControl("D_TEXT_02",{datas:{eventName:"enter",isExec:true}},function(){callbackCore(info);});
 else
 callbackCore(info);
 //#endregion:Etc
 //#region:EventEnd
 }
 else
 callbackCore(info);
 //#endregion:EventEnd</t>
  </si>
  <si>
    <t>//#region:Ver
 //CD:03/03/59/17:18,CB:Tof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yearField = _this.getField("D_INT_12"); 
 var val  = "0/0";
 if(!_.isNull(yearField)){
 if(yearField.getValue() != "-1")
 val = yearField.getComponent().getField().find(":selected").html();
 }
 field.setValue(val);
 }
 callbackCore (info);
 //#endregion:Etc
 //#region:EventEnd
 }
 else
 callbackCore(info);
 //#endregion:EventEnd</t>
  </si>
  <si>
    <t>//#region:Ver
 //CD:04/16/58/10:00,CB:Tof
 //ED:05/15/58/15:43,EB:jirapat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</si>
  <si>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มหาวิทยาลัยราชภัฏอุบลฯ</t>
  </si>
  <si>
    <t>ชำระค่าลงทะเบียน ม.ราชภัฏอุบลฯ</t>
  </si>
  <si>
    <t>//#region:Ver
 //CD:05/18/15/14:06,CB:wisut
 //ED:05/28/58/12:06,EB:jirapat
 //ED:10/22/58/17:57,EB:Tof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</si>
  <si>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//ED:04/22/58/15:39,EB:jirapat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(!ValLang)
 info.VerifyCode = "-10";
 if (!ValLen)
 info.VerifyCode = "-90";
 if (ValChar)
 info.VerifyCode = "-50";
 if(!ValLang || !ValLen || ValChar)
 info.isError = true;
 }
 callbackCore(info);
 //#endregion:Etc
 //#region:EventEnd
 }
 else
 callbackCore(info);
 //#endregion:EventEnd</t>
  </si>
  <si>
    <t>//#region:Ver
 //CD:05/15/58/15:50,CB:jirapat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11,Operator: "=="}
 }
 ,Operations: "AND"
 }
 var ValLen = this.executeFunc("VerifyFieldLength",Len);
 var Params = {
 Condition: {Language: "NUM"}//TH,EN,NUM,THEN,THNUM,ENNUM
 ,Operations: "AND"
 }
 var ValReturn = this.executeFunc("VerifyFieldLanguage",Params);
 if(!ValReturn)
 info.VerifyCode = "-320";
  if(!ValLen)
  info.VerifyCode = "-430";
 if(!ValReturn || !ValLen)
 info.isError = true;
 }
 callbackCore(info);
 //#endregion:Etc
 //#region:EventEnd
 }
 else
 callbackCore(info);
 //#endregion:EventEnd</t>
  </si>
  <si>
    <t>//#region:Ver
 //CD:10-20-15-10:58,CB:sompan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if([2,3].indexOf(eName) == -1)
 _this.executeControl("D_TEXT_02",{datas:{eventName:"enter",isExec:true}},function(){callbackCore(info);});
 else
 callbackCore(info);
 //#endregion:Etc
 //#region:EventEnd
 }
 else
 callbackCore(info);
 //#endregion:EventEnd</t>
  </si>
  <si>
    <t>//#region:Ver
 //CD:03/03/59/17:24,CB:Tof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yearField = _this.getField("D_INT_10"); 
 var val  = "0/0";
 if(!_.isNull(yearField)){
 if(yearField.getValue() != "-1")
 val = yearField.getComponent().getField().find(":selected").html();
 }
 field.setValue(val);
 }
 callbackCore (info);
 //#endregion:Etc
 //#region:EventEnd
 }
 else
 callbackCore(info);
 //#endregion:EventEnd</t>
  </si>
  <si>
    <t>//#region:Ver
 //CD:04/16/58/10:00,CB:Tof
 //ED:05/15/58/15:51,EB:jirapat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</si>
  <si>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มหาวิทยาลัยเทคโนโลยีฯลำปาง</t>
  </si>
  <si>
    <t>ชำระค่าลงทะเบียน ม.เทคฯลำปาง</t>
  </si>
  <si>
    <t>//#region:Ver
 //CD:05/18/15/13:25,CB:wisut
 //ED:05/28/58/12:06,EB:jirapat
 //ED:10/22/58/17:55,EB:Tof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</si>
  <si>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//ED:04/22/58/15:42,EB:jirapat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(!ValLang)
 info.VerifyCode = "-10";
 if (!ValLen)
 info.VerifyCode = "-90";
 if (ValChar)
 info.VerifyCode = "-50";
 if(!ValLang || !ValLen || ValChar)
 info.isError = true;
 }
 callbackCore(info);
 //#endregion:Etc
 //#region:EventEnd
 }
 else
 callbackCore(info);
 //#endregion:EventEnd</t>
  </si>
  <si>
    <t>//#region:Ver
 //CD:05/15/58/15:00,CB:jirapat
 //ED:10-22-15-16:27,EB:sompan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13,Operator: "=="}
 }
 ,Operations: "AND"
 }
 var ValLen = this.executeFunc("VerifyFieldLength",Len);
 var val = field.getValue();
 var valOk = /[^0-9\-_]/.exec(val);
 var ValReturn = (!_.isNull(valOk) &amp;&amp; !_.isUndefined(valOk)) ? false : true;
 if(!ValReturn)
 info.VrifyCode = "-320";
 if(!ValLen)
 info.VrifyCode = "-450";
 if(!ValReturn || !ValLen)
 info.isError = true;
 }
 callbackCore(info);
 //#endregion:Etc
 //#region:EventEnd
 }
 else
 callbackCore(info);
 //#endregion:EventEnd</t>
  </si>
  <si>
    <t>//#region:Ver
 //CD:03-03-16-17:59,CB:sompan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</si>
  <si>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//CD:10-20-15-11:01,CB:sompan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if([2,3].indexOf(eName) == -1)
 _this.executeControl("D_TEXT_02",{datas:{eventName:"enter",isExec:true}},function(){callbackCore(info);});
 else
 callbackCore(info);
 //#endregion:Etc
 //#region:EventEnd
 }
 else
 callbackCore(info);
 //#endregion:EventEnd</t>
  </si>
  <si>
    <t>//#region:Ver
 //CD:03/03/59/17:41,CB:Tof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if(info.isExec){
 var yearField = _this.getField("D_INT_12"); 
 var val  = "0/0";
 if(!_.isNull(yearField)){
 if(yearField.getValue() != "-1")
 val = yearField.getComponent().getField().find(":selected").html();
 }
 field.setValue(val);
 }
 callbackCore (info);
 //#endregion:Etc
 //#region:EventEnd
 }
 else
 callbackCore(info);
 //#endregion:EventEnd</t>
  </si>
  <si>
    <t>มหาวิทยาลัยนครพนม</t>
  </si>
  <si>
    <t>ชำระค่าลงทะเบียนเรียน ม.นครพนม</t>
  </si>
  <si>
    <t>//#region:Ver
 //CD:04/22/58/15:44,CB:jirapat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"|403015736700",Operator: "!=",Start: 0,Num: 13}
 }
 ,Operations: "AND"
 }
 var ValReturn = this.executeFunc("VerifyFieldSubStr",Params);
 if(ValReturn==true)
 info.isError = true;
 }
 callbackCore(info);
 //#endregion:Etc
 //#region:EventEnd
 }
 else
 callbackCore(info);
 //#endregion:EventEnd</t>
  </si>
  <si>
    <t>//#region:Ver
 //CD:10/13/58/10:54,CB:Tof
 //ED:10/22/58/17:54,EB:Tof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eName !=1){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</si>
  <si>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//CD:10-20-15-11:48,CB:sompan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if([1,2,3,8].indexOf(eName) != -1 || eName == 5){
 //#endregion:LoadData
 //#region:Etc
 if(info.isValid &amp;&amp;[1,2,3].indexOf(eName) !=1){console.log('jjjjjjjjjjjjjjj');
 var val = field.getValue(); 
 var params = {Sql: "SELECT * FROM M_SERVICE_DATA WHERE SERV_DATA_ID = "+val};
 var CallbackCallSql = function(result){
 if(result.success){
 var data  = result.output.getData().Data;
 var code  = "";
 var id = "";
 var codeField = _this.getField("D_TEXT_04");
 var idField = _this.getField("D_INT_01_CBV");
 if(data.length&gt;0){
 code = (_.isNull(data[0].VALUE_NAME)) ? code:data[0].VALUE_NAME;
 id = (_.isNull(data[0].VALUE_ID)) ? id:data[0].VALUE_ID;
 }
 if(!_.isNull(codeField))
 codeField.setValue(code);
 if(!_.isNull(idField))
 idField.setValue(id);
 }
 callbackCore(info);
 }
 _this.executeFunc("CallSqlServP",params,CallbackCallSql);
 }
 else 
 callbackCore(info)
 //#endregion:Etc
 //#region:EventEnd
 }
 else
 callbackCore(info);
 //#endregion:EventEnd</t>
  </si>
  <si>
    <t>//#region:Ver
 //CD:04/16/58/10:00,CB:Tof
 //ED:04/22/58/15:44,EB:jirapat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</si>
  <si>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50000,Operator: "&gt;",ErrorCode: "-870"}]
 ,Operations: "OR"
 };
 var ValReturn = this.executeFunc("SPVerifyField",Params);
 if(!ValReturn.success || (ValReturn.success &amp;&amp; ValReturn.output) ){
 // info.isError = true;
 info.VerifyCode = ValReturn.ErrorCode;
 }
 }
 callbackCore(info);
 //#endregion:Etc
 //#region:EventEnd
 }
 else
 callbackCore(info);
 //#endregion:EventEnd</t>
  </si>
  <si>
    <t>บริษัทซิตี้คอร์ปลิสซิ่ง(ประเทศไทย)จำกัด</t>
  </si>
  <si>
    <t>ซิตี้ แอดวานซ์(Citi Advance) มีบาร์ กทม.</t>
  </si>
  <si>
    <t>//#region:Ver
 //CD:11/28/16/11:26,CB:Tof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fieldRef = _this.getField("D_TEXT_02");
 var ref;
 console.log(val);
 if(val.substr(1,15) == "010552803319404")
 ref = val.substr(16,val.length-17);
 else if(val.substr(1,12) == "310136354804")
 ref = val.substr(13,val.length-14);
 else if ([11,14].indexOf(val.length) != -1)
 ref = val;
 else
 info.isError = true;
 if(!info.isError &amp;&amp; [2,3].indexOf(eName) == -1){
 if([11,14].indexOf(ref.length) == -1)
 ref = ref.substr(0,ref.length - 1);
 if(!_.isNull(fieldRef))
 fieldRef.setValue(ref);
 }
 }
 callbackCore(info);
 //#endregion:Etc
 //#region:EventEnd
 }
 else
 callbackCore(info);
 //#endregion:EventEnd</t>
  </si>
  <si>
    <t>//#region:Ver
 //CD:18/12/60/10:00,CB:Tof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if(eName != 1){
  var Params = {
  Condition:[{Value: 1,Operator: "&lt;",ErrorCode: "-770"},{Value: 50000,Operator: "&gt;",ErrorCode: "-870"}]
  ,Operations: "OR"
  };
  var ValReturn = _this.executeFunc("SPVerifyField",Params);
  if(!ValReturn.success || (ValReturn.success &amp;&amp; (ValReturn.output)) ){
  info.isError = true;
  info.VerifyCode = ValReturn.ErrorCode;
  }
  if(!info.isError){
  _this.executeFunc("ChkLocalAmt",{Value:[_this.getField("D_TEXT_02").getValue()],FieldChk:["D_TEXT_02"],Amt:100000,AmtPay:field.getValue()}
  ,function(result){
  if(result.output.isError){
  info.isError = true;
  info.Msg = result.output.Msg;
  }
  callbackCore(info);
  });
  }
  else
  callbackCore(info);
  }
  else{
  var focusField = _this.getField("D_MONEY_01");
  info.VerifyCode = "-5100";
  info.isAlert = false;
  info.eventName = "end";
  info.ctrlDatas =[{
  FD_NAME:focusField.get("FD_NAME")
  ,FD_TYPE:focusField.get("FD_TYPE")
  ,IS_READONLY:focusField.get("IS_READONLY")}];
  callbackCore(info);
  }
 }
 else
  callbackCore(info);
 //#endregion:Etc
 //#region:EventEnd
 }
 else
  callbackCore(info);
 //#endregion:EventEnd</t>
  </si>
  <si>
    <t>MerchantID</t>
  </si>
  <si>
    <t>TerminalID</t>
  </si>
  <si>
    <t>Reference2</t>
  </si>
  <si>
    <t>TranCode</t>
  </si>
  <si>
    <t>PayTxNo</t>
  </si>
  <si>
    <t>TranDateTime</t>
  </si>
  <si>
    <t>ซิตี้แอดวานซ์(Citi Advance)ไม่มีบาร์ กทม</t>
  </si>
  <si>
    <t>//#region:Ver
 //CD:05/08/58/16:22,CB:jirapat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{Condition: {0:{Value: 11,Operator: "=="},1:{Value: 14,Operator: "=="}},Operations: "OR"}
 var ValLen = _this.executeFunc("VerifyFieldLength",Len);
 var Params = {Condition: {Language: "NUM"},Operations: "AND"}
 var ValReturn = _this.executeFunc("VerifyFieldLanguage",Params);
 if(!ValReturn)
 info.VerifyCode = "-320";
 if(!ValReturn || !ValLen)
 info.isError = true;
 }
 callbackCore(info);
 //#endregion:Etc
 //#region:EventEnd
 }
 else
 callbackCore(info);
 //#endregion:EventEnd</t>
  </si>
  <si>
    <t>//#region:Ver
 //CD:04/16/58/10:00,CB:Tof
 //ED:05/08/58/16:24,EB:jirapat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if(!info.isError){
  _this.executeFunc("ChkLocalAmt",{Value:[_this.getField("D_TEXT_02").getValue()],FieldChk:["D_TEXT_02"],Amt:100000,AmtPay:field.getValue()}
  ,function(result){
  if(result.output.isError){
  info.isError = true;
  info.Msg = result.output.Msg;
  }
  callbackCore(info);
  });
  }
  else
  callbackCore(info);
 }
 else
  callbackCore(info);
 //#endregion:Etc
 //#region:EventEnd
 }
 else
  callbackCore(info);
 //#endregion:EventEnd</t>
  </si>
  <si>
    <t>ม. แม่ฟ้าหลวง สมัครสอบ-ยืนยันสิทธิ์</t>
  </si>
  <si>
    <t>รับสมัครสอบและยืนยันสิทธิ์ ม.แม่ฟ้าหลวง</t>
  </si>
  <si>
    <t>//#region:Ver
 //CD:05/18/15/11:58,CB:wisut
 //ED:05/28/58/12:08,EB:jirapat
 //ED:07/27/15/16:02,EB:Art
 //ED:10/22/58/17:43,EB:Tof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</si>
  <si>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//ED:04/22/58/16:56,EB:jirapat
 //ED:07/27/15/16:04,EB:Art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</si>
  <si>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//CD:10/07/58/17:16,CB:Tof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13,Operator: "=="}
 }
 ,Operations: "AND"
 }
 var ParamsLanguage = {
 Condition: {Language: "NUM"}//TH,EN,NUM,THEN,THNUM,ENNUM
 ,Operations: "AND"
 }
 var ValReturnLanguage = this.executeFunc("VerifyFieldLanguage",ParamsLanguage);
 var ValReturn  = this.executeFunc("VerifyFieldLength",Params);
 if(!ValReturn){
 info.isError = true;
 info.VerifyCode = "-450";
 }
 if(!ValReturnLanguage){
 info.isError = true;
 info.VerifyCode = "-320";
 }
 }
 callbackCore(info);
 //#endregion:Etc
 //#region:EventEnd
 }
 else
 callbackCore(info);
 //#endregion:EventEnd</t>
  </si>
  <si>
    <t>//#region:Ver
 //CD:04/17/58/10:42,CB:Tof
 //ED:04/22/58/16:56,EB:jirapat
 //ED:07/27/15/16:05,EB:Art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ParamsLanguage = {
 Condition: {Language: "NUM"}//TH,EN,NUM,THEN,THNUM,ENNUM
 ,Operations: "AND"
 }
 var ValReturnLanguage = this.executeFunc("VerifyFieldLanguage",ParamsLanguage);
 if(!ValReturnLanguage){
 info.isError = true;
 info.VerifyCode = "-320";
 }
 }
 callbackCore(info);
 //#endregion:Etc
 //#region:EventEnd
 }
 else
 callbackCore(info);
 //#endregion:EventEnd</t>
  </si>
  <si>
    <t>//#region:Ver
 //CD:04/16/58/10:00,CB:Tof
 //ED:07/27/15/16:05,EB:Art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0.01,Operator: "&lt;",ErrorCode: "-771"}/*,{Value: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</si>
  <si>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มหาวิทยาลัยบูรพา</t>
  </si>
  <si>
    <t>รับสมัครสอบและยืนยันสิทธิ์ ม.บูรพา</t>
  </si>
  <si>
    <t>//#region:Ver
 //CD:05/15/58/15:29,CB:jirapat
 //ED:07/27/15/16:17,EB:Art
 //ED:10/11/60/13:35,EB:Tof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len = val.length;
  var idCardField = _this.getField("D_TEXT_05");
  var refNoField = _this.getField("D_TEXT_06");
  var amtField = _this.getField("D_MONEY_01");
  var idCard,refNo,amt = 0;
  if(val.substr(0,13) == "|420100392103" &amp;&amp; (len &gt;= 39)){
  amt = parseFloat(val.substr(len - 5)) * 0.01;
  refNo = val.substr(26,len - (26 + 5));
  idCard = val.substr(13,13);
  if(!_.isNull(idCardField))
  idCardField.setValue(idCard);
  if(!_.isNull(refNoField))
  refNoField.setValue(refNo);
  if(!_.isNull(amtField))
  amtField.setValue(amt);
  }
  else 
  info.isError = true;
 }
 callbackCore(info);
 //#endregion:Etc
 //#region:EventEnd
 }
 else
  callbackCore(info);
 //#endregion:EventEnd</t>
  </si>
  <si>
    <t>//#region:Ver
 //CD:03/01/59/16:03,CB:Tof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eName !=1){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</si>
  <si>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//ED:05/15/58/15:30,EB:jirapat
 //ED:07/27/15/16:18,EB:Art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</si>
  <si>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//CD:04/17/58/10:42,CB:Tof
 //ED:04/22/58/17:00,EB:jirapat
 //ED:07/27/15/16:18,EB:Art
 //ED:09-25-15-13:31,EB:sompan
 //ED:09-25-15-13:36,EB:sompan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13,Operator: "=="}
 }
 ,Operations: "AND"
 }
 var ValReturn = this.executeFunc("VerifyFieldLength",Params);
 var Params1 = {
 Condition: {Language: "NUM"}
 ,Operations: "AND"
 }
 var output = this.executeFunc("VerifyFieldLanguage",Params1);
 if(!ValReturn)
 info.VerifyCode = "-450";
 if(!output)
 info.VerifyCode = "-320";
 if(ValReturn==false || output == false)
 info.isError = true;
 }
 callbackCore(info);
 //#endregion:Etc
 //#region:EventEnd
 }
 else
 callbackCore(info);
 //#endregion:EventEnd</t>
  </si>
  <si>
    <t>//#region:Ver
 //CD:04/09/58/13:37,CB:jirapat
 //ED:07/27/15/16:18,EB:Art
 //ED:11-04-15-10:08,EB:sompan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paramsLang = {
 Condition: {Language: "NUM"}
 ,Operations: "AND"
 }
 var outputLang = this.executeFunc("VerifyFieldLanguage",paramsLang);
 /*var paramsLength = {
 Condition: { 
 0:{Value: 7,Operator: "=="}
 ,1:{Value: 8,Operator: "=="}
 }
 ,Operations: "OR"
 }
 var outputLength = this.executeFunc("VerifyFieldLength",paramsLength);*/
 var Params = {
 Condition:[{Value: 7,Operator: "&lt;",ErrorCode: "-390"},/*{Value: 8,Operator: "&gt;",ErrorCode: "-400"}*/]
 ,Operations: "OR"
 };
 var ValReturn = this.executeFunc("SPVerifyField",Params);
 if(!outputLang)
 info.VerifyCode = "-320";
 if(!ValReturn.success || (ValReturn.success &amp;&amp; ValReturn.output) ){
 info.isError = true;
 info.VerifyCode = ValReturn.ErrorCode;
 }
 }
 callbackCore(info);
 //#endregion:Etc
 //#region:EventEnd
 }
 else
 callbackCore(info);
 //#endregion:EventEnd</t>
  </si>
  <si>
    <t>บริษัท เอส.บี.แอล.ลิสซิ่ง จำกัด</t>
  </si>
  <si>
    <t>ค่างวดรถจักรยานยนต์ สยามบ้านซู ลิสซิ่ง</t>
  </si>
  <si>
    <t>//#region:Ver
 //CD:05/07/58/14:41,CB:jirapat
 //ED:07/15/59/17:18,EB:Tof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Params1,ValReturn1;
 Params1 = {
 Condition: { 
  0:{Value: "|303082410300",Operator: "!=",Start: 0,Num: 13}
  ,1:{Value: "|090554600045900",Operator: "!=",Start: 0,Num: 16}
 }
 ,Operations: "AND"
 }
 ValReturn1 = this.executeFunc("VerifyFieldSubStr",Params1);
 if(ValReturn1==true)
 info.isError = true;
 if(!info.isError){
 var fieldset = _this.getField("D_TEXT_04");
 if(val.substr(0,16) == "|090554600045900" &amp;&amp; !_.isNull(fieldset) &amp;&amp; [2,3].indexOf(eName) == -1)
 fieldset.setValue(0);
 }
 }
 callbackCore(info);
 //#endregion:Etc
 //#region:EventEnd
 }
 else
 callbackCore(info);
 //#endregion:EventEnd</t>
  </si>
  <si>
    <t>//#region:Ver
 //CD:04/16/58/10:00,CB:Tof
 //ED:07/15/59/17:18,EB:Tof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</si>
  <si>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บ.ยันมาร์แคปปิตอลไทยแลนด์จำกัด</t>
  </si>
  <si>
    <t>ชำระค่าสินค้า ยันมาร์แคปปิตอล</t>
  </si>
  <si>
    <t>//#region:Ver
 //CD:04/25/61/18:00,CB:Tof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"0115552007416",Operator: "==",Start: 0,Num: 13}
 ,1:{Value: "3033574760",Operator: "==",Start: 0,Num: 10}
 ,2:{Value: "|011555200741601",Operator: "==",Start: 0,Num: 16}
 ,3:{Value: "|3033574760",Operator: "==",Start: 0,Num: 11}
 }
 ,Operations: "OR"
 }
 var ValReturn = _this.executeFunc("VerifyFieldSubStr",Params);
 var output = _this.executeFunc("YanmarCapitalChkdigit",{Data:field.getValue()});
 if(!ValReturn || !output.success || (output.success &amp;&amp; !output.output))
 info.isError = true;
 if([1,8].indexOf(eName) != -1){
 var val  = field.getValue();
 var len  = val.length;
 var cusField = _this.getField("D_TEXT_04");
 var billField = _this.getField("D_TEXT_05");
 var cus,bill;
 if(len == 43){
 cus = val.substr(16,15);
 bill = val.substr(31,11);
 }
 else{
 cus = val.substr(16,16);
 bill = val.substr(32,11);
 }
 if(!_.isNull(cusField))
 cusField.setValue(cus);
 if(!_.isNull(billField))
 billField.setValue(bill);
 }
 }
 callbackCore(info);
 //#endregion:Etc
 //#region:EventEnd
 }
 else
 callbackCore(info);
 //#endregion:EventEnd</t>
  </si>
  <si>
    <t>//#region:Ver
 //CD:08/27/58/14:07,CB:Tof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</si>
  <si>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//CD:06/10/58/18:10,CB:Minny
 //ED:07/27/15/14:54,EB:Art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{Language: "NUM"}//TH,EN,NUM,THEN,THNUM,ENNUM
 ,Operations: "AND"
 }
 var ValReturn = this.executeFunc("VerifyFieldLanguage",Params);
 if(!ValReturn)
 info.isError = true;
 field.setLock(true);
 }
 callbackCore(info);
 //#endregion:Etc
 //#region:EventEnd
 }
 else
 callbackCore(info);
 //#endregion:EventEnd</t>
  </si>
  <si>
    <t>//#region:Ver
 //CD:06/29/58/15:02,CB:jirapat
 //ED:07/27/15/14:55,EB:Art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Length = field.getValue().length; 
  var Params = {
  Condition: { 
  0:{Value: 5,Operator: "!=",Start: 3,Num: 1}
  ,1:{Value: 6,Operator: "!=",Start: 3,Num: 1}
  }
  ,Operations: "AND"
  }
  if(Length!=11){
  Params.Condition={
  0:{Value: "IC",Operator: "!=",Start: 0,Num: 2}
  ,1:{Value: "IP",Operator: "!=",Start: 0,Num: 2}
  ,2:{Value: "IS",Operator: "!=",Start: 0,Num: 2}
  ,3:{Value: "TV",Operator: "!=",Start: 0,Num: 2}
  ,4:{Value: "ic",Operator: "!=",Start: 0,Num: 2}
  ,5:{Value: "ip",Operator: "!=",Start: 0,Num: 2}
  ,6:{Value: "is",Operator: "!=",Start: 0,Num: 2}
  ,7:{Value: "iv",Operator: "!=",Start: 0,Num: 2}
  ,8:{Value: "YCT",Operator: "!=",Start: 0,Num: 3}
  ,9:{Value: "yct",Operator: "!=",Start: 0,Num: 3}
  ,10:{Value: "app",Operator: "!=",Start: 0,Num: 3}
  ,11:{Value: "APP",Operator: "!=",Start: 0,Num: 3}
  ,12:{Value: "YAMT",Operator: "!=",Start: 0,Num: 4}
  ,13:{Value: "yamt",Operator: "!=",Start: 0,Num: 4}
  ,14:{Value: 5,Operator: "!=",Start: 3,Num: 1}
  ,15:{Value: 6,Operator: "!=",Start: 3,Num: 1}
  }
  }
  var ValReturn = this.executeFunc("VerifyFieldSubStr",Params);
  if(ValReturn)
  info.isError = true;
  field.setLock(true);
 }
 callbackCore(info);
 //#endregion:Etc
 //#region:EventEnd
 }
 else
  callbackCore(info);
 //#endregion:EventEnd</t>
  </si>
  <si>
    <t>//#region:Ver
 //CD:04/16/58/10:00,CB:Tof
 //ED:05/18/58/16:44,EB:jirapat
 //ED:07/27/15/14:55,EB:Art
 //ED:07/15/59/17:37,EB:Tof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</si>
  <si>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VFS (THAILAND) Ltd.</t>
  </si>
  <si>
    <t>ชำระค่าขอวีซ่าสถานฑูตญี่ปุ่น(VFS)</t>
  </si>
  <si>
    <t>หมายเลขแบบฟอร์มใบรับฝาก</t>
  </si>
  <si>
    <t>//#region:Ver
 //CD:11/10/58/13:43,CB:Tof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6,Operator: "=="}
 }
 ,Operations: "AND"
 }
 var ValLen = this.executeFunc("VerifyFieldLength",Len);
 if(!ValLen){
 info.isError = true;
 info.VerifyCode = "-380";
 }
 }
 callbackCore(info);
 //#endregion:Etc
 //#region:EventEnd
 }
 else
 callbackCore(info);
 //#endregion:EventEnd</t>
  </si>
  <si>
    <t>//#region:Ver
 //CD:11/10/58/13:56,CB:Tof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val = field.getValue();
 var valOK = /[^ A-Za-z.0-9\-]/.exec(val);
 var ParamsLang = {Condition: {Language: "EN|NUM"},Operations: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(!_.isNull(valOK) &amp;&amp; !_.isUndefined(valOK))
 info.VerifyCode = "-40";
 if (!ValLen)
 info.VerifyCode = "-90";
 if (ValChar)
 info.VerifyCode = "-50";
 if((!_.isNull(valOK) &amp;&amp; !_.isUndefined(valOK)) || !ValLen || ValChar)
 info.isError = true;
 }
 callbackCore(info);
 //#endregion:Etc
 //#region:EventEnd
 }
 else
 callbackCore(info);
 //#endregion:EventEnd</t>
  </si>
  <si>
    <t>Type ค่าธรรมเนียมพิมพ์ตัวเลข 1-8</t>
  </si>
  <si>
    <t>//#region:Ver
 //ED:01/30/61/17:16,EB:Tof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amt = 0;
 var amtField = _this.getField("D_MONEY_01");
 var amtField2 = _this.getField("D_MONEY_02");
 var rate = 1;
 var rate = 2; //edit
 switch(val){
 case "1": 
 if(rate == 1) amt = 920;
 else if(rate==2) amt = 870;//edit
 else amt = 960;
 break;
 case "2": 
 if(rate == 1) amt = 1840;
 else if(rate==2) amt = 1740;//edit
 else amt = 1920;
 break;
 case "3": amt = 1820;
 break;
 case "4": amt = 3640;
 break;
 case "5": 
 if(rate == 1) amt = 260;
 else amt = 300;
 break;
 case "6": 
 if(rate == 1) amt = 210;
 else if(rate==2) amt = 200;//edit
 else amt = 220;
 break;
 case "7": 
 if(rate == 1) amt = 20;
 else amt = 20;
 break;
 case "8": amt = 0;
 break;
  default: info.isError = true;
  break;
  }
  if(!info.isError &amp;&amp; [1,2,3].indexOf(eName) == -1){
  if(!_.isNull(amtField2))
  amtField2.setValue(amt);
  if(!_.isNull(amtField))
  //amtField.setValue(amt + 595);
  //amtField.setValue(amt + 655);
  amtField.setValue(amt + 1095);
  }
 }
 callbackCore(info);
 //#endregion:Etc
 //#region:EventEnd
 }
 else
  callbackCore(info);
 //#endregion:EventEnd</t>
  </si>
  <si>
    <t>ค่าธรรมเนียมขอวีซ่า</t>
  </si>
  <si>
    <t>จำนวนเงินรวมค่าบริการ VFS (1095)</t>
  </si>
  <si>
    <t>//#region:Ver
 //CD:11/12/58/13:23,CB:Tof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</si>
  <si>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ชำระเพิ่มเติมค่าขอวีซ่าสถานฑูตญี่ปุ่นVFS</t>
  </si>
  <si>
    <t>//#region:Ver
 //CD:11/10/58/15:22,CB:Tof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Params = {
 Condition: { 
 0:{Value: 6,Operator: "=="}
 }
 ,Operations: "AND"
 }
 var ValReturn = this.executeFunc("VerifyFieldLength",Params);
 if(!ValReturn){
 info.isError = true;
 info.VerifyCode = "-380";
 }
 }
 callbackCore(info);
 //#endregion:Etc
 //#region:EventEnd
 }
 else
 callbackCore(info);
 //#endregion:EventEnd</t>
  </si>
  <si>
    <t>//#region:Ver
 //CD:11/10/58/15:16,CB:Tof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"-40";
 if (!ValReturn2)
 info.VerifyCode = "-90";
 if (ValReturn1)
 info.VerifyCode = "-50";
  if(!ValReturn || !ValReturn2 || ValReturn1)
 info.isError = true;
 }
 callbackCore(info);
 //#endregion:Etc
 //#region:EventEnd
 }
 else
 callbackCore(info);
 //#endregion:EventEnd</t>
  </si>
  <si>
    <t>จำนวนเงินที่ชำระเพิ่ม</t>
  </si>
  <si>
    <t>//#region:Ver
 //CD:11/10/58/15:16,CB:Tof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</si>
  <si>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//#region:Ver
 //CD:11/10/58/15:16,CB:Tof
 //ED:07/15/59/17:14,EB:Tof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</si>
  <si>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ไทยพาณิชย์ประกันชีวิต จำกัด(มหาชน)</t>
  </si>
  <si>
    <t>ค่าเบี้ยประกันภัย ไทยพาณิชย์ประกันชีวิต</t>
  </si>
  <si>
    <t>//#region:Ver
 //CD:05/07/58/15:04,CB:jirapat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len = val.length;
  var fieldRef3 = _this.getField("D_TEXT_03");
  var fieldRef4 = _this.getField("D_TEXT_04");
  var fieldAmt = _this.getField("D_MONEY_01");
  var ref3,ref4,amt = 0;
  if(["|310111631100","|310111631102"].indexOf(val.substr(0,13)) != -1 &amp;&amp; len &lt;= 42){
  ref3 = val.substr(13,12);
  ref4 = 0;
  amt = val.substr(25);
  }
  else if(["|310111631100","|310111631102"].indexOf(val.substr(0,13)) != -1 &amp;&amp; len &gt; 42){
  ref3 = val.substr(13,18);
  ref4 = val.substr(31,8);
  amt = val.substr(39);
  }
  else if(["|010753700069600","|010753700069602","|010756300030400"].indexOf(val.substr(0,16)) != -1 &amp;&amp; len &lt;= 42){
  ref3 = val.substr(16,12);
  ref4 = 0;
  amt = val.substr(28);
  }
  else if(["|010753700069600","|010753700069602","|010756300030400"].indexOf(val.substr(0,16)) != -1 &amp;&amp; len &gt; 42){
  ref3 = val.substr(16,18);
  ref4 = val.substr(34,8);
  amt = val.substr(42);
  }
  else 
  info.isError = true;
  if([1].indexOf(eName) != -1){
  if(!info.isError){
  amt = amt * 0.01;
  if(!_.isNull(fieldRef3))
  fieldRef3.setValue(ref3);
  if(!_.isNull(fieldRef4))
  fieldRef4.setValue(ref4);
  if(!_.isNull(fieldAmt))
  fieldAmt.setValue(amt);
  }
  }
 }
 callbackCore(info);
 //#endregion:Etc
 //#region:EventEnd
 }
 else
  callbackCore(info);
 //#endregion:EventEnd</t>
  </si>
  <si>
    <t>//#region:Ver
 //CD:05/07/58/15:06,CB:jirapat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</si>
  <si>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ทีโอที จำกัด(มหาชน) (สำนักงานใหญ่)</t>
  </si>
  <si>
    <t>ค่าโทรศัพท์ TOT ใหม่</t>
  </si>
  <si>
    <t>//#region:Ver
 //CD:04/09/15/13:09,CB:wisut
 //ED:05/27/58/10:16,EB:jirapat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"|010754500016100",Operator: "!=",Start: 0,Num: 16}
  1:{Value: "|01075450001610501",Operator: "!=",Start: 0,Num: 18}
  2:{Value: "|01075450001610591",Operator: "!=",Start: 0,Num: 18}
  3:{Value: "|01075640000140001",Operator: "!=",Start: 0,Num: 18}
  4:{Value: "|01075640000140091",Operator: "!=",Start: 0,Num: 18}
 }
 ,Operations: "AND"
 }
 var ValReturn = this.executeFunc("VerifyFieldSubStr",Params);
 if(ValReturn) info.isError = true;
 var vat = {
 Amt:this.getField("D_MONEY_02").getValue()
 ,VatMode:false//true:vat out,false:vat in
 ,Rate:"7"
 }
 var output = this.executeFunc("CalcVat",vat);
 _this.getField("D_MONEY_01").setValue(output.output.vat);
 if(!info.isError){
 var ref3 = _this.getField("D_TEXT_06").getValue();
 var ref4 = _this.getField("D_TEXT_08").getValue();
 _this.executeFunc("ChkDupBar",{BARCODE:[ref3,ref4],FieldChk:["REFNO3","REFNO4"]},function(result){
 if(!result.success || !_.isUndefined(result.output.Msg)){
 info.Msg = result.output.Msg;
 info.isError = result.output.isError;
 info.isClear = false;
 }
 callbackCore(info);
 });
 }
 else 
 callbackCore(info);
 }
 else
 callbackCore(info);
 //#endregion:Etc
 //#region:EventEnd
 }
 else
 callbackCore(info);
 //#endregion:EventEnd</t>
  </si>
  <si>
    <t>//#region:Ver
 //CD:05/06/58/11:15,CB:jirapat
 //ED:10/26/58/10:51,EB:Tof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[1,2].indexOf(eName) == -1){
  var params = {ToRate:{D:10,M:0,Y:0},AD:true}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</si>
  <si>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รหัสส่วนลด AP</t>
  </si>
  <si>
    <t>ประเภทโทรศัพท์/รหัสบริการ</t>
  </si>
  <si>
    <t>//#region:Ver
 //CD:04/09/15/13:13,CB:wisut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"1",Operator: "!="}
  ,1:{Value: "2",Operator: "!="}
  ,2:{Value: "3",Operator: "!="}
 }
 ,Operations: "AND"
 }
 var ValReturn = this.executeFunc("VerifyField",Params);
 if(ValReturn==true)
 info.isError = true; 
 }
 callbackCore(info);
 //#endregion:Etc
 //#region:EventEnd
 }
 else
 callbackCore(info);
 //#endregion:EventEnd</t>
  </si>
  <si>
    <t>รหัสภาษี</t>
  </si>
  <si>
    <t>//#region:Ver
 //CD:04/09/15/13:15,CB:wisut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"0",Operator: "!="}
  ,1:{Value: "2",Operator: "!="}
 }
 ,Operations: "AND"
 }
 var ValReturn = this.executeFunc("VerifyField",Params);
 if(ValReturn==true)
 info.isError = true;
  }
 callbackCore(info);
 //#endregion:Etc
 //#region:EventEnd
 }
 else
 callbackCore(info);
 //#endregion:EventEnd</t>
  </si>
  <si>
    <t>ส่วนลด AP</t>
  </si>
  <si>
    <t>//#region:Ver
 //CD:04/09/15/13:22,CB:wisut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[2,3].indexOf(eName) == -1){
 var value = field.getValue(); 
 var amt = this.getField("D_MONEY_02").getValue();
 var vat = this.getField("D_MONEY_01").getValue();
 var sum = parseFloat(amt) - parseFloat(vat) + parseFloat(value);
 this.getField("D_MONEY_04").setValue(sum);
 }
 callbackCore(info);
 //#endregion:Etc
 //#region:EventEnd
 }
 else
 callbackCore(info);
 //#endregion:EventEnd</t>
  </si>
  <si>
    <t>จำนวนเงินก่อนหักส่วนลด</t>
  </si>
  <si>
    <t>จำนวนเงินที่ชำระ (Amount)</t>
  </si>
  <si>
    <t>//#region:Ver
 //CD:06/23/59/14:48,CB:Tof
 //ED:07/13/59/11:33,EB:Tof
 //ED:08/10/59/17:35,EB:Tof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vat = {
 Amt:field.getValue()
 ,VatMode:false//true:vat out,false:vat in
 ,Rate:"7"
 }
 var output = _this.executeFunc("CalcVat",vat);
 var vat = output.success ? output.output.vat : 0.00;
 var vatField = _this.getField("D_MONEY_01");
 var vatField1 = _this.getField("AGENT_VAT_AMOUNT");
 var Field2 = _this.getField("D_TEXT_07");
 if(info.isError || Field2.getValue() == "0")
 vat = 0;
 if(!_.isNull(vatField))
 vatField.setValue(vat);
 if(!_.isNull(vatField1))
 vatField1.setValue(vat);
 }
 callbackCore(info);
 //#endregion:Etc
 //#region:EventEnd
 }
 else
 callbackCore(info);
 //#endregion:EventEnd</t>
  </si>
  <si>
    <t>บริษัท ฐิติกร จำกัด (มหาชน)</t>
  </si>
  <si>
    <t>ชำระค่าสินค้าและบริการฐิติกร</t>
  </si>
  <si>
    <t>//#region:Ver
 //CD:04/22/58/17:15,CB:jirapat
 //ED:07/27/15/16:50,EB:Art
 //ED:09-25-15-15:11,EB:sompan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"|310101358000",Operator: "!=",Start: 0,Num: 13}
 ,1:{Value: "|310101358001",Operator: "!=",Start: 0,Num: 13}
 ,2:{Value: "|010754600013000",Operator: "!=",Start: 0,Num: 16}
 ,3:{Value: "0107546000130",Operator: "!=",Start: 0,Num: 13}
 ,4:{Value: "|0107546000130",Operator: "!=",Start: 0,Num: 14}
 }
 ,Operations: "AND"
 }
 var ValReturn = this.executeFunc("VerifyFieldSubStr",Params);
 if(ValReturn==true)
 info.isError = true;
 }
 callbackCore(info);
 //#endregion:Etc
 //#region:EventEnd
 }
 else
 callbackCore(info);
 //#endregion:EventEnd</t>
  </si>
  <si>
    <t>//#region:Ver
 //CD:04/16/58/10:00,CB:Tof
 //ED:07/27/15/16:50,EB:Art
 //ED:11-04-15-17:26,EB:sompan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</si>
  <si>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การเคหะแห่งชาติ</t>
  </si>
  <si>
    <t>ชำระเงินสำหรับการเคหะแห่งชาติออนไลน์</t>
  </si>
  <si>
    <t>//#region:Ver
 //CD:05/18/58/11:56,CB:jirapat
 //ED:07/29/15/10:14,EB:Art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 = {
 Condition: { 
 0:{Value: "|099400015905600",Operator: "==",Start: 0,Num: 16}
 }
 ,Operations: "OR"
 }
 var value = field.getValue(); 
 var params2 = {Barcode:value,New:true}
 var output = this.executeFunc("NationalHousing",params2);
 var ValReturn = this.executeFunc("VerifyFieldSubStr",params1);
 if(ValReturn || (value.length == 1 &amp;&amp; value == "0"))
 info.isError = false;
 else
  info.isError = true;
 }
 callbackCore(info);
 //#endregion:Etc
 //#region:EventEnd
 }
 else
 callbackCore(info);
 //#endregion:EventEnd</t>
  </si>
  <si>
    <t>//#region:Ver
 //CD:05/18/58/11:57,CB:jirapat
 //ED:07/29/15/10:13,EB:Art
 //ED:09-09-15-14:11,EB:sompan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if(info.isAfterVerify ||(eName ==3)){
 var ValReturn = this.executeFunc("CheckIDCardNo");
 if(ValReturn == false)
 info.isError = true;
 }
 }
 callbackCore(info);
 //#endregion:Etc
 //#region:EventEnd
 }
 else
 callbackCore(info);
 //#endregion:EventEnd</t>
  </si>
  <si>
    <t>//#region:Ver
 //CD:05/18/58/12:00,CB:jirapat
 //ED:07/29/15/10:12,EB:Art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if(info.isAfterVerify ||(eName ==3)){
 if([1,2].indexOf(eName) == -1){
 var min = _this.getField("D_MONEY_03").getValue();
 min = isNaN(parseFloat(min)) ? 0:parseFloat(min);
 var Params = {
 Condition: { 
 0:{Value: min,Operator: "&gt;="}
 ,1:{Value: 50000,Operator: "&lt;="}
 }
 ,Operations: "AND"
 }
 var ValReturn = this.executeFunc("VerifyField",Params);
 /* if(!ValReturn || field.getValue() == 0)
 info.isError = true;*/
 }
 else if(eName == 2){
 field.setValue(0);
 field.focus();
 }
 }
 }
 callbackCore(info);
 //#endregion:Etc
 //#region:EventEnd
 }
 else
 callbackCore(info);
 //#endregion:EventEnd</t>
  </si>
  <si>
    <t>จำนวนเงินขั้นต่ำ</t>
  </si>
  <si>
    <t>รหัสโครงการ</t>
  </si>
  <si>
    <t>//#region:Ver
 //CD:02/03/59/15:00,CB:Tof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val = field.getValue();
 var value = "";
 if(val.split(/I/g).length == 1)
 field.setValue("I"+val);
 }
 callbackCore(info);
 //#endregion:Etc
 //#region:EventEnd
 }
 else
 callbackCore(info);
 //#endregion:EventEnd</t>
  </si>
  <si>
    <t>ชื่อโครงการ</t>
  </si>
  <si>
    <t>บ้านเลขที่</t>
  </si>
  <si>
    <t>รายละเอียดรายการ</t>
  </si>
  <si>
    <t>TranNo/OutletCode</t>
  </si>
  <si>
    <t>บริษัท อีฮงมดแดง จำกัด</t>
  </si>
  <si>
    <t>ชำระค่างวดรถ บ.อีฮงมดแดง จำกัด</t>
  </si>
  <si>
    <t>//#region:Ver
 //CD:05/18/58/16:46,CB:jirapat
 //ED:08/11/59/11:10,EB:Tof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field1 = _this.getField("D_TEXT_03");
 var field2 = _this.getField("D_TEXT_04");
 var Params1,ValReturn1;
 Params1 = {
 Condition: { 
 0:{Value: "|346200003800",Operator: "!=",Start: 0,Num: 13}
 }
 ,Operations: "AND"
 }
 ValReturn1 = this.executeFunc("VerifyFieldSubStr",Params1);
 if(ValReturn1)
 info.isError = true;
 if(!info.isError){
 if(!_.isNull(field1))
 field1.setValue(val.substr(13,val.length-14));
 if(!_.isNull(field2))
 field2.setValue(val.substr(val.length-1));
 }
 }
 callbackCore(info);
 //#endregion:Etc
 //#region:EventEnd
 }
 else
 callbackCore(info);
 //#endregion:EventEnd</t>
  </si>
  <si>
    <t>//#region:Ver
 //CD:05/18/58/16:46,CB:jirapat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</si>
  <si>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//CD:01-26-16-14:50,CB:sompan
 //ED:08/11/59/11:16,EB:Tof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</si>
  <si>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สยามคูโบต้า จำกัด</t>
  </si>
  <si>
    <t>ค่างวดเครื่องจักร/บริการอื่นสยามคูโบต้า</t>
  </si>
  <si>
    <t>//#region:Ver
 //CD:05/18/58/16:47,CB:jirapat
 //ED:07/27/15/17:19,EB:Art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"|3032039598",Operator: "!=",Start: 0,Num: 11},
  1:{Value: "|013554900009100",Operator: "!=",Start: 0,Num: 16}
 }
 ,Operations: "AND"
 }
 var ValReturn = this.executeFunc("VerifyFieldSubStr",Params);
 if(ValReturn==true)
 {
 info.isError = true;
  this.getField("D_TEXT_04").setValue("");
  this.getField("D_TEXT_05").setValue("");
 }
 }
 callbackCore(info);
 //#endregion:Etc
 //#region:EventEnd
 }
 else
 callbackCore(info);
 //#endregion:EventEnd</t>
  </si>
  <si>
    <t>//#region:Ver
 //CD:04/16/58/10:00,CB:Tof
 //ED:07/27/15/17:19,EB:Art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</si>
  <si>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//ED:05/18/58/16:48,EB:jirapat
 //ED:07/27/15/17:18,EB:Art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</si>
  <si>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เคทีบี ลีสซิ่ง จำกัด</t>
  </si>
  <si>
    <t>ชำระค่าสินค้าและบริการเคทีบี ลีสซิ่ง</t>
  </si>
  <si>
    <t>//#region:Ver
 //CD:09/16/58/13:01,CB:Tof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ref3,ref4;
 if(val.substr(0,16) == "|010554814220700"){
 ref3 = val.substr(16,13);
 ref4 = val.substr(29,13/*val.length - 29*/);
 }
 else if(val.substr(0,13) == "|303196896700"){
 ref3 = val.substr(13,13);
 ref4 = val.substr(26,13/*val.length - 26*/);
 }
 else 
 info.isError = true;
 if(!info.isError &amp;&amp; [2,3].indexOf(eName) == -1){
 var fieldRef3 = _this.getField("D_TEXT_03");
 var fieldRef4 = _this.getField("D_TEXT_04");
 if(!_.isNull(fieldRef3))
 fieldRef3.setValue(ref3);
 if(!_.isNull(fieldRef4))
 fieldRef4.setValue(ref4);
 }
 }
 callbackCore(info);
 //#endregion:Etc
 //#region:EventEnd
 }
 else
 callbackCore(info);
 //#endregion:EventEnd</t>
  </si>
  <si>
    <t>//#region:Ver
 //CD:01-14-16-15:56,CB:sompan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</si>
  <si>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สยามซิตี้ประกันภัย จำกัด</t>
  </si>
  <si>
    <t>ค่าเบี้ยประกันภัยรถยนต์ สยามซิตี้</t>
  </si>
  <si>
    <t>สแกนบาร์ หรือพิมพ์เลขกรมธรรม์</t>
  </si>
  <si>
    <t>//#region:Ver
 //CD:09/15/58/16:58,CB:Tof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"|010755500059703001",Operator: "==",Start: 0,Num: 19}
 }
 ,Operations: "AND"
 }
 var Params1 = {
 Condition: {
 0:{Value: "-MMC1-",Operator: "==",Start: 6,Num: 6}
 ,1:{Value: "-mmc1-",Operator: "==",Start: 6,Num: 6}
 }
 ,Operations: "OR"
 }
 var output = this.executeFunc("VerifyFieldSubStr",Params1);
 var ValReturn = this.executeFunc("VerifyFieldSubStr",Params);
 if(!ValReturn &amp;&amp; !output)
  info.isError = true;
 if(!info.isError)
 this.getField("D_TEXT_07").setValue("02");
 if([1,2,3].indexOf(eName) == -1){
 var fdname = ["D_TEXT_02","D_TEXT_03","D_TEXT_04","D_TEXT_05","D_TEXT_06"
 ,"D_TEXT_07","D_TEXT_08","D_TEXT_09","D_TEXT_10","D_MONEY_01"
 ,"D_TEXT_11","D_TEXT_12","D_TEXT_13"];
 var paramClear = {FDName:fdname};
 var val = field.getValue();
 if(!output &amp;&amp; ValReturn)
 val = val.substr(19,18);
 if(!info.isError){
 this.getField("D_TEXT_06").setValue(val);
 this.getField("D_TEXT_08").setValue("01");
 this.getField("D_TEXT_09").setValue("03");
 this.getField("D_TEXT_10").setValue("001");
 this.executeControl("D_TEXT_06",{datas:{eventName:"enter",isExec:true}});
 }
 else{
 info.isAlert = false;
 if(!info.isClear){
 this.executeFunc("Clear",{isReadOnly:true});
 info.datas.isHideF8 = true;
 }
 else
 this.executeFunc("ClearAll",paramClear);
 }
 }
 if(!info.isError)
 field.setLock(true);
 else
 field.setLock(false);
 }
 callbackCore(info);
 //#endregion:Etc
 //#region:EventEnd
 }
 else
 callbackCore(info);
 //#endregion:EventEnd</t>
  </si>
  <si>
    <t>ชื่อ-สกุล ผู้เอาประกัน</t>
  </si>
  <si>
    <t>//#region:Ver
 //CD:05/18/58/17:53,CB:jirapat
 //ED:07/29/15/11:41,EB:Art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</si>
  <si>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//CD:05/18/58/17:54,CB:jirapat
 //ED:07/29/15/11:40,EB:Art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if(info.isAfterVerify ||(eName ==3)){
 var ValReturn = this.executeFunc("CheckIDCardNo");
 if(!ValReturn)
 info.isError = true;
 }
 }
 callbackCore(info);
 //#endregion:Etc
 //#region:EventEnd
 }
 else
 callbackCore(info);
 //#endregion:EventEnd</t>
  </si>
  <si>
    <t>//#region:Ver
 //CD:09/08/58/15:27,CB:Tof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"NUM"}//TH,EN,NUM,THEN,THNUM,ENNUM
 ,Operations: "AND"
 }
 var ValReturn = this.executeFunc("VerifyFieldLanguage",Params);
 if(!ValReturn)
 info.isError = true;
 }
 callbackCore(info);
 //#endregion:Etc
 //#region:EventEnd
 }
 else
 callbackCore(info);
 //#endregion:EventEnd</t>
  </si>
  <si>
    <t>//#region:Ver
 //CD:09/08/58/15:27,CB:Tof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"-MMC1-",Operator: "==",Start: 6,Num: 6}
 ,1:{Value: "-mmc1-",Operator: "==",Start: 6,Num: 6}
 }
 ,Operations: "OR"
 }
 var ValReturn = this.executeFunc("VerifyFieldSubStr",Params);
 if(!ValReturn)
  info.isError = true;
 if(info.isError &amp;&amp; datas.isExec){
 var fdname = ["D_TEXT_02","D_TEXT_03","D_TEXT_04","D_TEXT_05","D_TEXT_06"
 ,"D_TEXT_07","D_TEXT_08","D_TEXT_09","D_TEXT_10","D_MONEY_01"
 ,"D_TEXT_11","D_TEXT_12","D_TEXT_13"];
 var paramClear = {FDName:fdname};
 this.executeFunc("ClearAll",paramClear);
 }
 }
 callbackCore(info);
 //#endregion:Etc
 //#region:EventEnd
 }
 else
 callbackCore(info);
 //#endregion:EventEnd</t>
  </si>
  <si>
    <t>ประเภทตัวแทนนายหน้า</t>
  </si>
  <si>
    <t>ประเภทประกันภัย</t>
  </si>
  <si>
    <t>ประเภทกลุ่มประกัน</t>
  </si>
  <si>
    <t>รหัสโปรดัคส์ของบริษัท</t>
  </si>
  <si>
    <t>//#region:Ver
 //CD:09/09/58/10:36,CB:Tof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if(info.isAfterVerify ||(eName ==3)){
 var Params = {
 Condition:[{Value: 100,Operator: "&lt;",ErrorCode: "-800"},{Value: 50000,Operator: "&gt;",ErrorCode: "-870"}]
 ,Operations: "OR"
 };
 var ValReturn = this.executeFunc("SPVerifyField",Params);
 if(!ValReturn.success || (ValReturn.success &amp;&amp; ValReturn.output) ){
 info.isError = true;
 info.VerifyCode = ValReturn.ErrorCode;
 }
 }
 }
 callbackCore(info);
 //#endregion:Etc
 //#region:EventEnd
 }
 else
 callbackCore(info);
 //#endregion:EventEnd</t>
  </si>
  <si>
    <t>PostCode</t>
  </si>
  <si>
    <t>//#region:Ver
 //CD:09/10/58/18:07,CB:Tof
 //ED:05-11-16-14:43,EB:sompan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output = this.executeFunc("CheckDupField",{setField:"D_TEXT_13"});
 if(!output.output || !output.success)
 info.isError = true;
 }
 callbackCore(info);
 //#endregion:Etc
 //#region:EventEnd
 }
 else
 callbackCore(info);
 //#endregion:EventEnd</t>
  </si>
  <si>
    <t>PostName</t>
  </si>
  <si>
    <t>OutletCode</t>
  </si>
  <si>
    <t>ชำระสยามซิตี้</t>
  </si>
  <si>
    <t>สยามซิตี้</t>
  </si>
  <si>
    <t>บริษัท ธนชาต โบรกเกอร์ จำกัด</t>
  </si>
  <si>
    <t>ชำระค่าเบี้ยประกัน บ.ธนชาตโบรกเกอร์</t>
  </si>
  <si>
    <t>//#region:Ver
 //CD:04/12/60/17:57,CB:Tof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"301187559900",Operator: "!=",Start: 0,Num: 12}
  ,1:{Value: "010554007531400",Operator: "!=",Start: 0,Num: 15}
  ,2:{Value: "|301187559900",Operator: "!=",Start: 0,Num: 13}
  ,3:{Value: "|010554007531400",Operator: "!=",Start: 0,Num: 16}
  ,4:{Value: "|010554007531402",Operator: "!=",Start: 0,Num: 16}
 }
 ,Operations: "AND"
 }
 var ValReturn = _this.executeFunc("VerifyFieldSubStr",Params);
 if(ValReturn)
 info.isError = true;
 }
 callbackCore(info);
 //#endregion:Etc
 //#region:EventEnd
 }
 else
 callbackCore(info);
 //#endregion:EventEnd</t>
  </si>
  <si>
    <t>//#region:Ver
 //CD:04/16/58/10:00,CB:Tof
 //ED:05/18/58/17:58,EB:jirapat
 //ED:09-24-15-17:17,EB:sompan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</si>
  <si>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//ED:05/18/58/17:58,EB:jirapat
 //ED:07/15/59/17:10,EB:Tof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</si>
  <si>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ทิพยประกันภัย จำกัด (มหาชน)</t>
  </si>
  <si>
    <t>ชำระค่าเบี้ยประกันภัย ทิพยประกันภัย</t>
  </si>
  <si>
    <t>หมายเลขแบบคำขอรับใบอนุญาต</t>
  </si>
  <si>
    <t>//#region:Ver
 //CD:04/17/58/10:42,CB:Tof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var ParamsLen = {
 Condition: { 
 0:{Value: 10,Operator: "=="}
 }
 ,Operations: "AND"
 }
 var ValLen = this.executeFunc("VerifyFieldLength",ParamsLen);
 if(!ValReturn)
 info.VerifyCode = "-320";
 if(!ValLen)
 info.VerifyCode = "-420";
 if(!ValReturn || !ValLen)
 info.isError = true;
 field.setLock(true);
 }
 callbackCore(info);
 //#endregion:Etc
 //#region:EventEnd
 }
 else
 callbackCore(info);
 //#endregion:EventEnd</t>
  </si>
  <si>
    <t>//#region:Ver
 //CD:04/16/58/10:00,CB:Tof
 //ED:07/15/59/17:08,EB:Tof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</si>
  <si>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ทำประกันภัย ทิพยประกันภัย</t>
  </si>
  <si>
    <t>//#region:Ver
 //CD:09/07/59/17:49,CB:Tof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Substr = {
  Condition: { 
  0:{Value: "|010753800053304",Operator: "==",Start: 0,Num: 16}
  ,1:{Value: "|010753800053303",Operator: "==",Start: 0,Num: 16}
  }
  ,Operations: "OR"
  }
  console.log(val);
  var ValSub = _this.executeFunc("VerifyFieldSubStr",Substr);
  if(!ValSub)
  info.isError = true;
  if(!info.isError &amp;&amp; [2,3].indexOf(eName) == -1){
  var fieldName = _this.getField("D_TEXT_08");
  var suffix = val.substr(16,3);
  var name;
  if(["001"].indexOf(suffix) != -1)
  name = suffix + " : ทิพยสุดคุ้ม";
  else if(["003", "009","011","007", "005","013", "017","019"].indexOf(suffix) != -1)
  name = suffix + " : 2 พลัส(1 ปี)";
  else if(["015", "006","020","018", "012","002", "008"].indexOf(suffix) != -1)
  name = suffix + " : 3 พลัส(1 ปี)";
  else if(["004", "010","014"].indexOf(suffix) != -1)
  name = suffix + " : ประเภท 3(1 ปี)";
  else if(["021", "023"].indexOf(suffix) != -1)
  name = suffix + " : พรบ.(1 ปี)";
  else if(["041", "042", "043", "044"].indexOf(suffix) != -1)
  name = suffix + " : ประกัน Covid-19";
  if(!_.isNull(fieldName))
  fieldName.setValue(name);
  }
 }
 callbackCore(info);
 //#endregion:Etc
 //#region:EventEnd
 }
 else
  callbackCore(info);
 //#endregion:EventEnd</t>
  </si>
  <si>
    <t>//#region:Ver
 //CD:09/07/59/18:01,CB:Tof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</si>
  <si>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//CD:09/07/59/18:02,CB:Tof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ValReturn = this.executeFunc("CheckIDCardNo");
 if(ValReturn == false)
 info.isError = true;
 }
 callbackCore(info);
 //#endregion:Etc
 //#region:EventEnd
 }
 else
 callbackCore(info);
 //#endregion:EventEnd</t>
  </si>
  <si>
    <t>กรอกตัวเลขของกรมธรรม์ 11 หลัก</t>
  </si>
  <si>
    <t>//#region:Ver
 //CD:09/07/59/18:07,CB:Tof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fieldRef3 = _this.getField("D_TEXT_07");
  var fieldBar = _this.getField("D_TEXT_02");
  var bar = fieldBar.getValue();
  var val = field.getValue();
  var len = val.length;
  var pType = bar.substr(14,2);
  var chk = parseInt(val.substr(8,1));
  var matBar = bar.substr(17,2);
  var matVal = val.substr(9,2);
  var matbar1 = bar.substr(17,1); //edit
  var cType,su,sm,ref3;
  if(matBar == matVal){
  if((pType == "03")&amp;&amp;(matbar1!="4")) //edit
  cType = "11001";
  else if((pType == "04")&amp;&amp;(matbar1!="4")) //edit
  cType = "11002";
  else if((pType == "04")&amp;&amp;(matbar1=="4")) //edit
  cType = "14002";
  }
  else 
  info.isError = true;
  if(!info.isError &amp;&amp; [2,3].indexOf(eName) == -1){
  ref3 = cType + "-290-"+val.substr(0,9);
  if(!_.isNull(fieldRef3))
  fieldRef3.setValue(ref3);
  _this.executeFunc("ChkDupBar",{BARCODE:[ref3],FieldChk:["REFNO3"]},function(result){
  if(!result.success || !_.isUndefined(result.output.Msg)){
  info.Msg = result.output.Msg;
  info.isError = result.output.isError;
  info.isClear = false;
  }
  callbackCore(info);
  });
  }
  else
  callbackCore(info);
 }
 else
  callbackCore(info);
 //#endregion:Etc
 //#region:EventEnd
 }
 else
  callbackCore(info);
 //#endregion:EventEnd</t>
  </si>
  <si>
    <t>ชำระทิพยประกันภัย</t>
  </si>
  <si>
    <t>ทิพยประกันภัย</t>
  </si>
  <si>
    <t>รับชำระค่าเบี้ยประกันภัย ทิพยประกันภัย</t>
  </si>
  <si>
    <t>//#region:Ver
 //CD:05/07/58/15:53,CB:jirapat
 //ED:07/27/15/17:22,EB:Art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info.Control = ["D_TEXT_02","D_TEXT_03","D_TEXT_04","D_MONEY_01"];
 info.isBarcode = true;
 info.isLock = true;
 var val = field.getValue();
 var len = val.length;
 var ref1Field = _this.getField("D_TEXT_03");
 var ref2Field = _this.getField("D_TEXT_04");
 var amtField = _this.getField("D_MONEY_01");
 var ref1  = "";
 var ref2  = "";
 var suffix = "00";
 var amt = 0;
 var cal = 0;
 console.log(val.substr(16,3));
 if(["|010753800053300","|010753800053301"].indexOf(val.substr(0,16)) != -1 &amp;&amp; val.substr(16,3) == "130" &amp;&amp; val.substr(13,5) != "31060"){
 ref1 = val.substr(16,11);
 ref2 = val.substr(27,8);
 // amt = val.substr(len - 6);
 }
 else if(["|010753800053300","|010753800053301"].indexOf(val.substr(0,16)) != -1 &amp;&amp; val.substr(16,3) == "111" &amp;&amp; val.substr(13,5) != "31060"){
 ref1 = val.substr(16,13);
 ref2 = val.substr(29,4);
 //amt = val.substr(len - 6);
 }
 else if(["|010753800053300","|010753800053301"].indexOf(val.substr(0,16)) != -1 &amp;&amp; val.substr(16,3) == "114" &amp;&amp; val.substr(13,5) != "31060"){
  ref1 = val.substr(16,13);
  ref2 = val.substr(29,8);
  //amt = val.substr(len - 6);
  }
  else if(["|010753800053300","|010753800053301"].indexOf(val.substr(0,16)) != -1 &amp;&amp; val.substr(16,1) == "9" &amp;&amp; val.substr(13,5) != "31060"){
  ref1 = val.substr(16,17);
  ref2 = val.substr(33,4);
  }
  else if(["|010753800053300","|010753800053301"].indexOf(val.substr(0,16)) != -1 &amp;&amp; val.substr(13,5) != "31060"){
  ref1 = val.substr(16,17);
  ref2 = val.substr(33,4); 
  }
  else if(["|310107751300","|310107751301"].indexOf(val.substr(0,13)) != -1 &amp;&amp; val.substr(13,5) != "31060"){
  ref1 = val.substr(16,len - 23);
  ref2 = val.substr(len - 10,4);
  //amt = val.substr(len - 6);
  } 
  else 
  info.isError = true;
  if(!info.isError){
  amt = (isNaN(amt * 0.01)) ? 0 : amt * 0.01;
  if([2,3].indexOf(eName) == -1){
  if(!_.isNull(ref1Field))
  ref1Field.setValue(ref1);
  if(!_.isNull(ref2Field))
  ref2Field.setValue(ref2);
  /*if(!_.isNull(amtField))
  amtField.setValue(amt);*/
  }
  }
  callbackCore(info);
 }
 else 
  callbackCore(info);
 //#endregion:Etc
 //#region:EventEnd
 }
 else
  callbackCore(info);
 //#endregion:EventEnd</t>
  </si>
  <si>
    <t>//#region:Ver
 //CD:04/16/58/10:00,CB:Tof
 //ED:07/27/15/17:22,EB:Art
 //ED:11-04-15-16:55,EB:sompan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_this.executeFunc("SPVerifyField",Params);
 if(!ValReturn.success || (ValReturn.success &amp;&amp; ValReturn.output) ){
 info.isError = true;
 info.VerifyCode = ValReturn.ErrorCode;
 }
 if(info.isError &amp;&amp; info.isExec){
 var barcode = _this.getField("D_TEXT_02");
 _this.executeFunc("ClearAll",{FDName:datas.Control});
 if(!_.isNull(barcode)){
 info.ctrlDatas =[{
 FD_NAME:barcode.get("FD_NAME")
 ,FD_TYPE:barcode.get("FD_TYPE")
 ,IS_READONLY:barcode.get("IS_READONLY")}];
 }
 }
 }
 callbackCore(info);
 //#endregion:Etc
 //#region:EventEnd
 }
 else
 callbackCore(info);
 //#endregion:EventEnd</t>
  </si>
  <si>
    <t>การประปานครหลวง (สำนักงานใหญ่)</t>
  </si>
  <si>
    <t>ค่าน้ำประปานครหลวง</t>
  </si>
  <si>
    <t>วันเดือนปีที่ครบกำหนดชำระ</t>
  </si>
  <si>
    <t>อัตราภาษี</t>
  </si>
  <si>
    <t>//#region:Ver
 //CD:05/05/60/14:29,CB:Tof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if(["00","07","10"].indexOf(val) == -1)
  info.isError = true;
 }
 callbackCore(info);
 //#endregion:Etc
 //#region:EventEnd
 }
 else
  callbackCore(info);
 //#endregion:EventEnd</t>
  </si>
  <si>
    <t>บาร์โค้ดประปานครหลวง</t>
  </si>
  <si>
    <t>//#region:Ver
 //CD:05/05/60/14:34,CB:Tof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"|099400016546300")
  info.isError = true;
  if(!info.isError){
  if(val.length == 62){
  _this.getField("D_TEXT_06").setValue("07");
  //_this.getField("D_MONEY_03").setValue(val.substr(42,6));
  }
  _this.executeFunc("ChkDupBar",{BARCODE:[val],FieldChk:["BRCDE"]},function(result){
  if(!result.success || !_.isUndefined(result.output.Msg)){
  info.Msg = result.output.Msg;
  info.isError = result.output.isError;
  info.isClear = false;
  }
  callbackCore(info);
  });
  }
  else 
  callbackCore(info);
 }
 else
  callbackCore(info);
 //#endregion:Etc
 //#region:EventEnd
 }
 else
  callbackCore(info);
 //#endregion:EventEnd</t>
  </si>
  <si>
    <t>ประเภทเอกสาร</t>
  </si>
  <si>
    <t>//#region:Ver
 //CD:05/05/60/14:30,CB:Tof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 != "2")
  info.isError = true;
 }
 callbackCore(info);
 //#endregion:Etc
 //#region:EventEnd
 }
 else
 callbackCore(info);
 //#endregion:EventEnd</t>
  </si>
  <si>
    <t>สาขา/เขต</t>
  </si>
  <si>
    <t>ทะเบียนผู้ใช้น้ำ</t>
  </si>
  <si>
    <t>เลขที่แจ้งค่าน้ำ</t>
  </si>
  <si>
    <t>วันครบกำหนดชำระ</t>
  </si>
  <si>
    <t>//#region:Ver
 //CD:05/05/60/14:30,CB:Tof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{ToRate:{D:5,M:0,Y:0},AD:true}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</si>
  <si>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หน่วยน้ำใช้</t>
  </si>
  <si>
    <t>//#region:Ver
 //CD:05/05/60/14:30,CB:Tof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if([2,3].indexOf(eName)){
  var fieldRate = _this.getField("D_TEXT_06");
  var vat = {
 Amt:field.getValue()
 ,VatMode:false//true:vat out,false:vat in
 ,Rate:fieldRate.getValue()
  }
  var output = _this.executeFunc("CalcVat",vat);
  var vat = output.success ? output.output.vat : 0.00;
  var vatField = _this.getField("D_MONEY_02");
  var vatField1 = _this.getField("AGENT_VAT_AMOUNT");
  if(info.isError)
 vat = 0;
  if(!_.isNull(vatField))
 vatField.setValue(vat);
  if(!_.isNull(vatField1))
 vatField1.setValue(vat);
 }
 }
 callbackCore(info);
 //#endregion:Etc
 //#region:EventEnd
 }
 else
 callbackCore(info);
 //#endregion:EventEnd</t>
  </si>
  <si>
    <t>ธนาคาร (Metropolitant Bank)</t>
  </si>
  <si>
    <t>รับฝากธนาณัติเข้าบัญชีธนาคาร</t>
  </si>
  <si>
    <t>//#region:Ver
 //CD:10/27/58/15:18,CB:Tof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[1,2,3].indexOf(eName) == -1){
  info.isLock = true;
  var val = field.getValue();
  var value = "";
  var params = {Sql: "SELECT * FROM M_SERVICE_DATA WHERE SERV_DATA_TYPE = 7 AND VALUE_ID LIKE '%"+val+"%'"}
  var CallbackCallSql = function(result,_this){
  if(result.success){
  var data = result.output.getData().Data;
  if(data.length &lt;= 0)
  info.isError = true;
  else{
  value = data[0].VALUE_NAME;
  _this.getField("D_TEXT_03").setValue(value);
  }
  }
  else
  info.isError = true;
  callbackCore(info);
  }
  this.executeFunc("CallSqlServP",params,CallbackCallSql);
 }
 else
  callbackCore(info);
 //#endregion:Etc
 //#region:EventEnd
 }
 else
  callbackCore(info);
 //#endregion:EventEnd</t>
  </si>
  <si>
    <t>ชื่อธนาคาร</t>
  </si>
  <si>
    <t>พิมพ์เลขที่บัญชี</t>
  </si>
  <si>
    <t>//#region:Ver
 //CD:04-22-16-14:21,CB:sompan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pwfield = _this.getField("D_TEXT_08");
 var field1 = _this.getField("D_TEXT_02");
 var val = field.getValue();
 var value = (_.isNull(field1)) ? "-1" : field1.getValue();
 var value1 = val,pwVal = "";
 if(value == "015"){
  var output = this.executeFunc("AgsChkdigitScib",{Code:val.substr(0,9)});
  if(output.success)
  value1 = output.output;
  else 
  info.isError = true;
 }
 if(!info.isError &amp;&amp; value1 != val)
  info.isError = true;
 if(!info.isError &amp;&amp; [1,2,3].indexOf(eName) ==-1){
  for(i=0;i&lt;11;i++){
 pwVal += "*";
  }
  if(!_.isNull(pwfield))
 pwfield.setValue(pwVal);
 }
 }
 callbackCore(info);
 //#endregion:Etc
 //#region:EventEnd
 }
 else
 callbackCore(info);
 //#endregion:EventEnd</t>
  </si>
  <si>
    <t>พิมพ์เลขที่บัญชีซ้ำอีกครั้ง</t>
  </si>
  <si>
    <t>//#region:Ver
 //CD:05/13/59/13:04,CB:Tof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field1 = _this.getField("D_TEXT_02");
 var val = field.getValue();
 var value = field1.getValue();
 var output = this.executeFunc("CheckDupField",{setField:"D_TEXT_04"});
 var output1 = this.executeFunc("AgcyScibChkTyp",{BnkAcc:val,BnkCde:value});
 if(!output.success || !output.output || !output1.success || !output1.output)
  info.isError = true;
 if(!info.isError){
 var setField = _this.getField("D_TEXT_06");
 var params = {Sql: "SELECT SD.VALUE_NAME FROM M_SERVICE_DATA SD \n"
 + "WHERE SD.SERV_DATA_TYPE = 12 \n"
 + "AND SD.P_SERV_DATA_ID IN( \n"
 + " SELECT SD2.SERV_DATA_ID \n"
 + " FROM M_SERVICE_DATA SD2 \n"
 + " WHERE SD2.SERV_DATA_TYPE = 7 \n"
 + " AND SD2.VALUE_ID = '"+value+"') \n"
 + "AND SD.VALUE_ID = '"+val.substr(0,3)+"'"};
 var CallbackCallSql = function(result){
 var name = "";
 if(result.success){
 var data = result.output.getData().Data;
 if(data.length &gt; 0){
 name = data[0].VALUE_NAME;
 }
 else if(["015","021"].indexOf(value) != -1)
 name = "ERROR";
 }
 if(!_.isNull(setField) &amp;&amp; [3].indexOf(eName) == -1){
 setField.setValue(name);
 if(name != "")
 setField.setProperty("IsReadOnly",true);
 }
 callbackCore(info);
 }
 _this.executeFunc("CallSqlServP",params,CallbackCallSql);
 }
 else
 callbackCore(info);
 }
 else
 callbackCore(info);
 //#endregion:Etc
 //#region:EventEnd
 }
 else
 callbackCore(info);
 //#endregion:EventEnd</t>
  </si>
  <si>
    <t>พิมพ์ชื่อสาขาธนาคาร</t>
  </si>
  <si>
    <t>//#region:Ver
 //CD:05/13/59/13:21,CB:Tof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if([3,8].indexOf(eName) != -1){
 info.isLock = true;
 if(field.getValue() == "ERROR")
 info.isError = true;
 }
 callbackCore(info);
 //#endregion:Etc
 //#region:EventEnd
 }
 else
 callbackCore(info);
 //#endregion:EventEnd</t>
  </si>
  <si>
    <t>พิมพ์ชื่อบัญชี</t>
  </si>
  <si>
    <t>//#region:Ver
 //CD:03/01/59/16:30,CB:Tof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if([8].indexOf(eName) != -1)
  info.isLock = true;
 callbackCore(info);
 //#endregion:Etc
 //#region:EventEnd
 }
 else
  callbackCore(info);
 //#endregion:EventEnd</t>
  </si>
  <si>
    <t>//#region:Ver
 //CD:07/28/59/17:41,CB:Tof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info.isError = true;
  info.VerifyCode = ValReturn.ErrorCode;
 }
 if(!info.isError){
  var vat  = _this.getField("D_MONEY_03");
  var amt  = _this.getField("D_MONEY_01");
  var free_amt = _this.getField("FEE_AMOUNT");
  var val  = parseFloat(field.getValue());
  var amt2 = 18;
  if(!_.isNull(vat))
 vat.setValue(12);
  if(!_.isNull(amt))
 amt.setValue(val + 12);
  if(val &gt; 50000)
  amt2 = amt2 + 30;
  if(!_.isNull(free_amt))
 free_amt.setValue(amt2);
  _this.executeControl("D_MONEY_01",{datas:{eventName:"enter",isExec:true}},function(){callbackCore(info);});
 }
 else
  callbackCore(info);
 }
 else 
 callbackCore(info);
 //#endregion:Etc
 //#region:EventEnd
 }
 else
 callbackCore(info);
 //#endregion:EventEnd</t>
  </si>
  <si>
    <t>ค่าธรรมเนียมธนาคาร</t>
  </si>
  <si>
    <t>//#region:Ver
 //CD:06/10/59/12:00,CB:Tof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50012,Operator: "&gt;",ErrorCode: "-870"}*/]
  ,Operations: "OR"
 };
 var ValReturn = _this.executeFunc("SPVerifyField",Params);
 if(!ValReturn.success || (ValReturn.success &amp;&amp; (ValReturn.output))){
  info.isError = true;
  info.VerifyCode = ValReturn.ErrorCode;
  var amtField = _this.getField("D_MONEY_02");
  if(!_.isNull(amtField)){
 info.ctrlDatas =[{
  FD_NAME:amtField.get("FD_NAME")
  ,FD_TYPE:amtField.get("FD_TYPE")
  ,IS_READONLY:amtField.getProperty("IsReadOnly")
 }];
 _this.executeFunc("ClearAll",{FDName:["D_MONEY_02","D_MONEY_03"]});
  }
 }
 }
 callbackCore(info);
 //#endregion:Etc
 //#region:EventEnd
 }
 else
 callbackCore(info);
 //#endregion:EventEnd</t>
  </si>
  <si>
    <t>FEE_AMOUNT</t>
  </si>
  <si>
    <t>บริษัท พรประเสริฐออโต้ลีส จำกัด</t>
  </si>
  <si>
    <t>ชำระค่าสินเชื่อรถ พรประเสริฐออโต้ลีส</t>
  </si>
  <si>
    <t>//#region:Ver
 //CD:05/04/15/17:57,CB:wisut
 //ED:09-25-15-15:17,EB:sompan
 //ED:07/12/59/13:52,EB:Tof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loan = "";
 var Params = {
 Condition: { 
 0:{Value: "|049554900008000",Operator: "==",Start: 0,Num: 16}
 }
 ,Operations: "OR"
 }
 var ValReturn = this.executeFunc("VerifyFieldSubStr",Params);
 if(!info.isError){
 var field2 = _this.getField("D_TEXT_03");
 loan  = val.substr(16,val.length-17);
 if(!_.isNull(field2))
 field2.setValue(loan);
 }
 }
 callbackCore(info)
 //#endregion:Etc
 //#region:EventEnd
 }
 else
 callbackCore(info);
 //#endregion:EventEnd</t>
  </si>
  <si>
    <t>จำนวนเงินรวม</t>
  </si>
  <si>
    <t>//#region:Ver
 //CD:04/16/58/10:00,CB:Tof
 //ED:05/04/15/17:57,EB:wisut
 //ED:07/15/59/16:58,EB:Tof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</si>
  <si>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มหาวิทยาลัยเทคโนโลยีสุรนารี</t>
  </si>
  <si>
    <t>ชำระค่าสมัครสอบ ม.เทคโนโลยีสุรนารี</t>
  </si>
  <si>
    <t>//#region:Ver
 //CD:04/22/58/17:26,CB:jirapat
 //ED:06/24/15/14:15,EB:Art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value = field.getValue();
 var val_length = value.length;
 var val = value.substr(14,2);
 var ref1,idcode,amt;
 var Params = {
 Condition: { 
  0:{Value: "|099400028865401",Operator: "!=",Start: 0,Num: 16}
  ,1:{Value: "|099400028865402",Operator: "!=",Start: 0,Num: 16}
 }
 ,Operations: "AND"
 }
 var ValReturn = this.executeFunc("VerifyFieldSubStr",Params);
 if(ValReturn==true)
 info.isError = true;
 else if([2,3].indexOf(eName) == -1){
 if(val == "01"){
 if(val_length &gt;= 35){
 ref1 = value.substr(24,11);
 idcode = value.substr(16,8);
 amt = parseInt(value.substr(35));
 }
 else if (val_length &lt; 35){
 ref1 = value.substr(16,11);
 idcode = 0;
 amt = parseInt(value.substr(27));
 }
 }
 else if (val == "02"){
 ref1 = value.substr(16,11);
 idcode = 0;
 amt = parseInt(value.substr(27));
 }
 else{
 ref1 = false;
 idcode = null;
 amt = false;
 }
 if(ref1 != false &amp;&amp; amt != false &amp;&amp; !_.isNull(idcode)){
 amt = amt*0.01;
 this.getField("D_TEXT_06").setValue(ref1);
 this.getField("D_TEXT_05").setValue(idcode);
 this.getField("D_MONEY_01").setValue(amt); 
 }
 else
 info.isError = true;
 }
 }
 callbackCore(info);
 //#endregion:Etc
 //#region:EventEnd
 }
 else
 callbackCore(info);
 //#endregion:EventEnd</t>
  </si>
  <si>
    <t>//#region:Ver
 //CD:05/18/15/13:23,CB:wisut
 //ED:05/28/58/12:08,EB:jirapat
 //ED:07/27/15/17:52,EB:Art
 //ED:10/22/58/16:04,EB:Tof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eName != 1){
 var params = {ToRate:{D:0,M:0,Y:0},AD:true};
 _this.executeFunc("CheckDueDate",params,function(result){
 if(!result.success || (result.success &amp;&amp; result.output))
  info.isError = true;
 if(!info.isError){
 var Information = [{FDName:"D_TEXT_20",Format:field.get("DISPLAY_FORMAT"),IsBud:field.get("IS_BE_DATE")}];
 _this.executeFunc("SetDateINF",{Information:Information},function(){callbackCore(info);});
 }
 else
 callbackCore(info);
 });
 }
 else
 callbackCore(info);
 //#endregion:Etc
 //#region:EventEnd
 }
 else
 callbackCore(info);
 //#endregion:EventEnd</t>
  </si>
  <si>
    <t>//#region:Ver
 //CD:04/16/58/10:00,CB:Tof
 //ED:04/22/58/17:29,EB:jirapat
 //ED:07/27/15/17:52,EB:Art
 //ED:11-04-15-10:48,EB:sompan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</si>
  <si>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//CD:04/17/58/10:42,CB:Tof
 //ED:06/11/58/10:29,EB:jirapat
 //ED:07/27/15/17:52,EB:Art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8,Operator: "=="}
 }
 ,Operations: "AND"
 }
 var ParamsLang = {
 Condition: {Language: "NUM"}//TH,EN,NUM,THEN,THNUM,ENNUM
 ,Operations: "AND"
 }
 var ValLang = this.executeFunc("VerifyFieldLanguage",ParamsLang);
 //var ValReturn = this.executeFunc("VerifyFieldLength",Params);
 if(!ValLang)
 info.VerifyCode = "-320";
 //if(!ValReturn)
 // info.VerifyCode = "-400";
 if(!ValLang)
 info.isError = true;
 }
 callbackCore(info);
 //#endregion:Etc
 //#region:EventEnd
 }
 else
 callbackCore(info);
 //#endregion:EventEnd</t>
  </si>
  <si>
    <t>//#region:Ver
 //CD:04/17/58/10:42,CB:Tof
 //ED:04/22/58/17:30,EB:jirapat
 //ED:07/27/15/17:51,EB:Art
 //ED:11-04-15-17:13,EB:sompan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11,Operator: "=="}
 }
 ,Operations: "AND"
 }
 var ParamsLang = {
 Condition: {Language: "NUM"}//TH,EN,NUM,THEN,THNUM,ENNUM
 ,Operations: "AND"
 }
 var ValLang = this.executeFunc("VerifyFieldLanguage",ParamsLang);
 var ValReturn = this.executeFunc("VerifyFieldLength",Params);
 if(!ValReturn)
 info.VerifyCode = "-430";
 if(!ValLang)
 info.VerifyCode = "-320";
 if(ValReturn==false||ValLang==false)
 info.isError = true;
 }
 callbackCore(info);
 //#endregion:Etc
 //#region:EventEnd
 }
 else
 callbackCore(info);
 //#endregion:EventEnd</t>
  </si>
  <si>
    <t>//#region:Ver
 //CD:04/16/58/10:00,CB:Tof
 //ED:07/27/15/17:50,EB:Art
 //ED:07/06/59/14:51,EB:Tof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"&gt;",ErrorCode: "-890"}]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</si>
  <si>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123 เซอร์วิส จำกัด</t>
  </si>
  <si>
    <t>ชำระค่าสินค้า/บริการ123Service มีบาร์</t>
  </si>
  <si>
    <t>//#region:Ver
 //CD:06/05/58/14:38,CB:jirapat
 //ED:01/18/60/11:39,EB:Tof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"|010555303610000",Operator: "==",Start: 0,Num: 16}
  }
  ,Operations: "AND"
  }
  var ValReturn = this.executeFunc("VerifyFieldSubStr",Params);
  if(!ValReturn)
  info.isError = true;
  if(eName == 1 &amp;&amp; !info.isError){
  var fieldRef1 = _this.getField("D_TEXT_02");
  var fieldRef2 = _this.getField("D_TEXT_03");
  var params = {Sql: "SELECT CONVERT(NVARCHAR(50),CONVERT(DECIMAL,'"+fieldRef1.getValue()+"')) AS REF1,CONVERT(NVARCHAR(50),CONVERT(DECIMAL,'"+fieldRef2.getValue()+"')) AS REF2 "}
  var CallbackCallSql = function(result){
  var data = result.output.getData().Data;
  fieldRef1.setValue(data[0].REF1);
  fieldRef2.setValue(data[0].REF2);
  callbackCore(info);
  }
  _this.executeFunc("CallSqlServP",params,CallbackCallSql);
  }
  else
  callbackCore(info);
 }
 else
  callbackCore(info);
 //#endregion:Etc
 //#region:EventEnd
 }
 else
  callbackCore(info);
 //#endregion:EventEnd</t>
  </si>
  <si>
    <t>//#region:Ver
 //CD:07/03/58/16:48,CB:Minny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49000,Operator: "&lt;="}
  }
  ,Operations: "AND"
  }
  var ValReturn = this.executeFunc("VerifyField",Params);
  if(!ValReturn)
  info.VerifyCode = "-5090";
  if(!ValReturn)
  info.isError = true;
  if(info.isAfterVerify){
  var val = field.getValue();
  var flax = true;
  if(val &lt;= 0 || val &gt; 49000)
  flax = false;
  field.setProperty("IsReadOnly",flax);
  }
 }
 callbackCore(info);
 //#endregion:Etc
 //#region:EventEnd
 }
 else
  callbackCore(info);
 //#endregion:EventEnd</t>
  </si>
  <si>
    <t>MessageID</t>
  </si>
  <si>
    <t>ชำระค่าสินค้า/บริการ123Service ไม่มีบาร์</t>
  </si>
  <si>
    <t>//#region:Ver
 //CD:11/24/59/13:30,CB:Tof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verify
 if([1,2,3,8].indexOf(eName) != -1 || eName == 2){
 //#endregion:LoadData
 //#region:Etc
 if(info.isAfterVerify){
 var val  = field.getValue();
 var amtField = _this.getField("D_MONEY_01");
 var flax = true;
 if(val == 0)
 flax = false;
 if(!_.isNull(amtField))
 amtField.setProperty("IsReadOnly",flax);
 }
 callbackCore(info);
 //#endregion:Etc
 //#region:EventEnd
 }
 else
 callbackCore(info);
 //#endregion:EventEnd</t>
  </si>
  <si>
    <t>โอนเงินระหว่างประเทศ</t>
  </si>
  <si>
    <t>Barcode (Ref.)</t>
  </si>
  <si>
    <t>//#region:Ver
 //CD:01/02/2021/14:09,CB:Pe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 eName == 2){
 //#endregion:LoadData
 //#region:Etc
 if(info.isValid){
  var fieldQR = _this.getField("D_TEXT_01");
  var QRStr = fieldQR.getValue(); 
  var spltStr = QRStr.replace(/\s/g, '');
  spltStr = spltStr.split("|");
  //if(spltStr[1].substring(15, 23) == 99034690){ 
  //if(spltStr[1].substring(15, 23) == 99101383){
  //if(spltStr[1].substring(15, 23) == 99214679){
  if(spltStr[1].substring(15, 23) == 99079370){ 
  //Get field
  var fieldRef1 = _this.getField("D_TEXT_02");
  var fieldRef2 = _this.getField("D_TEXT_03");
  //var fieldSender = _this.getField("D_TEXT_05");
  //var fieldReceiver = _this.getField("D_TEXT_06");
  //var fieldCountry = _this.getField("D_TEXT_07");
  //var fieldAmount = _this.getField("D_MONEY_01");
  //Set field
  fieldRef1.setValue(spltStr[1].substring(15, 31));
  //fieldRef2.setValue(spltStr[1].substring(31, 47)); 
  fieldRef2.setValue(spltStr[1].substring(31, spltStr[1].length - 3)); 
  //fieldAmount.setValue(spltStr[1].substring(47,QRStr.length)/100); 
  //fieldSender.setValue(spltStr[2]);
  //fieldReceiver.setValue(spltStr[3]);
  //fieldCountry.setValue(spltStr[4]); 
  if(eName == 2){
  this.getField("D_TEXT_01").setProperty("IsReadOnly",true);
  } 
  }
  else{
  info.isError = true;
  }
  callbackCore(info);
 }
 else
  callbackCore(info);
 //#endregion:Etc
 //#region:EventEnd
 }
 else
  callbackCore(info);
 //#endregion:EventEnd</t>
  </si>
  <si>
    <t>//#region:Ver
 //CD:02/02/2021/10:29,CB:Pe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verify F8, F5
 if([1,2,3,8].indexOf(eName) != -1 || eName == 3 || eName == 2){
 //#endregion:LoadData
 //#region:Etc
 if(info.isValid){ 
  if(eName == 3 || eName == 2){
  var fieldRef1 = _this.getField("D_TEXT_02");
  var fieldRef2 = _this.getField("D_TEXT_03");
  if((fieldRef1.getValue() == '') || (fieldRef2.getValue() == '')){
  info.isError = true; 
  }
  } 
 }
 callbackCore(info);
 //#endregion:Etc
 //#region:EventEnd
 }
 else
  callbackCore(info);
 //#endregion:EventEnd</t>
  </si>
  <si>
    <t>QR code (ข้อมูล)</t>
  </si>
  <si>
    <t>//#region:Ver
 //CD:12/03/2021/14:09,CB:Pe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 eName == 2){
 //#endregion:LoadData
 //#region:Etc
 if(info.isValid){
  var fieldQR = _this.getField("D_TEXT_08");
  var QRStr = fieldQR.getValue();
  var spltStr = QRStr.split("|");
  //Get field
  var fieldSender = _this.getField("D_TEXT_05");
  var fieldReceiver = _this.getField("D_TEXT_06");
  var fieldCountry = _this.getField("D_TEXT_07");
  //Set field 
  fieldSender.setValue(spltStr[0]);
  fieldReceiver.setValue(spltStr[1]);
  fieldCountry.setValue(spltStr[2]);
  if(eName == 2){
  this.getField("D_TEXT_08").setProperty("IsReadOnly",true);
  }
  if(_.isNull(fieldSender.getValue())){
  info.isError = true;
  }
  callbackCore(info);
 }
 else
  callbackCore(info);
 //#endregion:Etc
 //#region:EventEnd
 }
 else
  callbackCore(info);
 //#endregion:EventEnd</t>
  </si>
  <si>
    <t>ชื่อผู้ส่ง</t>
  </si>
  <si>
    <t>ชื่อผู้รับ</t>
  </si>
  <si>
    <t>ประเทศปลายทาง</t>
  </si>
  <si>
    <t>//#region:Ver
 //CD:02/02/2021/10:29,CB:Pe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verify F8, F5
 if([1,2,3,8].indexOf(eName) != -1 || eName == 3 || eName == 2){
 //#endregion:LoadData
 //#region:Etc
 if(info.isValid){  
 if(eName == 3 || eName == 2){
 var fieldSender = _this.getField("D_TEXT_05");
 var fieldReceiver = _this.getField("D_TEXT_06");
 var fieldCountry = _this.getField("D_TEXT_07"); 
 if((fieldSender.getValue() == '') || (fieldReceiver.getValue() == '') || (fieldCountry.getValue() == '')){
 info.isError = true; 
 }
 } 
 }
 callbackCore(info);
 //#endregion:Etc
 //#region:EventEnd
 }
 else
  callbackCore(info);
 //#endregion:EventEnd</t>
  </si>
  <si>
    <t>//#region:Ver
 //CD:02/02/2021/10:29,CB:Thachaporn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var fieldAmount = field.getValue();
  if(fieldAmount &lt; 500 || fieldAmount &gt; 35000){
  info.isError = true; 
  } 
 }
 //eName = verify F8, F5
 if([1,2,3,8].indexOf(eName) != -1 || eName == 3 || eName == 2){
 //#endregion:LoadData
 //#region:Etc
 if(info.isValid){ 
  if(eName == 3 || eName == 2){
  var fieldRef1 = _this.getField("D_TEXT_02");
  var fieldRef2 = _this.getField("D_TEXT_03");
  //var fieldSender = _this.getField("D_TEXT_05");
  //var fieldReceiver = _this.getField("D_TEXT_06");
  //var fieldCountry = _this.getField("D_TEXT_07"); 
  this.getField("D_MONEY_01").setProperty("IsReadOnly",true);
  this.getField("D_TEXT_08").setProperty("IsReadOnly",true);
  this.getField("D_TEXT_01").setProperty("IsReadOnly",true);
  //if((fieldRef1 == '') || (fieldRef2.getValue() == '') || (fieldSender.getValue() == '') || (fieldReceiver.getValue() == '') || (fieldCountry.getValue() == '')){
  if((fieldRef1 == '') || (fieldRef2.getValue() == '')){
  info.isError = true; 
  }
  } 
 }
 callbackCore(info);
 //#endregion:Etc
 //#region:EventEnd
 }
 else
  callbackCore(info);
 //#endregion:EventEnd</t>
  </si>
  <si>
    <t>บริษัทเบทเตอร์เวย์(ประเทศไทย)จำกัด</t>
  </si>
  <si>
    <t>ค่าผลิตภัณฑ์มิสทีน (Mistine) (กทม-ตจว)</t>
  </si>
  <si>
    <t>บาร์โค๊ด</t>
  </si>
  <si>
    <t>//#region:Ver
 //CD:09/15/58/17:07,CB:Tof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"|310151680700",Operator: "==",Start: 0,Num: 13}
  ,1:{Value: "|010553102726400",Operator: "==",Start: 0,Num: 16}
 }
  ,Operations: "OR"
 }
 var ValReturn = this.executeFunc("VerifyFieldSubStr",Params);
 if(!ValReturn)
 info.isError = true;
 }
 callbackCore(info);
 //#endregion:Etc
 //#region:EventEnd
 }
 else
 callbackCore(info);
 //#endregion:EventEnd</t>
  </si>
  <si>
    <t>รหัสสาวจำหน่าย</t>
  </si>
  <si>
    <t>เลขที่ใบส่งของ</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</si>
  <si>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</si>
  <si>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ค่าผลิตภัณฑ์มิสทีน (Mistine) ภูมิภาค</t>
  </si>
  <si>
    <t>//#region:Ver
 //CD:05/07/58/16:50,CB:jirapat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var Ref1 = {getFDName: "D_TEXT_02",setFDName: "D_TEXT_03"}
 var Ref2 = {getFDName: "D_TEXT_02",setFDName: "D_TEXT_04"}
 var Params1 = {
 Condition: { 
  0:{Value: "|310151680700",Operator: "!=",Start: 0,Num: 13}
 }
 ,Operations: "AND"
 }
 var Params2 = {
 Condition: { 
  0:{Value: "|010553102726400",Operator: "!=",Start: 0,Num: 16}
 }
 ,Operations: "AND"
 }
 var ValReturn1 = this.executeFunc("VerifyFieldSubStr",Params1);
 var ValReturn2 = this.executeFunc("VerifyFieldSubStr",Params2);
 if(ValReturn1 &amp;&amp; ValReturn2){
 info.datas.isHideF8 = true;
 info.isClear = false;
 info.isError = true;
 _this.executeFunc("ClearAll",{FDName:["D_TEXT_02","D_TEXT_03","D_TEXT_04","D_MONEY_01"],isReadOnly:true});
 }
 else if(!ValReturn2){
 Ref1.Start = "16";
 Ref1.Num = "11";
 Ref2.Start = "27";
 Ref2.Num = "10";
 }
 else if(!ValReturn1){
 Ref1.Start = "13";
 Ref1.Num = "11";
 Ref2.Start = "24";
 Ref2.Num = "10";
 }
 if(!info.isError){
 this.executeFunc("SetValueSubStr",Ref1);
 this.executeFunc("SetValueSubStr",Ref2);
 }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</si>
  <si>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</si>
  <si>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ไทยทิคเก็ตจองคอนเสิร์ตงานแสดง</t>
  </si>
  <si>
    <t>รับชำระค่าจองตั๋วคอนเสิร์ตงานแสดง(TTM)</t>
  </si>
  <si>
    <t>//#region:Ver
 //CD:05/18/58/11:41,CB:jirapat
 //ED:10-07-15-16:44,EB:sompan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"2",Operator: "==",Start: 7,Num: 1}
 }
 ,Operations: "AND"
 }
 var ParamsLength = {
 Condition: { 
 0:{Value: 17,Operator: "=="}
 }
 ,Operations: "AND"
 }
 var ValReturn = this.executeFunc("VerifyFieldSubStr",Params);
 var ValReturn1 = this.executeFunc("VerifyFieldLength",ParamsLength);
 if(!ValReturn||!ValReturn1)
 info.isError = true;
 if(!ValReturn1)
 info.VerifyCode = "-481";
 }
 callbackCore(info);
 //#endregion:Etc
 //#region:EventEnd
 }
 else
 callbackCore(info);
 //#endregion:EventEnd</t>
  </si>
  <si>
    <t>//#region:Ver
 //CD:05/18/58/11:41,CB:jirapat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ValLang = this.executeFunc("VerifyFieldLanguage",ParamsLang);
 var ParamsLen = {
 Condition: { 
  0:{Value: 50,Operator: "&lt;="}
 }
 ,Operations: "AND"
 }
 var ValLen = this.executeFunc("VerifyFieldLength",ParamsLen);
 var ParamsChar = {
 Condition: { 
  0:{Character: ";"}
 }
 ,Operations: "AND"
 }
 var ValChar = this.executeFunc("VerifyFieldCharacter",ParamsChar);
 if (!ValLang)
 info.VerifyCode = "-10";
 if (!ValLen)
 info.VerifyCode = "-90";
 if (ValChar)
 info.VerifyCode = "-50";
 if(!ValLang || !ValLen || ValChar)
 info.isError = true;
 }
 callbackCore(info);
 //#endregion:Etc
 //#region:EventEnd
 }
 else
 callbackCore(info);
 //#endregion:EventEnd</t>
  </si>
  <si>
    <t>ชื่อบริการ</t>
  </si>
  <si>
    <t>วันเวลา</t>
  </si>
  <si>
    <t>//#region:Ver
 //CD:02/25/59/10:57,CB:Tof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[2].indexOf(eName) != -1){
 var feeAmt = _this.getField("FEE_AMOUNT");
 var val = parseInt(field.getValue());
 var amt = 20;
 var cal = 5;
 if(val &gt; 4)
 amt = amt + ((val - 4) * cal);
 if(!_.isNull(feeAmt))
 feeAmt.setValue(amt);
 }
 callbackCore(info);
 //#endregion:Etc
 //#region:EventEnd
 }
 else
 callbackCore(info);
 //#endregion:EventEnd</t>
  </si>
  <si>
    <t>//#region:Ver
 //CD:09/03/58/19:09,CB:Tof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
 if(info.isValid &amp;&amp; eName != 1){
 var Params = {
 Condition:[{Value: 1,Operator: "&lt;",ErrorCode: "-770"}
 ,{Value: 50000,Operator: "&gt;",ErrorCode: "-870"}]
 ,Operations: "OR"
 };
 var ValReturn = this.executeFunc("SPVerifyField",Params);
 if(!ValReturn.success || (ValReturn.success &amp;&amp; ValReturn.output) ){
 info.isError = true;
 info.VerifyCode = ValReturn.ErrorCode;
 }
 }
 }*/
 callbackCore(info);
 //#endregion:Etc
 //#region:EventEnd
 }
 else
 callbackCore(info);
 //#endregion:EventEnd</t>
  </si>
  <si>
    <t>มูลนิธิแผ่นดินธรรม วัดพระราม9</t>
  </si>
  <si>
    <t>บริจาคเงินให้แก่มูลนิธิแผ่นดินธรรม</t>
  </si>
  <si>
    <t>//#region:Ver
 //CD:04/22/58/17:36,CB:jirapat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</si>
  <si>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//CD:04/22/58/17:36,CB:jirapat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20,Operator: "&lt;",ErrorCode: "-780"},{Value: 50000,Operator: "&gt;",ErrorCode: "-870"}]
 ,Operations: "OR"
 };
 var ValReturn = _this.executeFunc("SPVerifyField",Params);
 if(!ValReturn.success || (ValReturn.success &amp;&amp; ValReturn.output) ){
 info.isError = true;
 info.VerifyCode = ValReturn.ErrorCode;
 }
 }
 callbackCore(info);
 //#endregion:Etc
 //#region:EventEnd
 }
 else
 callbackCore(info);
 //#endregion:EventEnd</t>
  </si>
  <si>
    <t>บริษัท ทรู มูฟ เอช ยูนิเวอร์แซลคอมมิวนิเคชั่น จำกัด</t>
  </si>
  <si>
    <t>ชำระค่าบริการ บจ.ทรูมูฟเอช ยูนิเวอร์แซลฯ</t>
  </si>
  <si>
    <t>//#region:Ver
 //CD:05/11/58/14:20,CB:jirapat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value = field.getValue();
 var Params = {
 Condition: { 
 0:{Value: "0105553045044",Operator: "==",Start: 0,Num: 13}
 ,1:{Value: "|0105553045044",Operator: "==",Start: 0,Num: 14}
 }
 ,Operations: "OR"
 }
 var ValReturn = this.executeFunc("VerifyFieldSubStr",Params);
 if(!ValReturn &amp;&amp; !(value.length == 1 &amp;&amp; value == "0"))
 info.isError = true;
 }
 callbackCore(info);
 //#endregion:Etc
 //#region:EventEnd
 }
 else
 callbackCore(info);
 //#endregion:EventEnd</t>
  </si>
  <si>
    <t>//#region:Ver
 //CD:04/16/58/10:00,CB:Tof
 //ED:05/11/58/14:20,EB:jirapat
 //ED:11-05-15-17:22,EB:sompan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if([1].indexOf(eName)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if(!ValReturn)
 info.isError = true;
 }
 if(info.isAfterVerify){
 field.setValue(0);
 field.focus();
 }
 var vat = {
 Amt:field.getValue()
 ,VatMode:false//true:vat out,false:vat in
 ,Rate:"7"
 }
 var output = this.executeFunc("CalcVat",vat);
 var vat = output.success ? output.output.vat : 0.00;
 var vatField = _this.getField("D_MONEY_02");
 var vatField1 = _this.getField("AGENT_VAT_AMOUNT");
 if(info.isError)
 vat = 0;
 if(!_.isNull(vatField))
 vatField.setValue(vat);
 if(!_.isNull(vatField1))
 vatField1.setValue(vat);
 }
 callbackCore(info);
 //#endregion:Etc
 //#region:EventEnd
 }
 else
 callbackCore(info);
 //#endregion:EventEnd</t>
  </si>
  <si>
    <t>บริษัท ดีแทคไตรเน็ต์ จำกัด</t>
  </si>
  <si>
    <t>ชำระค่าสินค้าและบริการ ดีแทคไตรเน็ต</t>
  </si>
  <si>
    <t>//#region:Ver
 //CD:22/07/58/10:05,CB:Tof
 //ED:07/28/15/16:51,EB:Art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barcode = field.getValue();
 var val = [barcode.substr(0,16),barcode.substr(0,11)];
 var len = barcode.length;
 var bc  = ["|010554903454800","|3101746372"];
 var total = [];
 var custLen = "";
 var refLen = "";
 var chk = "";
 var cal = 0;
 if(val[0] == bc[0] || val[1] == bc[1]){
 if([2,3].indexOf(eName) == -1){
 if (len &gt;= 34 &amp;&amp; len &lt;= 55 &amp;&amp; val[0] == bc[0] ){
 custLen = barcode.substr(16,9);
 refLen = barcode.substr(25,9);
 chk = barcode.substr(16,2);
 if(custLen == refLen )
 {
 total[0] = custLen;
 total[2]= barcode.substr(24,13);
 }
 else if (chk == "08" ||chk =="09")
 {
 total[0] = barcode.substr(16,13);
 total[1]= barcode.substr(29,9);
 total[2]= barcode.substr(38);
 }
 else
 {
 total[0] = barcode.substr(16,12);
 total[1]= barcode.substr(28,9);
 total[2]= barcode.substr(37,13);
 }
 }
 else if (len &gt;=29 &amp;&amp; len &lt;= 50 &amp;&amp; val[1] == bc[1])
 {
 custLen = barcode.substr(13,9);
 refLen = barcode.substr(22,9);
 chk = barcode.substr(13,2);
 if (custLen == refLen)
 {
 total[0] = custLen;
 total[2]= barcode.substr(31,13);
 }
 else if (chk = "08")
 {
 total[0] = barcode.substr(13,13);
 total[1] = barcode.substr(26,9);
 total[2] = barcode.substr(35);
 }
 else
 {
 total[0] = barcode.substr(13,12);
 total[1] = barcode.substr(13,12);
 total[2] = barcode.substr(34);
 }
 }
 else 
 {
 total[0] = barcode.substr(23,12);
 total[1] = barcode.substr(25,9);
 }
 total[2] = parseFloat(total[2])/100;
 total[2] = isNaN(total[2]) ? 0 : total[2];
 this.getField("D_TEXT_03").setValue(total[0]);
 this.getField("D_TEXT_04").setValue(total[1]);
 this.getField("D_MONEY_03").setValue(total[2]);
 this.getField("D_MONEY_01").setValue(total[2]);
 this.getField("D_MONEY_02").setValue(total[2]);
 }
 }
 else
 info.isError = true;
 }
 callbackCore(info);
 //#endregion:Etc
 //#region:EventEnd
 }
 else
 callbackCore(info);
 //#endregion:EventEnd</t>
  </si>
  <si>
    <t>จำนวนเงินชำระจริง</t>
  </si>
  <si>
    <t>//#region:Ver
 //CD:22/07/58/10:05,CB:Tof
 //ED:07/28/15/16:51,EB:Art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if([2].indexOf(eName) == -1 &amp;&amp; !field.isLock()){
 var val = field.getValue();
 var moneyField = this.getField("D_MONEY_01");
 if(!_.isNull(moneyField)){
 if(!info.isError)
 moneyField.setValue(val);
 else
 this.executeFunc("Clear",{FDName:"D_MONEY_01"});
 }
 if([3].indexOf(eName) != -1)
 field.setLock(true);
 }
 }
 callbackCore(info)
 //#endregion:Etc
 //#region:EventEnd
 }
 else
 callbackCore(info);
 //#endregion:EventEnd</t>
  </si>
  <si>
    <t>ธ.ไทยพาณิชย์ จำกัด(มหาชน)LOAN</t>
  </si>
  <si>
    <t>ค่าสินเชื่อบุคคล SPEEDY LOAN ไทยพาณิชย์</t>
  </si>
  <si>
    <t>//#region:Ver
 //CD:05/07/58/16:38,CB:jirapat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Params1,ValReturn1;
 Params1 = {
 Condition: { 
 0:{Value: "|010753600010203",Operator: "==",Start: 0,Num: 16}
 ,1:{Value: "010753600010203",Operator: "==",Start: 0,Num: 15}
 }
 ,Operations: "OR"
 }
 ValReturn1 = _this.executeFunc("VerifyFieldSubStr",Params1);
 if(!ValReturn1)
 info.isError = true;
 }
 callbackCore(info);
 //#endregion:Etc
 //#region:EventEnd
 }
 else
 callbackCore(info);
 //#endregion:EventEnd</t>
  </si>
  <si>
    <t>เลขที่บัญชีสินเชื่อ</t>
  </si>
  <si>
    <t>//#region:Ver
 //CD:04/16/58/10:00,CB:Tof
 //ED:11-05-15-11:54,EB:sompan
 //ED:08/02/59/16:12,EB:Tof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</si>
  <si>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กยศ กองทุน01 (กรุงไทย)</t>
  </si>
  <si>
    <t>ชำระเงินกู้กยศ.บาร์ยาวมีวันครบกำหนด KTB</t>
  </si>
  <si>
    <t>//#region:Ver
 //CD:05/18/58/11:43,CB:jirapat
 //ED:07/28/15/16:59,EB:Art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var Params = {
 Condition: { 
  0:{Value: "|099400021203801",Operator: "!=",Start: 0,Num: 16}
 }
 ,Operations: "AND"
 }
 var ValReturn = this.executeFunc("VerifyFieldSubStr",Params);
 if(ValReturn)
  info.isError = true;
 }
 callbackCore(info);
 //#endregion:Etc
 //#region:EventEnd
 }
 else
 callbackCore(info);
 //#endregion:EventEnd</t>
  </si>
  <si>
    <t>//#region:Ver
 //CD:04/16/58/10:00,CB:Tof
 //ED:05/18/58/11:43,EB:jirapat
 //ED:07/28/15/16:58,EB:Art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</si>
  <si>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//CD:04/16/58/10:00,CB:Tof
 //ED:05/18/58/11:44,EB:jirapat
 //ED:07/28/15/16:58,EB:Art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ValReturn = this.executeFunc("CheckIDCardNo");
 if(ValReturn == false)
 info.isError = true;
 }
 callbackCore(info);
 //#endregion:Etc
 //#region:EventEnd
 }
 else
 callbackCore(info);
 //#endregion:EventEnd</t>
  </si>
  <si>
    <t>//#region:Ver
 //CD:07/17/58/14:53,CB:jirapat
 //ED:07/28/15/16:57,EB:Art
 //ED:10/22/58/15:36,EB:Tof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var params = {
 ToRate:{D:0,M:0,Y:0}
 ,AD:true
 }
 if(info.isValid){
 var CallbackDueDate = function(result){console.log(result);
 if((result.success &amp;&amp; result.output) || !result.success)
 info.isError = true;
 if(!info.isError &amp;&amp; [2,3].indexOf(eName) == -1){
 var Information = [{FDName:"D_TEXT_20",Format:field.get("DISPLAY_FORMAT"),IsBud:field.get("IS_BE_DATE")}];
 _this.executeFunc("SetDateINF",{Information:Information},function(){
 callbackCore(info);
 });
 }
 else
 callbackCore(info);
 }
 _this.executeFunc("CheckDueDate",params,CallbackDueDate);
 }
 else
 callbackCore(info);
 //#endregion:Etc
 //#region:EventEnd
 }
 else
 callbackCore(info);
 //#endregion:EventEnd</t>
  </si>
  <si>
    <t>//#region:Ver
 //CD:05/18/58/11:45,CB:jirapat
 //ED:07/28/15/16:55,EB:Art
 //ED:07/05/59/17:42,EB:Tof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100000,Operator: "&gt;"}]
 ,Operations: "OR"
 };
 var ValReturn = _this.executeFunc("SPVerifyField",Params);
 if(!ValReturn.success || (ValReturn.success &amp;&amp; ValReturn.output) ){
 info.isError = true;
 info.VerifyCode = ValReturn.ErrorCode;
 }
 }
 callbackCore(info);
 //#endregion:Etc
 //#region:EventEnd
 }
 else
 callbackCore(info);
 //#endregion:EventEnd</t>
  </si>
  <si>
    <t>ชำระเงินกู้กยศ.บาร์สั้นไม่มีครบกำหนด KTB</t>
  </si>
  <si>
    <t>//#region:Ver
 //CD:07/05/60/16:24,CB:Tof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"|099400021203804" || val.length != 40)
  info.isError = true;
  if(eName == 1 &amp;&amp; !info.isError){
  var ref5 = _this.getField("D_TEXT_05");
  var ref6 = _this.getField("D_TEXT_06");
  var amt = _this.getField("D_MONEY_01");
  if(ref5){
  ref5.setProperty("IsReadOnly",false);
  ref5.focus();
  }
  if(ref6) ref6.setProperty("IsReadOnly",false);
  if(amt) amt.setProperty("IsReadOnly",false);
  info.isShowF8 = true;
  }
 }
 callbackCore(info);
 //#endregion:Etc
 //#region:EventEnd
 }
 else
  callbackCore(info);
 //#endregion:EventEnd</t>
  </si>
  <si>
    <t>//#region:Ver
 //CD:07/05/60/16:24,CB:Tof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_this.executeFunc("CheckIDCardNo");
  if(!ValReturn)
  info.isError = true;
  if(eName == 1 &amp;&amp; (info.isError)){
  var ref5 = _this.getField("D_TEXT_05");
  var ref6 = _this.getField("D_TEXT_06");
  var amt = _this.getField("D_MONEY_01");
  if(ref5) ref5.setProperty("IsReadOnly",true);
  if(ref6) ref6.setProperty("IsReadOnly",true);
  if(amt) amt.setProperty("IsReadOnly",true);
  info.isHideF8 = true;
  }
 }
 callbackCore(info);
 //#endregion:Etc
 //#region:EventEnd
 }
 else
  callbackCore(info);
 //#endregion:EventEnd</t>
  </si>
  <si>
    <t>//#region:Ver
 //CD:07/05/60/16:24,CB:Tof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"NUM"},Operations: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</si>
  <si>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//CD:07/05/60/16:25,CB:Tof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{Condition: {0:{Value: 100000,Operator: "&lt;="},1:{Value: 1,Operator: "&gt;"}},Operations: "AND"};
  var ValReturn = _this.executeFunc("VerifyField",Params);
  if(!ValReturn)
  info.isError = true;
 }
 callbackCore(info);
 //#endregion:Etc
 //#region:EventEnd
 }
 else
  callbackCore(info);
 //#endregion:EventEnd</t>
  </si>
  <si>
    <t>กยศ กองทุน21 (อิสลาม)</t>
  </si>
  <si>
    <t>เงินกู้กยศ.บาร์สั้นไม่มีครบกำหนดธ.อิสลาม</t>
  </si>
  <si>
    <t>//#region:Ver
 //CD:07/05/60/16:25,CB:Tof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"|099400021203824" || val.length != 40)
  info.isError = true;
  if(eName == 1 &amp;&amp; !info.isError){
  var ref5 = _this.getField("D_TEXT_05");
  var ref6 = _this.getField("D_TEXT_06");
  var amt = _this.getField("D_MONEY_01");
  if(ref5){
  ref5.setProperty("IsReadOnly",false);
  ref5.focus();
  }
  if(ref6) ref6.setProperty("IsReadOnly",false);
  if(amt) amt.setProperty("IsReadOnly",false);
  info.isShowF8 = true;
  }
 }
 callbackCore(info);
 //#endregion:Etc
 //#region:EventEnd
 }
 else
  callbackCore(info);
 //#endregion:EventEnd</t>
  </si>
  <si>
    <t>//#region:Ver
 //CD:07/05/60/16:26,CB:Tof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"NUM"},Operations: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</si>
  <si>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//CD:07/05/60/16:26,CB:Tof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{Condition: {0:{Value: 100000,Operator: "&lt;="},1:{Value: 1,Operator: "&gt;"}},Operations: "AND"};
  var ValReturn = _this.executeFunc("VerifyField",Params);
  if(!ValReturn)
  info.isError = true;
 }
 callbackCore(info);
 //#endregion:Etc
 //#region:EventEnd
 }
 else
  callbackCore(info);
 //#endregion:EventEnd</t>
  </si>
  <si>
    <t>บริษัท โคเวย์ (ประเทศไทย) จำกัด</t>
  </si>
  <si>
    <t>ชำระค่าสินค้า บ.โคเวย์(ประเทศไทย)จำกัด</t>
  </si>
  <si>
    <t>//#region:Ver
 //CD:05/19/58/10:07,CB:jirapat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"|303104718100",Operator: "!=",Start: 0,Num: 13}
  ,1:{Value: "|010554610162700",Operator: "!=",Start: 0,Num: 16}
 }
 ,Operations: "AND"
 }
 var ValReturn = this.executeFunc("VerifyFieldSubStr",Params);
 if(ValReturn==true)
 info.isError = true;
 }
 callbackCore(info);
 //#endregion:Etc
 //#region:EventEnd
 }
 else
 callbackCore(info);
 //#endregion:EventEnd</t>
  </si>
  <si>
    <t>//#region:Ver
 //CD:04/16/58/10:00,CB:Tof
 //ED:05/19/58/10:08,EB:jirapat
 //ED:09-24-15-17:56,EB:sompan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</si>
  <si>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//CD:05/19/58/10:08,CB:jirapat
 //ED:08/02/59/16:19,EB:Tof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</si>
  <si>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ธนาคารกรุงศรีอยุยา จำกัด (มหาชน)</t>
  </si>
  <si>
    <t>สินเชื่อรถยนต์ ธนาคารกรุงศรีอยุธยา</t>
  </si>
  <si>
    <t>//#region:Ver
 //CD:05/08/15/11:06,CB:wisut
 //ED:07/28/15/17:12,EB:Art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"|010753600107984",Operator: "!=",Start: 0,Num: 16}
 }
 ,Operations: "AND"
 }
 var ValReturn = this.executeFunc("VerifyFieldSubStr",Params);
 if(ValReturn==true)
 info.isError = true;
 }
 callbackCore(info);
 //#endregion:Etc
 //#region:EventEnd
 }
 else
 callbackCore(info);
 //#endregion:EventEnd</t>
  </si>
  <si>
    <t>//#region:Ver
 //CD:06/11/58/17:23,CB:jirapat
 //ED:07/28/15/17:11,EB:Art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info.isLock = true;
 var Params = {
 Condition: {Language: "NUM"}//TH,EN,NUM,THEN,THNUM,ENNUM
 ,Operations: "AND"
 }
 var Params1 = {
 Condition: { 
 0:{Value: 0,Operator: "=="}
 }
 ,Operations: "AND"
 }
 var ValReturn1 = this.executeFunc("VerifyField",Params1);
 var ValReturn = this.executeFunc("VerifyFieldLanguage",Params);
 if(!ValReturn)
 info.VerifyCode = "-320";
 if(ValReturn==false||ValReturn1 == true)
 info.isError = true;
 }
 callbackCore(info);
 //#endregion:Etc
 //#region:EventEnd
 }
 else
 callbackCore(info);
 //#endregion:EventEnd</t>
  </si>
  <si>
    <t>รหัสชำระ/Ref 2</t>
  </si>
  <si>
    <t>//#region:Ver
 //CD:06/11/58/17:23,CB:jirapat
 //ED:07/28/15/17:09,EB:Art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info.isLock = true;
 var Params = {
 Condition: {Language: "NUM"}//TH,EN,NUM,THEN,THNUM,ENNUM
 ,Operations: "AND"
 } 
 var ValReturn = this.executeFunc("VerifyFieldLanguage",Params);
 if(!ValReturn)
 info.VerifyCode = "-320";
 if(ValReturn==false)
 info.isError = true;
 }
 callbackCore(info);
 //#endregion:Etc
 //#region:EventEnd
 }
 else
 callbackCore(info);
 //#endregion:EventEnd</t>
  </si>
  <si>
    <t>//#region:Ver
 //CD:01-26-16-16:04,CB:sompan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</si>
  <si>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วิริยะประกันภัย จำกัด (มหาชน)</t>
  </si>
  <si>
    <t>ชำระค่าเบี้ยไมโคร 200 บ.วิริยะประกันฯ</t>
  </si>
  <si>
    <t>//#region:Ver
 //CD:05/19/58/10:11,CB:jirapat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"|010755500013905591",Operator: "==",Start: 0,Num: 19}
 }
 ,Operations: "AND"
 }
 var ValReturn = this.executeFunc("VerifyFieldSubStr",Params);
 if(!ValReturn)
 info.isError = true;
 if(!info.isError){
 var ref1 = _this.getField("D_TEXT_08");
 var ref2 = _this.getField("D_TEXT_09");
 if(!_.isNull(ref1))
 ref1.setValue("02");
 if(!_.isNull(ref2))
 ref2.setValue("01");
 }
 }
 callbackCore(info);
 //#endregion:Etc
 //#region:EventEnd
 }
 else
 callbackCore(info);
 //#endregion:EventEnd</t>
  </si>
  <si>
    <t>//#region:Ver
 //CD:04/16/58/10:00,CB:Tof
 //ED:05/19/58/10:14,EB:jirapat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eName!=1){
 info.isLock = true;
 var ValReturn = this.executeFunc("CheckIDCardNo");
 if(ValReturn == false)
 info.isError = true;
 }
 callbackCore(info);
 //#endregion:Etc
 //#region:EventEnd
 }
 else
 callbackCore(info);
 //#endregion:EventEnd</t>
  </si>
  <si>
    <t>//#region:Ver
 //CD:03-02-16-14:33,CB:sompan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</si>
  <si>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//CD:05/19/58/10:15,CB:jirapat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eName!=1 ){
 info.isLock = true;
 var val = field.getValue();
 var field1 = _this.getField("D_TEXT_07");
 var Params = {
 Condition: {Language: "NUM"}//TH,EN,NUM,THEN,THNUM,ENNUM
 ,Operations: "AND"
 }
 var ValReturn = this.executeFunc("VerifyFieldLanguage",Params); 
 var ParamsLen = {
 Condition: { 
 0:{Value: 11,Operator: "=="}
 }
 ,Operations: "AND"
 }
 var Len = this.executeFunc("VerifyFieldLength",ParamsLen);
 if(!Len)
 info.VerifyCode = "-430"; 
 if(!ValReturn)
 info.VerifyCode = "-320"; 
 if(!ValReturn||!Len)
 info.isError = true;
 if(!info.isError){
 if(!_.isNull(field1)){
 field1.setValue(val.substr(0,5) + "/POL/" + val.substr(5,6) + "-591")
 }
 }
 if(!info.isError){
 _this.executeFunc("ChkDupBar",{BARCODE:[val],FieldChk:["REFNO4"]},function(result){
 if(!result.success || !_.isUndefined(result.output.Msg)){
 info.Msg = result.output.Msg;
 info.isError = result.output.isError;
 info.isClear = false;
 }
 callbackCore(info);
 });
 }
 else 
 callbackCore(info);
 }
 else
 callbackCore(info);
 //#endregion:Etc
 //#region:EventEnd
 }
 else
 callbackCore(info);
 //#endregion:EventEnd</t>
  </si>
  <si>
    <t>//#region:Ver
 //CD:12/24/58/11:05,CB:Tof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</si>
  <si>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ชำระวิริยะ</t>
  </si>
  <si>
    <t>วิริยะ</t>
  </si>
  <si>
    <t>ชำระค่าเบี้ยอัคคีภัย 500 บ.วิริยะประกันฯ</t>
  </si>
  <si>
    <t>//#region:Ver
 //CD:05/19/58/10:17,CB:jirapat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"|010755500013901058",Operator: "!=",Start: 0,Num: 19}
 }
 ,Operations: "AND"
 }
 var ValReturn = this.executeFunc("VerifyFieldSubStr",Params);
 if(ValReturn==true)
 info.isError = true;
 }
 callbackCore(info);
 //#endregion:Etc
 //#region:EventEnd
 }
 else
 callbackCore(info);
 //#endregion:EventEnd</t>
  </si>
  <si>
    <t>//#region:Ver
 //CD:04/16/58/10:00,CB:Tof
 //ED:05/19/58/10:18,EB:jirapat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</si>
  <si>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//ED:05/19/58/10:18,EB:jirapat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eName!=1){
 info.isLock = true;
 var ValReturn = this.executeFunc("CheckIDCardNo");
 if(ValReturn == false)
 info.isError = true;
 }
 callbackCore(info);
 //#endregion:Etc
 //#region:EventEnd
 }
 else
 callbackCore(info);
 //#endregion:EventEnd</t>
  </si>
  <si>
    <t>//#region:Ver
 //CD:03-02-16-14:41,CB:sompan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if([5,8].indexOf(eName)!=-1)
 info.isLock = true;
 callbackCore(info);
 //#endregion:Etc
 //#region:EventEnd
 }
 else
 callbackCore(info);
 //#endregion:EventEnd</t>
  </si>
  <si>
    <t>//#region:Ver
 //CD:05/19/58/10:19,CB:jirapat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eName!=1 ){
 info.isLock = true;
 var val = field.getValue();
 var field1 = _this.getField("D_TEXT_07");
 var Params = {
 Condition: {Language: "NUM"}//TH,EN,NUM,THEN,THNUM,ENNUM
 ,Operations: "AND"
 }
 var ValReturn = this.executeFunc("VerifyFieldLanguage",Params); 
 var ParamsLen = {
 Condition: { 
 0:{Value: 11,Operator: "=="}
 }
 ,Operations: "AND"
 }
 var Len = this.executeFunc("VerifyFieldLength",ParamsLen);
 if(!Len)
 info.VerifyCode = "-430"; 
 if(!ValReturn)
 info.VerifyCode = "-320"; 
 if(!ValReturn||!Len)
 info.isError = true;
 if(!info.isError){
 if(!_.isNull(field1)){
 field1.setValue(val.substr(0,5) + "/POL/" + val.substr(5,6) + "-058")
 }
 }
 if(!info.isError){
 _this.executeFunc("ChkDupBar",{BARCODE:[val],FieldChk:["REFNO4"]},function(result){
 if(!result.success || !_.isUndefined(result.output.Msg)){
 info.Msg = result.output.Msg;
 info.isError = result.output.isError;
 info.isClear = false;
 }
 callbackCore(info);
 });
 }
 else 
 callbackCore(info);
 }
 callbackCore(info);
 //#endregion:Etc
 //#region:EventEnd
 }
 else
 callbackCore(info);
 //#endregion:EventEnd</t>
  </si>
  <si>
    <t>//#region:Ver
 //CD:12/24/58/11:05,CB:Tof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</si>
  <si>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มหาวิทยาลัยเทคโนโลยีราชมงคลสุวรรณภูมิ</t>
  </si>
  <si>
    <t>ชำระค่าขึ้นทะเบียน/ลงทะเบียน ปริญญาตรี</t>
  </si>
  <si>
    <t>//#region:Ver
 //CD:09-16-15-11:32,CB:sompan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_this.executeFunc("SrmuRegfeeChkDG",{Data:field.getValue()});
 if(!ValReturn.success || !ValReturn.output)
 info.isError = true;
 }
 callbackCore(info);
 //#endregion:Etc
 //#region:EventEnd
 }
 else
 callbackCore(info);
 //#endregion:EventEnd</t>
  </si>
  <si>
    <t>//#region:Ver
 //CD:04/22/58/17:44,CB:jirapat
 //ED:07/28/15/17:17,EB:Art
 //ED:11-04-15-16:52,EB:sompan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</si>
  <si>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//CD:04/22/58/17:47,CB:jirapat
 //ED:07/28/15/17:16,EB:Art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info.isLock = true;
 if(field.getValue().length == 13){
 var ValReturn = this.executeFunc("CheckIDCardNo");
 if(ValReturn == false)
 info.isError = true;
 }
 }
 callbackCore(info);
 //#endregion:Etc
 //#region:EventEnd
 }
 else
 callbackCore(info);
 //#endregion:EventEnd</t>
  </si>
  <si>
    <t>//#region:Ver
 //CD:09-16-15-11:46,CB:sompan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info.isLock = true;
 if(field.getValue().length == 13){
 var ValReturn = this.executeFunc("CheckIDCardNo");
 if(ValReturn == false)
 info.isError = true;
 }
 }
 callbackCore(info);
 //#endregion:Etc
 //#region:EventEnd
 }
 else
 callbackCore(info);
 //#endregion:EventEnd</t>
  </si>
  <si>
    <t>//#region:Ver
 //CD:04/16/58/10:00,CB:Tof
 //ED:05/08/58/17:47,EB:jirapat
 //ED:07/28/15/17:15,EB:Art
 //ED:11-04-15-16:54,EB:sompan
 //ED:08/02/59/16:22,EB:Tof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</si>
  <si>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ชำระค่าสมัครเข้าศึกษา ระดับปริญญาตรี</t>
  </si>
  <si>
    <t>//#region:Ver
 //CD:10/07/58/18:17,CB:Tof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_this.executeFunc("SrmuAdmissChkDG",{Data:field.getValue()});
 if(!ValReturn.success || !ValReturn.output)
 info.isError = true;
 }
 callbackCore(info);
 //#endregion:Etc
 //#region:EventEnd
 }
 else
 callbackCore(info);
 //#endregion:EventEnd</t>
  </si>
  <si>
    <t>//#region:Ver
 //CD:04/22/58/17:57,CB:jirapat
 //ED:07/28/15/17:41,EB:Art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</si>
  <si>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//CD:06/12/58/17:43,CB:jirapat
 //ED:07/28/15/17:40,EB:Art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info.isLock = true;
 var Params = {
 Condition: { 
 0:{Value: 16,Operator: "=="}
 }
 ,Operations: "OR"
 }
 var ValReturn = this.executeFunc("VerifyFieldLength",Params);
 if(ValReturn==false)
 info.isError = true;
 this.getField("D_TEXT_03").setLock(true);
 }
 callbackCore(info);
 //#endregion:Etc
 //#region:EventEnd
 }
 else
 callbackCore(info);
 //#endregion:EventEnd</t>
  </si>
  <si>
    <t>เลขที่บัตรประชาชน (REF 2)</t>
  </si>
  <si>
    <t>//#region:Ver
 //CD:04/16/58/10:00,CB:Tof
 //ED:05/08/58/17:52,EB:jirapat
 //ED:07/28/15/17:39,EB:Art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ValReturn = this.executeFunc("CheckIDCardNo");
 if(ValReturn == false)
 info.isError = true;
 }
 callbackCore(info);
 //#endregion:Etc
 //#region:EventEnd
 }
 else
 callbackCore(info);
 //#endregion:EventEnd</t>
  </si>
  <si>
    <t>//#region:Ver
 //CD:04/16/58/10:00,CB:Tof
 //ED:05/08/58/17:53,EB:jirapat
 //ED:07/28/15/17:38,EB:Art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</si>
  <si>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บ.สินมั่นคงประกันภัย จำกัด(มหาชน)</t>
  </si>
  <si>
    <t>ชำระค่าเบี้ยประกันไมโคร 200 บ.สินมั่นคงฯ</t>
  </si>
  <si>
    <t>//#region:Ver
 //CD:05/19/58/10:32,CB:jirapat
 //ED:08/03/59/11:15,EB:Tof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"|010753700164105672",Operator: "==",Start: 0,Num: 19}
 }
 ,Operations: "AND"
 }
 var ValReturn = this.executeFunc("VerifyFieldSubStr",Params);
 if(!ValReturn)
 info.isError = true;
 if(!info.isError){
 var val = field.getValue();
 _this.executeFunc("ChkDupBar",{BARCODE:[val],FieldChk:["BRCDE"]},function(result){
 if(!result.success || !_.isUndefined(result.output.Msg)){
 info.Msg = result.output.Msg;
 info.isError = result.output.isError;
 info.isClear = false;
 }
 callbackCore(info);
 });
 }
 else 
 callbackCore(info);
 }
 else
 callbackCore(info);
 //#endregion:Etc
 //#region:EventEnd
 }
 else
 callbackCore(info);
 //#endregion:EventEnd</t>
  </si>
  <si>
    <t>//#region:Ver
 //CD:04/16/58/10:00,CB:Tof
 //ED:05/19/58/10:39,EB:jirapat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(!ValLang)
 info.VerifyCode = "-10";
 if (!ValLen)
 info.VerifyCode = "-90";
 if (ValChar)
 info.VerifyCode = "-50";
 if(!ValLang || !ValLen || ValChar)
 info.isError = true;
 }
 callbackCore(info);
 //#endregion:Etc
 //#region:EventEnd
 }
 else
 callbackCore(info);
 //#endregion:EventEnd</t>
  </si>
  <si>
    <t>//#region:Ver
 //CD:04/16/58/10:00,CB:Tof
 //ED:05/19/58/10:40,EB:jirapat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eName!=1){
 info.isLock = true;
 var ValReturn = _this.executeFunc("CheckIDCardNo");
 if(!ValReturn)
 info.isError = true;
 }
 callbackCore(info);
 //#endregion:Etc
 //#region:EventEnd
 }
 else
 callbackCore(info);
 //#endregion:EventEnd</t>
  </si>
  <si>
    <t>//#region:Ver
 //CD:03/02/59/16:25,CB:Tof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if([1].indexOf(eName) == -1)
 info.isLock = true;
 callbackCore(info);
 //#endregion:Etc
 //#region:EventEnd
 }
 else
 callbackCore(info);
 //#endregion:EventEnd</t>
  </si>
  <si>
    <t>กรอกตัวเลขของกรมธรรม์ 8 หลัก</t>
  </si>
  <si>
    <t>//#region:Ver
 //CD:02-02-16-10:42,CB:sompan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if([1].indexOf(eName) == -1){
 info.isLock = true; 
 var val = field.getValue();
 var Params2 = {
 Condition: { 
 0:{Value: 8,Operator: "=="}
 }
 ,Operations: "AND"
 }
 var ValReturn = this.executeFunc("VerifyFieldLength",Params2);
 if (!ValReturn)
 info.VerifyCode = "-400";
 if(!ValReturn)
 info.isError = true;
 if([2,3].indexOf(eName) == -1){
 var setField = _this.getField("D_TEXT_11");
 if(!_.isNull(setField))
 setField.setValue("900-"+val.substr(0,2)+"-672-1-"+val.substr(2,6));
 }
 }
 callbackCore(info);
 //#endregion:Etc
 //#region:EventEnd
 }
 else
 callbackCore(info);
 //#endregion:EventEnd</t>
  </si>
  <si>
    <t>เล่มที่/เลขที่ (Ref No.)</t>
  </si>
  <si>
    <t>ชำระสินมั่นคงฯ</t>
  </si>
  <si>
    <t>สินมั่นคงฯ</t>
  </si>
  <si>
    <t>ประกันอัคคีภัย สินมั่นคง 400</t>
  </si>
  <si>
    <t>//#region:Ver
 //CD:05/17/60/14:36,CB:Tof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if(val.substr(0,19) != "|010753700164108500")
  info.isError = true;
  else{
  var ref12 = _this.getField("D_TEXT_08");
  var ref13 = _this.getField("D_TEXT_09");
  if(!_.isNull(ref12))
  ref12.setValue("02");
  if(!_.isNull(ref13))
  ref13.setValue("01");
  }
 }
 callbackCore(info);
 //#endregion:Etc
 //#region:EventEnd
 }
 else
  callbackCore(info);
 //#endregion:EventEnd</t>
  </si>
  <si>
    <t>//#region:Ver
 //CD:05/17/60/14:37,CB:Tof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ParamsLen = {Condition: {0:{Value: 50,Operator: "&lt;="}},Operations: "AND"};
  var ParamsChar = {Condition: {0:{Character: ";"}},Operations: "AND"}
  var ValLang = _this.executeFunc("VerifyFieldLanguage",ParamsLang);
  var ValLen = _this.executeFunc("VerifyFieldLength",ParamsLen);
  var ValChar = _this.executeFunc("VerifyFieldCharacter",ParamsChar);
  if (!ValLang)
  info.VerifyCode = "-10";
  if (!ValLen)
  info.VerifyCode = "-90";
  if (ValChar)
  info.VerifyCode = "-50";
  if(!ValLang || !ValLen || ValChar)
  info.isError = true;
 }
 callbackCore(info);
 //#endregion:Etc
 //#region:EventEnd
 }
 else
  callbackCore(info);
 //#endregion:EventEnd</t>
  </si>
  <si>
    <t>//#region:Ver
 //CD:05/17/60/14:38,CB:Tof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(eName!=1)){
  info.isLock = true;
  var ValReturn = _this.executeFunc("CheckIDCardNo");
  if(!ValReturn)
  info.isError = true;
 }
 callbackCore(info);
 //#endregion:Etc
 //#region:EventEnd
 }
 else
  callbackCore(info);
 //#endregion:EventEnd</t>
  </si>
  <si>
    <t>//#region:Ver
 //CD:05/17/60/14:41,CB:Tof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[1].indexOf(eName) == -1){
  info.isLock = true;
  var val = field.getValue();
  var ParamsLen = {Condition: {0:{Value: 10,Operator: "=="}},Operations: "AND"};
  var outputLen = _this.executeFunc("VerifyFieldLength",ParamsLen);
  var ParamsLang = {Condition: {Language: "NUM"},Operations: "AND"};
  var outputLang = _this.executeFunc("VerifyFieldLanguage",ParamsLang);
  if(!outputLen || !outputLang)
  info.isError = true;
 }
 callbackCore(info);
 //#endregion:Etc
 //#region:EventEnd
 }
 else
  callbackCore(info);
 //#endregion:EventEnd</t>
  </si>
  <si>
    <t>//#region:Ver
 //CD:05/17/60/14:40,CB:Tof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if([1].indexOf(eName) != -1){
  info.isLock = true; 
  var val = field.getValue();
  var Params2 = {
  Condition: { 
  0:{Value: 8,Operator: "=="}
  }
  ,Operations: "AND"
  }
  var ValReturn = this.executeFunc("VerifyFieldLength",Params2);
  if (!ValReturn)
  info.VerifyCode = "-400";
  if(!ValReturn)
  info.isError = true;
  if(!info.isError){
  _this.executeFunc("ChkDupBar",{BARCODE:[val],FieldChk:["REFNO6"]},function(result){
  if(!result.success || !_.isUndefined(result.output.Msg)){
  info.Msg = result.output.Msg;
  info.isError = result.output.isError;
  info.isClear = false;
  }
  if([2,3].indexOf(eName) == -1){
  var setField = _this.getField("D_TEXT_07");
  if(!info.isError){
  if(!_.isNull(setField))
  setField.setValue("900-"+val.substr(0,2)+"-600-1-"+val.substr(2,6));
  }
  }
  callbackCore(info);
  });
  }
  else 
  callbackCore(info);
 }
 callbackCore(info);
 //#endregion:Etc
 //#region:EventEnd
 }
 else
  callbackCore(info);
 //#endregion:EventEnd</t>
  </si>
  <si>
    <t>TAB_2</t>
  </si>
  <si>
    <t>TAB_1</t>
  </si>
  <si>
    <t>หจก.ฟ้าอรุณพืชผลเพื่อไทย</t>
  </si>
  <si>
    <t>ชำระค่าสินค้า หจก.ฟ้าอรุณพืชผลเพื่อไทย</t>
  </si>
  <si>
    <t>//#region:Ver
 //CD:04/09/15/11:30,CB:wisut
 //ED:05/11/58/09:54,EB:jirapat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"|064355000003500",Operator: "!=",Start: 0,Num: 16}
 }
 ,Operations: "AND"
 }
 var ValReturn = this.executeFunc("VerifyFieldSubStr",Params);
 if(ValReturn==true)
 info.isError = true;
 }
  callbackCore(info);
 //#endregion:Etc
 //#region:EventEnd
 }
 else
 callbackCore(info);
 //#endregion:EventEnd</t>
  </si>
  <si>
    <t>//#region:Ver
 //CD:04/09/15/14:38,CB:wisut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ValReturn = this.executeFunc("CheckIDCardNo");
 if(ValReturn==false)
 info.isError = true;
 }
 callbackCore(info );
 //#endregion:Etc
 //#region:EventEnd
 }
 else
 callbackCore(info);
 //#endregion:EventEnd</t>
  </si>
  <si>
    <t>//#region:Ver
 //CD:04/16/58/10:00,CB:Tof
 //ED:05/11/58/09:56,EB:jirapat
 //ED:08/03/59/11:19,EB:Tof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</si>
  <si>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Ge ค่า First Choice</t>
  </si>
  <si>
    <t>//#region:Ver
 //CD:08/31/58/14:29,CB:Tof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"|010553713356201",Operator: "==",Start: 0,Num: 16}
 ,1:{Value: "|301151153401",Operator: "==",Start: 0,Num: 13}
 ,2:{Value: "301151153401",Operator: "==",Start: 0,Num: 12}
 ,3:{Value: "010553713356201",Operator: "==",Start: 0,Num: 15} 
 }
 ,Operations: "OR"
 }
 var ValReturn = this.executeFunc("VerifyFieldSubStr",Params);
 if(!ValReturn)
 info.isError = true;
 }
 callbackCore(info);
 //#endregion:Etc
 //#region:EventEnd
 }
 else
 callbackCore(info);
 //#endregion:EventEnd</t>
  </si>
  <si>
    <t>//#region:Ver
 //CD:04/10/15/15:43,CB:wisut
 //ED:01/31/60/15:27,EB:Tof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"1155",Operator: "!=",Start: 0,Num: 4}
  ,1:{Value: "0000",Operator: "!=",Start: 0,Num: 4}
  ,2:{Value: "4784",Operator: "!=",Start: 0,Num: 4}
  ,3:{Value: "478445",Operator: "!=",Start: 0,Num: 6}
  ,4:{Value: "478446",Operator: "!=",Start: 0,Num: 6}
  ,5:{Value: "478447",Operator: "!=",Start: 0,Num: 6}
  ,6:{Value: "478449",Operator: "!=",Start: 0,Num: 6}
  ,7:{Value: "113305",Operator: "!=",Start: 0,Num: 6}
  ,8:{Value: "118802",Operator: "!=",Start: 0,Num: 6}
  ,9:{Value: "118809",Operator: "!=",Start: 0,Num: 6}
 }
 ,Operations: "AND"
 }
 var ValReturn = this.executeFunc("VerifyFieldSubStr",Params);
 if(ValReturn)
  info.isError = true;
 }
 callbackCore(info); 
 //#endregion:Etc
 //#region:EventEnd
 }
 else
 callbackCore(info);
 //#endregion:EventEnd</t>
  </si>
  <si>
    <t>//#region:Ver
 //CD:01-20-16-16:03,CB:sompan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</si>
  <si>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เพย์สบาย จำกัด</t>
  </si>
  <si>
    <t>เติมเงิน PAYSBUY</t>
  </si>
  <si>
    <t>ป้อนรหัสหรือสแกนบาร์โค๊ด</t>
  </si>
  <si>
    <t>//#region:Ver
 //CD:07/06/58/11:14,CB:jirapat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if([3].indexOf(eName) != -1 || info.isAfterVerify)
 info.isLock = true;
 var Params,ValReturn;
 Params = {
 Condition: { 
 0:{Value: "|012554700180400",Operator: "!=",Start: 0,Num: 16}
 ,1:{Value: "|012554700180401",Operator: "!=",Start: 0,Num: 16}
 }
 ,Operations: "AND"
 }
 ValReturn = this.executeFunc("VerifyFieldSubStr",Params);
 if(ValReturn)
 info.isError = true;
 if(!info.isError &amp;&amp; [2,3].indexOf(eName) == -1){
 var val = field.getValue();
 var taxField = _this.getField("D_TEXT_02");
 var ref1Field = _this.getField("D_TEXT_07");
 var suffixField = _this.getField("D_TEXT_03");
 var amtField = _this.getField("D_MONEY_08");
 var amt = val.substr(26) * 0.01;
 if(!_.isNull(taxField))
 taxField.setValue(val.substr(1,13));
 if(!_.isNull(ref1Field))
 ref1Field.setValue(val.substr(16,10));
 if(!_.isNull(suffixField))
 suffixField.setValue(val.substr(14,2));
 if(isNaN(amt))
 amt = 0;
 if(!_.isNull(amtField))
 amtField.setValue(amt);
 }
 }
 callbackCore(info);
 //#endregion:Etc
 //#region:EventEnd
 }
 else
 callbackCore(info);
 //#endregion:EventEnd</t>
  </si>
  <si>
    <t>REFNO1</t>
  </si>
  <si>
    <t>D_TEXT_17</t>
  </si>
  <si>
    <t>D_MONEY_08</t>
  </si>
  <si>
    <t>D_MONEY_18</t>
  </si>
  <si>
    <t>จำนวนเงินที่ต้องการชำระ</t>
  </si>
  <si>
    <t>D_MONEY_13</t>
  </si>
  <si>
    <t>//#region:Ver
 //CD:08/28/58/13:21,CB:Tof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suffixField = _this.getField("D_TEXT_03");
 var suffix = !_.isNull(suffixField) ? suffixField.getValue() : null;
 var field1 = _this.getField("D_MONEY_08");
 if(!_.isNull(field1)){
 var Params = {
 Condition: { 
 0:{Value: field1.getValue(),Operator: "=="}
 ,1:{Value: 0,Operator: "&gt;"}
 }
 ,Operations: "AND"
 }
 var ValReturn = this.executeFunc("VerifyField",Params);
 if(suffix == "01"){
 if(!ValReturn)
 info.isError = true;
 }
 if(!info.isError){
 var Params = {
 Condition:[{Value: 1,Operator: "&lt;",ErrorCode: "-770"},{Value: 50000,Operator: "&gt;",ErrorCode: "-870"}]
 ,Operations: "OR"
 }
 var ValReturn = this.executeFunc("SPVerifyField",Params);
 if(!ValReturn.success || (ValReturn.success &amp;&amp; ValReturn.output)){
 info.isError = true;
 info.VerifyCode = ValReturn.ErrorCode;
 }
 }
 if(!info.isError){
 if(suffix == "00")
 field1.setValue(field.getValue());
 }
 }
 }
 callbackCore(info);
 //#endregion:Etc
 //#region:EventEnd
 }
 else
 callbackCore(info);
 //#endregion:EventEnd</t>
  </si>
  <si>
    <t>Suffix</t>
  </si>
  <si>
    <t>Invoice No.</t>
  </si>
  <si>
    <t>เติมเงิน แจ๋ว e-Wallet</t>
  </si>
  <si>
    <t>ReferenceNumber</t>
  </si>
  <si>
    <t>TransactionNumber</t>
  </si>
  <si>
    <t>บ.ศรีสวัสดิ์ พาวเวอร์ฯ</t>
  </si>
  <si>
    <t>ชำระค่างวด บ.ศรีสวัสดิ์ พาวเวอร์ฯ</t>
  </si>
  <si>
    <t>//#region:Ver
 //CD:05/19/58/10:49,CB:jirapat
 //ED:09-25-15-14:26,EB:sompan
 //ED:09-25-15-14:28,EB:sompan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Ref1 = {getFDName: "D_TEXT_02",setFDName: "D_TEXT_04",Start: "0",Num: "0"}
 var Ref2 = {getFDName: "D_TEXT_02",setFDName: "D_TEXT_05",Start: "0",Num: "0"}
 var Params = {
 Condition: { 
  0:{Value: "|303334399100",Operator: "!=",Start: 0,Num: 13}
 }
 ,Operations: "AND"
 }
 var ValReturn = this.executeFunc("VerifyFieldSubStr",Params);
 if(ValReturn==true)
 info.isError = true;
 else{
 Ref1.Start = "13";
 Ref1.Num = "18";
 Ref2.Start = "31";
 Ref2.Num = "8";
 }
 this.executeFunc("SetValueSubStr",Ref1);
 this.executeFunc("SetValueSubStr",Ref2);
 }
 callbackCore(info);
 //#endregion:Etc
 //#region:EventEnd
 }
 else
 callbackCore(info);
 //#endregion:EventEnd</t>
  </si>
  <si>
    <t>//#region:Ver
 //CD:04/16/58/10:00,CB:Tof
 //ED:05/19/58/10:53,EB:jirapat
 //ED:08/03/59/11:28,EB:Tof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0.01,Operator: "&lt;",ErrorCode: "-771"},{Value: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</si>
  <si>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บ.ตรีเพชรอีซูซุลิสซิ่ง จำกัด</t>
  </si>
  <si>
    <t>ชำระค่างวด บ.ตรีเพชรอีซูซุลิสซิ่ง จำกัด</t>
  </si>
  <si>
    <t>//#region:Ver
 //CD:05/19/58/10:56,CB:jirapat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"|010552800947100",Operator: "==",Start: 0,Num: 16}
 ,1:{Value: "|310133984000",Operator: "==",Start: 0,Num: 13}
 }
 ,Operations: "OR"
 }
 var ValReturn = this.executeFunc("VerifyFieldSubStr",Params);
 if(!ValReturn)
 info.isError = true;
 if(!info.isError &amp;&amp; [2,3].indexOf(eName) == -1){
 var fieldRef3 = _this.getField("D_TEXT_03");
 var fieldRef4 = _this.getField("D_TEXT_04");
 var params = {Barcode: val.substr(16)};
 if(val.substr(1,1) == "3")
 params.Barcode = val.substr(13);
 var ref3 = _this.executeFunc("TrePetchRef1New",params);
 if(ref3.success &amp;&amp; !_.isNull(fieldRef3) &amp;&amp; !_.isNull(fieldRef4)){
 var ref = params.Barcode.substr(ref3.output.length);
 var ref4 = "";
 if(!isNaN(parseInt(ref3.output))){
 var ref = _this.executeFunc("TrePetchRef2New",{Barcode:params.Barcode,Ref1:ref3.output});
 ref4 = ref.output;
 }
 fieldRef3.setValue(ref3.output);
 fieldRef4.setValue(ref4);
 }
 }
 }
 callbackCore(info);
 //#endregion:Etc
 //#region:EventEnd
 }
 else
 callbackCore(info);
 //#endregion:EventEnd</t>
  </si>
  <si>
    <t>//#region:Ver
 //CD:05/19/58/10:57,CB:jirapat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"NUM"}//TH,EN,NUM,THEN,THNUM,ENNUM
 ,Operations: "AND"
 }
 var ValReturn = this.executeFunc("VerifyFieldLanguage",Params);
 if (!ValReturn){
 info.VerifyCode = "-320";
 info.isError = true;
 }
 }
 callbackCore(info);
 //#endregion:Etc
 //#region:EventEnd
 }
 else
 callbackCore(info);
 //#endregion:EventEnd</t>
  </si>
  <si>
    <t>//#region:Ver
 //CD:05/19/58/10:57,CB:jirapat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"NUM"}//TH,EN,NUM,THEN,THNUM,ENNUM
 ,Operations: "AND"
 }
 var ValReturn = this.executeFunc("VerifyFieldLanguage",Params);
 if (!ValReturn){
 info.VerifyCode = "-320";
 info.isError = true;
 }
 }
 callbackCore(info);
 //#endregion:Etc
 //#region:EventEnd
 }
 else
 callbackCore(info);
 //#endregion:EventEnd</t>
  </si>
  <si>
    <t>//#region:Ver
 //CD:04/16/58/10:00,CB:Tof
 //ED:05/19/58/10:57,EB:jirapat
 //ED:09-29-15-14:55,EB:sompan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</si>
  <si>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//CD:04/16/58/10:00,CB:Tof
 //ED:05/19/58/10:57,EB:jirapat
 //ED:08/03/59/11:36,EB:Tof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0.01,Operator: "&lt;",ErrorCode: "-771"},{Value: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</si>
  <si>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บรรษัทตลาดรองสินเชื่อที่อยู่อาศัย</t>
  </si>
  <si>
    <t>ชำระเงินกู้ บรรษัทตลาดรองสินเชื่อฯ</t>
  </si>
  <si>
    <t>//#region:Ver
 //CD:05/11/58/10:07,CB:jirapat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"|099400020856100",Operator: "!=",Start: 0,Num: 16}
 }
 ,Operations: "AND"
 }
 var ValReturn = _this.executeFunc("VerifyFieldSubStr",Params);
 if(ValReturn)
 info.isError = true;
 }
 callbackCore(info);
 //#endregion:Etc
 //#region:EventEnd
 }
 else
 callbackCore(info);
 //#endregion:EventEnd</t>
  </si>
  <si>
    <t>//#region:Ver
 //CD:04/16/58/10:00,CB:Tof
 //ED:09-25-15-14:52,EB:sompan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</si>
  <si>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//CD:04/16/58/10:00,CB:Tof
 //ED:05/11/58/10:08,EB:jirapat
 //ED:08/03/59/11:42,EB:Tof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</si>
  <si>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สำนักอบรมกฎหมายแห่งเนติบัณฑิตยสภา</t>
  </si>
  <si>
    <t>ชำระค่าธรรมเนียมฯเนติบัณฑิตยสภา</t>
  </si>
  <si>
    <t>//#region:Ver
 //CD:11/10/60/11:22,CB:Tof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output = _this.executeFunc("NatiChkDigi",{Barcode:val});
  if(output.success){
  if(output.isError)
  info.isError = true;
  }
  else
  info.isError = true;
 }
 callbackCore(info);
 //#endregion:Etc
 //#region:EventEnd
 }
 else
  callbackCore(info);
 //#endregion:EventEnd</t>
  </si>
  <si>
    <t>//#region:Ver
 //CD:04/16/58/10:00,CB:Tof
 //ED:07/29/15/11:32,EB:Art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</si>
  <si>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//CD:02/23/59/13:39,CB:Tof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&amp;&amp; eName !=1){
 var params ={
 ToRate:{D:0,M:0,Y:0}
 ,AD:true
 }
 var CallbackDueDate = function(result){
 if((result.success &amp;&amp; result.output) || !result.success)
 info.isError = true;
 if(!info.isError){
 var Information = [{FDName:"D_TEXT_20",Format:field.get("DISPLAY_FORMAT"),IsBud:field.get("IS_BE_DATE")}];
 _this.executeFunc("SetDateINF",{Information:Information},function(){callbackCore(info);});
 }
 else
 callbackCore(info);
 }
 _this.executeFunc("CheckDueDate",params,CallbackDueDate);
 }
 else
 callbackCore(info);
 //#endregion:Etc
 //#region:EventEnd
 }
 else
 callbackCore(info);
 //#endregion:EventEnd</t>
  </si>
  <si>
    <t>//#region:Ver
 //CD:06/05/60/15:59,CB:Tof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ParamsLang = {
  Condition: {Language: "NUM"}//TH,EN,NUM,THEN,THNUM,ENNUM
  ,Operations: "AND"
  }
  var ValLang = _this.executeFunc("VerifyFieldLanguage",ParamsLang);
  if(!ValLang){
  info.iisError = true;
  info.VerifyCode = "-400";
  }
 }
 callbackCore(info);
 //#endregion:Etc
 //#region:EventEnd
 }
 else
  callbackCore(info);
 //#endregion:EventEnd</t>
  </si>
  <si>
    <t>//#region:Ver
 //CD:04/16/58/10:00,CB:Tof
 //ED:07/29/15/11:27,EB:Art
 //ED:08/03/59/11:43,EB:Tof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</si>
  <si>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บ.เมืองไทยประกันภัย จำกัด(มหาชน)</t>
  </si>
  <si>
    <t>ชำระประกันเมืองไทยประกันภัย</t>
  </si>
  <si>
    <t>//#region:Ver
 //CD:05/18/58/13:39,CB:jirapat
 //ED:09-25-15-15:15,EB:sompan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"|010755100015102",Operator: "!=",Start: 0,Num: 16}
  //,1:{Value: "|010753600140100",Operator: "!=",Start: 0,Num: 16}
  }
  ,Operations: "AND"
  }
  var ValReturn = this.executeFunc("VerifyFieldSubStr",Params);
  if(ValReturn==true)
  info.isError = true;
 }
 callbackCore(info);
 //#endregion:Etc
 //#region:EventEnd
 }
 else
  callbackCore(info);
 //#endregion:EventEnd</t>
  </si>
  <si>
    <t>Ref No.1 (เลขที่ใบคำขอ)</t>
  </si>
  <si>
    <t>Ref No.2 (รหัสตัวแทน)</t>
  </si>
  <si>
    <t>ชำระเมืองไทยประกันภัย</t>
  </si>
  <si>
    <t>เมืองไทยประกันภัย</t>
  </si>
  <si>
    <t>บริษัท เจเนอรัล คาร์ด เซอร์วิสเซส จำกัด</t>
  </si>
  <si>
    <t>ชำระค่าบัตรโรบินสัน วีซ่า(ROBINSON VESA)</t>
  </si>
  <si>
    <t>//#region:Ver
 //CD:05/06/58/13:54,CB:jirapat
 //ED:07/04/59/13:24,EB:Tof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ParamsLength = {
 Condition: { 
  0:{Value: 33,Operator: "=="}
 }
 ,Operations: "AND"
 }
 var Params = {
 Condition: { 
  0:{Value: "409344",Operator: "!=",Start: 16,Num: 6}
  ,1:{Value: "409345",Operator: "!=",Start: 16,Num: 6}
  ,2:{Value: "409346",Operator: "!=",Start: 16,Num: 6}
 }
 ,Operations: "AND"
 }
 var Params1 = {
 Condition: { 
 0:{Value: "|301153227003",Operator: "!=",Start: 0,Num: 13}
  ,1:{Value: "|010553801091003",Operator: "!=",Start: 0,Num: 16}
 }
 ,Operations: "AND"
 }
 var ValReturn = this.executeFunc("VerifyFieldSubStr",Params);
 var ValLength = this.executeFunc("VerifyFieldLength",ParamsLength);
 var ValReturn1 = this.executeFunc("VerifyFieldSubStr",Params1);
 if(ValReturn1==true)
 info.isError = true;
 else if(ValLength==true &amp;&amp; ValReturn==true)
 info.isError = true;
 }
 callbackCore(info);
 //#endregion:Etc
 //#region:EventEnd
 }
 else
 callbackCore(info);
 //#endregion:EventEnd</t>
  </si>
  <si>
    <t>//#region:Ver
 //CD:05/06/58/14:30,CB:jirapat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</si>
  <si>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เซ็นทรัลเพอร์ซันนัลโลน (Central PLoan)</t>
  </si>
  <si>
    <t>//#region:Ver
 //CD:04/10/15/15:18,CB:wisut
 //ED:04/28/58/11:52,EB:jirapat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loan = "";
 var Params = {
 Condition: { 
 0:{Value: "301153227001",Operator: "==",Start: 0,Num: 12}
 ,1:{Value: "|010553801091001",Operator: "==",Start: 0,Num: 16}
 }
 ,Operations: "OR"
 }
 var ValReturn = this.executeFunc("VerifyFieldSubStr",Params);
 if(!ValReturn){
 info.isError = true;
 info.isClear = false;
 field.setProperty("IsReadOnly",true);
 _this.executeFunc("ClearAll",{FDName:["D_TEXT_03","D_MONEY_01"],isReadOnly:true});
 }
 else if([43,33,30].indexOf(val.length) == -1){
 info.isError = true;
 info.VerifyCode = "-5000";
 }
 if(!info.isError){
 var field2 = _this.getField("D_TEXT_03");
 if(val.length == 43)
 loan = val.substr(13,16);
 else if(val.length == 33)
 loan = val.substr(16,16);
 else if(val.length == 30)
 loan = val.substr(13,16);
 if(!_.isNull(field2))
 field2.setValue(loan);
 field.setLock(true);
 _this.executeControl("D_TEXT_03",{datas:{eventName:"changed",isExec:true}});
 }
 }
 callbackCore(info)
 //#endregion:Etc
 //#region:EventEnd
 }
 else
 callbackCore(info);
 //#endregion:EventEnd</t>
  </si>
  <si>
    <t>LOAN NO.</t>
  </si>
  <si>
    <t>//#region:Ver
 //CD:10/05/58/13:35,CB:Tof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output = this.executeFunc("GeMod10",{Value:val});
 if("1277" != val.substr(0,4) || !output.success || (output.success &amp;&amp; !output.output))
 info.isError = true;
 if(!info.isError)
 field.setLock(true);
 if(info.isExec){
 if(info.isError){
 var field1 = _this.getField("D_TEXT_02");
 field1.setLock(false);
 _this.executeFunc("ClearAll",{FDName:["D_MONEY_01","D_TEXT_02","D_TEXT_03"]});
 info.ctrlDatas =[{
 FD_NAME:field1.get("FD_NAME")
 ,FD_TYPE:field1.get("FD_TYPE")
 ,IS_READONLY:field1.get("IS_READONLY")}];
 }
 else
 _this.getField("D_MONEY_01").focus();
 }
 }
 callbackCore(info);
 //#endregion:Etc
 //#region:EventEnd
 }
 else
 callbackCore(info);
 //#endregion:EventEnd</t>
  </si>
  <si>
    <t>//#region:Ver
 //CD:04/10/15/15:19,CB:wisut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</si>
  <si>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เซ็นทรัลมาสเตอร์คาร์ด (MasterCard)</t>
  </si>
  <si>
    <t>//#region:Ver
 //CD:04/08/58/17:08,CB:jirapat
 //ED:05/07/15/15:49,EB:wisut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cal = 0;
 var val = field.getValue();
 var oldTax = "|301153227001";
 var newTax = "|010553801091001";
 if(val.substr(0,16) != newTax &amp;&amp; val.substr(0,13) != oldTax)
 info.isError = true;
 else if(val.substr(0,16) == newTax)
 cal = 3;
 if(!info.isError){
 var Params = {
 Condition: { 
 0:{Value: "525668",Operator: "==",Start: 13+cal,Num: 6}
 ,1:{Value: "525669",Operator: "==",Start: 13+cal,Num: 6}
 ,2:{Value: "525667",Operator: "==",Start: 13+cal,Num: 6}
 }
 ,Operations: "OR"
 }
 var ValReturn = this.executeFunc("VerifyFieldSubStr",Params);
 if(!ValReturn)
 info.isError = true;
 }
 }
 callbackCore(info);
 //#endregion:Etc
 //#region:EventEnd
 }
 else
 callbackCore(info);
 //#endregion:EventEnd</t>
  </si>
  <si>
    <t>//#region:Ver
 //CD:04/08/58/17:09,CB:jirapat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</si>
  <si>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ไทยประกันชีวิต จำกัด (DM)</t>
  </si>
  <si>
    <t>ชำระเบี้ยประกันไทยประกันชีวิต(DM)</t>
  </si>
  <si>
    <t>สแกนบาร์โค้ดหรือพิมพ์รหัส Paycode</t>
  </si>
  <si>
    <t>//#region:Ver
 //CD:06/23/59/12:35,CB:Tof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info.isBarcode = true;
 info.isLock = true;
 var val = field.getValue();
 var len = val.length;
 var fieldRef5 = _this.getField("D_TEXT_06");
 var fieldRef3 = _this.getField("D_TEXT_03");
 var fieldRef8 = _this.getField("D_TEXT_04");
 var ref5,ref3,ref8;
 if(len == 10){
 ref3 = val;
 ref8 = "-";
 }
 else if(len &gt;= 35 &amp;&amp; len &lt;= 50 &amp;&amp; val.substr(0,16) == "|010755500010402"){
 if(len &gt;= 30 &amp;&amp; len &lt;= 40){
 ref3 = val.substr(16,12);
 ref8 = val.substr(28,4);
 }
 else if(len &gt;= 41 &amp;&amp; len &lt;= 50){
 ref3 = val.substr(16,12);
 ref8 = val.substr(28,12);
 }
 else{
 ref3 = "Ref1 ไม่ถูกต้อง";
 ref8 = "Ref2 ไม่ถูกต้อง";
 }
 }
 else 
 info.isError = true;
 if(!info.isError){
 ref5 = "01075550001040";
 if(!_.isNull(fieldRef5))
 fieldRef5.setValue(ref5);
 if(!_.isNull(fieldRef3))
 fieldRef3.setValue(ref3);
 if(!_.isNull(fieldRef8))
 fieldRef8.setValue(ref8);
 }
 callbackCore(info);
 }
 else 
 callbackCore(info);
 //#endregion:Etc
 //#region:EventEnd
 }
 else
 callbackCore(info);
 //#endregion:EventEnd</t>
  </si>
  <si>
    <t>สแกนหมายเลขประจำตัวผู้เสียภาษี</t>
  </si>
  <si>
    <t>ปีที่/งวดที่</t>
  </si>
  <si>
    <t>EffectiveDate</t>
  </si>
  <si>
    <t>PrintMessage1</t>
  </si>
  <si>
    <t>PrintMessage2</t>
  </si>
  <si>
    <t>PrintMessage3</t>
  </si>
  <si>
    <t>DueDate</t>
  </si>
  <si>
    <t>TranxId</t>
  </si>
  <si>
    <t>FixReconfirm</t>
  </si>
  <si>
    <t>บริษัท ทรู อินเทอร์เน็ต คอร์ปอเรชั่น จำกัด</t>
  </si>
  <si>
    <t>ค่าบริการทรู อินเทอร์เน็ต คอร์ป</t>
  </si>
  <si>
    <t>//#region:Ver
 //CD:02/27/60/15:19,CB:Tof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info.isBarcode = true;
 info.isLock = true;
 var val = field.getValue();
 var len = val.length;
 if(["|0105549025026","|0105538114103"].indexOf(val.substr(0,14)) != -1){
 if([1,8].indexOf(eName) != -1){
 var fieldRef3 = _this.getField("D_TEXT_02");
 var fieldRef4 = _this.getField("D_TEXT_03");
 var fieldRef7 = _this.getField("D_TEXT_08");
 var fieldRef9 = _this.getField("D_TEXT_09");
 var fieldAmt = _this.getField("D_MONEY_01");
 var vatField = _this.getField("D_MONEY_02");
 var vatField1 = _this.getField("AGENT_VAT_AMOUNT");
 var ref3,ref4,amt;
 var barno = val.substr(16,2);
 if((len &gt;= 44 &amp;&amp; len &lt;= 50) &amp;&amp; (barno != '07' &amp;&amp; barno != '16')){
 ref3 = val.substr(16,9);
 ref4 = val.substr(25,18);
 amt = val.substr(43) * 0.01;
 }
 else if((len &gt;= 45 &amp;&amp; len &lt;= 51) &amp;&amp; (barno == '07' || barno == '16')){
 ref3 = val.substr(16,14);
 ref4 = val.substr(30,14);
 amt = val.substr(44) * 0.01;
 }
 var vat = {
 Amt:amt
 ,VatMode:false//true:vat out,false:vat in
 ,Rate:"7"
 }
 var output = _this.executeFunc("CalcVat",vat);
 var vat = output.success ? output.output.vat : 0.00;
 if(!_.isNull(fieldRef3))
 fieldRef3.setValue(ref3);
 if(!_.isNull(fieldRef4))
 fieldRef4.setValue(ref4);
 if(!_.isNull(fieldRef7))
 fieldRef7.setValue("0105549025026");
 if(!_.isNull(fieldRef9))
 fieldRef9.setValue("TU");
 if(!_.isNull(fieldAmt))
 fieldAmt.setValue(amt);
 if(!_.isNull(vatField))
 vatField.setValue(vat);
 if(!_.isNull(vatField1))
 vatField1.setValue(vat);
 }
 }
 else if(!(val.length == 1 &amp;&amp; val == "0")){
 info.isError = true;
 }
 }
 callbackCore(info);
 //#endregion:Etc
 //#region:EventEnd
 }
 else
 callbackCore(info);
 //#endregion:EventEnd</t>
  </si>
  <si>
    <t>//#region:Ver
 //CD:02/27/60/15:15,CB:Tof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if([1].indexOf(eName)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if(!ValReturn)
 info.isError = true;
 }
 if(info.isAfterVerify){
 field.setValue(0);
 field.focus();
 }
 var vat = {
 Amt:field.getValue()
 ,VatMode:false//true:vat out,false:vat in
 ,Rate:"7"
 }
 var output = this.executeFunc("CalcVat",vat);
 var vat = output.success ? output.output.vat : 0.00;
 var vatField = _this.getField("D_MONEY_02");
 var vatField1 = _this.getField("AGENT_VAT_AMOUNT");
 if(info.isError)
 vat = 0;
 if(!_.isNull(vatField))
 vatField.setValue(vat);
 if(!_.isNull(vatField1))
 vatField1.setValue(vat);
 }
 callbackCore(info)
 //#endregion:Etc
 //#region:EventEnd
 }
 else
 callbackCore(info);
 //#endregion:EventEnd</t>
  </si>
  <si>
    <t>รหัสลูกค้า (Customer No.)</t>
  </si>
  <si>
    <t>กยศ กองทุน กรอ. (กรุงไทย)</t>
  </si>
  <si>
    <t>ชำระเงินกู้ยืม กยศ กองทุน กรอ. (กรุงไทย)</t>
  </si>
  <si>
    <t>//#region:Ver
 //CD:07/05/60/16:22,CB:Tof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"|099400021203805" &amp;&amp; (val.substr(0,16) != "|099400021203806")) || val.length != 40)
  info.isError = true;
  if(eName == 1 &amp;&amp; !info.isError){
  var ref5 = _this.getField("D_TEXT_05");
  var ref6 = _this.getField("D_TEXT_06");
  var amt = _this.getField("D_MONEY_01");
  if(ref5){
  ref5.setProperty("IsReadOnly",false);
  ref5.focus();
  }
  if(ref6) ref6.setProperty("IsReadOnly",false);
  if(amt) amt.setProperty("IsReadOnly",false);
  info.isShowF8 = true;
  }
 }
 callbackCore(info);
 //#endregion:Etc
 //#region:EventEnd
 }
 else
  callbackCore(info);
 //#endregion:EventEnd</t>
  </si>
  <si>
    <t>//#region:Ver
 //CD:07/05/60/16:23,CB:Tof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"NUM"},Operations: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</si>
  <si>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//CD:07/05/60/16:23,CB:Tof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{Condition: {0:{Value: 100000,Operator: "&lt;="},1:{Value: 1,Operator: "&gt;"}},Operations: "AND"};
  var ValReturn = _this.executeFunc("VerifyField",Params);
  if(!ValReturn)
  info.isError = true;
 }
 callbackCore(info);
 //#endregion:Etc
 //#region:EventEnd
 }
 else
  callbackCore(info);
 //#endregion:EventEnd</t>
  </si>
  <si>
    <t>กยศ กองทุน กรอ. (อิสลาม)</t>
  </si>
  <si>
    <t>ชำระเงินกู้ยืม กยศ กองทุน กรอ. (อิสลาม)</t>
  </si>
  <si>
    <t>//#region:Ver
 //CD:07/05/60/16:27,CB:Tof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"|099400021203826" || val.length != 40)
  info.isError = true;
  if(eName == 1 &amp;&amp; !info.isError){
  var ref5 = _this.getField("D_TEXT_05");
  var ref6 = _this.getField("D_TEXT_06");
  var amt = _this.getField("D_MONEY_01");
  if(ref5){
  ref5.setProperty("IsReadOnly",false);
  ref5.focus();
  }
  if(ref6) ref6.setProperty("IsReadOnly",false);
  if(amt) amt.setProperty("IsReadOnly",false);
  info.isShowF8 = true;
  }
 }
 callbackCore(info);
 //#endregion:Etc
 //#region:EventEnd
 }
 else
  callbackCore(info);
 //#endregion:EventEnd</t>
  </si>
  <si>
    <t>//#region:Ver
 //CD:07/05/60/16:27,CB:Tof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"NUM"},Operations: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</si>
  <si>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//#region:Ver
 //CD:07/05/60/16:28,CB:Tof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{Condition: {0:{Value: 100000,Operator: "&lt;="},1:{Value: 1,Operator: "&gt;"}},Operations: "AND"};
  var ValReturn = _this.executeFunc("VerifyField",Params);
  if(!ValReturn)
  info.isError = true;
 }
 callbackCore(info);
 //#endregion:Etc
 //#region:EventEnd
 }
 else
  callbackCore(info);
 //#endregion:EventEnd</t>
  </si>
  <si>
    <t>บริษัท อยุธยา แคปปิตอล ออโต้ ลีส จำกัด(มหาชน)</t>
  </si>
  <si>
    <t>ชำระค่างวด AYUDHYA Capital Auto Lease</t>
  </si>
  <si>
    <t>//#region:Ver
 //CD:04/10/15/14:45,CB:wisut
 //ED:05/14/58/13:54,EB:jirapat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true){
 var value = field.getValue().length;
 var Ref1 = {getFDName: "D_TEXT_02",setFDName: "D_TEXT_03",Start: "0",Num: "0"} 
 var Ref2 = {getFDName: "D_TEXT_02",setFDName: "D_TEXT_04",Start: "0",Num: "0"}
 var Params1 = {
 Condition: { 
  0:{Value: "3011106624",Operator: "!=",Start: 0,Num: 10}
  ,1:{Value: "|301110662",Operator: "!=",Start: 0,Num:10}
  ,2:{Value: "|010753800069",Operator: "!=",Start: 0,Num: 13}
  ,3:{Value: "0107538000690",Operator: "!=",Start: 0,Num: 13}
 }
 ,Operations: "AND"
 } 
 var ValReturn1 = this.executeFunc("VerifyFieldSubStr",Params1);
 if(ValReturn1==true)
  info.isError = true;
 else if([2,3].indexOf(eName) == -1){
 if(value==36){
 Ref1.Start = "12";
 Ref1.Num = "11";
 Ref2.Start = "24";
 Ref2.Num = "11"; 
 }
 else if(value==39){
 Ref1.Start = "16";
 Ref1.Num = "11";
 Ref2.Start = "27";
 Ref2.Num = "11";
 }
 else if(value==40){
 Ref1.Start = "13";
 Ref1.Num = "13";
 Ref2.Start = "26";
 Ref2.Num = "13";
 }
 else if(value==43){
 Ref1.Start = "16";
 Ref1.Num = "13";
 Ref2.Start = "29";
 Ref2.Num = "13";
 }
 this.executeFunc("SetValueSubStr",Ref1);
 this.executeFunc("SetValueSubStr",Ref2);
 }
 }
 callbackCore(info);
 //#endregion:Etc
 //#region:EventEnd
 }
 else
 callbackCore(info);
 //#endregion:EventEnd</t>
  </si>
  <si>
    <t>//#region:Ver
 //CD:07/17/58/15:11,CB:jirapat
 //ED:11-03-15-15:59,EB:sompan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{Language: "NUM"}//TH,EN,NUM,THEN,THNUM,ENNUM
 ,Operations: "AND"
 }
 var Params1 = {
 Condition: { 
 0:{Value: 0,Operator: "=="}
 }
 ,Operations: "AND"
 }
 var ValReturn1 = this.executeFunc("VerifyField",Params1);
 var ValReturn = this.executeFunc("VerifyFieldLanguage",Params);
 if(!ValReturn)
 info.VerifyCode = "-320";
 if(ValReturn==false||ValReturn1 == true)
 info.isError = true;
 info.isLock = true;
 }
 callbackCore(info);
 //#endregion:Etc
 //#region:EventEnd
 }
 else
 callbackCore(info);
 //#endregion:EventEnd</t>
  </si>
  <si>
    <t>//#region:Ver
 //CD:04/17/58/10:42,CB:Tof
 //ED:06/22/58/17:48,EB:jirapat
 //ED:11-03-15-15:59,EB:sompan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ref1 = this.getField("D_TEXT_03").getValue(); 
 var barc = this.getField("D_TEXT_02").getValue(); 
 var ref2 = this.getField().getValue(); 
 var Ge50117 = {
 Condition: { 
 0:{Value: "45",Operator: "!=",Start: 0,Num: 2}
 ,1:{Value: "03",Operator: "!=",Start: 0,Num: 2}
 }
 ,Operations: "AND"
 }
 var ParamsLanguage = {
 Condition: {Language: "NUM"}//TH,EN,NUM,THEN,THNUM,ENNUM
 ,Operations: "AND"
 }
 var ValReturnLanguage = this.executeFunc("VerifyFieldLanguage",ParamsLanguage);
 var ValReturn = this.executeFunc("VerifyFieldSubStr",Ge50117);
 if(!ValReturnLanguage)
 info.VerifyCode = "-320";
 if(ValReturn==true||(ref2==ref1||ref2==barc||ref1==barc)||ValReturnLanguage==false)
 info.isError = true;
 if(!info.isError)
 field.setLock(true);
 else 
 field.setLock(false);
 }
 callbackCore(info);
 //#endregion:Etc
 //#region:EventEnd
 }
 else
 callbackCore(info);
 //#endregion:EventEnd</t>
  </si>
  <si>
    <t>//#region:Ver
 //CD:04/10/15/14:52,CB:wisut
 //ED:04/27/58/17:15,EB:jirapat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changed
 if([1,2,3].indexOf(eName) != -1 || eName == 5){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</si>
  <si>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ข้อมูลเครดิตแห่งชาติ จำกัด</t>
  </si>
  <si>
    <t>ตรวจสอบข้อมูลเครดิตบุคคลธรรมดา</t>
  </si>
  <si>
    <t>สแกนรหัสบาร์โค้ด</t>
  </si>
  <si>
    <t>//#region:Ver
 //CD:02/02/60/13:51,CB:Tof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"|010554207280101")
 info.isError = true;
 }
 callbackCore(info);
 //#endregion:Etc
 //#region:EventEnd
 }
 else
 callbackCore(info);
 //#endregion:EventEnd</t>
  </si>
  <si>
    <t>ชื่อ-นามสุกล</t>
  </si>
  <si>
    <t>//#region:Ver
 //CD:02/02/60/15:04,CB:Tof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</si>
  <si>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หมายเลขประจำตัวประชาชน</t>
  </si>
  <si>
    <t>ประเภทเอกสารคำขอ</t>
  </si>
  <si>
    <t>//#region:Ver
 //CD:02/02/60/14:12,CB:Tof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[1].indexOf(eName) != -1){
 var val = field.getValue();
 var name = "";
 if(val == "01")
 name = "01 : บัตรประชาชน";
 else 
 name = "07 : พาสปอร์ต";
 field.setValue(name);
 }
 callbackCore(info);
 //#endregion:Etc
 //#region:EventEnd
 }
 else
 callbackCore(info);
 //#endregion:EventEnd</t>
  </si>
  <si>
    <t>จำนวนรายงานที่ขอ</t>
  </si>
  <si>
    <t>//#region:Ver
 //CD:02/02/60/14:14,CB:Tof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[1].indexOf(eName) != -1){
 var val = field.getValue();
 var name = val + " ฉบับ";
 field.setValue(name);
 }
 callbackCore(info);
 //#endregion:Etc
 //#region:EventEnd
 }
 else
 callbackCore(info);
 //#endregion:EventEnd</t>
  </si>
  <si>
    <t>//#region:Ver
 //CD:02/02/60/13:43,CB:Tof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</si>
  <si>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ฟอร์ทสมาร์ทเซอร์วิส จำกัด(มหาชน)</t>
  </si>
  <si>
    <t>ชำระค่าบริการ บัตรชำระบุญเติม มีบาร์</t>
  </si>
  <si>
    <t>//#region:Ver
 //CD:12/01/59/16:15,CB:Tof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len  = val.length;
 var fieldRef3 = _this.getField("D_TEXT_03");
 var fieldRef4 = _this.getField("D_TEXT_04");
 var mess  = "บาร์โค้ดไม่ถูกต้อง";
 var ref3,ref4;
 if(["|0107556000663","|0105551131865"].indexOf(val.substr(0,14)) != -1 &amp;&amp; [32,33].indexOf(len) != -1){
 if(len == 32){
 ref3 = val.substr(16,5);
 ref4 = val.substr(21,10);
 }
 else if(len == 33){
 ref3 = val.substr(16,6);
 ref4 = val.substr(22,10);
 }
 else{
 ref3 = mess;
 ref4 = mess;
 }
 if(!_.isNull(fieldRef3))
 fieldRef3.setValue(ref3);
 if(!_.isNull(fieldRef4))
 fieldRef4.setValue(ref4);
 }
 else 
 info.isError = true;
 }
 callbackCore(info);
 //#endregion:Etc
 //#region:EventEnd
 }
 else
 callbackCore(info);
 //#endregion:EventEnd</t>
  </si>
  <si>
    <t>เลขหมาย/ข้อมูลอ้างอิงรายการ</t>
  </si>
  <si>
    <t>ยืนยัน จำนวนเงิน</t>
  </si>
  <si>
    <t>//#region:Ver
 //CD:12/28/59/15:44,CB:Tof
 //ED:01/04/60/14:40,EB:Tof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if(info.isAfterVerify)
 _this.executeFunc("Clear",{FDName:"D_MONEY_01"});
 var val = field.getValue();
 var amt = parseFloat(val.toString().substr(val.toString().indexOf(".")+1))
 if(amt &gt; 0){
 info.isError  = true;
 info.Msg  = "เงินชำระต้องเป็นจำนวนเต็มเท่านั้น";
 info.isAfterVerify = true;
 }
 if([2].indexOf(eName) == -1 &amp;&amp; !info.isError){
 var MoneyField = _this.getField("D_MONEY_02");
 var money  = parseFloat(MoneyField.getValue());
 if(money != parseFloat(field.getValue()) &amp;&amp; money &gt; 0)
 info.isError = true;
 if(!info.isError){
 _this.executeFunc("ChkLocalAmt",{Value:[_this.getField("D_TEXT_03").getValue(),_this.getField("D_TEXT_04").getValue()],FieldChk:["D_TEXT_03","D_TEXT_04"],Amt:100000,AmtPay:field.getValue()}
 ,function(result){
 if(result.output.isError){
 info.isError = true;
 info.Msg = result.output.Msg;
 }
 callbackCore(info);
 });
 }
 else
 callbackCore(info);
 }
 else
 callbackCore(info);
 }
 else
 callbackCore(info)
 //#endregion:Etc
 //#region:EventEnd
 }
 else
 callbackCore(info);
 //#endregion:EventEnd</t>
  </si>
  <si>
    <t>KeyApprove</t>
  </si>
  <si>
    <t>KeyTransaction</t>
  </si>
  <si>
    <t>TimeStamp</t>
  </si>
  <si>
    <t>ชำระค่าบริการ บัตรชำระบุญเติม ไม่มีบาร์</t>
  </si>
  <si>
    <t>//#region:Ver
 //CD:12/28/59/15:44,CB:Tof
 //ED:01/04/60/14:41,EB:Tof
 //ED:01/04/60/15:36,EB:Tof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if(info.isAfterVerify)
 _this.executeFunc("Clear",{FDName:"D_MONEY_01"});
 var val = field.getValue();
 var amt = parseFloat(val.toString().substr(val.toString().indexOf(".")+1))
 if(amt &gt; 0){
 info.isError  = true;
 info.Msg  = "เงินชำระต้องเป็นจำนวนเต็มเท่านั้น";
 info.isAfterVerify = true;
 }
 if([2].indexOf(eName) == -1 &amp;&amp; !info.isError){
 var MoneyField = _this.getField("D_MONEY_02");
 var money  = parseFloat(MoneyField.getValue());
 if(money != parseFloat(field.getValue()) &amp;&amp; money &gt; 0)
 info.isError = true;
 if(!info.isError){
 _this.executeFunc("ChkLocalAmt",{Value:[_this.getField("D_TEXT_02").getValue(),_this.getField("D_TEXT_03").getValue()],FieldChk:["D_TEXT_02","D_TEXT_03"],Amt:100000,AmtPay:field.getValue()}
 ,function(result){
 if(result.output.isError){
 info.isError = true;
 info.Msg = result.output.Msg;
 }
 callbackCore(info);
 });
 }
 else
 callbackCore(info);
 }
 else
 callbackCore(info);
 }
 else
 callbackCore(info)
 //#endregion:Etc
 //#region:EventEnd
 }
 else
 callbackCore(info);
 //#endregion:EventEnd</t>
  </si>
  <si>
    <t>บ.ไทยสมุทรประกันชีวิต จำกัดฯ</t>
  </si>
  <si>
    <t>ชำระเบี้ยต่ออายุ บ.ไทยสมุทรประกันชีวิตฯ</t>
  </si>
  <si>
    <t>//#region:Ver
 //CD:03/03/60/12:05,CB:Tof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"|010755500021001"){
  var output = _this.executeFunc("OceanChkDG",{BARCODE:val});
  if(!output.success || !output.output){
  info.isError = true;
  }
  var year = parseInt(val.substr(38,4)) - 543;
  var params = {
  Date:{Day:val.substr(34,4)+year.toString(),Format:"DDMMYYYY"}
  ,ToRate:{D:0,M:0,Y:0}
  ,AD:true
  }
  var CallbackDueDate = function(result){
  if(!result.success || result.output)
  info.isError = true;
  if(!info.isError){
  }
  callbackCore(info);
  }
  if(!info.isError)
  _this.executeFunc("CheckDueDate",params,CallbackDueDate);
  else 
  callbackCore(info);
  }
  else{
  info.isError = true; 
  callbackCore(info);
  }
 }
 else 
  callbackCore(info);
 //#endregion:Etc
 //#region:EventEnd
 }
 else
  callbackCore(info);
 //#endregion:EventEnd</t>
  </si>
  <si>
    <t>//#region:Ver
 //CD:03/03/60/12:07,CB:Tof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_this.executeFunc("VerifyFieldLanguage",ParamsLang);
 var ParamsLen = {
 Condition: { 
  0:{Value: 50,Operator: "&lt;="}
 }
 ,Operations: "AND"
 }
 var Len = _this.executeFunc("VerifyFieldLength",ParamsLen);
 var ParamsChar = {
 Condition: { 
  0:{Character: ";"}
 }
 ,Operations: "AND"
 }
 var Char = _this.executeFunc("VerifyFieldCharacter",ParamsChar);
 if(!Lang || !Len || Char)
 info.isError = true;
 if(!Lang)
 info.VerifyCode = "-10";
 if(Char)
 info.VerifyCode = "-50";
 if(!Len)
 info.VerifyCode = "-90";
 }
 callbackCore(info);
 //#endregion:Etc
 //#region:EventEnd
 }
 else
 callbackCore(info);
 //#endregion:EventEnd</t>
  </si>
  <si>
    <t>//#region:Ver
 //CD:03/03/60/12:09,CB:Tof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_this.executeFunc("SPVerifyField",Params);
 if(!ValReturn.success || (ValReturn.success &amp;&amp; ValReturn.output)){
 info.isError = true;
 info.VerifyCode = ValReturn.ErrorCode;
 }
 }
 callbackCore(info);
 //#endregion:Etc
 //#region:EventEnd
 }
 else
 callbackCore(info);
 //#endregion:EventEnd</t>
  </si>
  <si>
    <t>ชำระเบี้ยปีแรก บ.ไทยสมุทรประกันชีวิตฯ</t>
  </si>
  <si>
    <t>//#region:Ver
 //CD:03/03/60/12:05,CB:Tof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if(val.substr(0,16) == "|010755500021000"){
 var output = _this.executeFunc("OceanChkDG",{BARCODE:val});
 if(!output.success || !output.output){
 info.isError = true;
 }
 callbackCore(info);
 }
 else{
 info.isError = true; 
 callbackCore(info);
 }
 }
 else 
 callbackCore(info);
 //#endregion:Etc
 //#region:EventEnd
 }
 else
 callbackCore(info);
 //#endregion:EventEnd</t>
  </si>
  <si>
    <t>//#region:Ver
 //CD:03/03/60/12:08,CB:Tof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_this.executeFunc("VerifyFieldLanguage",ParamsLang);
 var ParamsLen = {
 Condition: { 
  0:{Value: 50,Operator: "&lt;="}
 }
 ,Operations: "AND"
 }
 var Len = _this.executeFunc("VerifyFieldLength",ParamsLen);
 var ParamsChar = {
 Condition: { 
  0:{Character: ";"}
 }
 ,Operations: "AND"
 }
 var Char = _this.executeFunc("VerifyFieldCharacter",ParamsChar);
 if(!Lang || !Len || Char)
 info.isError = true;
 if(!Lang)
 info.VerifyCode = "-10";
 if(Char)
 info.VerifyCode = "-50";
 if(!Len)
 info.VerifyCode = "-90";
 }
 callbackCore(info);
 //#endregion:Etc
 //#region:EventEnd
 }
 else
 callbackCore(info);
 //#endregion:EventEnd</t>
  </si>
  <si>
    <t>//#region:Ver
 //CD:03/03/60/12:08,CB:Tof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_this.executeFunc("SPVerifyField",Params);
 if(!ValReturn.success || (ValReturn.success &amp;&amp; ValReturn.output)){
 info.isError = true;
 info.VerifyCode = ValReturn.ErrorCode;
 }
 }
 callbackCore(info);
 //#endregion:Etc
 //#region:EventEnd
 }
 else
 callbackCore(info);
 //#endregion:EventEnd</t>
  </si>
  <si>
    <t>บริษัท โลตัสส์ มันนี่ เซอร์วิสเซส จำกัด</t>
  </si>
  <si>
    <t>ชำระค่าบัตรเครดิต TESCO VISA CARD</t>
  </si>
  <si>
    <t>//#region:Ver
 //CD:04/10/15/15:50,CB:wisut
 //ED:04/27/58/16:39,EB:jirapat
 //ED:05/06/15/16:37,EB:wisut
 //ED:05/07/15/15:53,EB:wisut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true){
  var Params1,ValReturn1;
 Params1 = {
 Condition: { 
  0:{Value: "|303030377601",Operator: "!=",Start: 0,Num: 13}
  ,1:{Value: "010554405887201",Operator: "!=",Start: 0,Num: 15}
  ,2:{Value: "303030377601",Operator: "!=",Start: 0,Num: 12} 
  ,3:{Value: "|010554405887201",Operator: "!=",Start: 0,Num: 16} 
 }
 ,Operations: "AND"
 }
 ValReturn1 = this.executeFunc("VerifyFieldSubStr",Params1);
 if(ValReturn1==true)
  info.isError = true;
 }
 callbackCore(info);
 //#endregion:Etc
 //#region:EventEnd
 }
 else
 callbackCore(info);
 //#endregion:EventEnd</t>
  </si>
  <si>
    <t>หมายเลขบัตร</t>
  </si>
  <si>
    <t>//#region:Ver
 //CD:10/05/58/13:37,CB:Tof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output = this.executeFunc("GeMod10",{Value:val});
 if("4093" != val.substr(0,4) || !output.success || (output.success &amp;&amp; !output.output))
 info.isError = true;
 info.isLock = true;
 }
 callbackCore(info);
 //#endregion:Etc
 //#region:EventEnd
 }
 else
 callbackCore(info);
 //#endregion:EventEnd</t>
  </si>
  <si>
    <t>//#region:Ver
 //CD:04/10/15/15:51,CB:wisut
 //ED:04/27/58/16:40,EB:jirapat
 //ED:05/06/15/16:40,EB:wisut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</si>
  <si>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บริษัท ไทยประกันชีวิต จำกัด (ไมโคร)</t>
  </si>
  <si>
    <t>ชำระเบี้ยประกันไทยประกันชีวิต PA500-PA1000</t>
  </si>
  <si>
    <t>//#region:Ver
 //CD:11-03-15-11:31,CB:sompan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Substr = {
  Condition: [
  {Value: "|010755500010403",Operator: "==",Start: 0,Num: 16,ErrorCode: "-710"}
  ]
  ,Operations: "AND"
  }
  var Valsub = _this.executeFunc("SPVerifyFieldSubStr",Substr);
  if(!Valsub.success || (Valsub.success &amp;&amp; !Valsub.output) ){
  info.isError = true;
  info.VerifyCode = Valsub.ErrorCode;
  }
 }
 callbackCore(info);
 //#endregion:Etc
 //#region:EventEnd
 }
 else
  callbackCore(info);
 //#endregion:EventEnd</t>
  </si>
  <si>
    <t>Ref No.1 (เลขที่ใบเสร็จรับเงิน)</t>
  </si>
  <si>
    <t>Ref No.2 (เลขที่กรมธรรม์)</t>
  </si>
  <si>
    <t>ชำระไทยประกันPA500-PA1000</t>
  </si>
  <si>
    <t>ไทยประกันPA500-PA1000</t>
  </si>
  <si>
    <t>บริษัท ซิกน่า ประกันภัย จำกัด (มหาชน)</t>
  </si>
  <si>
    <t>ชำระประกันภัยซิกน่า</t>
  </si>
  <si>
    <t>//#region:Ver
 //CD:11-03-15-11:31,CB:sompan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Substr = {
  Condition: [
  {Value: "|010754000009000",Operator: "==",Start: 0,Num: 16,ErrorCode: "-710"}
  ]
  ,Operations: "AND"
  }
  var Valsub = _this.executeFunc("SPVerifyFieldSubStr",Substr);
  if(!Valsub.success || (Valsub.success &amp;&amp; !Valsub.output) ){
  info.isError = true;
  info.VerifyCode = Valsub.ErrorCode;
  }
 }
 callbackCore(info);
 //#endregion:Etc
 //#region:EventEnd
 }
 else
  callbackCore(info);
 //#endregion:EventEnd</t>
  </si>
  <si>
    <t>ชำระซิกน่าประกันภัย</t>
  </si>
  <si>
    <t>ซิกน่าประกันภัย</t>
  </si>
  <si>
    <t>บจก.แอดวานซ์ ไวร์เลส เน็ทเวอร์ค</t>
  </si>
  <si>
    <t>ค่า Sim Card AIS (Pre-paid/Post-paid)</t>
  </si>
  <si>
    <t>MobileNo (Ref1)</t>
  </si>
  <si>
    <t>//#region:Ver
 //CD:05/18/58/18:24,CB:jirapat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&amp;&amp;eName !=1){
 var Params = {
 Condition: { 
 0:{Value: 10,Operator: "=="}
 }
 ,Operations: "AND"
 }
 var ValReturn = this.executeFunc("VerifyFieldLength",Params);
 if (ValReturn)
 info.VerifyCode = "-420";
 if(ValReturn==false)
 info.isError = true;
 }
 callbackCore(info);
 //#endregion:Etc
 //#region:EventEnd
 }
 else
 callbackCore(info);
 //#endregion:EventEnd</t>
  </si>
  <si>
    <t>ID No (Ref2)</t>
  </si>
  <si>
    <t>//#region:Ver
 //CD:03/23/60/11:21,CB:Tof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ValReturn = _this.executeFunc("CheckIDCardNo");
  if(!ValReturn)
  info.isError = true;
 }
 callbackCore(info);
 //#endregion:Etc
 //#region:EventEnd
 }
 else
  callbackCore(info);
 //#endregion:EventEnd</t>
  </si>
  <si>
    <t>var _this = this;
 var _callback = callback;
 var field = _this.getField();
 var chkEvent = _this.executeFunc('CheckEvent',{Data:datas});
 var info = chkEvent.output;
 var eName = info.eName;
 var callbackCore = function(result){
 _this.executeFunc('CallbackCore',{Data:result},_callback);
 };
 //eName = changed
 if([1,2,3,8].indexOf(eName) != -1 || eName == 5){
 if(info.isValid &amp;&amp; [1,2,3].indexOf(eName) == -1){
 var params = {MapData:[{FDName:"D_MONEY_01",Column:"VALUE_NAME"}]};
 this.executeFunc("ServDataCombo",params);
 }
 callbackCore(info);
 }
 else
 callbackCore(info);</t>
  </si>
  <si>
    <t>บริษัท ไปรษณีย์ไทย (ภาษีที่ดินและสิ่งปลูกสร้าง)</t>
  </si>
  <si>
    <t>ชำระภาษีที่ดินและสิ่งปลูกสร้าง</t>
  </si>
  <si>
    <t>//#region:Ver
 //CD:04/10/15/15:50,CB:wisut
 //ED:04/27/58/16:39,EB:jirapat
 //ED:05/06/15/16:37,EB:wisut
 //ED:05/07/15/15:53,EB:wisut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true){
  var Params1,ValReturn1;
  Params1 = {
  Condition: { 
  0:{Value: "|010554609572413",Operator: "==",Start: 0,Num: 16}
  ,1:{Value: "000000994000278098",Operator: "==",Start: 16,Num: 18}
  }
  ,Operations: "AND"
  }
  ValReturn1 = this.executeFunc("VerifyFieldSubStr",Params1);
  if(ValReturn1==true)
  info.isError = true;
 }
 callbackCore(info);
 //#endregion:Etc
 //#region:EventEnd
 }
 else
  callbackCore(info);
 //#endregion:EventEnd</t>
  </si>
  <si>
    <t>เลขภาษี อปท.</t>
  </si>
  <si>
    <t>เลขภาษีผู้ชำระ</t>
  </si>
  <si>
    <t>//#region:Ver
 //CD:05/25/58/10:44,CB:jirapat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{Language: "NUM"}//TH,EN,NUM,THEN,THNUM,ENNUM
  ,Operations: "AND"
  }
  var ValReturn = this.executeFunc("VerifyFieldLanguage",Params);
  if(!ValReturn)
  info.VerifyCode = "-320";
  if(ValReturn==false)
  info.isError = true;
 }
 callbackCore(info);
 //#endregion:Etc
 //#region:EventEnd
 }
 else
  callbackCore(info);
 //#endregion:EventEnd</t>
  </si>
  <si>
    <t>ธนาคารทหารไทยธนชาต จำกัด (มหาชน)</t>
  </si>
  <si>
    <t>ชำระสินเชื่อรถยนต์ (กท-ตจว)</t>
  </si>
  <si>
    <t>//#region:Ver
 //CD:05/18/58/13:39,CB:jirapat
 //ED:09-25-15-15:15,EB:sompan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"|010753700001700",Operator: "!=",Start: 0,Num: 16}
  ,1:{Value: "|010753600140100",Operator: "!=",Start: 0,Num: 16}
  }
  ,Operations: "AND"
  }
  var ValReturn = this.executeFunc("VerifyFieldSubStr",Params);
  if(ValReturn==true)
  info.isError = true;
 }
 callbackCore(info);
 //#endregion:Etc
 //#region:EventEnd
 }
 else
  callbackCore(info);
 //#endregion:EventEnd</t>
  </si>
  <si>
    <t>รับชำระ บัตรเครดิต/บัตรกดเงินสด (กท-ตจว)</t>
  </si>
  <si>
    <t>//#region:Ver
 //CD:05/18/58/13:39,CB:jirapat
 //ED:09-25-15-15:15,EB:sompan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"|010753700001702",Operator: "!=",Start: 0,Num: 16}
  ,1:{Value: "|010753600140105",Operator: "!=",Start: 0,Num: 16}
  }
  ,Operations: "AND"
  }
  var ValReturn = this.executeFunc("VerifyFieldSubStr",Params);
  if(ValReturn==true)
  info.isError = true;
 }
 callbackCore(info);
 //#endregion:Etc
 //#region:EventEnd
 }
 else
  callbackCore(info);
 //#endregion:EventEnd</t>
  </si>
  <si>
    <t>//#region:Ver
 //CD:01/10/61/11:30,CB:Tof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16,Operator: "=="}
  }
  ,Operations: "OR"
  }
  var ValReturn = _this.executeFunc("VerifyFieldLength",Params);
  var ParamsLang = {Condition: {Language: "NUM"},Operations: "AND"};
  var ValLang = _this.executeFunc("VerifyFieldLanguage",ParamsLang);
  if(!ValReturn || !ValLang)
  info.isError = true;
 }
 callbackCore(info);
 //#endregion:Etc
 //#region:EventEnd
 }
 else
  callbackCore(info);
 //#endregion:EventEnd</t>
  </si>
  <si>
    <t>สินเชื่อรายย่อย (กท-ตจว)</t>
  </si>
  <si>
    <t>//#region:Ver
 //CD:07/05/60/12:10,CB:Tof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val = field.getValue();
  var taxid = ["0107537000017","0107536001401"];
  var fieldRef1 = _this.getField("D_TEXT_04");
  var fieldRef2 = _this.getField("D_TEXT_05");
  var suffix;
  var ref1,ref2,amt;
  var ParamsLang = {Condition: {Language: "NUM"},Operations: "AND"};
  if(val.substr(0,1) == "|")
  ParamsLang.Values = val.substr(1);
  var ValLang = _this.executeFunc("VerifyFieldLanguage",ParamsLang);
  if(!ValLang)
  info.isError = true;
  if(taxid.indexOf(val) != -1){
  ref1 = "";
  ref2 = "";
  }
  else if(suffix == "03"){
  ref1 = val.substr(17,16);
  }
  else
  info.isError = true;
  }
  else if(suffix == "02"){
  ref1 = "สแกนบาร์โค้ดไม่ถูกต้องหรือพิมพ์ TAX_ID ไม่ถูกต้อง";
  }
  else
  info.isError = true;
  }
  else
  info.isError = true;
 if(!info.isError){ 
 var fieldRef1 = _this.getField("D_TEXT_04");
 if(!_.isNull(fieldRef1))
 fieldRef1.setValue(ref1);
 }
  if(!info.isError){
  if(!_.isNull(fieldRef1))
  fieldRef1.setValue(ref1);
  }
 }
 callbackCore(info);
 //#endregion:Etc
 //#region:EventEnd
 }
 else
  callbackCore(info);
 //#endregion:EventEnd</t>
  </si>
  <si>
    <t>กองทุนการออมแห่งชาติ(National Savings Fund)</t>
  </si>
  <si>
    <t>ส่งเงินสะสมเข้ากองทุนการออมแห่งชาติ</t>
  </si>
  <si>
    <t>var _this = this;
 var _callback = callback;
 var field = _this.getField();
 var chkEvent = _this.executeFunc("CheckEvent",{Data:datas});
 var info = chkEvent.output;
 var eName = info.eName;
 var callbackCore = function(result){
  _this.executeFunc("CallbackCore",{Data:result},_callback);
 };
 //eName = btnClick
 if([1,2,3,8].indexOf(eName) != -1 || eName == 7){
  if([1,2,3].indexOf(eName) == -1){
  var smCardCallback = function(data){console.log(data);
  var _data = data.Data,_info = _data.Data;
  var focusField = _this.getField("D_TEXT_04");
  if(_data.ErrorCode == 1){
  //ประเภท,ชื่อ-สกุล
  var sNameField = _this.getField("D_TEXT_03");
  if(!_.isNull(sNameField)) sNameField.setValue(_info.ENFirstName +" "+_info.ENLastName);
  //เลขบัตรประชาชน
  var cardNoField = _this.getField("D_TEXT_02");
  if(!_.isNull(cardNoField)) cardNoField.setValue(_info.CitizenID);
  focusField.focus();//focus Field
  }
  else
  _this.executeFunc("SPMsgBoxOk",{Msg:"กรุณาตรวจสอบเครื่องอ่านบัตร",Title:_data.Title});
  };
  _this.readSmartCard(smCardCallback);
  }
  else callbackCore(info);
 }
 else
  callbackCore(info);</t>
  </si>
  <si>
    <t>เลขธนาณัติพิเศษ</t>
  </si>
  <si>
    <t>var _this = this;
 var _callback = callback;
 var field = _this.getField();
 var chkEvent = _this.executeFunc("CheckEvent",{Data:datas});
 var info = chkEvent.output;
 var eName = info.eName;
 var callbackCore = function(result){
  _this.executeFunc("CallbackCore",{Data:result},_callback);
 };
 //eName = enter
 if([1,2,3,8].indexOf(eName) != -1 || eName == 8){
 if([1].indexOf(eName) == -1){
  var ValReturn = _this.executeFunc("CheckIDCardNo");
  if(!ValReturn){
  info.isError = true;
  info.VerifyCode = "-290";
  }
  callbackCore(info);
 }
 else
  callbackCore(info);
 }
 else
  callbackCore(info);</t>
  </si>
  <si>
    <t>var _this = this;
 var _callback = callback;
 var field = _this.getField();
 var chkEvent = _this.executeFunc("CheckEvent",{Data:datas});
 var info = chkEvent.output;
 var eName = info.eName;
 var callbackCore = function(result){
  _this.executeFunc("CallbackCore",{Data:result},_callback);
 };
 //eName = enter
 if([1,2,3,8].indexOf(eName) != -1 || eName == 8){
 if(info.isValid &amp;&amp; (eName != 1)){ 
  var ParamsLang = {Condition: {Language: "TH|EN"},Operations: "AND"};
  var Lang = _this.executeFunc("VerifyFieldLanguage",ParamsLang);
  var ParamsLen = {Condition: {0:{Value: 50,Operator: "&lt;="}},Operations: "AND"};
  var Len = this.executeFunc("VerifyFieldLength",ParamsLen);
  var ParamsChar = {Condition: {0:{Character: ";"}},Operations: "AND"};
  var Char = this.executeFunc("VerifyFieldCharacter",ParamsChar);
  if(!Lang || !Len || Char)
  info.isError = true;
  if(!Lang)
  info.VerifyCode = "-10";
  if(Char)
  info.VerifyCode = "-50";
  if(!Len)
  info.VerifyCode = "-90";
 }
 callbackCore(info);
 }
 else
  callbackCore(info);</t>
  </si>
  <si>
    <t>//#region:Ver
 //CD:04/16/58/10:00,CB:Tof
 //ED:05-02-2020-10:10,EB:Thachaporn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verify
 if([1,2,3,8].indexOf(eName) != -1 || eName == 2){
 //#endregion:LoadData
 //#region:Etc
 if(info.isAfterVerify){
  var val = field.getValue();
  var amtField = _this.getField("D_MONEY_01");
  var flax = true;
  if(val == 0)
  flax = false;
  if(!_.isNull(amtField))
  amtField.setProperty("IsReadOnly",flax);
 }
 callbackCore(info);
 //#endregion:Etc
 //#region:EventEnd
 }
 //#endregion:Event
 //#region:LoadData
 //#endregion:Event
 //#region:LoadData
 //eName = enter
 if([1,2,3,8].indexOf(eName) != -1 || eName == 8){
 //#endregion:LoadData
 //#region:Etc
 if(info.isValid &amp;&amp; eName != 1){
  var Params = {
  Condition: { 
  0:{Value: 50,Operator: "&gt;="}
  ,1:{Value: 13200,Operator: "&lt;="}
  }
  ,Operations: "AND"
  }
  var ValReturn = this.executeFunc("VerifyField",Params);
  if(!ValReturn)
  info.isError = true;
 }
 callbackCore(info);
 //#endregion:Etc
 //#region:EventEnd
 }
 else
  callbackCore(info);
 //#endregion:EventEnd</t>
  </si>
  <si>
    <t>Member Code</t>
  </si>
  <si>
    <t>Member Title</t>
  </si>
  <si>
    <t>Member First Name</t>
  </si>
  <si>
    <t>D_TEXT_23</t>
  </si>
  <si>
    <t>Member Last Name</t>
  </si>
  <si>
    <t>D_TEXT_24</t>
  </si>
  <si>
    <t>Member Phone</t>
  </si>
  <si>
    <t>D_TEXT_25</t>
  </si>
  <si>
    <t>MaxAmount</t>
  </si>
  <si>
    <t>D_TEXT_26</t>
  </si>
  <si>
    <t>MinAmount</t>
  </si>
  <si>
    <t>D_TEXT_27</t>
  </si>
  <si>
    <t>InvoiceAmount</t>
  </si>
  <si>
    <t>D_TEXT_28</t>
  </si>
  <si>
    <t>PaymentNo</t>
  </si>
  <si>
    <t>D_TEXT_29</t>
  </si>
  <si>
    <t>TcnInquiry</t>
  </si>
  <si>
    <t>กรมสรรพากร กระทรวงการคลัง</t>
  </si>
  <si>
    <t>ชำระภาษีเงินได้ ภงด.</t>
  </si>
  <si>
    <t>ชื่อ - สกุล ผู้เสียภาษี</t>
  </si>
  <si>
    <t>//#region:Ver
 //CD:07/21/58/14:10,CB:jirapat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Params2 = {
 Condition: { 
  0:{Value: 50,Operator: "&lt;="}
 }
 ,Operations: "AND"
 }
 var ValReturn2 = this.executeFunc("VerifyFieldLength",Params2);
 var Params1 = {
 Condition: { 
  0:{Character: ";"}
 }
 ,Operations: "AND"
 }
 var ValReturn1 = this.executeFunc("VerifyFieldCharacter",Params1);
 if (!ValReturn2)
 info.VerifyCode = "-90";
 if (ValReturn1)
 info.VerifyCode = "-50";
  if(ValReturn2==false||ValReturn1==true)
 info.isError = true;
 }
 callbackCore(info);
 //#endregion:Etc
 //#region:EventEnd
 }
 else
 callbackCore(info);
 //#endregion:EventEnd</t>
  </si>
  <si>
    <t>เลฃประจำตัวผู้เสียภาษี</t>
  </si>
  <si>
    <t>//#region:Ver
 //CD:05/06/15/16:05,CB:wisut
 //ED:11-03-15-16:17,EB:sompan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10,Operator: "=="}
 ,1:{Value: 13,Operator: "=="}
 }
 ,Operations: "OR"
 }
 var ValLen = this.executeFunc("VerifyFieldLength",Len);
 if(!ValLen)
 info.isError = true
 }
 callbackCore(info);
 //#endregion:Etc
 //#region:EventEnd
 }
 else
 callbackCore(info);
 //#endregion:EventEnd</t>
  </si>
  <si>
    <t>รหัสควบคุมการเสียภาษี</t>
  </si>
  <si>
    <t>//#region:Ver
 //CD:05/06/15/16:00,CB:wisut
 //ED:08/10/59/15:04,EB:Tof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info.isLock = true;
 var Params = {
 Condition:[{Value: 15,Operator: "=="}]
 ,Operations: "AND"
 };
 var ValReturn = _this.executeFunc("SPVerifyFieldLength",Params);
 if(!ValReturn.success || (ValReturn.success &amp;&amp; !ValReturn.output))
 info.isError = true;
 callbackCore(info);
 }
 else
 callbackCore(info);
 //#endregion:Etc
 //#region:EventEnd
 }
 else
 callbackCore(info);
 //#endregion:EventEnd</t>
  </si>
  <si>
    <t>//#region:Ver
 //CD:06/10/15/18:00,CB:Art
 //ED:08/10/59/15:04,EB:Tof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Ref3 = _this.getField("D_TEXT_03").getValue(); 
 var Ref4 = _this.getField("D_TEXT_04").getValue(); 
 var amt = field.getValue(); 
 var params1 = {TinCode:Ref3 ,ControlCode: Ref4,RevenueAmt: amt};
 var Callback = function(result,_this){
 if(!result.success || (result.success &amp;&amp; !result.output)){
 info.isError = true
 info.VerifyCode = "-110";
 }
 if(!info.isError){
 _this.executeFunc("ChkDupBar",{BARCODE:[Ref3,Ref4,field.getValue()],FieldChk:["REFNO3","REFNO4","AMT"]},function(result){
 if(!result.success || !_.isUndefined(result.output.Msg)){
 info.Msg = result.output.Msg;
 info.isError = result.output.isError;
 info.isClear = false;
 }
 callbackCore(info);
 });
 }
 else 
 callbackCore(info);
 };
 if(Ref4 != "" &amp;&amp; Ref3 != "")
 _this.executeFunc("RevenueControlCode",params1,Callback);
 else 
 callbackCore(info);
 }
 else
 callbackCore(info);
 //#endregion:Etc
 //#region:EventEnd
 }
 else
 callbackCore(info);
 //#endregion:EventEnd</t>
  </si>
  <si>
    <t>ฟิลลิปประกันชีวิต(Phillip)</t>
  </si>
  <si>
    <t>ชำระค่าเบี้ยประกัน บ.ฟิลลิปฯ</t>
  </si>
  <si>
    <t>//#region:Ver
 //CD:05/11/15/10:35,CB:wisut
 //ED:07-25-16-16:08,EB:sompan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var val = field.getValue();
 var Params = {
 Condition: { 
 0:{Value: "3030021304",Operator: "==",Start: 0,Num: 10}
 ,1:{Value: "|0105542096319",Operator: "==",Start: 0,Num: 14}
 ,2:{Value: "|0107556000671",Operator: "==",Start: 0,Num: 14}
 }
 ,Operations: "OR"
 }
 var ValReturn = this.executeFunc("VerifyFieldSubStr",Params);
 if(!ValReturn)
 info.isError = true;
 if([2,3].indexOf(eName) == -1 &amp;&amp; !info.isError){
 var ref3 = _this.getField("D_TEXT_05");
 var ref5 = _this.getField("D_TEXT_04");
 var output = this.executeFunc("NwChkDgMod11New",{Value:val});
 if(output.success){
 if(!_.isNull(ref3))
 ref3.setValue(output.output);
 if(!_.isNull(ref5))
 ref5.setValue(0);
 }
 else
 info.isError = true;
 }
 if(!info.isError){
 _this.executeFunc("ChkDupBar",{BARCODE:[val],FieldChk:["BRCDE"]},function(result){
 if(!result.success || !_.isUndefined(result.output.Msg)){
 info.Msg = result.output.Msg;
 info.isError = result.output.isError;
 info.isClear = false;
 }
 callbackCore(info);
 });
 }
 else 
 callbackCore(info);
 }
 else
 callbackCore(info);
 //#endregion:Etc
 //#region:EventEnd
 }
 else
 callbackCore(info);
 //#endregion:EventEnd</t>
  </si>
  <si>
    <t>ประเภทกรมธรรม์</t>
  </si>
  <si>
    <t>//#region:Ver
 //CD:10/26/58/10:58,CB:Tof
 //ED:10/26/58/10:59,EB:Tof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keyTyped
 if([1,2,3,8].indexOf(eName) != -1 || eName == 6){
 //#endregion:LoadData
 //#region:Etc
 if(info.isValid){
 if(!info.isError){
 var Information = [{FDName:"D_TEXT_20",Format:field.get("DISPLAY_FORMAT"),IsBud:field.get("IS_BE_DATE")}];
 _this.executeFunc("SetDateINF",{Information:Information},function(){callbackCore(info);});
 }
 }
 else
 callbackCore(info);
 //#endregion:Etc
 //#region:EventEnd
 }
 else
 callbackCore(info);
 //#endregion:EventEnd</t>
  </si>
  <si>
    <t>//#region:Ver
 //CD:12/30/58/14:35,CB:Tof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</si>
  <si>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ซิตี้แบงก์วีซ่า/มาสเตอร์การ์ด</t>
  </si>
  <si>
    <t>วีซ่า/มาสเตอร์ (Visa/Master) มีบาร์โค้ด</t>
  </si>
  <si>
    <t>//#region:Ver
 //CD:04/09/15/13:39,CB:wisut
 //ED:04/27/58/15:00,EB:jirapat
 //ED:05/07/15/13:45,EB:wisut
 //ED:07/27/15/15:05,EB:Art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Params1,Params2,ValReturn1,ValReturn2;
 Params1 = {
 Condition: { 
  0:{Value: "|310400516201",Operator: "!=",Start: 0,Num: 13}
 }
 ,Operations: "AND"
 }
 Params2 = {
 Condition: { 
  0:{Value: "|010052800012701",Operator: "!=",Start: 0,Num: 16}
 }
 ,Operations: "AND"
 }
 ValReturn1 = this.executeFunc("VerifyFieldSubStr",Params1);
 ValReturn2 = this.executeFunc("VerifyFieldSubStr",Params2);
 if(ValReturn1==true&amp;&amp;ValReturn2==true)
 info.isError = true;
 }
 callbackCore(info);
 //#endregion:Etc
 //#region:EventEnd
 }
 else
 callbackCore(info);
 //#endregion:EventEnd</t>
  </si>
  <si>
    <t>//#region:Ver
 //CD:13/12/60/10:00,CB:Tof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if(eName != 1){
  var Params = {
  Condition:[{Value: 100,Operator: "&lt;",ErrorCode: "-800"},/*{Value: 50000,Operator: "&gt;",ErrorCode: "-870"}*/]
  ,Operations: "OR"
  };
  var ValReturn = _this.executeFunc("SPVerifyField",Params);
  if(!ValReturn.success || (ValReturn.success &amp;&amp; (ValReturn.output)) ){
  info.isError = true;
  info.VerifyCode = ValReturn.ErrorCode;
  }
  if(!info.isError){
  _this.executeFunc("ChkLocalAmt",{Value:[_this.getField("D_TEXT_02").getValue()],FieldChk:["D_TEXT_02"],Amt:100000,AmtPay:field.getValue()}
  ,function(result){
  if(result.output.isError){
  info.isError = true;
  info.Msg = result.output.Msg;
  }
  callbackCore(info);
  });
  }
  else
  callbackCore(info);
  }
  else{
  var focusField = _this.getField("D_MONEY_01");
  info.VerifyCode = "-5100";
  info.isAlert = false;
  info.eventName = "end";
  info.ctrlDatas =[{
  FD_NAME:focusField.get("FD_NAME")
  ,FD_TYPE:focusField.get("FD_TYPE")
  ,IS_READONLY:focusField.get("IS_READONLY")}];
  callbackCore(info);
  }
 }
 else
  callbackCore(info);
 //#endregion:Etc
 //#region:EventEnd
 }
 else
  callbackCore(info);
 //#endregion:EventEnd</t>
  </si>
  <si>
    <t>วีซ่า/มาสเตอร์ (Visa/Master) ไม่มีบาร์</t>
  </si>
  <si>
    <t>//#region:Ver
 //CD:06/15/58/13:38,CB:Minny
 //ED:10-20-15-10:34,EB:sompan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16,Operator: "=="}
 }
 ,Operations: "AND"
 }
 var ValLen = this.executeFunc("VerifyFieldLength",Len);
 var Params = {
 Condition: {Language: "NUM"}//TH,EN,NUM,THEN,THNUM,ENNUM
 ,Operations: "AND"
 }
 var ValReturn = this.executeFunc("VerifyFieldLanguage",Params);
 if(!ValLen)
 info.VerifyCode = "-480";
 if(!ValReturn)
 info.VerifyCode = "-320";
 if(!ValReturn || !ValLen)
 info.isError = true;
 }
 callbackCore(info);
 //#endregion:Etc
 //#region:EventEnd
 }
 else
 callbackCore(info);
 //#endregion:EventEnd</t>
  </si>
  <si>
    <t>//#region:Ver
 //CD:04/16/58/10:00,CB:Tof
 //ED:05/08/58/13:30,EB:jirapat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100,Operator: "&lt;",ErrorCode: "-800"},/*{Value: 50000,Operator: "&gt;",ErrorCode: "-870"}*/]
  ,Operations: "OR"
  };
  var ValReturn = this.executeFunc("SPVerifyField",Params);
  if(!ValReturn.success || (ValReturn.success &amp;&amp; (ValReturn.output)) ){
  info.isError = true;
  info.VerifyCode = ValReturn.ErrorCode;
  }
  if(!info.isError){
  _this.executeFunc("ChkLocalAmt",{Value:[_this.getField("D_TEXT_02").getValue()],FieldChk:["D_TEXT_02"],Amt:100000,AmtPay:field.getValue()}
  ,function(result){
  if(result.output.isError){
  info.isError = true;
  info.Msg = result.output.Msg;
  }
  callbackCore(info);
  });
  }
  else
  callbackCore(info);
 }
 else
  callbackCore(info);
 //#endregion:Etc
 //#region:EventEnd
 }
 else
  callbackCore(info);
 //#endregion:EventEnd</t>
  </si>
  <si>
    <t>ซิตี้แบงก์(เรดดี้เครดิต/เพอร์ซันนัลโลน)</t>
  </si>
  <si>
    <t>เรดดี้ เครดิต (Ready Credit) มีบาร์โค้ด</t>
  </si>
  <si>
    <t>//#region:Ver
 //CD:04/09/15/13:41,CB:wisut
 //ED:04/28/58/11:26,EB:jirapat
 //ED:05/07/15/15:03,EB:wisut
 //ED:05/20/58/10:54,EB:jirapat
 //ED:07/27/15/15:13,EB:Art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info.isBarcode = true;
 var val = field.getValue();
 var len = val.length;
 var data  = "049";
 var data2 = "";
 var Params = {
 Condition: { 
 0:{Value: "|310400516202",Operator: "==",Start: 0,Num: 13}
 ,1:{Value: "|010052800012702",Operator: "==",Start: 0,Num: 16}
 }
 ,Operations: "OR"
 }
 var prefix = _this.executeFunc("VerifyFieldSubStr",Params);
 if(!prefix)
 info.isError = true;
 else {
 if(len == 27)
 data2 = val.substr(16,3);
 else if(len == 24)
 data2 = val.substr(13,3);
 if(data == data2)
 info.isError = true;
 }
 }
 callbackCore(info);
 //#endregion:Etc
 //#region:EventEnd
 }
 else
 callbackCore(info);
 //#endregion:EventEnd</t>
  </si>
  <si>
    <t>//#region:Ver
 //CD:05/26/58/17:49,CB:jirapat
 //ED:07/27/15/15:16,EB:Art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LenFormat: 16
 ,Value: field.getValue()
 }
 var output = _this.executeFunc("FormatZero",Params);
 if([1].indexOf(eName) != -1)
 field.setValue(output.output);
 }
 callbackCore(info);
 //#endregion:Etc
 //#region:EventEnd
 }
 else
 callbackCore(info);
 //#endregion:EventEnd</t>
  </si>
  <si>
    <t>//#region:Ver
 //CD:18/12/60/10:00,CB:Tof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if(eName != 1){
  var Params = {
  Condition:[{Value: 100,Operator: "&lt;",ErrorCode: "-800"},{Value: 50000,Operator: "&gt;",ErrorCode: "-870"}]
  ,Operations: "OR"
  };
  var ValReturn = _this.executeFunc("SPVerifyField",Params);
  if(!ValReturn.success || (ValReturn.success &amp;&amp; (ValReturn.output)) ){
  info.isError = true;
  info.VerifyCode = ValReturn.ErrorCode;
  }
  if(!info.isError){
  _this.executeFunc("ChkLocalAmt",{Value:[_this.getField("D_TEXT_02").getValue()],FieldChk:["D_TEXT_02"],Amt:100000,AmtPay:field.getValue()}
  ,function(result){
  if(result.output.isError){
  info.isError = true;
  info.Msg = result.output.Msg;
  }
  callbackCore(info);
  });
  }
  else
  callbackCore(info);
  }
  else{
  var focusField = _this.getField("D_MONEY_01");
  info.VerifyCode = "-5100";
  info.isAlert = false;
  info.eventName = "end";
  info.ctrlDatas =[{
  FD_NAME:focusField.get("FD_NAME")
  ,FD_TYPE:focusField.get("FD_TYPE")
  ,IS_READONLY:focusField.get("IS_READONLY")}];
  callbackCore(info);
  }
 }
 else
  callbackCore(info);
 //#endregion:Etc
 //#region:EventEnd
 }
 else
  callbackCore(info);
 //#endregion:EventEnd</t>
  </si>
  <si>
    <t>เรดดี้ เครดิต (Ready Credit) ไม่มีบาร์</t>
  </si>
  <si>
    <t>//#region:Ver
 //CD:10-20-15-16:01,CB:sompan
 //ED:10-20-15-16:08,EB:sompan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10,Operator: "=="}
 }
 ,Operations: "AND"
 }
 var ValLen = this.executeFunc("VerifyFieldLength",Len);
 var Params = {
 Condition: {Language: "NUM"}//TH,EN,NUM,THEN,THNUM,ENNUM
 ,Operations: "AND"
 }
 var ValReturn = this.executeFunc("VerifyFieldLanguage",Params);
 if(!ValLen)
 info.VerifyCode = "-420";
 if(!ValReturn)
 info.VerifyCode = "-320";
 if(!ValReturn || !ValLen)
 info.isError = true;
 }
 callbackCore(info);
 //#endregion:Etc
 //#region:EventEnd
 }
 else
 callbackCore(info);
 //#endregion:EventEnd</t>
  </si>
  <si>
    <t>//#region:Ver
 //CD:04/16/58/10:00,CB:Tof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100,Operator: "&lt;",ErrorCode: "-800"},{Value: 50000,Operator: "&gt;",ErrorCode: "-870"}]
  ,Operations: "OR"
  };
  var ValReturn = this.executeFunc("SPVerifyField",Params);
  if(!ValReturn.success || (ValReturn.success &amp;&amp; (ValReturn.output)) ){
  info.isError = true;
  info.VerifyCode = ValReturn.ErrorCode;
  }
  if(!info.isError){
  _this.executeFunc("ChkLocalAmt",{Value:[_this.getField("D_TEXT_02").getValue()],FieldChk:["D_TEXT_02"],Amt:100000,AmtPay:field.getValue()}
  ,function(result){
  if(result.output.isError){
  info.isError = true;
  info.Msg = result.output.Msg;
  }
  callbackCore(info);
  });
  }
  else
  callbackCore(info);
 }
 else
  callbackCore(info);
 //#endregion:Etc
 //#region:EventEnd
 }
 else
  callbackCore(info);
 //#endregion:EventEnd</t>
  </si>
  <si>
    <t>เรดดี้ รีไรท์(Ready Rewrite) มีบาร์ กทม.</t>
  </si>
  <si>
    <t>//#region:Ver
 //CD:04/09/15/14:16,CB:wisut
 //ED:05/08/58/15:18,EB:jirapat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len = val.length;
 var data = "049";
 var data2 = "";
 var Params = {
 Condition: { 
 0:{Value: "|310400516202049",Operator: "==",Start: 0,Num: 16}
 ,1:{Value: "|010052800012702049",Operator: "==",Start: 0,Num: 19}
 }
 ,Operations: "OR"
 }
 var prefix = _this.executeFunc("VerifyFieldSubStr",Params);
 if(!prefix)
 info.isError = true;
 else {
 if(len == 27)
 data2 = val.substr(16,3);
 else if(len == 24)
 data2 = val.substr(13,3);
 if(data != data2)
 info.isError = true;
 }
 }
 console.log(field.getValue());
 callbackCore(info);
 //#endregion:Etc
 //#region:EventEnd
 }
 else
 callbackCore(info);
 //#endregion:EventEnd</t>
  </si>
  <si>
    <t>//#region:Ver
 //CD:05/08/58/15:19,CB:jirapat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{Language: "NUM"}//TH,EN,NUM,THEN,THNUM,ENNUM
 ,Operations: "AND"
 }
 var ValReturn = this.executeFunc("VerifyFieldLanguage",Params);
 if(!ValReturn)
 info.VerifyCode = "-320";
 var output = _this.executeFunc("FormatZero",{LenFormat: 16,Value: field.getValue()});
 if(!ValReturn || !output.output){
 info.isError = true;
 info.isExecError = true;
 }
 else{
 if([1].indexOf(eName) != -1)
 field.setValue(output.output);
 }
 }
 callbackCore(info);
 //#endregion:Etc
 //#region:EventEnd
 }
 else
 callbackCore(info);
 //#endregion:EventEnd</t>
  </si>
  <si>
    <t>ธนาคารอาคารสงเคราะห์</t>
  </si>
  <si>
    <t>ชำระเงินธนาคารอาคารสงเคราะห์(ออนไลน์)</t>
  </si>
  <si>
    <t>สแกน/พิมพ์บาร์โค้ด,บ/ชเงินกู้</t>
  </si>
  <si>
    <t>//#region:Ver
 //CD:08/24/59/11:13,CB:Tof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info.isBarcode = true;
 var val = field.getValue();
 var len = val.length;
 var value;
 if(val.substr(0,13) == "|410200011100"){
 if([26,27].indexOf(len) != -1)
 value = val.substr(13,12);
 else
 info.isError = true;
 }
 else if(val.substr(0,16) == "|099400016485800"){
 if([29,30].indexOf(len) != -1)
 value = val.substr(16,12);
 else
 info.isError = true;
 }
 else if(["4102","|410","0994","|099"].indexOf(val.substr(0,4)) == -1 &amp;&amp; len == 12)
 value = val;
 else
 info.isError = true;
 if(!info.isError){
 _this.getField("D_TEXT_03").setValue(value);
 _this.executeControl("D_TEXT_03",{datas:{eventName:"enter",isExec:true}},function(){
 callbackCore(info);
 });
 }
 else
 callbackCore(info);
 }
 else
 callbackCore(info);
 //#endregion:Etc
 //#region:EventEnd
 }
 else
 callbackCore(info);
 //#endregion:EventEnd</t>
  </si>
  <si>
    <t>//#region:Ver
 //CD:04/09/15/16:22,CB:wisut
 //ED:05/08/58/17:34,EB:jirapat
 //ED:07/28/15/16:45,EB:Art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{Condition: {Language: "TH|EN"},Operations: "AND"};
 var Lang = _this.executeFunc("VerifyFieldLanguage",ParamsLang);
 var ParamsLen = {Condition: {0:{Value: 50,Operator: "&lt;="}},Operations: "AND"};
 var Len = _this.executeFunc("VerifyFieldLength",ParamsLen);
 var ParamsChar = {Condition: {0:{Character: ";"}},Operations: "AND"};
 var Char = _this.executeFunc("VerifyFieldCharacter",ParamsChar);
 if(!Lang || !Len || Char)
 info.isError = true;
 if(!Lang)
 info.VerifyCode = "-10";
 if(Char)
 info.VerifyCode = "-50";
 if(!Len)
 info.VerifyCode = "-90";
 }
 callbackCore(info);
 //#endregion:Etc
 //#region:EventEnd
 }
 else
 callbackCore(info);
 //#endregion:EventEnd</t>
  </si>
  <si>
    <t>เลขที่เงินกู้</t>
  </si>
  <si>
    <t>//#region:Ver
 //CD:10/05/58/13:56,CB:Tof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{Language: "NUM"}//TH,EN,NUM,THEN,THNUM,ENNUM
 ,Operations: "AND"
 }
 var ValReturn = this.executeFunc("VerifyFieldLanguage",Params);
 if(!ValReturn)
 info.VerifyCode = "-320";
 var output = this.executeFunc("GhbMod10",{Value:field.getValue()});
 if(!ValReturn|| !output.success || (output.success &amp;&amp; !output.output))
 info.isError = true;
 }
 callbackCore(info);
 //#endregion:Etc
 //#region:EventEnd
 }
 else
 callbackCore(info);
 //#endregion:EventEnd</t>
  </si>
  <si>
    <t>//#region:Ver
 //CD:04/16/58/10:00,CB:Tof
 //ED:05/08/58/17:35,EB:jirapat
 //ED:07/28/15/16:46,EB:Art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</si>
  <si>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ธนาคารไทยพาณิชย์ จำกัด (มหาชน)</t>
  </si>
  <si>
    <t>บัตรเครดิต ธ.ไทยพาณิชย์</t>
  </si>
  <si>
    <t>//#region:Ver
 //CD:04/10/15/16:01,CB:wisut
 //ED:04/27/58/17:05,EB:jirapat
 //ED:05/07/15/15:57,EB:wisut
 //ED:06/22/58/10:55,EB:jirapat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true){ 
 var Params1,Params2,ValReturn1,ValReturn2;
 Params1 = {
 Condition: { 
  0:{Value: "|0107536000102",Operator: "!=",Start: 0,Num: 14}
 }
 ,Operations: "AND"
 }
 Params2 = {
 Condition: { 
  0:{Value: "|3101024807",Operator: "!=",Start: 0,Num: 11}
 }
 ,Operations: "AND"
 }
 ValReturn1 = this.executeFunc("VerifyFieldSubStr",Params1);
 ValReturn2 = this.executeFunc("VerifyFieldSubStr",Params2);
 if(ValReturn1==true&amp;&amp;ValReturn2==true)
  info.isError = true;
 }
 callbackCore(info); 
 //#endregion:Etc
 //#region:EventEnd
 }
 else
 callbackCore(info);
 //#endregion:EventEnd</t>
  </si>
  <si>
    <t>//#region:Ver
 //CD:06/22/58/10:45,CB:jirapat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"000014",Operator: "!=",Start: 0,Num: 6}
 ,1:{Value: "356245",Operator: "!=",Start: 0,Num: 6}
 ,2:{Value: "356246",Operator: "!=",Start: 0,Num: 6}
 ,3:{Value: "356247",Operator: "!=",Start: 0,Num: 6}
 ,4:{Value: "356248",Operator: "!=",Start: 0,Num: 6}
 ,5:{Value: "454852",Operator: "!=",Start: 0,Num: 6}
 ,6:{Value: "490733",Operator: "!=",Start: 0,Num: 6}
 ,7:{Value: "490734",Operator: "!=",Start: 0,Num: 6}
 ,8:{Value: "496615",Operator: "!=",Start: 0,Num: 6}
 ,9:{Value: "517825",Operator: "!=",Start: 0,Num: 6}
 ,10:{Value: "540492",Operator: "!=",Start: 0,Num: 6}
 ,11:{Value: "541029",Operator: "!=",Start: 0,Num: 6}
 ,12:{Value: "541496",Operator: "!=",Start: 0,Num: 6}
 ,13:{Value: "777777",Operator: "!=",Start: 0,Num: 6}
 ,14:{Value: "477376",Operator: "!=",Start: 0,Num: 6}
 }
 ,Operations: "AND"
 }
 var ValReturn = this.executeFunc("VerifyFieldSubStr",Params);
 if(ValReturn==true)
 info.isError = true;
 }
 callbackCore(info);
 //#endregion:Etc
 //#region:EventEnd
 }
 else
 callbackCore(info);
 //#endregion:EventEnd</t>
  </si>
  <si>
    <t>บริษัทเจนเนอราลี่ ประกันชีวิต (ไทยแลนด์) จำกัด</t>
  </si>
  <si>
    <t>ค่าเบี้ยประกันเจนเนอราลี่ประกัน(ใหม่)</t>
  </si>
  <si>
    <t>//#region:Ver
 //CD:05/11/15/13:06,CB:wisut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Params = {
 Condition: { 
  0:{Value: "3011863732",Operator: "!=",Start: 0,Num: 10}
 }
 ,Operations: "AND"
 }
 var ValReturn = this.executeFunc("VerifyFieldSubStr",Params);
 if(ValReturn==true)
 info.isError = true;
 if(!info.isError)
 _this.getField("D_TEXT_07").setValue(val);
 if(!info.isError)
 field.setLock(true);
 else 
 field.setLock(false);
 }
 callbackCore(info);
 //#endregion:Etc
 //#region:EventEnd
 }
 else
 callbackCore(info);
 //#endregion:EventEnd</t>
  </si>
  <si>
    <t>//#region:Ver
 //CD:05/11/15/13:10,CB:wisut
 //ED:10-20-15-16:40,EB:sompan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if(val.length &lt; 12)
 info.isError = true;
 if(!info.isError){
 var date = val.substr(10,2) +"/" + val.substr(8,2);
 _this.getField("D_TEXT_05").setValue(val.substr(0,8));
 _this.getField("D_TEXT_06").setValue(date);
 }
 if(!info.isError)
 field.setLock(true);
 else 
 field.setLock(false);
 }
 callbackCore(info);
 //#endregion:Etc
 //#region:EventEnd
 }
 else
 callbackCore(info);
 //#endregion:EventEnd</t>
  </si>
  <si>
    <t>ปีที่ / งวดที่</t>
  </si>
  <si>
    <t>//#region:Ver
 //CD:01-04-16-14:37,CB:sompan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</si>
  <si>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ธนาคารเกียรตินาคินภัทร จำกัด (มหาชน)</t>
  </si>
  <si>
    <t>ชำระเช่าชื้อ เกียรตินาคินภัทร กทม.</t>
  </si>
  <si>
    <t>//#region:Ver
 //CD:05/07/15/17:48,CB:wisut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"3101001907",Operator: "!=",Start: 0,Num: 10}
 }
 ,Operations: "AND"
 }
 var ValReturn = this.executeFunc("VerifyFieldSubStr",Params);
 if(ValReturn==true)
 info.isError = true;
 }
 callbackCore(info);
 //#endregion:Etc
 //#region:EventEnd
 }
 else
 callbackCore(info);
 //#endregion:EventEnd</t>
  </si>
  <si>
    <t>//#region:Ver
 //CD:05/07/15/17:50,CB:wisut
 //ED:07/13/58/18:47,EB:Tof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 {Language: "TH|EN"}
 ,Operations: "AND"
 }
 var ValReturn = this.executeFunc("VerifyFieldLanguage",Params);
 var Params2 = {
 Condition: [{Value: 50,Operator: "&gt;",ErrorCode:"-90"},{Value: 9,Operator: "&lt;",ErrorCode:"-72"}]
 ,Operations: "OR"
 }
 var ValReturn2 = this.executeFunc("SPVerifyFieldLength",Params2);
 var Params1 = {
 Condition: { 
  0:{Character: ";"}
 }
 ,Operations: "AND"
 }
 var ValReturn1 = this.executeFunc("VerifyFieldCharacter",Params1);
 if (!ValReturn)
 info.VerifyCode = "-10";
 if (ValReturn2.output)
 info.VerifyCode = ValReturn2.ErrorCode;
 if (ValReturn1)
 info.VerifyCode = "-50";
 if(!ValReturn || ValReturn2.output || ValReturn1)
 info.isError = true;
 }
 callbackCore(info);
 //#endregion:Etc
 //#region:EventEnd
 }
 else
 callbackCore(info);
 //#endregion:EventEnd</t>
  </si>
  <si>
    <t>//#region:Ver
 //CD:04/17/58/10:42,CB:Tof
 //ED:05/08/15/09:34,EB:wisut
 //ED:07/15/59/17:51,EB:Tof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6,Operator: "&gt;"}
 }
 ,Operations: "AND"
 }
 var ValReturn = this.executeFunc("VerifyFieldLength",Params);
 var Params1 = {
 Condition: {Language: "NUM"}
 ,Operations: "AND"
 }
 var ValReturn1 = this.executeFunc("VerifyFieldLanguage",Params1);
 if(!ValReturn)
 info.VerifyCode = "-74";
 if(!ValReturn1)
 info.VerifyCode = "-320";
 if(ValReturn==false || !ValReturn1)
 info.isError = true;
 }
 callbackCore(info);
 //#endregion:Etc
 //#region:EventEnd
 }
 else
 callbackCore(info);
 //#endregion:EventEnd</t>
  </si>
  <si>
    <t>//#region:Ver
 //CD:04/17/58/10:42,CB:Tof
 //ED:05/08/15/09:39,EB:wisut
 //ED:07/15/59/17:50,EB:Tof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Params = {
 Condition: { 
  0:{Value: 10,Operator: "=="}
  ,1:{Value: 11,Operator: "=="}
  ,2:{Value: 14,Operator: "=="}
 }
 ,Operations: "OR"
 }
 var ValReturn = this.executeFunc("VerifyFieldLength",Params);
 var Params1 = {
 Condition: {Language: "NUM"}
 ,Operations: "AND"
 }
 var ValReturn1 = this.executeFunc("VerifyFieldLanguage",Params1);
 if(ValReturn==false ||!ValReturn1)
 info.isError = true;
 if(!ValReturn1)
 info.VerifyCode = "-320";
 }
 callbackCore(info);
 //#endregion:Etc
 //#region:EventEnd
 }
 else
 callbackCore(info);
 //#endregion:EventEnd</t>
  </si>
  <si>
    <t>//#region:Ver
 //CD:01-14-16-15:59,CB:sompan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</si>
  <si>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ชำระรายการ ธ.เกียรตินาคินภัทร BARCODE(กท-ตจว)</t>
  </si>
  <si>
    <t>//#region:Ver
 //CD:06/19/15/17:41,CB:Art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"|310100190700",Operator: "==",Start: 0,Num: 13}
 ,1:{Value: "|010753600098600",Operator: "==",Start: 0,Num: 16}
 }
 ,Operations: "OR"
 }
 var ValReturn = this.executeFunc("VerifyFieldSubStr",Params);
 if(!ValReturn)
 info.isError = true;
 else if([2,3].indexOf(eName) == -1){
 var val  = field.getValue(); 
 var len  = val.length; 
 var fieldRef1 = _this.getField("D_TEXT_04");
 var fieldRef2 = _this.getField("D_TEXT_05");
 var n_tax = val.substr(0,16);
 var o_tax = val.substr(0,13);
 var ref1,ref2;
 if(o_tax == "|310100190700"){
 switch(len){
 case 31:
 ref1 = val.substr(13,7);
 ref2 = val.substr(20,10);
 break;
 case 33:
 ref1 = val.substr(13,8);
 ref2 = val.substr(21,11);
 break;
 case 36:
 ref1 = val.substr(13,8);
 ref2 = val.substr(21,14);
 break;
 case 39:
 ref1 = val.substr(13,11);
 ref2 = val.substr(24,14);
 break;
 }
 }
 else if(n_tax == "|010753600098600"){
 switch(len){
 case 34:
 ref1 = val.substr(16,7);
 ref2 = val.substr(23,10);
 break;
 case 36:
 ref1 = val.substr(16,8);
 ref2 = val.substr(24,11);
 break;
 case 37:
 ref1 = val.substr(16,6);
 ref2 = val.substr(22,14);
 break;
 case 39:
 ref1 = val.substr(16,8);
 ref2 = val.substr(24,14);
 break;
 case 42:
 ref1 = val.substr(16,11);
 ref2 = val.substr(27,14);
 break;
 case 43:
 if(val.substr(33,10) == "0000000000"){
 ref1 = val.substr(16,7);
 ref2 = val.substr(23,10);
 }
 break;
 }
 }
 if(!_.isNull(fieldRef1))
 fieldRef1.setValue(ref1);
 if(!_.isNull(fieldRef2))
 fieldRef2.setValue(ref2);
 }
 }
 callbackCore(info);
 //#endregion:Etc
 //#region:EventEnd
 }
 else
 callbackCore(info);
 //#endregion:EventEnd</t>
  </si>
  <si>
    <t>//#region:Ver
 //CD:04/16/58/10:00,CB:Tof
 //ED:09-11-15-11:44,EB:sompan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</si>
  <si>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//CD:06/18/58/10:44,CB:jirapat
 //ED:06/23/15/10:44,EB:Art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output = this.executeFunc("KiatnakinCust",{Value:field.getValue()});
 if(!output.success || (output.success &amp;&amp; !output.output))
 info.isError = true;
 }
 callbackCore(info);
 //#endregion:Etc
 //#region:EventEnd
 }
 else
 callbackCore(info);
 //#endregion:EventEnd</t>
  </si>
  <si>
    <t>//#region:Ver
 //CD:07/17/58/15:30,CB:jirapat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&amp;&amp;eName != 1){
 var Params = {
 Condition: {Language: "NUM"}//TH,EN,NUM,THEN,THNUM,ENNUM
 ,Operations: "AND"
 }
 var Params1 = {
 Condition: { 
 0:{Character: "-"}
 }
 ,Operations: "AND"
 }
 var ValReturn1 = this.executeFunc("VerifyFieldCharacter",Params1);
 var ValReturn = this.executeFunc("VerifyFieldLanguage",Params);
 if(!ValReturn)
 info.VerifyCode = "-320";
 if(ValReturn1)
 inf0.VerifyCode = "-60";
 if(!ValReturn || ValReturn1)
 info.isError = true;
 }
 callbackCore(info);
 //#endregion:Etc
 //#region:EventEnd
 }
 else
 callbackCore(info);
 //#endregion:EventEnd</t>
  </si>
  <si>
    <t>บริษัท เอเซีย เสริมกิจลิซซิ่ง จำกัด</t>
  </si>
  <si>
    <t>ชำระค่างวด/เบี้ยฯ/ต่อทะเบียนรถ BAR 1 แถว</t>
  </si>
  <si>
    <t>//#region:Ver
 //CD:05/11/58/13:31,CB:jirapat
 //ED:06/24/15/13:26,EB:Art
 //ED:07/27/15/16:45,EB:Art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value = field.getValue();
 var val_length = value.length;
 var val = ["|310131025200","|010754600039300"];
 var num1  = value.substr(0,13);
 var num2  = value.substr(0,16);
 var val1  = value.substr(26,1);
 var val2  = value.substr(27,1);
 var val3  = value.substr(28,1);
 var semkij_ref1,semkij_ref2;
 var Params = {
 Condition: { 
 0:{Value: "|310131025200",Operator: "!=",Start: 0,Num: 13}
  ,1:{Value: "|010754600039300",Operator: "!=",Start: 0,Num: 16}
 }
 ,Operations: "AND"
 }
 var ValReturn = this.executeFunc("VerifyFieldSubStr",Params);
 if(ValReturn==true)
 info.isError = true;
 else{
 if(val_length == 37 &amp;&amp; num1 == val[0]){
 semkij_ref1 = value.substr(13,8);
 semkij_ref2 = value.substr(21,15);
 }
 else if(val_length == 40 &amp;&amp; num2 == val[1] &amp;&amp; val1 != "9"){
 semkij_ref1 = value.substr(16,8);
 semkij_ref2 = value.substr(24,15);
 }
 else if(val_length == 40 &amp;&amp; num2 == val[1] &amp;&amp; val1 == "9"){
 semkij_ref1 = value.substr(16,10);
 semkij_ref2 = value.substr(26,13);
 }
 else if(val_length == 42 &amp;&amp; num2 == val[1] &amp;&amp; val2 == "9"){
 semkij_ref1 = value.substr(16,11);
 semkij_ref2 = value.substr(27,14);
 }
 else if(val_length == 44 &amp;&amp; num2 == val[1] &amp;&amp; val3 == "9"){
 semkij_ref1 = value.substr(16,12);
 semkij_ref2 = value.substr(28,15);
 }
 else if(val_length &gt;= 36 &amp;&amp; val_length &lt;= 39 &amp;&amp; num2 == val[1]){
 semkij_ref1 = value.substr(16,8);
 if(val_length == 36){
 semkij_ref2 = value.substr(24,11);
 }
 else if(val_length == 37){
 semkij_ref2 = value.substr(24,12);
 }
 else if(val_length == 39){
 semkij_ref2 = value.substr(24,14);
 }
 }
 else{
 semkij_ref1 = false;
 semkij_ref2 = false;
 }
 if(semkij_ref1 != false &amp;&amp; semkij_ref2 != false){
 this.getField("D_TEXT_03").setValue(semkij_ref1);
 this.getField("D_TEXT_04").setValue(semkij_ref2);
 }
 else
 info.isError = true;
 }
 }
 callbackCore(info);
 //#endregion:Etc
 //#region:EventEnd
 }
 else
 callbackCore(info);
 //#endregion:EventEnd</t>
  </si>
  <si>
    <t>หมายเลขผู้เช่าซื้อ</t>
  </si>
  <si>
    <t>//#region:Ver
 //CD:05/11/58/13:32,CB:jirapat
 //ED:07/27/15/16:42,EB:Art
 //ED:11-04-15-16:11,EB:sompan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</si>
  <si>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ไทยประกันชีวิต จำกัด</t>
  </si>
  <si>
    <t>ชำระเบี้ยประกันไทยประกันชีวิต</t>
  </si>
  <si>
    <t>สแกนบาร์โค้ดหรือพิมพ์ Paycode</t>
  </si>
  <si>
    <t>//#region:Ver
 //CD:08/01/59/16:51,CB:Tof
 //ED:01/17/60/10:06,EB:Tof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info.isBarcode = true;
 info.isLock = true;
 var val = field.getValue();
 var len = val.length;
 //var fieldRef5 = _this.getField("D_TEXT_06");
 var fieldRef3 = _this.getField("D_TEXT_03");
 var fieldRef8 = _this.getField("D_TEXT_04");
 var ref5 ,ref3,ref8;
 if(len == 10){
 ref3 = val;
 ref8 = "-";
 }
 else if(len &gt;= 35 &amp;&amp; len &lt;= 50 &amp;&amp; val.substr(0,16) == "|010755500010401"){
 if(len &gt;= 30 &amp;&amp; len &lt;= 40){
 ref3 = val.substr(16,12);
 ref8 = val.substr(28,4);
 }
 else if(len &gt;= 41 &amp;&amp; len &lt;= 50){
 ref3 = val.substr(16,12);
 ref8 = val.substr(28,12);
 }
 else{
 ref3 = "Ref1 ไม่ถูกต้อง";
 ref8 = "Ref2 ไม่ถูกต้อง";
 }
 }
 else 
 info.isError = true;
 if(!info.isError){
 //ref5 = "01075550001040";
 /*if(!_.isNull(fieldRef5))
 fieldRef5.setValue(ref5);*/
 if(!_.isNull(fieldRef3))
 fieldRef3.setValue(ref3);
 if(!_.isNull(fieldRef8))
 fieldRef8.setValue(ref8);
 }
 callbackCore(info);
 }
 else 
 callbackCore(info);
 //#endregion:Etc
 //#region:EventEnd
 }
 else
 callbackCore(info);
 //#endregion:EventEnd</t>
  </si>
  <si>
    <t>เมืองไทยประกันชีวิต</t>
  </si>
  <si>
    <t>ชำระค่าเบี้ยเมืองไทยประกันชีวิต( TELE)</t>
  </si>
  <si>
    <t>//#region:Ver
 //CD:05/12/15/14:37,CB:wisut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"|310103967209",Operator: "!=",Start: 0,Num: 13}
  ,1:{Value: "|010755500040609",Operator: "!=",Start: 0,Num: 16}
 }
 ,Operations: "AND"
 }
 var ValReturn = this.executeFunc("VerifyFieldSubStr",Params);
 if(ValReturn)
 info.isError = true;
  }
 callbackCore(info);
 //#endregion:Etc
 //#region:EventEnd
 }
 else
 callbackCore(info);
 //#endregion:EventEnd</t>
  </si>
  <si>
    <t>//#region:Ver
 //CD:06/11/58/09:48,CB:Minny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[2,3].indexOf(eName) == -1){ 
 var val = field.getValue(); 
 var Params = {
 LenFormat: 13
 ,Value: val
 }
 var output = this.executeFunc("FormatZero",Params);
 if(output.success == true)
 field.setValue(output.output);
 }
 callbackCore(info);
 //#endregion:Etc
 //#region:EventEnd
 }
 else
 callbackCore(info);
 //#endregion:EventEnd</t>
  </si>
  <si>
    <t>//#region:Ver
 //CD:04/16/58/10:00,CB:Tof
 //ED:07/15/59/17:48,EB:Tof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</si>
  <si>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ชำระเบี้ยประกันเมืองไทยประกันชีวิต</t>
  </si>
  <si>
    <t>//#region:Ver
 //CD:05/12/15/14:03,CB:wisut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Params1,Params2,ValReturn1,ValReturn2;
 Params1 = {
 Condition: { 
  0:{Value: "|010755500040601",Operator: "!=",Start: 0,Num: 16}
 }
 ,Operations: "AND"
 }
 Params2 = {
 Condition: { 
  0:{Value: "|310103967201",Operator: "!=",Start: 0,Num: 13}
 }
 ,Operations: "AND"
 }
 ValReturn1 = this.executeFunc("VerifyFieldSubStr",Params1);
 ValReturn2 = this.executeFunc("VerifyFieldSubStr",Params2);
 if(ValReturn1==true&amp;&amp;ValReturn2==true)
 info.isError = true;
 }
 callbackCore(info);
 //#endregion:Etc
 //#region:EventEnd
 }
 else
 callbackCore(info);
 //#endregion:EventEnd</t>
  </si>
  <si>
    <t>//#region:Ver
 //CD:05/14/58/11:52,CB:jirapat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 = {
 Condition: { 
  0:{Value: 10,Operator: "=="}
 }
 ,Operations: "AND"
 }
 var ValReturn = this.executeFunc("VerifyFieldLength",Params);
 if(!ValReturn)
 info.VerifyCode = "-420";
 if(ValReturn==false)
 info.isError = true;
 }
 callbackCore(info);
 //#endregion:Etc
 //#region:EventEnd
 }
 else
 callbackCore(info);
 //#endregion:EventEnd</t>
  </si>
  <si>
    <t>//#region:Ver
 //CD:04/16/58/10:00,CB:Tof
 //ED:05/14/58/13:16,EB:jirapat
 //ED:09-15-15-16:46,EB:sompan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&amp;&amp; eName != 1){ 
 var Params = {
 Condition: {Language: "TH|EN"}
 ,Operations: "AND"
 }
 var ValReturn = this.executeFunc("VerifyFieldLanguage",Params);
 var Params2 = {
 Condition: { 
  0:{Value: 50,Operator: "&lt;="}
 }
 ,Operations: "AND"
 }
 var ValReturn2 = this.executeFunc("VerifyFieldLength",Params2);
 var Params1 = {
 Condition: { 
  0:{Character: ";"}
 }
 ,Operations: "AND"
 }
 var ValReturn1 = this.executeFunc("VerifyFieldCharacter",Params1);
 if (!ValReturn)
 info.VerifyCode = "-10";
 if (!ValReturn2)
 info.VerifyCode = "-90";
 if (ValReturn1)
 info.VerifyCode = "-50";
  if(ValReturn == false||ValReturn2==false||ValReturn1==true)
 info.isError = true;
 }
 callbackCore(info);
 //#endregion:Etc
 //#region:EventEnd
 }
 else
 callbackCore(info);
 //#endregion:EventEnd</t>
  </si>
  <si>
    <t>//#region:Ver
 //CD:07/21/58/11:12,CB:jirapat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//info.isError = true;
 info.VerifyCode = ValReturn.ErrorCode;
 }
 }
 callbackCore(info);
 //#endregion:Etc
 //#region:EventEnd
 }
 else
 callbackCore(info);
 //#endregion:EventEnd</t>
  </si>
  <si>
    <t>กสท.(โทรคมฯ) (สำนักงานใหญ่)</t>
  </si>
  <si>
    <t>ค่าบริการโทรคมฯTBOSSกสท. (ใหม่)</t>
  </si>
  <si>
    <t>//#region:Ver
 //CD:04/09/15/12:03,CB:wisut
 //ED:04/27/58/17:28,EB:jirapat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val = field.getValue();
  var tax,cal=0,len = val.length;
  if(val.substr(0,13) == "|303056726000")
  tax = val.substr(1,12);
  else if(val.substr(0,16) == "|010756400001400" || "|010754600022900")
  tax = val.substr(1,15);
  else
  info.isError = true;
  if(!info.isError &amp;&amp; [2,3,8].indexOf(eName) == -1){
  var fieldTax = _this.getField("D_TEXT_02");
  if(!_.isNull(fieldTax))
  fieldTax.setValue(tax);
  _this.executeFunc("Cat387tr4",{},function(result){
  var fieldRef3 = _this.getField("D_TEXT_03");
  var fieldRef4 = _this.getField("D_TEXT_04");
  var fieldAmt = _this.getField("D_MONEY_03");
  var fieldVat = _this.getField("D_MONEY_01");
  var fieldVat2 = _this.getField("AGENT_VAT_AMOUNT");
  var data = result.output;
  var vat = {Amt:result.output.amt,VatMode:false//true:vat out,false:vat in
  ,Rate:7
  }
  var output = _this.executeFunc("CalcVat",vat);
  if(!_.isNull(fieldRef3))
  fieldRef3.setValue(data.ref3);
  if(!_.isNull(fieldRef4))
  fieldRef4.setValue(data.ref4);
  if(!_.isNull(fieldAmt))
  fieldAmt.setValue(data.amt);
  if(!_.isNull(fieldVat))
  fieldVat.setValue(output.output.vat);
  if(!_.isNull(fieldVat2))
  fieldVat2.setValue(output.output.vat);
  if(!_.isUndefined(data.VerifyCode)){;
  info.isError = true;
  info.VerifyCode = data.VerifyCode;
  }
  callbackCore(info);
  });
  }
  else
  callbackCore(info);
 }
 else
  callbackCore(info);
 //#endregion:Etc
 //#region:EventEnd
 }
 else
  callbackCore(info);
 //#endregion:EventEnd</t>
  </si>
  <si>
    <t>//#region:Ver
 //CD:04/09/15/12:05,CB:wisut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 = {
 Condition: { 
 0:{Value: "303056726000",Operator: "==",Start: 0,Num: 12}
 ,1:{Value: "010754600022900",Operator: "==",Start: 0,Num: 15}
 ,2:{Value: "|303056726000",Operator: "==",Start: 0,Num: 13}
 ,3:{Value: "|010754600022900",Operator: "==",Start: 0,Num: 16}
 }
 ,Operations: "OR"
 }
 var ValReturn = this.executeFunc("VerifyFieldSubStr",Params);
 if(!ValReturn)
 info.isError = true;*/
 }
 callbackCore(info); 
 //#endregion:Etc
 //#region:EventEnd
 }
 else
 callbackCore(info);
 //#endregion:EventEnd</t>
  </si>
  <si>
    <t>//#region:Ver
 //CD:09-15-15-10:58,CB:sompan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</si>
  <si>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บริษัท กรุงเทพประกันชีวิต จำกัด</t>
  </si>
  <si>
    <t>ชำระค่าเบี้ยประกันกรุงเทพประกันชีวิต</t>
  </si>
  <si>
    <t>//#region:Ver
 //CD:05/12/15/14:45,CB:wisut
 //ED:10/13/58/14:28,EB:Tof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info.isLock = true;
 var Len = {
 Condition: { 
 0:{Value: 10,Operator: "=="}
 }
 ,Operations: "AND"
 }
 var ValLen = this.executeFunc("VerifyFieldLength",Len);
 var Params = {
 Condition: { 
 0:{Value: "3101087109",Operator: "==",Start: 0,Num: 10}
 }
 ,Operations: "AND"
 }
 var ValReturn = this.executeFunc("VerifyFieldSubStr",Params);
 if(!ValReturn || !ValLen)
 info.isError = true;
 if(!ValLen)
 info.VerifyCode = "-420";
 }
 callbackCore(info);
 //#endregion:Etc
 //#region:EventEnd
 }
 else
 callbackCore(info);
 //#endregion:EventEnd</t>
  </si>
  <si>
    <t>//#region:Ver
 //CD:05/12/15/14:52,CB:wisut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</si>
  <si>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//CD:05/12/15/14:55,CB:wisut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 = {
 Condition: {Language: "NUM"}
 ,Operations: "AND"
 }
 var Params2 = {
 Condition: { 
  0:{Value: 13,Operator: "=="}
 }
 ,Operations: "AND"
 }
 var ValReturn1 = this.executeFunc("VerifyFieldLanguage",Params1);
 var ValReturn2 = this.executeFunc("VerifyFieldLength",Params2);
 if(!ValReturn1 || !ValReturn2)
 info.isError = true;
 if(!ValReturn2)
 info.VerifyCode = "-450";
 if(!ValReturn1)
 info.VerifyCode = "-320";
 info.isLock = true;
 }
 callbackCore(info);
 //#endregion:Etc
 //#region:EventEnd
 }
 else
 callbackCore(info);
 //#endregion:EventEnd</t>
  </si>
  <si>
    <t>//#region:Ver
 //CD:05/12/15/14:56,CB:wisut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Params1 = {
 Condition: {Language: "NUM"}
 ,Operations: "AND"
 }
 Params2 = {
 Condition: { 
  0:{Value: 6,Operator: "=="}
 }
 ,Operations: "AND"
 }
 ValReturn1 = this.executeFunc("VerifyFieldLanguage",Params1);
 ValReturn2 = this.executeFunc("VerifyFieldLength",Params2);
 if(!ValReturn1 || !ValReturn2)
 info.isError = true;
 if(!ValReturn2)
 info.VerifyCode = "-380";
 if(!ValReturn1)
 info.VerifyCode = "-320";
 info.isLock = true;
 }
 callbackCore(info);
 //#endregion:Etc
 //#region:EventEnd
 }
 else
 callbackCore(info);
 //#endregion:EventEnd</t>
  </si>
  <si>
    <t>//#region:Ver
 //CD:01-27-16-17:39,CB:sompan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</si>
  <si>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เบี้ยประกันชีวิต กรุงเทพประกันฯบาร์ 1แถว</t>
  </si>
  <si>
    <t>//#region:Ver
 //CD:05/12/15/14:59,CB:wisut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if(!field.isClear())
 info.isClear = false;
 if(info.isValid === true){ 
 var Params = {
 Condition: { 
 0:{Value: "|310108710900",Operator: "==",Start: 0,Num: 13} 
 ,1:{Value: "010755000023800",Operator: "==",Start: 0,Num: 15}
 ,2:{Value: "|010755000023800",Operator: "==",Start: 0,Num: 16}
 ,3:{Value: "310108710900",Operator: "==",Start: 0,Num: 12}
 }
 ,Operations: "OR"
 }
 ValReturn = this.executeFunc("VerifyFieldSubStr",Params);
 if(!ValReturn)
 info.isError = true;
 }
 callbackCore(info);
 //#endregion:Etc
 //#region:EventEnd
 }
 else
 callbackCore(info);
 //#endregion:EventEnd</t>
  </si>
  <si>
    <t>//#region:Ver
 //CD:05/12/15/15:00,CB:wisut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ParamsLang = {
 Condition: {Language: "TH|EN"}
 ,Operations: "AND"
 }
 var Lang = this.executeFunc("VerifyFieldLanguage",ParamsLang);
 var ParamsLen = {
 Condition: { 
  0:{Value: 50,Operator: "&lt;="}
 }
 ,Operations: "AND"
 }
 var Len = this.executeFunc("VerifyFieldLength",ParamsLen);
 var ParamsChar = {
 Condition: { 
  0:{Character: ";"}
 }
 ,Operations: "AND"
 }
 var Char = this.executeFunc("VerifyFieldCharacter",ParamsChar);
 if(!Lang || !Len || Char)
 info.isError = true;
 if(!Lang)
 info.VerifyCode = "-10";
 if(Char)
 info.VerifyCode = "-50";
 if(!Len)
 info.VerifyCode = "-90";
 }
 callbackCore(info);
 //#endregion:Etc
 //#region:EventEnd
 }
 else
 callbackCore(info);
 //#endregion:EventEnd</t>
  </si>
  <si>
    <t>//#region:Ver
 //CD:05/12/15/15:01,CB:wisut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var Params1,Params2,ValReturn1,ValReturn2;
 Params1 = {
 Condition: {Language: "NUM"}
 ,Operations: "AND"
 }
 Params2 = {
 Condition: { 
  0:{Value: 10,Operator: "=="}
 }
 ,Operations: "AND"
 }
 ValReturn1 = this.executeFunc("VerifyFieldLanguage",Params1);
 ValReturn2 = this.executeFunc("VerifyFieldLength",Params2);
 if(!ValReturn1){
 info.isError = true;
 info.VerifyCode = "-320";
 }
 if(!ValReturn2){
 info.isError = true;
 info.VerifyCode = "-420";
 }
 }
 callbackCore(info);
 //#endregion:Etc
 //#region:EventEnd
 }
 else
 callbackCore(info);
 //#endregion:EventEnd</t>
  </si>
  <si>
    <t>//#region:Ver
 //CD:05/12/15/15:01,CB:wisut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 true){ 
 var Params1,Params2,ValReturn1,ValReturn2;
 Params1 = {
 Condition: {Language: "NUM"}
 ,Operations: "AND"
 }
 Params2 = {
 Condition: { 
  0:{Value: 13,Operator: "=="}
 }
 ,Operations: "AND"
 }
 ValReturn1 = this.executeFunc("VerifyFieldLanguage",Params1);
 ValReturn2 = this.executeFunc("VerifyFieldLength",Params2);
 if(!ValReturn1){
 info.isError = true;
 info.VerifyCode = "-320";
 }
 if(!ValReturn2){
 info.isError = true;
 info.VerifyCode = "-450";
 }
 }
 callbackCore(info);
 //#endregion:Etc
 //#region:EventEnd
 }
 else
 callbackCore(info);
 //#endregion:EventEnd</t>
  </si>
  <si>
    <t>//#region:Ver
 //CD:04/16/58/10:00,CB:Tof
 //ED:07-29-16-12:20,EB:sompan
 //#endregion:Ver
 //#region:Event
 var _this = this;
 var _callback = callback;
 var field = _this.getField();
 var chkEvent = _this.executeFunc('CheckEvent',{Data:datas});
 var info = chkEvent.output;
 var eName = info.eName;
 var callbackCore = function(result){
 _this.executeFunc('CallbackCore',{Data:result},_callback);
 };
 //#endregion:Event
 //#region:LoadData
 //eName = enter
 if([1,2,3,8].indexOf(eName) != -1 || eName == 8){
 //#endregion:LoadData
 //#region:Etc
 if(info.isValid &amp;&amp; eName != 1){
 var Params = {
 Condition:[{Value: 1,Operator: "&lt;",ErrorCode: "-770"}/*,{Value: 50000,Operator: "&gt;",ErrorCode: "-870"}*/]
 ,Operations: "OR"
 };
 var ValReturn = this.executeFunc("SPVerifyField",Params);
 if(!ValReturn.success || (ValReturn.success &amp;&amp; ValReturn.output) ){
 info.isError = true;
 info.VerifyCode = ValReturn.ErrorCode;
 }
 }
 callbackCore(info);
 //#endregion:Etc
 //#region:EventEnd
 }
 else
 callbackCore(info);
 //#endregion:EventEnd</t>
  </si>
  <si>
    <t>Grand Total</t>
  </si>
  <si>
    <t>FD_TYPE</t>
  </si>
  <si>
    <t>Table: ZZ_SERVICE_PANEL_FD_TYPE</t>
  </si>
  <si>
    <t>MEMO</t>
  </si>
  <si>
    <t>REMARK</t>
  </si>
  <si>
    <t>DATA_FORMAT</t>
  </si>
  <si>
    <t>Form</t>
  </si>
  <si>
    <t>LayoutPanel</t>
  </si>
  <si>
    <t>GridPanel</t>
  </si>
  <si>
    <t>Column</t>
  </si>
  <si>
    <t>CheckBox</t>
  </si>
  <si>
    <t>GridEditor</t>
  </si>
  <si>
    <t>GridDetail</t>
  </si>
  <si>
    <t>DateTime format "DD/MM/YYYY HH:mm:ss"</t>
  </si>
  <si>
    <t>DD/MM/YYYY</t>
  </si>
  <si>
    <t>Radio</t>
  </si>
  <si>
    <t>Hidden</t>
  </si>
  <si>
    <t>FieldSet</t>
  </si>
  <si>
    <t>FilterForm</t>
  </si>
  <si>
    <t>FileField</t>
  </si>
  <si>
    <t>*</t>
  </si>
  <si>
    <t>ไม่มีทศนิยม</t>
  </si>
  <si>
    <t>มีทศนิยม และมีแค่ 2 ตำแหน่ง เท่านั้น</t>
  </si>
  <si>
    <t>ใช้กับจำนวนเงิน</t>
  </si>
  <si>
    <t>DateBetween</t>
  </si>
  <si>
    <t>TextBetween</t>
  </si>
  <si>
    <t>GridSelect</t>
  </si>
  <si>
    <t>GridMulti</t>
  </si>
  <si>
    <t>SelectOneField</t>
  </si>
  <si>
    <t>HtmlEditor</t>
  </si>
  <si>
    <t>ComboBoxBetween</t>
  </si>
  <si>
    <t>FloatField</t>
  </si>
  <si>
    <t>มีทศนิยม และมีแค่ 4 ตำแหน่ง เท่านั้น</t>
  </si>
  <si>
    <t>DecisionField</t>
  </si>
  <si>
    <t>Yes/No Field</t>
  </si>
  <si>
    <t>ใช้ใน Service Structrue ของ Postal Service</t>
  </si>
  <si>
    <t>TextFieldNoSpecialChar</t>
  </si>
  <si>
    <t>without special character</t>
  </si>
  <si>
    <t>ใช้กับจำนวนเงิน และจะถูกนำไปใช้ เป็นค่า Base Price (B_PRICE) เพื่อคำนวณราคาสินค้า/บริการใน Order Item</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</si>
</sst>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b/>
      <sz val="11.0"/>
      <color theme="0"/>
      <name val="Sarabun"/>
    </font>
    <font>
      <b/>
      <sz val="11.0"/>
      <color rgb="FFFFFFFF"/>
      <name val="Sarabun"/>
    </font>
    <font>
      <b/>
      <sz val="11.0"/>
      <color theme="1"/>
      <name val="Sarabun"/>
    </font>
    <font>
      <sz val="11.0"/>
      <color theme="1"/>
      <name val="Sarabun"/>
    </font>
    <font>
      <sz val="10.0"/>
      <color theme="0"/>
      <name val="Sarabun"/>
    </font>
    <font>
      <sz val="10.0"/>
      <color theme="1"/>
      <name val="Sarabun"/>
    </font>
    <font>
      <u/>
      <sz val="10.0"/>
      <color rgb="FF0000FF"/>
      <name val="Sarabun"/>
    </font>
    <font>
      <u/>
      <sz val="10.0"/>
      <color rgb="FF0563C1"/>
      <name val="Sarabun"/>
    </font>
    <font>
      <sz val="10.0"/>
      <color rgb="FFFF0000"/>
      <name val="Sarabun"/>
    </font>
    <font>
      <u/>
      <sz val="11.0"/>
      <color rgb="FF0563C1"/>
      <name val="Sarabun"/>
    </font>
    <font>
      <color theme="1"/>
      <name val="Sarabun"/>
    </font>
    <font>
      <u/>
      <sz val="11.0"/>
      <color rgb="FF0000FF"/>
      <name val="Sarabun"/>
    </font>
    <font>
      <sz val="10.0"/>
      <color rgb="FFFFFFFF"/>
      <name val="Sarabun"/>
    </font>
    <font>
      <u/>
      <sz val="10.0"/>
      <color rgb="FF9900FF"/>
      <name val="Sarabun"/>
    </font>
    <font>
      <b/>
      <sz val="10.0"/>
      <color theme="1"/>
      <name val="Sarabun"/>
    </font>
    <font>
      <sz val="10.0"/>
      <color rgb="FF548135"/>
      <name val="Sarabun"/>
    </font>
    <font>
      <sz val="10.0"/>
      <color rgb="FF000000"/>
      <name val="Sarabun"/>
    </font>
    <font>
      <b/>
      <sz val="10.0"/>
      <color rgb="FF000000"/>
      <name val="Sarabun"/>
    </font>
    <font>
      <sz val="10.0"/>
      <color rgb="FFB7B7B7"/>
      <name val="Sarabun"/>
    </font>
    <font>
      <b/>
      <sz val="10.0"/>
      <color rgb="FF0000FF"/>
      <name val="Sarabun"/>
    </font>
    <font>
      <sz val="10.0"/>
      <color rgb="FF0000FF"/>
      <name val="Sarabun"/>
    </font>
    <font>
      <b/>
      <sz val="10.0"/>
      <color rgb="FF666666"/>
      <name val="Sarabun"/>
    </font>
    <font>
      <sz val="10.0"/>
      <color rgb="FF999999"/>
      <name val="Sarabun"/>
    </font>
    <font/>
    <font>
      <sz val="10.0"/>
      <color rgb="FFCCCCCC"/>
      <name val="Sarabun"/>
    </font>
    <font>
      <sz val="10.0"/>
      <color theme="9"/>
      <name val="Sarabun"/>
    </font>
    <font>
      <b/>
      <strike/>
      <sz val="10.0"/>
      <color theme="1"/>
      <name val="Sarabun"/>
    </font>
    <font>
      <b/>
      <sz val="10.0"/>
      <color theme="9"/>
      <name val="Sarabun"/>
    </font>
    <font>
      <b/>
      <sz val="10.0"/>
      <color rgb="FF9900FF"/>
      <name val="Sarabun"/>
    </font>
    <font>
      <b/>
      <sz val="10.0"/>
      <color rgb="FF548135"/>
      <name val="Sarabun"/>
    </font>
    <font>
      <b/>
      <sz val="10.0"/>
      <color rgb="FFFF00FF"/>
      <name val="Sarabun"/>
    </font>
    <font>
      <sz val="10.0"/>
      <color rgb="FF1F1F1F"/>
      <name val="Sarabun"/>
    </font>
    <font>
      <b/>
      <sz val="10.0"/>
      <color rgb="FFFFFFFF"/>
      <name val="Sarabun"/>
    </font>
    <font>
      <sz val="10.0"/>
      <color rgb="FFFFFF00"/>
      <name val="Sarabun"/>
    </font>
  </fonts>
  <fills count="29">
    <fill>
      <patternFill patternType="none"/>
    </fill>
    <fill>
      <patternFill patternType="lightGray"/>
    </fill>
    <fill>
      <patternFill patternType="solid">
        <fgColor rgb="FF548135"/>
        <bgColor rgb="FF548135"/>
      </patternFill>
    </fill>
    <fill>
      <patternFill patternType="solid">
        <fgColor rgb="FF00B0F0"/>
        <bgColor rgb="FF00B0F0"/>
      </patternFill>
    </fill>
    <fill>
      <patternFill patternType="solid">
        <fgColor rgb="FFA8D08D"/>
        <bgColor rgb="FFA8D08D"/>
      </patternFill>
    </fill>
    <fill>
      <patternFill patternType="solid">
        <fgColor rgb="FFE2EFD9"/>
        <bgColor rgb="FFE2EFD9"/>
      </patternFill>
    </fill>
    <fill>
      <patternFill patternType="solid">
        <fgColor rgb="FFFFFF00"/>
        <bgColor rgb="FFFFFF00"/>
      </patternFill>
    </fill>
    <fill>
      <patternFill patternType="solid">
        <fgColor theme="7"/>
        <bgColor theme="7"/>
      </patternFill>
    </fill>
    <fill>
      <patternFill patternType="solid">
        <fgColor rgb="FFF3F3F3"/>
        <bgColor rgb="FFF3F3F3"/>
      </patternFill>
    </fill>
    <fill>
      <patternFill patternType="solid">
        <fgColor rgb="FFCCCCCC"/>
        <bgColor rgb="FFCCCCCC"/>
      </patternFill>
    </fill>
    <fill>
      <patternFill patternType="solid">
        <fgColor rgb="FF00FF00"/>
        <bgColor rgb="FF00FF00"/>
      </patternFill>
    </fill>
    <fill>
      <patternFill patternType="solid">
        <fgColor rgb="FFFF9900"/>
        <bgColor rgb="FFFF9900"/>
      </patternFill>
    </fill>
    <fill>
      <patternFill patternType="solid">
        <fgColor rgb="FFD9D9D9"/>
        <bgColor rgb="FFD9D9D9"/>
      </patternFill>
    </fill>
    <fill>
      <patternFill patternType="solid">
        <fgColor rgb="FF000000"/>
        <bgColor rgb="FF000000"/>
      </patternFill>
    </fill>
    <fill>
      <patternFill patternType="solid">
        <fgColor rgb="FFFFFFFF"/>
        <bgColor rgb="FFFFFFFF"/>
      </patternFill>
    </fill>
    <fill>
      <patternFill patternType="solid">
        <fgColor rgb="FFFCE5CD"/>
        <bgColor rgb="FFFCE5CD"/>
      </patternFill>
    </fill>
    <fill>
      <patternFill patternType="solid">
        <fgColor rgb="FFFFC000"/>
        <bgColor rgb="FFFFC000"/>
      </patternFill>
    </fill>
    <fill>
      <patternFill patternType="solid">
        <fgColor rgb="FFB7B7B7"/>
        <bgColor rgb="FFB7B7B7"/>
      </patternFill>
    </fill>
    <fill>
      <patternFill patternType="solid">
        <fgColor rgb="FFB6D7A8"/>
        <bgColor rgb="FFB6D7A8"/>
      </patternFill>
    </fill>
    <fill>
      <patternFill patternType="solid">
        <fgColor rgb="FF434343"/>
        <bgColor rgb="FF434343"/>
      </patternFill>
    </fill>
    <fill>
      <patternFill patternType="solid">
        <fgColor rgb="FFEFEFEF"/>
        <bgColor rgb="FFEFEFEF"/>
      </patternFill>
    </fill>
    <fill>
      <patternFill patternType="solid">
        <fgColor rgb="FFFFD966"/>
        <bgColor rgb="FFFFD966"/>
      </patternFill>
    </fill>
    <fill>
      <patternFill patternType="solid">
        <fgColor rgb="FF999999"/>
        <bgColor rgb="FF999999"/>
      </patternFill>
    </fill>
    <fill>
      <patternFill patternType="solid">
        <fgColor rgb="FFFF0000"/>
        <bgColor rgb="FFFF0000"/>
      </patternFill>
    </fill>
    <fill>
      <patternFill patternType="solid">
        <fgColor rgb="FFFF00FF"/>
        <bgColor rgb="FFFF00FF"/>
      </patternFill>
    </fill>
    <fill>
      <patternFill patternType="solid">
        <fgColor rgb="FF2F75B5"/>
        <bgColor rgb="FF2F75B5"/>
      </patternFill>
    </fill>
    <fill>
      <patternFill patternType="solid">
        <fgColor rgb="FF9BC2E6"/>
        <bgColor rgb="FF9BC2E6"/>
      </patternFill>
    </fill>
    <fill>
      <patternFill patternType="solid">
        <fgColor rgb="FFDDEBF7"/>
        <bgColor rgb="FFDDEBF7"/>
      </patternFill>
    </fill>
    <fill>
      <patternFill patternType="solid">
        <fgColor rgb="FF7030A0"/>
        <bgColor rgb="FF7030A0"/>
      </patternFill>
    </fill>
  </fills>
  <borders count="54">
    <border/>
    <border>
      <left/>
      <right/>
      <top/>
      <bottom style="thin">
        <color rgb="FFE2EFD9"/>
      </bottom>
    </border>
    <border>
      <left/>
      <right/>
      <top style="thin">
        <color rgb="FFE2EFD9"/>
      </top>
      <bottom style="thin">
        <color rgb="FFE2EFD9"/>
      </bottom>
    </border>
    <border>
      <left/>
      <right/>
      <top style="thin">
        <color rgb="FFE2EFD9"/>
      </top>
      <bottom style="thin">
        <color theme="9"/>
      </bottom>
    </border>
    <border>
      <left/>
      <right/>
      <top style="thin">
        <color rgb="FFE2EFD9"/>
      </top>
      <bottom/>
    </border>
    <border>
      <top style="thin">
        <color rgb="FFE2EFD9"/>
      </top>
      <bottom style="thin">
        <color rgb="FFE2EFD9"/>
      </bottom>
    </border>
    <border>
      <left/>
      <right/>
      <top/>
      <bottom/>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border>
    <border>
      <bottom style="thick">
        <color rgb="FF000000"/>
      </bottom>
    </border>
    <border>
      <left/>
      <right/>
      <top/>
      <bottom style="thick">
        <color rgb="FF000000"/>
      </bottom>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top style="thin">
        <color rgb="FF000000"/>
      </top>
      <bottom style="thin">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ck">
        <color rgb="FF000000"/>
      </left>
      <right/>
      <top style="thick">
        <color rgb="FF000000"/>
      </top>
      <bottom/>
    </border>
    <border>
      <left/>
      <right/>
      <top style="thick">
        <color rgb="FF000000"/>
      </top>
      <bottom/>
    </border>
    <border>
      <left/>
      <right style="thick">
        <color rgb="FF000000"/>
      </right>
      <top style="thick">
        <color rgb="FF000000"/>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rder>
    <border>
      <right style="medium">
        <color rgb="FF000000"/>
      </right>
    </border>
    <border>
      <left style="medium">
        <color rgb="FF000000"/>
      </left>
      <right/>
      <top/>
      <bottom/>
    </border>
    <border>
      <left/>
      <right style="medium">
        <color rgb="FF000000"/>
      </right>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bottom style="medium">
        <color rgb="FF000000"/>
      </bottom>
    </border>
    <border>
      <right style="medium">
        <color rgb="FF000000"/>
      </right>
      <bottom style="medium">
        <color rgb="FF000000"/>
      </bottom>
    </border>
    <border>
      <left/>
      <right/>
      <top/>
      <bottom style="medium">
        <color rgb="FF000000"/>
      </bottom>
    </border>
    <border>
      <left/>
      <right style="medium">
        <color rgb="FF000000"/>
      </right>
      <top/>
      <bottom style="medium">
        <color rgb="FF000000"/>
      </bottom>
    </border>
    <border>
      <left/>
      <right style="thin">
        <color rgb="FF000000"/>
      </right>
      <top style="thin">
        <color rgb="FF000000"/>
      </top>
      <bottom style="thin">
        <color rgb="FF000000"/>
      </bottom>
    </border>
    <border>
      <left/>
      <right/>
      <top/>
      <bottom style="thin">
        <color rgb="FFDDEBF7"/>
      </bottom>
    </border>
    <border>
      <left/>
      <right/>
      <top/>
      <bottom style="thin">
        <color rgb="FF9BC2E6"/>
      </bottom>
    </border>
    <border>
      <left/>
      <right/>
      <top/>
      <bottom style="thin">
        <color rgb="FF5B9BD5"/>
      </bottom>
    </border>
    <border>
      <left/>
      <right/>
      <top style="thin">
        <color rgb="FFDDEBF7"/>
      </top>
      <bottom style="thin">
        <color rgb="FFDDEBF7"/>
      </bottom>
    </border>
    <border>
      <bottom style="thin">
        <color rgb="FFDDEBF7"/>
      </bottom>
    </border>
    <border>
      <top style="thin">
        <color rgb="FFDDEBF7"/>
      </top>
      <bottom style="thin">
        <color rgb="FFDDEBF7"/>
      </bottom>
    </border>
    <border>
      <left/>
      <top style="thin">
        <color rgb="FFDDEBF7"/>
      </top>
      <bottom style="thin">
        <color rgb="FF5B9BD5"/>
      </bottom>
    </border>
    <border>
      <top style="thin">
        <color rgb="FFDDEBF7"/>
      </top>
      <bottom style="thin">
        <color rgb="FF5B9BD5"/>
      </bottom>
    </border>
    <border>
      <left/>
      <right/>
      <top style="thin">
        <color rgb="FFDDEBF7"/>
      </top>
      <bottom style="thin">
        <color rgb="FF5B9BD5"/>
      </bottom>
    </border>
    <border>
      <top style="double">
        <color rgb="FF2F75B5"/>
      </top>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2" fillId="3" fontId="3" numFmtId="0" xfId="0" applyAlignment="1" applyBorder="1" applyFill="1" applyFont="1">
      <alignment horizontal="center" vertical="center"/>
    </xf>
    <xf borderId="0" fillId="0" fontId="4" numFmtId="0" xfId="0" applyAlignment="1" applyFont="1">
      <alignment horizontal="center" vertical="center"/>
    </xf>
    <xf borderId="2" fillId="4" fontId="5" numFmtId="0" xfId="0" applyAlignment="1" applyBorder="1" applyFill="1" applyFont="1">
      <alignment horizontal="center" vertical="top"/>
    </xf>
    <xf borderId="3" fillId="5" fontId="6" numFmtId="0" xfId="0" applyAlignment="1" applyBorder="1" applyFill="1" applyFont="1">
      <alignment horizontal="left" vertical="top"/>
    </xf>
    <xf borderId="4" fillId="5" fontId="6" numFmtId="0" xfId="0" applyAlignment="1" applyBorder="1" applyFont="1">
      <alignment horizontal="center" vertical="top"/>
    </xf>
    <xf borderId="5" fillId="0" fontId="6" numFmtId="0" xfId="0" applyAlignment="1" applyBorder="1" applyFont="1">
      <alignment horizontal="left" vertical="top"/>
    </xf>
    <xf borderId="0" fillId="0" fontId="4" numFmtId="0" xfId="0" applyAlignment="1" applyFont="1">
      <alignment vertical="top"/>
    </xf>
    <xf borderId="2" fillId="6" fontId="6" numFmtId="0" xfId="0" applyAlignment="1" applyBorder="1" applyFill="1" applyFont="1">
      <alignment horizontal="left" shrinkToFit="0" vertical="top" wrapText="1"/>
    </xf>
    <xf borderId="3" fillId="5" fontId="7" numFmtId="0" xfId="0" applyAlignment="1" applyBorder="1" applyFont="1">
      <alignment horizontal="left" vertical="top"/>
    </xf>
    <xf borderId="5" fillId="0" fontId="6" numFmtId="0" xfId="0" applyAlignment="1" applyBorder="1" applyFont="1">
      <alignment horizontal="left" shrinkToFit="0" vertical="top" wrapText="1"/>
    </xf>
    <xf borderId="2" fillId="6" fontId="6" numFmtId="0" xfId="0" applyAlignment="1" applyBorder="1" applyFont="1">
      <alignment horizontal="left" vertical="top"/>
    </xf>
    <xf borderId="6" fillId="6" fontId="6" numFmtId="0" xfId="0" applyAlignment="1" applyBorder="1" applyFont="1">
      <alignment horizontal="left" vertical="top"/>
    </xf>
    <xf borderId="3" fillId="5" fontId="8" numFmtId="0" xfId="0" applyAlignment="1" applyBorder="1" applyFont="1">
      <alignment horizontal="left" vertical="top"/>
    </xf>
    <xf borderId="5" fillId="0" fontId="9" numFmtId="0" xfId="0" applyAlignment="1" applyBorder="1" applyFont="1">
      <alignment horizontal="left" vertical="top"/>
    </xf>
    <xf borderId="3" fillId="5" fontId="10" numFmtId="0" xfId="0" applyAlignment="1" applyBorder="1" applyFont="1">
      <alignment horizontal="left" vertical="top"/>
    </xf>
    <xf borderId="5" fillId="6" fontId="6" numFmtId="0" xfId="0" applyAlignment="1" applyBorder="1" applyFont="1">
      <alignment horizontal="left" vertical="top"/>
    </xf>
    <xf borderId="5" fillId="0" fontId="11" numFmtId="0" xfId="0" applyAlignment="1" applyBorder="1" applyFont="1">
      <alignment vertical="top"/>
    </xf>
    <xf borderId="2" fillId="0" fontId="6" numFmtId="0" xfId="0" applyAlignment="1" applyBorder="1" applyFont="1">
      <alignment horizontal="left" vertical="top"/>
    </xf>
    <xf borderId="3" fillId="5" fontId="12" numFmtId="0" xfId="0" applyAlignment="1" applyBorder="1" applyFont="1">
      <alignment horizontal="left" vertical="top"/>
    </xf>
    <xf borderId="0" fillId="0" fontId="6" numFmtId="0" xfId="0" applyAlignment="1" applyFont="1">
      <alignment horizontal="left" vertical="top"/>
    </xf>
    <xf borderId="0" fillId="0" fontId="4" numFmtId="0" xfId="0" applyAlignment="1" applyFont="1">
      <alignment shrinkToFit="0" vertical="top" wrapText="1"/>
    </xf>
    <xf borderId="0" fillId="0" fontId="11" numFmtId="0" xfId="0" applyAlignment="1" applyFont="1">
      <alignment vertical="top"/>
    </xf>
    <xf borderId="2" fillId="4" fontId="13" numFmtId="0" xfId="0" applyAlignment="1" applyBorder="1" applyFont="1">
      <alignment horizontal="center" vertical="top"/>
    </xf>
    <xf borderId="3" fillId="5" fontId="14" numFmtId="0" xfId="0" applyAlignment="1" applyBorder="1" applyFont="1">
      <alignment horizontal="left" vertical="top"/>
    </xf>
    <xf borderId="0" fillId="0" fontId="4" numFmtId="0" xfId="0" applyAlignment="1" applyFont="1">
      <alignment horizontal="center" vertical="top"/>
    </xf>
    <xf borderId="0" fillId="0" fontId="11" numFmtId="0" xfId="0" applyAlignment="1" applyFont="1">
      <alignment horizontal="center"/>
    </xf>
    <xf borderId="0" fillId="0" fontId="11" numFmtId="0" xfId="0" applyFont="1"/>
    <xf borderId="0" fillId="0" fontId="6" numFmtId="0" xfId="0" applyAlignment="1" applyFont="1">
      <alignment vertical="center"/>
    </xf>
    <xf borderId="0" fillId="0" fontId="6" numFmtId="0" xfId="0" applyAlignment="1" applyFont="1">
      <alignment vertical="center"/>
    </xf>
    <xf borderId="0" fillId="0" fontId="15" numFmtId="0" xfId="0" applyAlignment="1" applyFont="1">
      <alignment horizontal="right" vertical="center"/>
    </xf>
    <xf borderId="0" fillId="0" fontId="15" numFmtId="0" xfId="0" applyAlignment="1" applyFont="1">
      <alignment vertical="center"/>
    </xf>
    <xf borderId="7" fillId="6" fontId="15" numFmtId="0" xfId="0" applyAlignment="1" applyBorder="1" applyFont="1">
      <alignment vertical="center"/>
    </xf>
    <xf borderId="8" fillId="6" fontId="15" numFmtId="0" xfId="0" applyAlignment="1" applyBorder="1" applyFont="1">
      <alignment vertical="center"/>
    </xf>
    <xf quotePrefix="1" borderId="9" fillId="6" fontId="15" numFmtId="0" xfId="0" applyAlignment="1" applyBorder="1" applyFont="1">
      <alignment horizontal="right" vertical="center"/>
    </xf>
    <xf borderId="6" fillId="7" fontId="15" numFmtId="0" xfId="0" applyAlignment="1" applyBorder="1" applyFill="1" applyFont="1">
      <alignment vertical="center"/>
    </xf>
    <xf borderId="6" fillId="7" fontId="6" numFmtId="0" xfId="0" applyAlignment="1" applyBorder="1" applyFont="1">
      <alignment vertical="center"/>
    </xf>
    <xf borderId="10" fillId="8" fontId="6" numFmtId="0" xfId="0" applyAlignment="1" applyBorder="1" applyFill="1" applyFont="1">
      <alignment vertical="center"/>
    </xf>
    <xf borderId="10" fillId="8" fontId="6" numFmtId="0" xfId="0" applyAlignment="1" applyBorder="1" applyFont="1">
      <alignment horizontal="center" vertical="center"/>
    </xf>
    <xf borderId="10" fillId="9" fontId="6" numFmtId="0" xfId="0" applyAlignment="1" applyBorder="1" applyFill="1" applyFont="1">
      <alignment horizontal="center" vertical="center"/>
    </xf>
    <xf borderId="10" fillId="0" fontId="15" numFmtId="0" xfId="0" applyAlignment="1" applyBorder="1" applyFont="1">
      <alignment horizontal="center" vertical="center"/>
    </xf>
    <xf borderId="10" fillId="0" fontId="6" numFmtId="0" xfId="0" applyAlignment="1" applyBorder="1" applyFont="1">
      <alignment horizontal="center" vertical="center"/>
    </xf>
    <xf borderId="10" fillId="10" fontId="15" numFmtId="0" xfId="0" applyAlignment="1" applyBorder="1" applyFill="1" applyFont="1">
      <alignment horizontal="center" vertical="center"/>
    </xf>
    <xf borderId="0" fillId="0" fontId="16" numFmtId="0" xfId="0" applyAlignment="1" applyFont="1">
      <alignment vertical="center"/>
    </xf>
    <xf borderId="0" fillId="0" fontId="6" numFmtId="0" xfId="0" applyAlignment="1" applyFont="1">
      <alignment horizontal="center" vertical="center"/>
    </xf>
    <xf borderId="6" fillId="11" fontId="15" numFmtId="0" xfId="0" applyAlignment="1" applyBorder="1" applyFill="1" applyFont="1">
      <alignment vertical="center"/>
    </xf>
    <xf borderId="6" fillId="11" fontId="6" numFmtId="0" xfId="0" applyAlignment="1" applyBorder="1" applyFont="1">
      <alignment horizontal="center" vertical="center"/>
    </xf>
    <xf borderId="6" fillId="11" fontId="6" numFmtId="0" xfId="0" applyAlignment="1" applyBorder="1" applyFont="1">
      <alignment vertical="center"/>
    </xf>
    <xf borderId="10" fillId="12" fontId="6" numFmtId="0" xfId="0" applyAlignment="1" applyBorder="1" applyFill="1" applyFont="1">
      <alignment horizontal="center" vertical="center"/>
    </xf>
    <xf borderId="10" fillId="12" fontId="15" numFmtId="0" xfId="0" applyAlignment="1" applyBorder="1" applyFont="1">
      <alignment horizontal="center" vertical="center"/>
    </xf>
    <xf borderId="10" fillId="0" fontId="6" numFmtId="0" xfId="0" applyAlignment="1" applyBorder="1" applyFont="1">
      <alignment vertical="center"/>
    </xf>
    <xf borderId="10" fillId="10" fontId="15" numFmtId="0" xfId="0" applyAlignment="1" applyBorder="1" applyFont="1">
      <alignment vertical="center"/>
    </xf>
    <xf borderId="6" fillId="13" fontId="6" numFmtId="0" xfId="0" applyAlignment="1" applyBorder="1" applyFill="1" applyFont="1">
      <alignment vertical="center"/>
    </xf>
    <xf borderId="10" fillId="9" fontId="15" numFmtId="0" xfId="0" applyAlignment="1" applyBorder="1" applyFont="1">
      <alignment horizontal="center" vertical="center"/>
    </xf>
    <xf borderId="10" fillId="9" fontId="15" numFmtId="0" xfId="0" applyAlignment="1" applyBorder="1" applyFont="1">
      <alignment vertical="center"/>
    </xf>
    <xf borderId="0" fillId="0" fontId="9" numFmtId="0" xfId="0" applyAlignment="1" applyFont="1">
      <alignment horizontal="center" vertical="center"/>
    </xf>
    <xf borderId="0" fillId="0" fontId="9" numFmtId="0" xfId="0" applyAlignment="1" applyFont="1">
      <alignment vertical="center"/>
    </xf>
    <xf borderId="6" fillId="14" fontId="17" numFmtId="0" xfId="0" applyAlignment="1" applyBorder="1" applyFill="1" applyFont="1">
      <alignment horizontal="left" vertical="center"/>
    </xf>
    <xf borderId="10" fillId="15" fontId="18" numFmtId="0" xfId="0" applyAlignment="1" applyBorder="1" applyFill="1" applyFont="1">
      <alignment horizontal="center" vertical="center"/>
    </xf>
    <xf borderId="11" fillId="14" fontId="17" numFmtId="0" xfId="0" applyAlignment="1" applyBorder="1" applyFont="1">
      <alignment horizontal="left" vertical="center"/>
    </xf>
    <xf borderId="12" fillId="0" fontId="6" numFmtId="0" xfId="0" applyAlignment="1" applyBorder="1" applyFont="1">
      <alignment vertical="center"/>
    </xf>
    <xf borderId="13" fillId="0" fontId="6" numFmtId="0" xfId="0" applyAlignment="1" applyBorder="1" applyFont="1">
      <alignment vertical="center"/>
    </xf>
    <xf borderId="13" fillId="0" fontId="15" numFmtId="0" xfId="0" applyAlignment="1" applyBorder="1" applyFont="1">
      <alignment horizontal="right" vertical="center"/>
    </xf>
    <xf borderId="13" fillId="0" fontId="15" numFmtId="0" xfId="0" applyAlignment="1" applyBorder="1" applyFont="1">
      <alignment vertical="center"/>
    </xf>
    <xf borderId="14" fillId="6" fontId="15" numFmtId="0" xfId="0" applyAlignment="1" applyBorder="1" applyFont="1">
      <alignment vertical="center"/>
    </xf>
    <xf borderId="14" fillId="6" fontId="6" numFmtId="0" xfId="0" applyAlignment="1" applyBorder="1" applyFont="1">
      <alignment vertical="center"/>
    </xf>
    <xf quotePrefix="1" borderId="14" fillId="6" fontId="15" numFmtId="0" xfId="0" applyAlignment="1" applyBorder="1" applyFont="1">
      <alignment horizontal="right" vertical="center"/>
    </xf>
    <xf borderId="15" fillId="16" fontId="15" numFmtId="0" xfId="0" applyAlignment="1" applyBorder="1" applyFill="1" applyFont="1">
      <alignment vertical="center"/>
    </xf>
    <xf borderId="15" fillId="16" fontId="6" numFmtId="0" xfId="0" applyAlignment="1" applyBorder="1" applyFont="1">
      <alignment vertical="center"/>
    </xf>
    <xf borderId="16" fillId="8" fontId="6" numFmtId="0" xfId="0" applyAlignment="1" applyBorder="1" applyFont="1">
      <alignment vertical="center"/>
    </xf>
    <xf borderId="17" fillId="8" fontId="6" numFmtId="0" xfId="0" applyAlignment="1" applyBorder="1" applyFont="1">
      <alignment horizontal="right" vertical="center"/>
    </xf>
    <xf borderId="17" fillId="9" fontId="6" numFmtId="0" xfId="0" applyAlignment="1" applyBorder="1" applyFont="1">
      <alignment horizontal="right" vertical="center"/>
    </xf>
    <xf borderId="15" fillId="8" fontId="6" numFmtId="0" xfId="0" applyAlignment="1" applyBorder="1" applyFont="1">
      <alignment horizontal="right" vertical="center"/>
    </xf>
    <xf borderId="0" fillId="0" fontId="19" numFmtId="0" xfId="0" applyAlignment="1" applyFont="1">
      <alignment vertical="center"/>
    </xf>
    <xf borderId="18" fillId="0" fontId="15" numFmtId="0" xfId="0" applyAlignment="1" applyBorder="1" applyFont="1">
      <alignment horizontal="center" vertical="center"/>
    </xf>
    <xf borderId="19" fillId="0" fontId="6" numFmtId="0" xfId="0" applyAlignment="1" applyBorder="1" applyFont="1">
      <alignment horizontal="center" vertical="center"/>
    </xf>
    <xf borderId="17" fillId="10" fontId="6" numFmtId="0" xfId="0" applyAlignment="1" applyBorder="1" applyFont="1">
      <alignment horizontal="center" vertical="center"/>
    </xf>
    <xf borderId="20" fillId="0" fontId="6" numFmtId="0" xfId="0" applyAlignment="1" applyBorder="1" applyFont="1">
      <alignment horizontal="center" vertical="center"/>
    </xf>
    <xf borderId="0" fillId="0" fontId="19" numFmtId="0" xfId="0" applyAlignment="1" applyFont="1">
      <alignment horizontal="center" vertical="center"/>
    </xf>
    <xf borderId="15" fillId="11" fontId="15" numFmtId="0" xfId="0" applyAlignment="1" applyBorder="1" applyFont="1">
      <alignment vertical="center"/>
    </xf>
    <xf borderId="15" fillId="11" fontId="6" numFmtId="0" xfId="0" applyAlignment="1" applyBorder="1" applyFont="1">
      <alignment vertical="center"/>
    </xf>
    <xf borderId="19" fillId="0" fontId="6" numFmtId="0" xfId="0" applyAlignment="1" applyBorder="1" applyFont="1">
      <alignment horizontal="right" vertical="center"/>
    </xf>
    <xf borderId="19" fillId="0" fontId="15" numFmtId="0" xfId="0" applyAlignment="1" applyBorder="1" applyFont="1">
      <alignment horizontal="right" vertical="center"/>
    </xf>
    <xf borderId="18" fillId="0" fontId="6" numFmtId="0" xfId="0" applyAlignment="1" applyBorder="1" applyFont="1">
      <alignment vertical="center"/>
    </xf>
    <xf borderId="19" fillId="0" fontId="6" numFmtId="0" xfId="0" applyAlignment="1" applyBorder="1" applyFont="1">
      <alignment vertical="center"/>
    </xf>
    <xf borderId="19" fillId="0" fontId="15" numFmtId="0" xfId="0" applyAlignment="1" applyBorder="1" applyFont="1">
      <alignment horizontal="center" vertical="center"/>
    </xf>
    <xf borderId="17" fillId="10" fontId="15" numFmtId="0" xfId="0" applyAlignment="1" applyBorder="1" applyFont="1">
      <alignment horizontal="center" vertical="center"/>
    </xf>
    <xf quotePrefix="1" borderId="8" fillId="6" fontId="15" numFmtId="0" xfId="0" applyAlignment="1" applyBorder="1" applyFont="1">
      <alignment horizontal="right" vertical="center"/>
    </xf>
    <xf borderId="6" fillId="7" fontId="15" numFmtId="0" xfId="0" applyAlignment="1" applyBorder="1" applyFont="1">
      <alignment horizontal="right" vertical="center"/>
    </xf>
    <xf borderId="10" fillId="0" fontId="17" numFmtId="0" xfId="0" applyAlignment="1" applyBorder="1" applyFont="1">
      <alignment horizontal="center" vertical="center"/>
    </xf>
    <xf borderId="10" fillId="10" fontId="17" numFmtId="0" xfId="0" applyAlignment="1" applyBorder="1" applyFont="1">
      <alignment horizontal="center" vertical="center"/>
    </xf>
    <xf borderId="14" fillId="6" fontId="6" numFmtId="0" xfId="0" applyAlignment="1" applyBorder="1" applyFont="1">
      <alignment horizontal="right" vertical="center"/>
    </xf>
    <xf borderId="15" fillId="16" fontId="15" numFmtId="0" xfId="0" applyAlignment="1" applyBorder="1" applyFont="1">
      <alignment horizontal="right" vertical="center"/>
    </xf>
    <xf borderId="17" fillId="8" fontId="6" numFmtId="0" xfId="0" applyAlignment="1" applyBorder="1" applyFont="1">
      <alignment horizontal="center" vertical="center"/>
    </xf>
    <xf borderId="17" fillId="17" fontId="6" numFmtId="0" xfId="0" applyAlignment="1" applyBorder="1" applyFill="1" applyFont="1">
      <alignment horizontal="center" vertical="center"/>
    </xf>
    <xf borderId="15" fillId="11" fontId="6" numFmtId="0" xfId="0" applyAlignment="1" applyBorder="1" applyFont="1">
      <alignment horizontal="center" vertical="center"/>
    </xf>
    <xf borderId="17" fillId="9" fontId="6" numFmtId="0" xfId="0" applyAlignment="1" applyBorder="1" applyFont="1">
      <alignment horizontal="center" vertical="center"/>
    </xf>
    <xf borderId="17" fillId="9" fontId="15" numFmtId="0" xfId="0" applyAlignment="1" applyBorder="1" applyFont="1">
      <alignment horizontal="center" vertical="center"/>
    </xf>
    <xf borderId="17" fillId="10" fontId="15" numFmtId="0" xfId="0" applyAlignment="1" applyBorder="1" applyFont="1">
      <alignment horizontal="right" vertical="center"/>
    </xf>
    <xf quotePrefix="1" borderId="14" fillId="6" fontId="6" numFmtId="0" xfId="0" applyAlignment="1" applyBorder="1" applyFont="1">
      <alignment horizontal="right" vertical="center"/>
    </xf>
    <xf borderId="18" fillId="0" fontId="15" numFmtId="0" xfId="0" applyAlignment="1" applyBorder="1" applyFont="1">
      <alignment horizontal="left" vertical="center"/>
    </xf>
    <xf borderId="10" fillId="17" fontId="6" numFmtId="0" xfId="0" applyAlignment="1" applyBorder="1" applyFont="1">
      <alignment horizontal="center" vertical="center"/>
    </xf>
    <xf borderId="0" fillId="0" fontId="20" numFmtId="0" xfId="0" applyAlignment="1" applyFont="1">
      <alignment vertical="center"/>
    </xf>
    <xf borderId="10" fillId="0" fontId="6" numFmtId="49" xfId="0" applyAlignment="1" applyBorder="1" applyFont="1" applyNumberFormat="1">
      <alignment vertical="center"/>
    </xf>
    <xf borderId="10" fillId="0" fontId="20" numFmtId="0" xfId="0" applyAlignment="1" applyBorder="1" applyFont="1">
      <alignment vertical="center"/>
    </xf>
    <xf borderId="10" fillId="10" fontId="18" numFmtId="0" xfId="0" applyAlignment="1" applyBorder="1" applyFont="1">
      <alignment horizontal="center" vertical="center"/>
    </xf>
    <xf quotePrefix="1" borderId="0" fillId="0" fontId="16" numFmtId="0" xfId="0" applyAlignment="1" applyFont="1">
      <alignment vertical="center"/>
    </xf>
    <xf borderId="10" fillId="12" fontId="21" numFmtId="0" xfId="0" applyAlignment="1" applyBorder="1" applyFont="1">
      <alignment horizontal="center" vertical="center"/>
    </xf>
    <xf quotePrefix="1" borderId="0" fillId="0" fontId="6" numFmtId="0" xfId="0" applyAlignment="1" applyFont="1">
      <alignment vertical="center"/>
    </xf>
    <xf borderId="6" fillId="7" fontId="15" numFmtId="0" xfId="0" applyAlignment="1" applyBorder="1" applyFont="1">
      <alignment horizontal="left" vertical="center"/>
    </xf>
    <xf borderId="0" fillId="0" fontId="16" numFmtId="0" xfId="0" applyAlignment="1" applyFont="1">
      <alignment horizontal="right" vertical="center"/>
    </xf>
    <xf borderId="0" fillId="0" fontId="16" numFmtId="0" xfId="0" applyAlignment="1" applyFont="1">
      <alignment horizontal="center" vertical="center"/>
    </xf>
    <xf borderId="8" fillId="6" fontId="6" numFmtId="0" xfId="0" applyAlignment="1" applyBorder="1" applyFont="1">
      <alignment vertical="center"/>
    </xf>
    <xf borderId="8" fillId="6" fontId="15" numFmtId="0" xfId="0" applyAlignment="1" applyBorder="1" applyFont="1">
      <alignment horizontal="right" vertical="center"/>
    </xf>
    <xf borderId="6" fillId="7" fontId="22" numFmtId="0" xfId="0" applyAlignment="1" applyBorder="1" applyFont="1">
      <alignment vertical="center"/>
    </xf>
    <xf borderId="0" fillId="0" fontId="23" numFmtId="0" xfId="0" applyAlignment="1" applyFont="1">
      <alignment vertical="center"/>
    </xf>
    <xf borderId="0" fillId="0" fontId="23" numFmtId="0" xfId="0" applyAlignment="1" applyFont="1">
      <alignment horizontal="left" vertical="center"/>
    </xf>
    <xf borderId="10" fillId="9" fontId="20" numFmtId="0" xfId="0" applyAlignment="1" applyBorder="1" applyFont="1">
      <alignment horizontal="center" vertical="center"/>
    </xf>
    <xf borderId="10" fillId="0" fontId="15" numFmtId="0" xfId="0" applyAlignment="1" applyBorder="1" applyFont="1">
      <alignment horizontal="left" vertical="center"/>
    </xf>
    <xf borderId="0" fillId="0" fontId="6" numFmtId="0" xfId="0" applyAlignment="1" applyFont="1">
      <alignment horizontal="left" vertical="center"/>
    </xf>
    <xf borderId="10" fillId="18" fontId="15" numFmtId="0" xfId="0" applyAlignment="1" applyBorder="1" applyFill="1" applyFont="1">
      <alignment horizontal="center" vertical="center"/>
    </xf>
    <xf borderId="10" fillId="10" fontId="15" numFmtId="0" xfId="0" applyAlignment="1" applyBorder="1" applyFont="1">
      <alignment horizontal="right" vertical="center"/>
    </xf>
    <xf borderId="0" fillId="0" fontId="15" numFmtId="0" xfId="0" applyAlignment="1" applyFont="1">
      <alignment horizontal="center" vertical="center"/>
    </xf>
    <xf borderId="6" fillId="6" fontId="15" numFmtId="0" xfId="0" applyAlignment="1" applyBorder="1" applyFont="1">
      <alignment horizontal="right" vertical="center"/>
    </xf>
    <xf borderId="6" fillId="8" fontId="6" numFmtId="0" xfId="0" applyAlignment="1" applyBorder="1" applyFont="1">
      <alignment horizontal="center" vertical="center"/>
    </xf>
    <xf borderId="10" fillId="15" fontId="15" numFmtId="0" xfId="0" applyAlignment="1" applyBorder="1" applyFont="1">
      <alignment horizontal="center" vertical="center"/>
    </xf>
    <xf borderId="11" fillId="11" fontId="6" numFmtId="0" xfId="0" applyAlignment="1" applyBorder="1" applyFont="1">
      <alignment horizontal="center" vertical="center"/>
    </xf>
    <xf borderId="17" fillId="17" fontId="6" numFmtId="0" xfId="0" applyAlignment="1" applyBorder="1" applyFont="1">
      <alignment horizontal="right" vertical="center"/>
    </xf>
    <xf borderId="19" fillId="0" fontId="24" numFmtId="0" xfId="0" applyBorder="1" applyFont="1"/>
    <xf borderId="20" fillId="0" fontId="24" numFmtId="0" xfId="0" applyBorder="1" applyFont="1"/>
    <xf borderId="0" fillId="0" fontId="15" numFmtId="0" xfId="0" applyAlignment="1" applyFont="1">
      <alignment horizontal="left" vertical="center"/>
    </xf>
    <xf borderId="0" fillId="0" fontId="6" numFmtId="4" xfId="0" applyAlignment="1" applyFont="1" applyNumberFormat="1">
      <alignment vertical="center"/>
    </xf>
    <xf borderId="0" fillId="0" fontId="16" numFmtId="49" xfId="0" applyAlignment="1" applyFont="1" applyNumberFormat="1">
      <alignment vertical="center"/>
    </xf>
    <xf borderId="17" fillId="19" fontId="6" numFmtId="0" xfId="0" applyAlignment="1" applyBorder="1" applyFill="1" applyFont="1">
      <alignment horizontal="center" vertical="center"/>
    </xf>
    <xf quotePrefix="1" borderId="0" fillId="0" fontId="6" numFmtId="0" xfId="0" applyAlignment="1" applyFont="1">
      <alignment horizontal="left" vertical="center"/>
    </xf>
    <xf borderId="21" fillId="9" fontId="6" numFmtId="0" xfId="0" applyAlignment="1" applyBorder="1" applyFont="1">
      <alignment horizontal="center" vertical="center"/>
    </xf>
    <xf borderId="0" fillId="0" fontId="25" numFmtId="0" xfId="0" applyAlignment="1" applyFont="1">
      <alignment horizontal="center" vertical="center"/>
    </xf>
    <xf borderId="21" fillId="10" fontId="15" numFmtId="0" xfId="0" applyAlignment="1" applyBorder="1" applyFont="1">
      <alignment horizontal="center" vertical="center"/>
    </xf>
    <xf borderId="0" fillId="0" fontId="16" numFmtId="0" xfId="0" applyAlignment="1" applyFont="1">
      <alignment horizontal="left" vertical="center"/>
    </xf>
    <xf quotePrefix="1" borderId="0" fillId="0" fontId="16" numFmtId="0" xfId="0" applyAlignment="1" applyFont="1">
      <alignment horizontal="left" vertical="center"/>
    </xf>
    <xf quotePrefix="1" borderId="0" fillId="0" fontId="6" numFmtId="0" xfId="0" applyAlignment="1" applyFont="1">
      <alignment horizontal="right" vertical="center"/>
    </xf>
    <xf borderId="0" fillId="0" fontId="26" numFmtId="0" xfId="0" applyAlignment="1" applyFont="1">
      <alignment horizontal="right" vertical="center"/>
    </xf>
    <xf quotePrefix="1" borderId="0" fillId="0" fontId="26" numFmtId="0" xfId="0" applyAlignment="1" applyFont="1">
      <alignment horizontal="right" vertical="center"/>
    </xf>
    <xf borderId="7" fillId="6" fontId="27" numFmtId="0" xfId="0" applyAlignment="1" applyBorder="1" applyFont="1">
      <alignment vertical="center"/>
    </xf>
    <xf borderId="10" fillId="20" fontId="6" numFmtId="0" xfId="0" applyAlignment="1" applyBorder="1" applyFill="1" applyFont="1">
      <alignment horizontal="center" vertical="center"/>
    </xf>
    <xf borderId="10" fillId="12" fontId="28" numFmtId="0" xfId="0" applyAlignment="1" applyBorder="1" applyFont="1">
      <alignment horizontal="center" vertical="center"/>
    </xf>
    <xf borderId="10" fillId="12" fontId="29" numFmtId="0" xfId="0" applyAlignment="1" applyBorder="1" applyFont="1">
      <alignment horizontal="center" vertical="center"/>
    </xf>
    <xf borderId="10" fillId="12" fontId="20" numFmtId="0" xfId="0" applyAlignment="1" applyBorder="1" applyFont="1">
      <alignment horizontal="center" vertical="center"/>
    </xf>
    <xf borderId="10" fillId="17" fontId="15" numFmtId="0" xfId="0" applyAlignment="1" applyBorder="1" applyFont="1">
      <alignment horizontal="center" vertical="center"/>
    </xf>
    <xf borderId="0" fillId="0" fontId="30" numFmtId="0" xfId="0" applyAlignment="1" applyFont="1">
      <alignment vertical="center"/>
    </xf>
    <xf borderId="22" fillId="21" fontId="15" numFmtId="0" xfId="0" applyAlignment="1" applyBorder="1" applyFill="1" applyFont="1">
      <alignment vertical="center"/>
    </xf>
    <xf borderId="23" fillId="21" fontId="6" numFmtId="0" xfId="0" applyAlignment="1" applyBorder="1" applyFont="1">
      <alignment vertical="center"/>
    </xf>
    <xf borderId="23" fillId="21" fontId="15" numFmtId="0" xfId="0" applyAlignment="1" applyBorder="1" applyFont="1">
      <alignment horizontal="right" vertical="center"/>
    </xf>
    <xf borderId="23" fillId="21" fontId="15" numFmtId="0" xfId="0" applyAlignment="1" applyBorder="1" applyFont="1">
      <alignment vertical="center"/>
    </xf>
    <xf borderId="24" fillId="21" fontId="6" numFmtId="0" xfId="0" applyAlignment="1" applyBorder="1" applyFont="1">
      <alignment vertical="center"/>
    </xf>
    <xf borderId="16" fillId="8" fontId="6" numFmtId="0" xfId="0" applyAlignment="1" applyBorder="1" applyFont="1">
      <alignment horizontal="center" vertical="center"/>
    </xf>
    <xf borderId="16" fillId="17" fontId="15" numFmtId="0" xfId="0" applyAlignment="1" applyBorder="1" applyFont="1">
      <alignment horizontal="center" vertical="center"/>
    </xf>
    <xf borderId="10" fillId="0" fontId="15" numFmtId="0" xfId="0" applyAlignment="1" applyBorder="1" applyFont="1">
      <alignment vertical="center"/>
    </xf>
    <xf borderId="0" fillId="0" fontId="20" numFmtId="0" xfId="0" applyAlignment="1" applyFont="1">
      <alignment horizontal="left" vertical="center"/>
    </xf>
    <xf borderId="6" fillId="22" fontId="6" numFmtId="0" xfId="0" applyAlignment="1" applyBorder="1" applyFill="1" applyFont="1">
      <alignment vertical="center"/>
    </xf>
    <xf borderId="25" fillId="6" fontId="15" numFmtId="0" xfId="0" applyAlignment="1" applyBorder="1" applyFont="1">
      <alignment vertical="center"/>
    </xf>
    <xf borderId="26" fillId="6" fontId="15" numFmtId="0" xfId="0" applyAlignment="1" applyBorder="1" applyFont="1">
      <alignment vertical="center"/>
    </xf>
    <xf quotePrefix="1" borderId="27" fillId="6" fontId="15" numFmtId="0" xfId="0" applyAlignment="1" applyBorder="1" applyFont="1">
      <alignment horizontal="right" vertical="center"/>
    </xf>
    <xf borderId="28" fillId="7" fontId="15" numFmtId="0" xfId="0" applyAlignment="1" applyBorder="1" applyFont="1">
      <alignment vertical="center"/>
    </xf>
    <xf borderId="29" fillId="7" fontId="6" numFmtId="0" xfId="0" applyAlignment="1" applyBorder="1" applyFont="1">
      <alignment vertical="center"/>
    </xf>
    <xf borderId="29" fillId="7" fontId="15" numFmtId="0" xfId="0" applyAlignment="1" applyBorder="1" applyFont="1">
      <alignment horizontal="right" vertical="center"/>
    </xf>
    <xf borderId="29" fillId="7" fontId="15" numFmtId="0" xfId="0" applyAlignment="1" applyBorder="1" applyFont="1">
      <alignment vertical="center"/>
    </xf>
    <xf borderId="30" fillId="7" fontId="6" numFmtId="0" xfId="0" applyAlignment="1" applyBorder="1" applyFont="1">
      <alignment vertical="center"/>
    </xf>
    <xf borderId="31" fillId="8" fontId="6" numFmtId="0" xfId="0" applyAlignment="1" applyBorder="1" applyFont="1">
      <alignment vertical="center"/>
    </xf>
    <xf borderId="32" fillId="8" fontId="6" numFmtId="0" xfId="0" applyAlignment="1" applyBorder="1" applyFont="1">
      <alignment horizontal="center" vertical="center"/>
    </xf>
    <xf borderId="31" fillId="0" fontId="15" numFmtId="0" xfId="0" applyAlignment="1" applyBorder="1" applyFont="1">
      <alignment horizontal="left" vertical="center"/>
    </xf>
    <xf borderId="32" fillId="0" fontId="6" numFmtId="0" xfId="0" applyAlignment="1" applyBorder="1" applyFont="1">
      <alignment horizontal="center" vertical="center"/>
    </xf>
    <xf borderId="31" fillId="0" fontId="15" numFmtId="0" xfId="0" applyAlignment="1" applyBorder="1" applyFont="1">
      <alignment horizontal="center" vertical="center"/>
    </xf>
    <xf borderId="10" fillId="23" fontId="15" numFmtId="0" xfId="0" applyAlignment="1" applyBorder="1" applyFill="1" applyFont="1">
      <alignment horizontal="center" vertical="center"/>
    </xf>
    <xf borderId="33" fillId="0" fontId="6" numFmtId="0" xfId="0" applyAlignment="1" applyBorder="1" applyFont="1">
      <alignment vertical="center"/>
    </xf>
    <xf borderId="34" fillId="0" fontId="6" numFmtId="0" xfId="0" applyAlignment="1" applyBorder="1" applyFont="1">
      <alignment horizontal="center" vertical="center"/>
    </xf>
    <xf borderId="35" fillId="11" fontId="15" numFmtId="0" xfId="0" applyAlignment="1" applyBorder="1" applyFont="1">
      <alignment vertical="center"/>
    </xf>
    <xf borderId="36" fillId="11" fontId="6" numFmtId="0" xfId="0" applyAlignment="1" applyBorder="1" applyFont="1">
      <alignment horizontal="center" vertical="center"/>
    </xf>
    <xf borderId="31" fillId="0" fontId="6" numFmtId="0" xfId="0" applyAlignment="1" applyBorder="1" applyFont="1">
      <alignment vertical="center"/>
    </xf>
    <xf borderId="34" fillId="0" fontId="6" numFmtId="0" xfId="0" applyAlignment="1" applyBorder="1" applyFont="1">
      <alignment vertical="center"/>
    </xf>
    <xf borderId="37" fillId="0" fontId="6" numFmtId="0" xfId="0" applyAlignment="1" applyBorder="1" applyFont="1">
      <alignment vertical="center"/>
    </xf>
    <xf borderId="38" fillId="23" fontId="15" numFmtId="0" xfId="0" applyAlignment="1" applyBorder="1" applyFont="1">
      <alignment horizontal="center" vertical="center"/>
    </xf>
    <xf borderId="39" fillId="0" fontId="15" numFmtId="0" xfId="0" applyAlignment="1" applyBorder="1" applyFont="1">
      <alignment vertical="center"/>
    </xf>
    <xf borderId="39" fillId="0" fontId="6" numFmtId="0" xfId="0" applyAlignment="1" applyBorder="1" applyFont="1">
      <alignment vertical="center"/>
    </xf>
    <xf borderId="40" fillId="0" fontId="6" numFmtId="0" xfId="0" applyAlignment="1" applyBorder="1" applyFont="1">
      <alignment vertical="center"/>
    </xf>
    <xf borderId="35" fillId="7" fontId="15" numFmtId="0" xfId="0" applyAlignment="1" applyBorder="1" applyFont="1">
      <alignment vertical="center"/>
    </xf>
    <xf borderId="36" fillId="7" fontId="6" numFmtId="0" xfId="0" applyAlignment="1" applyBorder="1" applyFont="1">
      <alignment vertical="center"/>
    </xf>
    <xf borderId="10" fillId="11" fontId="15" numFmtId="0" xfId="0" applyAlignment="1" applyBorder="1" applyFont="1">
      <alignment horizontal="center" vertical="center"/>
    </xf>
    <xf borderId="6" fillId="10" fontId="31" numFmtId="0" xfId="0" applyAlignment="1" applyBorder="1" applyFont="1">
      <alignment vertical="center"/>
    </xf>
    <xf borderId="6" fillId="10" fontId="6" numFmtId="0" xfId="0" applyAlignment="1" applyBorder="1" applyFont="1">
      <alignment vertical="center"/>
    </xf>
    <xf borderId="36" fillId="10" fontId="6" numFmtId="0" xfId="0" applyAlignment="1" applyBorder="1" applyFont="1">
      <alignment vertical="center"/>
    </xf>
    <xf borderId="35" fillId="24" fontId="15" numFmtId="0" xfId="0" applyAlignment="1" applyBorder="1" applyFill="1" applyFont="1">
      <alignment vertical="center"/>
    </xf>
    <xf borderId="6" fillId="24" fontId="6" numFmtId="0" xfId="0" applyAlignment="1" applyBorder="1" applyFont="1">
      <alignment vertical="center"/>
    </xf>
    <xf borderId="6" fillId="24" fontId="15" numFmtId="0" xfId="0" applyAlignment="1" applyBorder="1" applyFont="1">
      <alignment vertical="center"/>
    </xf>
    <xf borderId="36" fillId="24" fontId="6" numFmtId="0" xfId="0" applyAlignment="1" applyBorder="1" applyFont="1">
      <alignment vertical="center"/>
    </xf>
    <xf borderId="31" fillId="8" fontId="15" numFmtId="0" xfId="0" applyAlignment="1" applyBorder="1" applyFont="1">
      <alignment vertical="center"/>
    </xf>
    <xf borderId="10" fillId="0" fontId="6" numFmtId="0" xfId="0" applyAlignment="1" applyBorder="1" applyFont="1">
      <alignment horizontal="left" vertical="center"/>
    </xf>
    <xf borderId="38" fillId="11" fontId="15" numFmtId="0" xfId="0" applyAlignment="1" applyBorder="1" applyFont="1">
      <alignment horizontal="center" vertical="center"/>
    </xf>
    <xf borderId="41" fillId="10" fontId="29" numFmtId="0" xfId="0" applyAlignment="1" applyBorder="1" applyFont="1">
      <alignment vertical="center"/>
    </xf>
    <xf borderId="41" fillId="10" fontId="6" numFmtId="0" xfId="0" applyAlignment="1" applyBorder="1" applyFont="1">
      <alignment vertical="center"/>
    </xf>
    <xf borderId="42" fillId="10" fontId="6" numFmtId="0" xfId="0" applyAlignment="1" applyBorder="1" applyFont="1">
      <alignment vertical="center"/>
    </xf>
    <xf borderId="32" fillId="0" fontId="15" numFmtId="0" xfId="0" applyAlignment="1" applyBorder="1" applyFont="1">
      <alignment horizontal="center" vertical="center"/>
    </xf>
    <xf borderId="10" fillId="11" fontId="6" numFmtId="0" xfId="0" applyAlignment="1" applyBorder="1" applyFont="1">
      <alignment horizontal="center" vertical="center"/>
    </xf>
    <xf borderId="10" fillId="10" fontId="15" numFmtId="0" xfId="0" applyAlignment="1" applyBorder="1" applyFont="1">
      <alignment horizontal="left" vertical="center"/>
    </xf>
    <xf borderId="43" fillId="10" fontId="15" numFmtId="0" xfId="0" applyAlignment="1" applyBorder="1" applyFont="1">
      <alignment vertical="center"/>
    </xf>
    <xf borderId="0" fillId="0" fontId="17" numFmtId="0" xfId="0" applyAlignment="1" applyFont="1">
      <alignment horizontal="center" vertical="top"/>
    </xf>
    <xf borderId="0" fillId="0" fontId="17" numFmtId="0" xfId="0" applyAlignment="1" applyFont="1">
      <alignment vertical="top"/>
    </xf>
    <xf borderId="6" fillId="14" fontId="32" numFmtId="0" xfId="0" applyAlignment="1" applyBorder="1" applyFont="1">
      <alignment vertical="top"/>
    </xf>
    <xf borderId="0" fillId="0" fontId="6" numFmtId="0" xfId="0" applyAlignment="1" applyFont="1">
      <alignment vertical="top"/>
    </xf>
    <xf borderId="44" fillId="25" fontId="33" numFmtId="0" xfId="0" applyAlignment="1" applyBorder="1" applyFill="1" applyFont="1">
      <alignment horizontal="center" vertical="center"/>
    </xf>
    <xf borderId="0" fillId="0" fontId="17" numFmtId="0" xfId="0" applyAlignment="1" applyFont="1">
      <alignment horizontal="center" vertical="center"/>
    </xf>
    <xf borderId="0" fillId="0" fontId="6" numFmtId="0" xfId="0" applyAlignment="1" applyFont="1">
      <alignment horizontal="center" vertical="center"/>
    </xf>
    <xf borderId="45" fillId="26" fontId="13" numFmtId="0" xfId="0" applyAlignment="1" applyBorder="1" applyFill="1" applyFont="1">
      <alignment horizontal="center" vertical="top"/>
    </xf>
    <xf borderId="46" fillId="27" fontId="17" numFmtId="0" xfId="0" applyAlignment="1" applyBorder="1" applyFill="1" applyFont="1">
      <alignment horizontal="left" vertical="top"/>
    </xf>
    <xf borderId="46" fillId="27" fontId="17" numFmtId="0" xfId="0" applyAlignment="1" applyBorder="1" applyFont="1">
      <alignment horizontal="center" vertical="top"/>
    </xf>
    <xf borderId="46" fillId="27" fontId="17" numFmtId="0" xfId="0" applyAlignment="1" applyBorder="1" applyFont="1">
      <alignment vertical="top"/>
    </xf>
    <xf borderId="47" fillId="27" fontId="17" numFmtId="0" xfId="0" applyAlignment="1" applyBorder="1" applyFont="1">
      <alignment horizontal="left" vertical="top"/>
    </xf>
    <xf borderId="47" fillId="27" fontId="17" numFmtId="0" xfId="0" applyAlignment="1" applyBorder="1" applyFont="1">
      <alignment horizontal="center" vertical="top"/>
    </xf>
    <xf borderId="47" fillId="27" fontId="17" numFmtId="0" xfId="0" applyAlignment="1" applyBorder="1" applyFont="1">
      <alignment vertical="top"/>
    </xf>
    <xf borderId="44" fillId="27" fontId="17" numFmtId="0" xfId="0" applyAlignment="1" applyBorder="1" applyFont="1">
      <alignment vertical="top"/>
    </xf>
    <xf borderId="48" fillId="0" fontId="17" numFmtId="0" xfId="0" applyAlignment="1" applyBorder="1" applyFont="1">
      <alignment horizontal="center" vertical="top"/>
    </xf>
    <xf borderId="44" fillId="27" fontId="17" numFmtId="0" xfId="0" applyAlignment="1" applyBorder="1" applyFont="1">
      <alignment horizontal="left" vertical="top"/>
    </xf>
    <xf borderId="49" fillId="0" fontId="17" numFmtId="0" xfId="0" applyAlignment="1" applyBorder="1" applyFont="1">
      <alignment horizontal="left" vertical="top"/>
    </xf>
    <xf borderId="48" fillId="0" fontId="17" numFmtId="0" xfId="0" applyAlignment="1" applyBorder="1" applyFont="1">
      <alignment horizontal="left" vertical="top"/>
    </xf>
    <xf borderId="44" fillId="27" fontId="17" numFmtId="0" xfId="0" applyAlignment="1" applyBorder="1" applyFont="1">
      <alignment horizontal="center" vertical="top"/>
    </xf>
    <xf borderId="48" fillId="0" fontId="17" numFmtId="0" xfId="0" applyAlignment="1" applyBorder="1" applyFont="1">
      <alignment horizontal="left" shrinkToFit="0" vertical="top" wrapText="1"/>
    </xf>
    <xf borderId="44" fillId="26" fontId="13" numFmtId="0" xfId="0" applyAlignment="1" applyBorder="1" applyFont="1">
      <alignment horizontal="center" vertical="top"/>
    </xf>
    <xf borderId="50" fillId="27" fontId="17" numFmtId="0" xfId="0" applyAlignment="1" applyBorder="1" applyFont="1">
      <alignment horizontal="left" vertical="top"/>
    </xf>
    <xf borderId="51" fillId="0" fontId="24" numFmtId="0" xfId="0" applyBorder="1" applyFont="1"/>
    <xf borderId="47" fillId="27" fontId="9" numFmtId="0" xfId="0" applyAlignment="1" applyBorder="1" applyFont="1">
      <alignment horizontal="left" vertical="top"/>
    </xf>
    <xf borderId="44" fillId="27" fontId="9" numFmtId="0" xfId="0" applyAlignment="1" applyBorder="1" applyFont="1">
      <alignment horizontal="left" vertical="top"/>
    </xf>
    <xf borderId="49" fillId="0" fontId="17" numFmtId="0" xfId="0" applyAlignment="1" applyBorder="1" applyFont="1">
      <alignment horizontal="center" vertical="top"/>
    </xf>
    <xf borderId="52" fillId="27" fontId="17" numFmtId="0" xfId="0" applyAlignment="1" applyBorder="1" applyFont="1">
      <alignment horizontal="left" vertical="top"/>
    </xf>
    <xf borderId="47" fillId="23" fontId="17" numFmtId="0" xfId="0" applyAlignment="1" applyBorder="1" applyFont="1">
      <alignment horizontal="left" vertical="top"/>
    </xf>
    <xf borderId="47" fillId="23" fontId="17" numFmtId="0" xfId="0" applyAlignment="1" applyBorder="1" applyFont="1">
      <alignment horizontal="center" vertical="top"/>
    </xf>
    <xf borderId="44" fillId="23" fontId="17" numFmtId="0" xfId="0" applyAlignment="1" applyBorder="1" applyFont="1">
      <alignment horizontal="center" vertical="top"/>
    </xf>
    <xf borderId="47" fillId="28" fontId="34" numFmtId="0" xfId="0" applyAlignment="1" applyBorder="1" applyFill="1" applyFont="1">
      <alignment horizontal="center" vertical="top"/>
    </xf>
    <xf borderId="53" fillId="0" fontId="18" numFmtId="0" xfId="0" applyAlignment="1" applyBorder="1" applyFont="1">
      <alignment horizontal="center" vertical="top"/>
    </xf>
    <xf borderId="53" fillId="0" fontId="18" numFmtId="0" xfId="0" applyAlignment="1" applyBorder="1" applyFont="1">
      <alignment vertical="top"/>
    </xf>
    <xf borderId="10" fillId="6" fontId="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92dc4c35-f25c-4b0e-99db-f104e412e05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1" dT="2024-01-08T04:18:02.00" personId="{92dc4c35-f25c-4b0e-99db-f104e412e056}" id="{a1a3221a-9989-47e7-bc8b-211908554e2b}" done="0">
    <x18tc:text xml:space="preserve">เช็คดิจิตผ่านเฉพาะ 37 Char
38 Char ไม่ผ่านเงื่อนไขเช็คบาร์โค้ด ข้อ B 1.2
	-Insee C
จาก Script ใหม่ ที่ ปณ=56
	-Insee C</x18tc:text>
  </x18tc:threadedComment>
  <x18tc:threadedComment ref="B38" dT="2024-01-08T04:18:02.00" personId="{92dc4c35-f25c-4b0e-99db-f104e412e056}" id="{dd486a65-c3d2-4fc5-9e74-8a99fbe953b3}" done="0">
    <x18tc:text xml:space="preserve">เช็คดิจิตผ่านเฉพาะ 37 Char
	-Insee C
จาก Script ใหม่ ที่ ปณ=56
	-Insee C</x18tc:text>
  </x18tc:threadedComment>
  <x18tc:threadedComment ref="B22" dT="2024-01-08T04:18:02.00" personId="{92dc4c35-f25c-4b0e-99db-f104e412e056}" id="{f03a7335-92e4-44d0-9346-da256f87178c}" done="0">
    <x18tc:text xml:space="preserve">ไม่ได้เช็คดิจิต คำนวณและส่ง output กลับ
	-Insee C</x18tc:text>
  </x18tc:threadedComment>
  <x18tc:threadedComment ref="B5" dT="2024-01-08T04:18:02.00" personId="{92dc4c35-f25c-4b0e-99db-f104e412e056}" id="{ba8dd2cc-f62f-4c90-8444-f9a93538ecfe}" done="0">
    <x18tc:text xml:space="preserve">ดู Field Type แต่ละประเภทได้ที่ Link
	-Insee C</x18tc:text>
  </x18tc:threadedComment>
  <x18tc:threadedComment ref="B28" dT="2024-01-08T04:18:02.00" personId="{92dc4c35-f25c-4b0e-99db-f104e412e056}" id="{44022164-238c-41b3-ba30-a4a55dc9453d}" done="0">
    <x18tc:text xml:space="preserve">6 Char บางตัวเช็คดิจิตไม่ผ่าน
	-Insee C
จาก Script ที่ ปณ=56
6-7 Char ผ่านได้เลย โดยไม่ต้องเช็คดิจิต
	-Insee C</x18tc:text>
  </x18tc:threadedComment>
  <x18tc:threadedComment ref="B45" dT="2024-01-08T04:18:02.00" personId="{92dc4c35-f25c-4b0e-99db-f104e412e056}" id="{4272e254-0a78-47ce-b3b7-8802ce591653}" done="0">
    <x18tc:text xml:space="preserve">จาก Barcode ที่ทดสอบ ไม่พบ 
mimamori_ref = 3 เลย
(ตัวรองสุดท้าย 1 ตำแหน่ง)
	-Insee C</x18tc:text>
  </x18tc:threadedComment>
  <x18tc:threadedComment ref="B55" dT="2024-01-08T04:18:02.00" personId="{92dc4c35-f25c-4b0e-99db-f104e412e056}" id="{12d5e1e7-111c-4b0c-acfd-a5f2ef8f4a39}" done="0">
    <x18tc:text xml:space="preserve">ไม่มีเช็คดิจิต มีแยกข้อมูล
	-Insee 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6"/>
    <col customWidth="1" min="2" max="2" width="21.29"/>
    <col customWidth="1" min="3" max="3" width="10.71"/>
    <col customWidth="1" min="4" max="4" width="84.0"/>
    <col customWidth="1" min="5" max="5" width="158.14"/>
    <col customWidth="1" min="6" max="6" width="8.86"/>
    <col customWidth="1" min="7" max="25" width="8.71"/>
  </cols>
  <sheetData>
    <row r="1" ht="20.25" customHeight="1">
      <c r="A1" s="1" t="s">
        <v>0</v>
      </c>
      <c r="B1" s="2" t="s">
        <v>1</v>
      </c>
      <c r="C1" s="1" t="s">
        <v>2</v>
      </c>
      <c r="D1" s="3" t="s">
        <v>3</v>
      </c>
      <c r="E1" s="1" t="s">
        <v>4</v>
      </c>
      <c r="F1" s="4"/>
      <c r="G1" s="4"/>
      <c r="H1" s="4"/>
      <c r="I1" s="4"/>
      <c r="J1" s="4"/>
      <c r="K1" s="4"/>
      <c r="L1" s="4"/>
      <c r="M1" s="4"/>
      <c r="N1" s="4"/>
      <c r="O1" s="4"/>
      <c r="P1" s="4"/>
      <c r="Q1" s="4"/>
      <c r="R1" s="4"/>
      <c r="S1" s="4"/>
      <c r="T1" s="4"/>
      <c r="U1" s="4"/>
      <c r="V1" s="4"/>
      <c r="W1" s="4"/>
      <c r="X1" s="4"/>
      <c r="Y1" s="4"/>
      <c r="Z1" s="4"/>
    </row>
    <row r="2" ht="30.0" customHeight="1">
      <c r="A2" s="5">
        <v>8.0</v>
      </c>
      <c r="B2" s="6" t="s">
        <v>5</v>
      </c>
      <c r="C2" s="7">
        <v>1.0</v>
      </c>
      <c r="D2" s="8" t="s">
        <v>6</v>
      </c>
      <c r="E2" s="8" t="s">
        <v>7</v>
      </c>
      <c r="F2" s="9"/>
      <c r="G2" s="9"/>
      <c r="H2" s="9"/>
      <c r="I2" s="9"/>
      <c r="J2" s="9"/>
      <c r="K2" s="9"/>
      <c r="L2" s="9"/>
      <c r="M2" s="9"/>
      <c r="N2" s="9"/>
      <c r="O2" s="9"/>
      <c r="P2" s="9"/>
      <c r="Q2" s="9"/>
      <c r="R2" s="9"/>
      <c r="S2" s="9"/>
      <c r="T2" s="9"/>
      <c r="U2" s="9"/>
      <c r="V2" s="9"/>
      <c r="W2" s="9"/>
      <c r="X2" s="9"/>
      <c r="Y2" s="9"/>
      <c r="Z2" s="9"/>
    </row>
    <row r="3" ht="25.5" customHeight="1">
      <c r="A3" s="5">
        <v>16.0</v>
      </c>
      <c r="B3" s="6" t="s">
        <v>8</v>
      </c>
      <c r="C3" s="7">
        <v>1.0</v>
      </c>
      <c r="D3" s="8" t="s">
        <v>9</v>
      </c>
      <c r="E3" s="8" t="s">
        <v>10</v>
      </c>
      <c r="F3" s="9"/>
      <c r="G3" s="9"/>
      <c r="H3" s="9"/>
      <c r="I3" s="9"/>
      <c r="J3" s="9"/>
      <c r="K3" s="9"/>
      <c r="L3" s="9"/>
      <c r="M3" s="9"/>
      <c r="N3" s="9"/>
      <c r="O3" s="9"/>
      <c r="P3" s="9"/>
      <c r="Q3" s="9"/>
      <c r="R3" s="9"/>
      <c r="S3" s="9"/>
      <c r="T3" s="9"/>
      <c r="U3" s="9"/>
      <c r="V3" s="9"/>
      <c r="W3" s="9"/>
      <c r="X3" s="9"/>
      <c r="Y3" s="9"/>
      <c r="Z3" s="9"/>
    </row>
    <row r="4" ht="119.25" customHeight="1">
      <c r="A4" s="5">
        <v>3001.0</v>
      </c>
      <c r="B4" s="6" t="s">
        <v>11</v>
      </c>
      <c r="C4" s="7">
        <v>1.0</v>
      </c>
      <c r="D4" s="10" t="s">
        <v>12</v>
      </c>
      <c r="E4" s="8" t="s">
        <v>13</v>
      </c>
      <c r="F4" s="9"/>
      <c r="G4" s="9"/>
      <c r="H4" s="9"/>
      <c r="I4" s="9"/>
      <c r="J4" s="9"/>
      <c r="K4" s="9"/>
      <c r="L4" s="9"/>
      <c r="M4" s="9"/>
      <c r="N4" s="9"/>
      <c r="O4" s="9"/>
      <c r="P4" s="9"/>
      <c r="Q4" s="9"/>
      <c r="R4" s="9"/>
      <c r="S4" s="9"/>
      <c r="T4" s="9"/>
      <c r="U4" s="9"/>
      <c r="V4" s="9"/>
      <c r="W4" s="9"/>
      <c r="X4" s="9"/>
      <c r="Y4" s="9"/>
      <c r="Z4" s="9"/>
    </row>
    <row r="5" ht="94.5" customHeight="1">
      <c r="A5" s="5">
        <v>3002.0</v>
      </c>
      <c r="B5" s="11" t="s">
        <v>14</v>
      </c>
      <c r="C5" s="7">
        <v>1.0</v>
      </c>
      <c r="D5" s="12" t="s">
        <v>15</v>
      </c>
      <c r="E5" s="8" t="s">
        <v>16</v>
      </c>
      <c r="F5" s="9"/>
      <c r="G5" s="9"/>
      <c r="H5" s="9"/>
      <c r="I5" s="9"/>
      <c r="J5" s="9"/>
      <c r="K5" s="9"/>
      <c r="L5" s="9"/>
      <c r="M5" s="9"/>
      <c r="N5" s="9"/>
      <c r="O5" s="9"/>
      <c r="P5" s="9"/>
      <c r="Q5" s="9"/>
      <c r="R5" s="9"/>
      <c r="S5" s="9"/>
      <c r="T5" s="9"/>
      <c r="U5" s="9"/>
      <c r="V5" s="9"/>
      <c r="W5" s="9"/>
      <c r="X5" s="9"/>
      <c r="Y5" s="9"/>
      <c r="Z5" s="9"/>
    </row>
    <row r="6" ht="33.75" customHeight="1">
      <c r="A6" s="5">
        <v>3003.0</v>
      </c>
      <c r="B6" s="6" t="s">
        <v>17</v>
      </c>
      <c r="C6" s="7">
        <v>1.0</v>
      </c>
      <c r="D6" s="12" t="s">
        <v>18</v>
      </c>
      <c r="E6" s="8" t="s">
        <v>19</v>
      </c>
      <c r="F6" s="9"/>
      <c r="G6" s="9"/>
      <c r="H6" s="9"/>
      <c r="I6" s="9"/>
      <c r="J6" s="9"/>
      <c r="K6" s="9"/>
      <c r="L6" s="9"/>
      <c r="M6" s="9"/>
      <c r="N6" s="9"/>
      <c r="O6" s="9"/>
      <c r="P6" s="9"/>
      <c r="Q6" s="9"/>
      <c r="R6" s="9"/>
      <c r="S6" s="9"/>
      <c r="T6" s="9"/>
      <c r="U6" s="9"/>
      <c r="V6" s="9"/>
      <c r="W6" s="9"/>
      <c r="X6" s="9"/>
      <c r="Y6" s="9"/>
      <c r="Z6" s="9"/>
    </row>
    <row r="7" ht="30.0" customHeight="1">
      <c r="A7" s="5">
        <v>3004.0</v>
      </c>
      <c r="B7" s="6" t="s">
        <v>20</v>
      </c>
      <c r="C7" s="7">
        <v>1.0</v>
      </c>
      <c r="D7" s="13" t="s">
        <v>21</v>
      </c>
      <c r="E7" s="8" t="s">
        <v>22</v>
      </c>
      <c r="F7" s="9"/>
      <c r="G7" s="9"/>
      <c r="H7" s="9"/>
      <c r="I7" s="9"/>
      <c r="J7" s="9"/>
      <c r="K7" s="9"/>
      <c r="L7" s="9"/>
      <c r="M7" s="9"/>
      <c r="N7" s="9"/>
      <c r="O7" s="9"/>
      <c r="P7" s="9"/>
      <c r="Q7" s="9"/>
      <c r="R7" s="9"/>
      <c r="S7" s="9"/>
      <c r="T7" s="9"/>
      <c r="U7" s="9"/>
      <c r="V7" s="9"/>
      <c r="W7" s="9"/>
      <c r="X7" s="9"/>
      <c r="Y7" s="9"/>
      <c r="Z7" s="9"/>
    </row>
    <row r="8" ht="96.0" customHeight="1">
      <c r="A8" s="5">
        <v>3006.0</v>
      </c>
      <c r="B8" s="6" t="s">
        <v>23</v>
      </c>
      <c r="C8" s="7">
        <v>1.0</v>
      </c>
      <c r="D8" s="13" t="s">
        <v>24</v>
      </c>
      <c r="E8" s="8" t="s">
        <v>25</v>
      </c>
      <c r="F8" s="9"/>
      <c r="G8" s="9"/>
      <c r="H8" s="9"/>
      <c r="I8" s="9"/>
      <c r="J8" s="9"/>
      <c r="K8" s="9"/>
      <c r="L8" s="9"/>
      <c r="M8" s="9"/>
      <c r="N8" s="9"/>
      <c r="O8" s="9"/>
      <c r="P8" s="9"/>
      <c r="Q8" s="9"/>
      <c r="R8" s="9"/>
      <c r="S8" s="9"/>
      <c r="T8" s="9"/>
      <c r="U8" s="9"/>
      <c r="V8" s="9"/>
      <c r="W8" s="9"/>
      <c r="X8" s="9"/>
      <c r="Y8" s="9"/>
      <c r="Z8" s="9"/>
    </row>
    <row r="9" ht="39.0" customHeight="1">
      <c r="A9" s="5">
        <v>3007.0</v>
      </c>
      <c r="B9" s="6" t="s">
        <v>26</v>
      </c>
      <c r="C9" s="7">
        <v>1.0</v>
      </c>
      <c r="D9" s="12" t="s">
        <v>27</v>
      </c>
      <c r="E9" s="8" t="s">
        <v>28</v>
      </c>
      <c r="F9" s="9"/>
      <c r="G9" s="9"/>
      <c r="H9" s="9"/>
      <c r="I9" s="9"/>
      <c r="J9" s="9"/>
      <c r="K9" s="9"/>
      <c r="L9" s="9"/>
      <c r="M9" s="9"/>
      <c r="N9" s="9"/>
      <c r="O9" s="9"/>
      <c r="P9" s="9"/>
      <c r="Q9" s="9"/>
      <c r="R9" s="9"/>
      <c r="S9" s="9"/>
      <c r="T9" s="9"/>
      <c r="U9" s="9"/>
      <c r="V9" s="9"/>
      <c r="W9" s="9"/>
      <c r="X9" s="9"/>
      <c r="Y9" s="9"/>
      <c r="Z9" s="9"/>
    </row>
    <row r="10" ht="57.0" customHeight="1">
      <c r="A10" s="5">
        <v>3008.0</v>
      </c>
      <c r="B10" s="6" t="s">
        <v>29</v>
      </c>
      <c r="C10" s="7">
        <v>1.0</v>
      </c>
      <c r="D10" s="10" t="s">
        <v>30</v>
      </c>
      <c r="E10" s="8" t="s">
        <v>31</v>
      </c>
      <c r="F10" s="9"/>
      <c r="G10" s="9"/>
      <c r="H10" s="9"/>
      <c r="I10" s="9"/>
      <c r="J10" s="9"/>
      <c r="K10" s="9"/>
      <c r="L10" s="9"/>
      <c r="M10" s="9"/>
      <c r="N10" s="9"/>
      <c r="O10" s="9"/>
      <c r="P10" s="9"/>
      <c r="Q10" s="9"/>
      <c r="R10" s="9"/>
      <c r="S10" s="9"/>
      <c r="T10" s="9"/>
      <c r="U10" s="9"/>
      <c r="V10" s="9"/>
      <c r="W10" s="9"/>
      <c r="X10" s="9"/>
      <c r="Y10" s="9"/>
      <c r="Z10" s="9"/>
    </row>
    <row r="11" ht="81.0" customHeight="1">
      <c r="A11" s="5">
        <v>3010.0</v>
      </c>
      <c r="B11" s="6" t="s">
        <v>32</v>
      </c>
      <c r="C11" s="7">
        <v>1.0</v>
      </c>
      <c r="D11" s="13" t="s">
        <v>33</v>
      </c>
      <c r="E11" s="8" t="s">
        <v>34</v>
      </c>
      <c r="F11" s="9"/>
      <c r="G11" s="9"/>
      <c r="H11" s="9"/>
      <c r="I11" s="9"/>
      <c r="J11" s="9"/>
      <c r="K11" s="9"/>
      <c r="L11" s="9"/>
      <c r="M11" s="9"/>
      <c r="N11" s="9"/>
      <c r="O11" s="9"/>
      <c r="P11" s="9"/>
      <c r="Q11" s="9"/>
      <c r="R11" s="9"/>
      <c r="S11" s="9"/>
      <c r="T11" s="9"/>
      <c r="U11" s="9"/>
      <c r="V11" s="9"/>
      <c r="W11" s="9"/>
      <c r="X11" s="9"/>
      <c r="Y11" s="9"/>
      <c r="Z11" s="9"/>
    </row>
    <row r="12" ht="97.5" customHeight="1">
      <c r="A12" s="5">
        <v>3017.0</v>
      </c>
      <c r="B12" s="6" t="s">
        <v>35</v>
      </c>
      <c r="C12" s="7">
        <v>1.0</v>
      </c>
      <c r="D12" s="10" t="s">
        <v>36</v>
      </c>
      <c r="E12" s="8" t="s">
        <v>37</v>
      </c>
      <c r="F12" s="9"/>
      <c r="G12" s="9"/>
      <c r="H12" s="9"/>
      <c r="I12" s="9"/>
      <c r="J12" s="9"/>
      <c r="K12" s="9"/>
      <c r="L12" s="9"/>
      <c r="M12" s="9"/>
      <c r="N12" s="9"/>
      <c r="O12" s="9"/>
      <c r="P12" s="9"/>
      <c r="Q12" s="9"/>
      <c r="R12" s="9"/>
      <c r="S12" s="9"/>
      <c r="T12" s="9"/>
      <c r="U12" s="9"/>
      <c r="V12" s="9"/>
      <c r="W12" s="9"/>
      <c r="X12" s="9"/>
      <c r="Y12" s="9"/>
      <c r="Z12" s="9"/>
    </row>
    <row r="13" ht="114.75" customHeight="1">
      <c r="A13" s="5">
        <v>3019.0</v>
      </c>
      <c r="B13" s="6" t="s">
        <v>38</v>
      </c>
      <c r="C13" s="7">
        <v>1.0</v>
      </c>
      <c r="D13" s="14" t="s">
        <v>39</v>
      </c>
      <c r="E13" s="8" t="s">
        <v>40</v>
      </c>
      <c r="F13" s="9"/>
      <c r="G13" s="9"/>
      <c r="H13" s="9"/>
      <c r="I13" s="9"/>
      <c r="J13" s="9"/>
      <c r="K13" s="9"/>
      <c r="L13" s="9"/>
      <c r="M13" s="9"/>
      <c r="N13" s="9"/>
      <c r="O13" s="9"/>
      <c r="P13" s="9"/>
      <c r="Q13" s="9"/>
      <c r="R13" s="9"/>
      <c r="S13" s="9"/>
      <c r="T13" s="9"/>
      <c r="U13" s="9"/>
      <c r="V13" s="9"/>
      <c r="W13" s="9"/>
      <c r="X13" s="9"/>
      <c r="Y13" s="9"/>
      <c r="Z13" s="9"/>
    </row>
    <row r="14" ht="84.0" customHeight="1">
      <c r="A14" s="5">
        <v>3021.0</v>
      </c>
      <c r="B14" s="6" t="s">
        <v>41</v>
      </c>
      <c r="C14" s="7">
        <v>1.0</v>
      </c>
      <c r="D14" s="10" t="s">
        <v>42</v>
      </c>
      <c r="E14" s="8" t="s">
        <v>43</v>
      </c>
      <c r="F14" s="9"/>
      <c r="G14" s="9"/>
      <c r="H14" s="9"/>
      <c r="I14" s="9"/>
      <c r="J14" s="9"/>
      <c r="K14" s="9"/>
      <c r="L14" s="9"/>
      <c r="M14" s="9"/>
      <c r="N14" s="9"/>
      <c r="O14" s="9"/>
      <c r="P14" s="9"/>
      <c r="Q14" s="9"/>
      <c r="R14" s="9"/>
      <c r="S14" s="9"/>
      <c r="T14" s="9"/>
      <c r="U14" s="9"/>
      <c r="V14" s="9"/>
      <c r="W14" s="9"/>
      <c r="X14" s="9"/>
      <c r="Y14" s="9"/>
      <c r="Z14" s="9"/>
    </row>
    <row r="15" ht="94.5" customHeight="1">
      <c r="A15" s="5">
        <v>3022.0</v>
      </c>
      <c r="B15" s="6" t="s">
        <v>44</v>
      </c>
      <c r="C15" s="7">
        <v>1.0</v>
      </c>
      <c r="D15" s="13" t="s">
        <v>45</v>
      </c>
      <c r="E15" s="8" t="s">
        <v>46</v>
      </c>
      <c r="F15" s="9"/>
      <c r="G15" s="9"/>
      <c r="H15" s="9"/>
      <c r="I15" s="9"/>
      <c r="J15" s="9"/>
      <c r="K15" s="9"/>
      <c r="L15" s="9"/>
      <c r="M15" s="9"/>
      <c r="N15" s="9"/>
      <c r="O15" s="9"/>
      <c r="P15" s="9"/>
      <c r="Q15" s="9"/>
      <c r="R15" s="9"/>
      <c r="S15" s="9"/>
      <c r="T15" s="9"/>
      <c r="U15" s="9"/>
      <c r="V15" s="9"/>
      <c r="W15" s="9"/>
      <c r="X15" s="9"/>
      <c r="Y15" s="9"/>
      <c r="Z15" s="9"/>
    </row>
    <row r="16" ht="87.0" customHeight="1">
      <c r="A16" s="5">
        <v>3024.0</v>
      </c>
      <c r="B16" s="6" t="s">
        <v>47</v>
      </c>
      <c r="C16" s="7">
        <v>1.0</v>
      </c>
      <c r="D16" s="13" t="s">
        <v>48</v>
      </c>
      <c r="E16" s="8" t="s">
        <v>49</v>
      </c>
      <c r="F16" s="9"/>
      <c r="G16" s="9"/>
      <c r="H16" s="9"/>
      <c r="I16" s="9"/>
      <c r="J16" s="9"/>
      <c r="K16" s="9"/>
      <c r="L16" s="9"/>
      <c r="M16" s="9"/>
      <c r="N16" s="9"/>
      <c r="O16" s="9"/>
      <c r="P16" s="9"/>
      <c r="Q16" s="9"/>
      <c r="R16" s="9"/>
      <c r="S16" s="9"/>
      <c r="T16" s="9"/>
      <c r="U16" s="9"/>
      <c r="V16" s="9"/>
      <c r="W16" s="9"/>
      <c r="X16" s="9"/>
      <c r="Y16" s="9"/>
      <c r="Z16" s="9"/>
    </row>
    <row r="17" ht="30.0" customHeight="1">
      <c r="A17" s="5">
        <v>3025.0</v>
      </c>
      <c r="B17" s="6" t="s">
        <v>50</v>
      </c>
      <c r="C17" s="7">
        <v>1.0</v>
      </c>
      <c r="D17" s="8" t="s">
        <v>51</v>
      </c>
      <c r="E17" s="12" t="s">
        <v>52</v>
      </c>
      <c r="F17" s="9"/>
      <c r="G17" s="9"/>
      <c r="H17" s="9"/>
      <c r="I17" s="9"/>
      <c r="J17" s="9"/>
      <c r="K17" s="9"/>
      <c r="L17" s="9"/>
      <c r="M17" s="9"/>
      <c r="N17" s="9"/>
      <c r="O17" s="9"/>
      <c r="P17" s="9"/>
      <c r="Q17" s="9"/>
      <c r="R17" s="9"/>
      <c r="S17" s="9"/>
      <c r="T17" s="9"/>
      <c r="U17" s="9"/>
      <c r="V17" s="9"/>
      <c r="W17" s="9"/>
      <c r="X17" s="9"/>
      <c r="Y17" s="9"/>
      <c r="Z17" s="9"/>
    </row>
    <row r="18" ht="69.75" customHeight="1">
      <c r="A18" s="5">
        <v>3028.0</v>
      </c>
      <c r="B18" s="6" t="s">
        <v>53</v>
      </c>
      <c r="C18" s="7">
        <v>1.0</v>
      </c>
      <c r="D18" s="13" t="s">
        <v>54</v>
      </c>
      <c r="E18" s="8" t="s">
        <v>55</v>
      </c>
      <c r="F18" s="9"/>
      <c r="G18" s="9"/>
      <c r="H18" s="9"/>
      <c r="I18" s="9"/>
      <c r="J18" s="9"/>
      <c r="K18" s="9"/>
      <c r="L18" s="9"/>
      <c r="M18" s="9"/>
      <c r="N18" s="9"/>
      <c r="O18" s="9"/>
      <c r="P18" s="9"/>
      <c r="Q18" s="9"/>
      <c r="R18" s="9"/>
      <c r="S18" s="9"/>
      <c r="T18" s="9"/>
      <c r="U18" s="9"/>
      <c r="V18" s="9"/>
      <c r="W18" s="9"/>
      <c r="X18" s="9"/>
      <c r="Y18" s="9"/>
      <c r="Z18" s="9"/>
    </row>
    <row r="19" ht="42.0" customHeight="1">
      <c r="A19" s="5">
        <v>3502.0</v>
      </c>
      <c r="B19" s="6" t="s">
        <v>56</v>
      </c>
      <c r="C19" s="7">
        <v>1.0</v>
      </c>
      <c r="D19" s="12" t="s">
        <v>57</v>
      </c>
      <c r="E19" s="8" t="s">
        <v>58</v>
      </c>
      <c r="F19" s="9"/>
      <c r="G19" s="9"/>
      <c r="H19" s="9"/>
      <c r="I19" s="9"/>
      <c r="J19" s="9"/>
      <c r="K19" s="9"/>
      <c r="L19" s="9"/>
      <c r="M19" s="9"/>
      <c r="N19" s="9"/>
      <c r="O19" s="9"/>
      <c r="P19" s="9"/>
      <c r="Q19" s="9"/>
      <c r="R19" s="9"/>
      <c r="S19" s="9"/>
      <c r="T19" s="9"/>
      <c r="U19" s="9"/>
      <c r="V19" s="9"/>
      <c r="W19" s="9"/>
      <c r="X19" s="9"/>
      <c r="Y19" s="9"/>
      <c r="Z19" s="9"/>
    </row>
    <row r="20" ht="66.75" customHeight="1">
      <c r="A20" s="5">
        <v>3503.0</v>
      </c>
      <c r="B20" s="6" t="s">
        <v>59</v>
      </c>
      <c r="C20" s="7">
        <v>1.0</v>
      </c>
      <c r="D20" s="13" t="s">
        <v>60</v>
      </c>
      <c r="E20" s="8" t="s">
        <v>61</v>
      </c>
      <c r="F20" s="9"/>
      <c r="G20" s="9"/>
      <c r="H20" s="9"/>
      <c r="I20" s="9"/>
      <c r="J20" s="9"/>
      <c r="K20" s="9"/>
      <c r="L20" s="9"/>
      <c r="M20" s="9"/>
      <c r="N20" s="9"/>
      <c r="O20" s="9"/>
      <c r="P20" s="9"/>
      <c r="Q20" s="9"/>
      <c r="R20" s="9"/>
      <c r="S20" s="9"/>
      <c r="T20" s="9"/>
      <c r="U20" s="9"/>
      <c r="V20" s="9"/>
      <c r="W20" s="9"/>
      <c r="X20" s="9"/>
      <c r="Y20" s="9"/>
      <c r="Z20" s="9"/>
    </row>
    <row r="21" ht="97.5" customHeight="1">
      <c r="A21" s="5">
        <v>3504.0</v>
      </c>
      <c r="B21" s="6" t="s">
        <v>62</v>
      </c>
      <c r="C21" s="7">
        <v>1.0</v>
      </c>
      <c r="D21" s="10" t="s">
        <v>63</v>
      </c>
      <c r="E21" s="8" t="s">
        <v>64</v>
      </c>
      <c r="F21" s="9"/>
      <c r="G21" s="9"/>
      <c r="H21" s="9"/>
      <c r="I21" s="9"/>
      <c r="J21" s="9"/>
      <c r="K21" s="9"/>
      <c r="L21" s="9"/>
      <c r="M21" s="9"/>
      <c r="N21" s="9"/>
      <c r="O21" s="9"/>
      <c r="P21" s="9"/>
      <c r="Q21" s="9"/>
      <c r="R21" s="9"/>
      <c r="S21" s="9"/>
      <c r="T21" s="9"/>
      <c r="U21" s="9"/>
      <c r="V21" s="9"/>
      <c r="W21" s="9"/>
      <c r="X21" s="9"/>
      <c r="Y21" s="9"/>
      <c r="Z21" s="9"/>
    </row>
    <row r="22" ht="168.75" customHeight="1">
      <c r="A22" s="5">
        <v>4004.0</v>
      </c>
      <c r="B22" s="6" t="s">
        <v>65</v>
      </c>
      <c r="C22" s="7">
        <v>1.0</v>
      </c>
      <c r="D22" s="8" t="s">
        <v>66</v>
      </c>
      <c r="E22" s="8" t="s">
        <v>67</v>
      </c>
      <c r="F22" s="9"/>
      <c r="G22" s="9"/>
      <c r="H22" s="9"/>
      <c r="I22" s="9"/>
      <c r="J22" s="9"/>
      <c r="K22" s="9"/>
      <c r="L22" s="9"/>
      <c r="M22" s="9"/>
      <c r="N22" s="9"/>
      <c r="O22" s="9"/>
      <c r="P22" s="9"/>
      <c r="Q22" s="9"/>
      <c r="R22" s="9"/>
      <c r="S22" s="9"/>
      <c r="T22" s="9"/>
      <c r="U22" s="9"/>
      <c r="V22" s="9"/>
      <c r="W22" s="9"/>
      <c r="X22" s="9"/>
      <c r="Y22" s="9"/>
      <c r="Z22" s="9"/>
    </row>
    <row r="23" ht="249.0" customHeight="1">
      <c r="A23" s="5">
        <v>4005.0</v>
      </c>
      <c r="B23" s="15" t="s">
        <v>68</v>
      </c>
      <c r="C23" s="7">
        <v>1.0</v>
      </c>
      <c r="D23" s="8" t="s">
        <v>69</v>
      </c>
      <c r="E23" s="8" t="s">
        <v>70</v>
      </c>
      <c r="F23" s="9"/>
      <c r="G23" s="9"/>
      <c r="H23" s="9"/>
      <c r="I23" s="9"/>
      <c r="J23" s="9"/>
      <c r="K23" s="9"/>
      <c r="L23" s="9"/>
      <c r="M23" s="9"/>
      <c r="N23" s="9"/>
      <c r="O23" s="9"/>
      <c r="P23" s="9"/>
      <c r="Q23" s="9"/>
      <c r="R23" s="9"/>
      <c r="S23" s="9"/>
      <c r="T23" s="9"/>
      <c r="U23" s="9"/>
      <c r="V23" s="9"/>
      <c r="W23" s="9"/>
      <c r="X23" s="9"/>
      <c r="Y23" s="9"/>
      <c r="Z23" s="9"/>
    </row>
    <row r="24" ht="30.0" customHeight="1">
      <c r="A24" s="5">
        <v>4033.0</v>
      </c>
      <c r="B24" s="6" t="s">
        <v>71</v>
      </c>
      <c r="C24" s="7">
        <v>1.0</v>
      </c>
      <c r="D24" s="16" t="s">
        <v>72</v>
      </c>
      <c r="E24" s="8" t="s">
        <v>73</v>
      </c>
      <c r="F24" s="9"/>
      <c r="G24" s="9"/>
      <c r="H24" s="9"/>
      <c r="I24" s="9"/>
      <c r="J24" s="9"/>
      <c r="K24" s="9"/>
      <c r="L24" s="9"/>
      <c r="M24" s="9"/>
      <c r="N24" s="9"/>
      <c r="O24" s="9"/>
      <c r="P24" s="9"/>
      <c r="Q24" s="9"/>
      <c r="R24" s="9"/>
      <c r="S24" s="9"/>
      <c r="T24" s="9"/>
      <c r="U24" s="9"/>
      <c r="V24" s="9"/>
      <c r="W24" s="9"/>
      <c r="X24" s="9"/>
      <c r="Y24" s="9"/>
      <c r="Z24" s="9"/>
    </row>
    <row r="25" ht="219.75" customHeight="1">
      <c r="A25" s="5">
        <v>4034.0</v>
      </c>
      <c r="B25" s="15" t="s">
        <v>74</v>
      </c>
      <c r="C25" s="7">
        <v>1.0</v>
      </c>
      <c r="D25" s="8" t="s">
        <v>75</v>
      </c>
      <c r="E25" s="8" t="s">
        <v>76</v>
      </c>
      <c r="F25" s="9"/>
      <c r="G25" s="9"/>
      <c r="H25" s="9"/>
      <c r="I25" s="9"/>
      <c r="J25" s="9"/>
      <c r="K25" s="9"/>
      <c r="L25" s="9"/>
      <c r="M25" s="9"/>
      <c r="N25" s="9"/>
      <c r="O25" s="9"/>
      <c r="P25" s="9"/>
      <c r="Q25" s="9"/>
      <c r="R25" s="9"/>
      <c r="S25" s="9"/>
      <c r="T25" s="9"/>
      <c r="U25" s="9"/>
      <c r="V25" s="9"/>
      <c r="W25" s="9"/>
      <c r="X25" s="9"/>
      <c r="Y25" s="9"/>
      <c r="Z25" s="9"/>
    </row>
    <row r="26" ht="189.0" customHeight="1">
      <c r="A26" s="5">
        <v>4036.0</v>
      </c>
      <c r="B26" s="15" t="s">
        <v>77</v>
      </c>
      <c r="C26" s="7">
        <v>1.0</v>
      </c>
      <c r="D26" s="8" t="s">
        <v>78</v>
      </c>
      <c r="E26" s="8" t="s">
        <v>79</v>
      </c>
      <c r="F26" s="9"/>
      <c r="G26" s="9"/>
      <c r="H26" s="9"/>
      <c r="I26" s="9"/>
      <c r="J26" s="9"/>
      <c r="K26" s="9"/>
      <c r="L26" s="9"/>
      <c r="M26" s="9"/>
      <c r="N26" s="9"/>
      <c r="O26" s="9"/>
      <c r="P26" s="9"/>
      <c r="Q26" s="9"/>
      <c r="R26" s="9"/>
      <c r="S26" s="9"/>
      <c r="T26" s="9"/>
      <c r="U26" s="9"/>
      <c r="V26" s="9"/>
      <c r="W26" s="9"/>
      <c r="X26" s="9"/>
      <c r="Y26" s="9"/>
      <c r="Z26" s="9"/>
    </row>
    <row r="27" ht="171.75" customHeight="1">
      <c r="A27" s="5">
        <v>4038.0</v>
      </c>
      <c r="B27" s="6" t="s">
        <v>80</v>
      </c>
      <c r="C27" s="7">
        <v>1.0</v>
      </c>
      <c r="D27" s="16" t="s">
        <v>81</v>
      </c>
      <c r="E27" s="8" t="s">
        <v>82</v>
      </c>
      <c r="F27" s="9"/>
      <c r="G27" s="9"/>
      <c r="H27" s="9"/>
      <c r="I27" s="9"/>
      <c r="J27" s="9"/>
      <c r="K27" s="9"/>
      <c r="L27" s="9"/>
      <c r="M27" s="9"/>
      <c r="N27" s="9"/>
      <c r="O27" s="9"/>
      <c r="P27" s="9"/>
      <c r="Q27" s="9"/>
      <c r="R27" s="9"/>
      <c r="S27" s="9"/>
      <c r="T27" s="9"/>
      <c r="U27" s="9"/>
      <c r="V27" s="9"/>
      <c r="W27" s="9"/>
      <c r="X27" s="9"/>
      <c r="Y27" s="9"/>
      <c r="Z27" s="9"/>
    </row>
    <row r="28" ht="233.25" customHeight="1">
      <c r="A28" s="5">
        <v>4040.0</v>
      </c>
      <c r="B28" s="17" t="s">
        <v>83</v>
      </c>
      <c r="C28" s="7">
        <v>1.0</v>
      </c>
      <c r="D28" s="8" t="s">
        <v>84</v>
      </c>
      <c r="E28" s="8" t="s">
        <v>85</v>
      </c>
      <c r="F28" s="9"/>
      <c r="G28" s="9"/>
      <c r="H28" s="9"/>
      <c r="I28" s="9"/>
      <c r="J28" s="9"/>
      <c r="K28" s="9"/>
      <c r="L28" s="9"/>
      <c r="M28" s="9"/>
      <c r="N28" s="9"/>
      <c r="O28" s="9"/>
      <c r="P28" s="9"/>
      <c r="Q28" s="9"/>
      <c r="R28" s="9"/>
      <c r="S28" s="9"/>
      <c r="T28" s="9"/>
      <c r="U28" s="9"/>
      <c r="V28" s="9"/>
      <c r="W28" s="9"/>
      <c r="X28" s="9"/>
      <c r="Y28" s="9"/>
      <c r="Z28" s="9"/>
    </row>
    <row r="29" ht="30.0" customHeight="1">
      <c r="A29" s="5">
        <v>4042.0</v>
      </c>
      <c r="B29" s="6" t="s">
        <v>86</v>
      </c>
      <c r="C29" s="7">
        <v>1.0</v>
      </c>
      <c r="D29" s="16" t="s">
        <v>87</v>
      </c>
      <c r="E29" s="8" t="s">
        <v>88</v>
      </c>
      <c r="F29" s="9"/>
      <c r="G29" s="9"/>
      <c r="H29" s="9"/>
      <c r="I29" s="9"/>
      <c r="J29" s="9"/>
      <c r="K29" s="9"/>
      <c r="L29" s="9"/>
      <c r="M29" s="9"/>
      <c r="N29" s="9"/>
      <c r="O29" s="9"/>
      <c r="P29" s="9"/>
      <c r="Q29" s="9"/>
      <c r="R29" s="9"/>
      <c r="S29" s="9"/>
      <c r="T29" s="9"/>
      <c r="U29" s="9"/>
      <c r="V29" s="9"/>
      <c r="W29" s="9"/>
      <c r="X29" s="9"/>
      <c r="Y29" s="9"/>
      <c r="Z29" s="9"/>
    </row>
    <row r="30" ht="121.5" customHeight="1">
      <c r="A30" s="5">
        <v>4043.0</v>
      </c>
      <c r="B30" s="6" t="s">
        <v>89</v>
      </c>
      <c r="C30" s="7">
        <v>1.0</v>
      </c>
      <c r="D30" s="12" t="s">
        <v>90</v>
      </c>
      <c r="E30" s="8" t="s">
        <v>91</v>
      </c>
      <c r="F30" s="9"/>
      <c r="G30" s="9"/>
      <c r="H30" s="9"/>
      <c r="I30" s="9"/>
      <c r="J30" s="9"/>
      <c r="K30" s="9"/>
      <c r="L30" s="9"/>
      <c r="M30" s="9"/>
      <c r="N30" s="9"/>
      <c r="O30" s="9"/>
      <c r="P30" s="9"/>
      <c r="Q30" s="9"/>
      <c r="R30" s="9"/>
      <c r="S30" s="9"/>
      <c r="T30" s="9"/>
      <c r="U30" s="9"/>
      <c r="V30" s="9"/>
      <c r="W30" s="9"/>
      <c r="X30" s="9"/>
      <c r="Y30" s="9"/>
      <c r="Z30" s="9"/>
    </row>
    <row r="31" ht="82.5" customHeight="1">
      <c r="A31" s="5">
        <v>4045.0</v>
      </c>
      <c r="B31" s="6" t="s">
        <v>92</v>
      </c>
      <c r="C31" s="7">
        <v>1.0</v>
      </c>
      <c r="D31" s="16" t="s">
        <v>72</v>
      </c>
      <c r="E31" s="8" t="s">
        <v>93</v>
      </c>
      <c r="F31" s="9"/>
      <c r="G31" s="9"/>
      <c r="H31" s="9"/>
      <c r="I31" s="9"/>
      <c r="J31" s="9"/>
      <c r="K31" s="9"/>
      <c r="L31" s="9"/>
      <c r="M31" s="9"/>
      <c r="N31" s="9"/>
      <c r="O31" s="9"/>
      <c r="P31" s="9"/>
      <c r="Q31" s="9"/>
      <c r="R31" s="9"/>
      <c r="S31" s="9"/>
      <c r="T31" s="9"/>
      <c r="U31" s="9"/>
      <c r="V31" s="9"/>
      <c r="W31" s="9"/>
      <c r="X31" s="9"/>
      <c r="Y31" s="9"/>
      <c r="Z31" s="9"/>
    </row>
    <row r="32" ht="173.25" customHeight="1">
      <c r="A32" s="5">
        <v>4046.0</v>
      </c>
      <c r="B32" s="17" t="s">
        <v>94</v>
      </c>
      <c r="C32" s="7">
        <v>1.0</v>
      </c>
      <c r="D32" s="8" t="s">
        <v>95</v>
      </c>
      <c r="E32" s="8" t="s">
        <v>96</v>
      </c>
      <c r="F32" s="9"/>
      <c r="G32" s="9"/>
      <c r="H32" s="9"/>
      <c r="I32" s="9"/>
      <c r="J32" s="9"/>
      <c r="K32" s="9"/>
      <c r="L32" s="9"/>
      <c r="M32" s="9"/>
      <c r="N32" s="9"/>
      <c r="O32" s="9"/>
      <c r="P32" s="9"/>
      <c r="Q32" s="9"/>
      <c r="R32" s="9"/>
      <c r="S32" s="9"/>
      <c r="T32" s="9"/>
      <c r="U32" s="9"/>
      <c r="V32" s="9"/>
      <c r="W32" s="9"/>
      <c r="X32" s="9"/>
      <c r="Y32" s="9"/>
      <c r="Z32" s="9"/>
    </row>
    <row r="33" ht="276.75" customHeight="1">
      <c r="A33" s="5">
        <v>4048.0</v>
      </c>
      <c r="B33" s="17" t="s">
        <v>97</v>
      </c>
      <c r="C33" s="7">
        <v>1.0</v>
      </c>
      <c r="D33" s="8" t="s">
        <v>98</v>
      </c>
      <c r="E33" s="8" t="s">
        <v>99</v>
      </c>
      <c r="F33" s="9"/>
      <c r="G33" s="9"/>
      <c r="H33" s="9"/>
      <c r="I33" s="9"/>
      <c r="J33" s="9"/>
      <c r="K33" s="9"/>
      <c r="L33" s="9"/>
      <c r="M33" s="9"/>
      <c r="N33" s="9"/>
      <c r="O33" s="9"/>
      <c r="P33" s="9"/>
      <c r="Q33" s="9"/>
      <c r="R33" s="9"/>
      <c r="S33" s="9"/>
      <c r="T33" s="9"/>
      <c r="U33" s="9"/>
      <c r="V33" s="9"/>
      <c r="W33" s="9"/>
      <c r="X33" s="9"/>
      <c r="Y33" s="9"/>
      <c r="Z33" s="9"/>
    </row>
    <row r="34" ht="173.25" customHeight="1">
      <c r="A34" s="5">
        <v>4053.0</v>
      </c>
      <c r="B34" s="15" t="s">
        <v>100</v>
      </c>
      <c r="C34" s="7">
        <v>1.0</v>
      </c>
      <c r="D34" s="18" t="s">
        <v>101</v>
      </c>
      <c r="E34" s="19"/>
      <c r="F34" s="9"/>
      <c r="G34" s="9"/>
      <c r="H34" s="9"/>
      <c r="I34" s="9"/>
      <c r="J34" s="9"/>
      <c r="K34" s="9"/>
      <c r="L34" s="9"/>
      <c r="M34" s="9"/>
      <c r="N34" s="9"/>
      <c r="O34" s="9"/>
      <c r="P34" s="9"/>
      <c r="Q34" s="9"/>
      <c r="R34" s="9"/>
      <c r="S34" s="9"/>
      <c r="T34" s="9"/>
      <c r="U34" s="9"/>
      <c r="V34" s="9"/>
      <c r="W34" s="9"/>
      <c r="X34" s="9"/>
      <c r="Y34" s="9"/>
      <c r="Z34" s="9"/>
    </row>
    <row r="35" ht="209.25" customHeight="1">
      <c r="A35" s="5">
        <v>4055.0</v>
      </c>
      <c r="B35" s="17" t="s">
        <v>102</v>
      </c>
      <c r="C35" s="7">
        <v>1.0</v>
      </c>
      <c r="D35" s="20" t="s">
        <v>103</v>
      </c>
      <c r="E35" s="8" t="s">
        <v>104</v>
      </c>
      <c r="F35" s="9"/>
      <c r="G35" s="9"/>
      <c r="H35" s="9"/>
      <c r="I35" s="9"/>
      <c r="J35" s="9"/>
      <c r="K35" s="9"/>
      <c r="L35" s="9"/>
      <c r="M35" s="9"/>
      <c r="N35" s="9"/>
      <c r="O35" s="9"/>
      <c r="P35" s="9"/>
      <c r="Q35" s="9"/>
      <c r="R35" s="9"/>
      <c r="S35" s="9"/>
      <c r="T35" s="9"/>
      <c r="U35" s="9"/>
      <c r="V35" s="9"/>
      <c r="W35" s="9"/>
      <c r="X35" s="9"/>
      <c r="Y35" s="9"/>
      <c r="Z35" s="9"/>
    </row>
    <row r="36" ht="189.75" customHeight="1">
      <c r="A36" s="5">
        <v>4058.0</v>
      </c>
      <c r="B36" s="15" t="s">
        <v>105</v>
      </c>
      <c r="C36" s="7">
        <v>1.0</v>
      </c>
      <c r="D36" s="18" t="s">
        <v>106</v>
      </c>
      <c r="E36" s="12" t="s">
        <v>107</v>
      </c>
      <c r="F36" s="9"/>
      <c r="G36" s="9"/>
      <c r="H36" s="9"/>
      <c r="I36" s="9"/>
      <c r="J36" s="9"/>
      <c r="K36" s="9"/>
      <c r="L36" s="9"/>
      <c r="M36" s="9"/>
      <c r="N36" s="9"/>
      <c r="O36" s="9"/>
      <c r="P36" s="9"/>
      <c r="Q36" s="9"/>
      <c r="R36" s="9"/>
      <c r="S36" s="9"/>
      <c r="T36" s="9"/>
      <c r="U36" s="9"/>
      <c r="V36" s="9"/>
      <c r="W36" s="9"/>
      <c r="X36" s="9"/>
      <c r="Y36" s="9"/>
      <c r="Z36" s="9"/>
    </row>
    <row r="37" ht="347.25" customHeight="1">
      <c r="A37" s="5">
        <v>4063.0</v>
      </c>
      <c r="B37" s="21" t="s">
        <v>108</v>
      </c>
      <c r="C37" s="7">
        <v>1.0</v>
      </c>
      <c r="D37" s="8" t="s">
        <v>109</v>
      </c>
      <c r="E37" s="8" t="s">
        <v>110</v>
      </c>
      <c r="F37" s="9"/>
      <c r="G37" s="9"/>
      <c r="H37" s="9"/>
      <c r="I37" s="9"/>
      <c r="J37" s="9"/>
      <c r="K37" s="9"/>
      <c r="L37" s="9"/>
      <c r="M37" s="9"/>
      <c r="N37" s="9"/>
      <c r="O37" s="9"/>
      <c r="P37" s="9"/>
      <c r="Q37" s="9"/>
      <c r="R37" s="9"/>
      <c r="S37" s="9"/>
      <c r="T37" s="9"/>
      <c r="U37" s="9"/>
      <c r="V37" s="9"/>
      <c r="W37" s="9"/>
      <c r="X37" s="9"/>
      <c r="Y37" s="9"/>
      <c r="Z37" s="9"/>
    </row>
    <row r="38" ht="63.0" customHeight="1">
      <c r="A38" s="5">
        <v>4065.0</v>
      </c>
      <c r="B38" s="17" t="s">
        <v>111</v>
      </c>
      <c r="C38" s="7">
        <v>1.0</v>
      </c>
      <c r="D38" s="8" t="s">
        <v>112</v>
      </c>
      <c r="E38" s="8" t="s">
        <v>113</v>
      </c>
      <c r="F38" s="9"/>
      <c r="G38" s="9"/>
      <c r="H38" s="9"/>
      <c r="I38" s="9"/>
      <c r="J38" s="9"/>
      <c r="K38" s="9"/>
      <c r="L38" s="9"/>
      <c r="M38" s="9"/>
      <c r="N38" s="9"/>
      <c r="O38" s="9"/>
      <c r="P38" s="9"/>
      <c r="Q38" s="9"/>
      <c r="R38" s="9"/>
      <c r="S38" s="9"/>
      <c r="T38" s="9"/>
      <c r="U38" s="9"/>
      <c r="V38" s="9"/>
      <c r="W38" s="9"/>
      <c r="X38" s="9"/>
      <c r="Y38" s="9"/>
      <c r="Z38" s="9"/>
    </row>
    <row r="39" ht="237.0" customHeight="1">
      <c r="A39" s="5">
        <v>4076.0</v>
      </c>
      <c r="B39" s="6" t="s">
        <v>114</v>
      </c>
      <c r="C39" s="7">
        <v>1.0</v>
      </c>
      <c r="D39" s="8" t="s">
        <v>115</v>
      </c>
      <c r="E39" s="8" t="s">
        <v>116</v>
      </c>
      <c r="F39" s="9"/>
      <c r="G39" s="9"/>
      <c r="H39" s="9"/>
      <c r="I39" s="9"/>
      <c r="J39" s="9"/>
      <c r="K39" s="9"/>
      <c r="L39" s="9"/>
      <c r="M39" s="9"/>
      <c r="N39" s="9"/>
      <c r="O39" s="9"/>
      <c r="P39" s="9"/>
      <c r="Q39" s="9"/>
      <c r="R39" s="9"/>
      <c r="S39" s="9"/>
      <c r="T39" s="9"/>
      <c r="U39" s="9"/>
      <c r="V39" s="9"/>
      <c r="W39" s="9"/>
      <c r="X39" s="9"/>
      <c r="Y39" s="9"/>
      <c r="Z39" s="9"/>
    </row>
    <row r="40" ht="331.5" customHeight="1">
      <c r="A40" s="5">
        <v>4079.0</v>
      </c>
      <c r="B40" s="15" t="s">
        <v>117</v>
      </c>
      <c r="C40" s="7">
        <v>1.0</v>
      </c>
      <c r="D40" s="8" t="s">
        <v>118</v>
      </c>
      <c r="E40" s="22" t="s">
        <v>119</v>
      </c>
      <c r="F40" s="9"/>
      <c r="G40" s="9"/>
      <c r="H40" s="9"/>
      <c r="I40" s="9"/>
      <c r="J40" s="9"/>
      <c r="K40" s="9"/>
      <c r="L40" s="9"/>
      <c r="M40" s="9"/>
      <c r="N40" s="9"/>
      <c r="O40" s="9"/>
      <c r="P40" s="9"/>
      <c r="Q40" s="9"/>
      <c r="R40" s="9"/>
      <c r="S40" s="9"/>
      <c r="T40" s="9"/>
      <c r="U40" s="9"/>
      <c r="V40" s="9"/>
      <c r="W40" s="9"/>
      <c r="X40" s="9"/>
      <c r="Y40" s="9"/>
      <c r="Z40" s="9"/>
    </row>
    <row r="41" ht="303.0" customHeight="1">
      <c r="A41" s="5">
        <v>4082.0</v>
      </c>
      <c r="B41" s="17" t="s">
        <v>120</v>
      </c>
      <c r="C41" s="7">
        <v>1.0</v>
      </c>
      <c r="D41" s="8" t="s">
        <v>121</v>
      </c>
      <c r="E41" s="23">
        <v>1.0</v>
      </c>
      <c r="F41" s="9"/>
      <c r="G41" s="9"/>
      <c r="H41" s="9"/>
      <c r="I41" s="9"/>
      <c r="J41" s="9"/>
      <c r="K41" s="9"/>
      <c r="L41" s="9"/>
      <c r="M41" s="9"/>
      <c r="N41" s="9"/>
      <c r="O41" s="9"/>
      <c r="P41" s="9"/>
      <c r="Q41" s="9"/>
      <c r="R41" s="9"/>
      <c r="S41" s="9"/>
      <c r="T41" s="9"/>
      <c r="U41" s="9"/>
      <c r="V41" s="9"/>
      <c r="W41" s="9"/>
      <c r="X41" s="9"/>
      <c r="Y41" s="9"/>
      <c r="Z41" s="9"/>
    </row>
    <row r="42" ht="237.0" customHeight="1">
      <c r="A42" s="5">
        <v>4083.0</v>
      </c>
      <c r="B42" s="15" t="s">
        <v>122</v>
      </c>
      <c r="C42" s="7">
        <v>1.0</v>
      </c>
      <c r="D42" s="8" t="s">
        <v>123</v>
      </c>
      <c r="E42" s="24"/>
      <c r="F42" s="9"/>
      <c r="G42" s="9"/>
      <c r="H42" s="9"/>
      <c r="I42" s="9"/>
      <c r="J42" s="9"/>
      <c r="K42" s="9"/>
      <c r="L42" s="9"/>
      <c r="M42" s="9"/>
      <c r="N42" s="9"/>
      <c r="O42" s="9"/>
      <c r="P42" s="9"/>
      <c r="Q42" s="9"/>
      <c r="R42" s="9"/>
      <c r="S42" s="9"/>
      <c r="T42" s="9"/>
      <c r="U42" s="9"/>
      <c r="V42" s="9"/>
      <c r="W42" s="9"/>
      <c r="X42" s="9"/>
      <c r="Y42" s="9"/>
      <c r="Z42" s="9"/>
    </row>
    <row r="43" ht="171.75" customHeight="1">
      <c r="A43" s="5">
        <v>4084.0</v>
      </c>
      <c r="B43" s="6" t="s">
        <v>124</v>
      </c>
      <c r="C43" s="7">
        <v>1.0</v>
      </c>
      <c r="D43" s="8" t="s">
        <v>125</v>
      </c>
      <c r="E43" s="9" t="s">
        <v>126</v>
      </c>
      <c r="F43" s="9"/>
      <c r="G43" s="9"/>
      <c r="H43" s="9"/>
      <c r="I43" s="9"/>
      <c r="J43" s="9"/>
      <c r="K43" s="9"/>
      <c r="L43" s="9"/>
      <c r="M43" s="9"/>
      <c r="N43" s="9"/>
      <c r="O43" s="9"/>
      <c r="P43" s="9"/>
      <c r="Q43" s="9"/>
      <c r="R43" s="9"/>
      <c r="S43" s="9"/>
      <c r="T43" s="9"/>
      <c r="U43" s="9"/>
      <c r="V43" s="9"/>
      <c r="W43" s="9"/>
      <c r="X43" s="9"/>
      <c r="Y43" s="9"/>
      <c r="Z43" s="9"/>
    </row>
    <row r="44" ht="409.5" customHeight="1">
      <c r="A44" s="5">
        <v>4085.0</v>
      </c>
      <c r="B44" s="6" t="s">
        <v>127</v>
      </c>
      <c r="C44" s="7">
        <v>1.0</v>
      </c>
      <c r="D44" s="8" t="s">
        <v>128</v>
      </c>
      <c r="E44" s="24"/>
      <c r="F44" s="9"/>
      <c r="G44" s="9"/>
      <c r="H44" s="9"/>
      <c r="I44" s="9"/>
      <c r="J44" s="9"/>
      <c r="K44" s="9"/>
      <c r="L44" s="9"/>
      <c r="M44" s="9"/>
      <c r="N44" s="9"/>
      <c r="O44" s="9"/>
      <c r="P44" s="9"/>
      <c r="Q44" s="9"/>
      <c r="R44" s="9"/>
      <c r="S44" s="9"/>
      <c r="T44" s="9"/>
      <c r="U44" s="9"/>
      <c r="V44" s="9"/>
      <c r="W44" s="9"/>
      <c r="X44" s="9"/>
      <c r="Y44" s="9"/>
      <c r="Z44" s="9"/>
    </row>
    <row r="45" ht="30.0" customHeight="1">
      <c r="A45" s="5">
        <v>4091.0</v>
      </c>
      <c r="B45" s="21" t="s">
        <v>129</v>
      </c>
      <c r="C45" s="7">
        <v>1.0</v>
      </c>
      <c r="D45" s="8" t="s">
        <v>130</v>
      </c>
      <c r="E45" s="9" t="s">
        <v>131</v>
      </c>
      <c r="F45" s="9"/>
      <c r="G45" s="9"/>
      <c r="H45" s="9"/>
      <c r="I45" s="9"/>
      <c r="J45" s="9"/>
      <c r="K45" s="9"/>
      <c r="L45" s="9"/>
      <c r="M45" s="9"/>
      <c r="N45" s="9"/>
      <c r="O45" s="9"/>
      <c r="P45" s="9"/>
      <c r="Q45" s="9"/>
      <c r="R45" s="9"/>
      <c r="S45" s="9"/>
      <c r="T45" s="9"/>
      <c r="U45" s="9"/>
      <c r="V45" s="9"/>
      <c r="W45" s="9"/>
      <c r="X45" s="9"/>
      <c r="Y45" s="9"/>
      <c r="Z45" s="9"/>
    </row>
    <row r="46" ht="267.75" customHeight="1">
      <c r="A46" s="5">
        <v>4092.0</v>
      </c>
      <c r="B46" s="6" t="s">
        <v>132</v>
      </c>
      <c r="C46" s="7">
        <v>1.0</v>
      </c>
      <c r="D46" s="16" t="s">
        <v>72</v>
      </c>
      <c r="E46" s="24"/>
      <c r="F46" s="9"/>
      <c r="G46" s="9"/>
      <c r="H46" s="9"/>
      <c r="I46" s="9"/>
      <c r="J46" s="9"/>
      <c r="K46" s="9"/>
      <c r="L46" s="9"/>
      <c r="M46" s="9"/>
      <c r="N46" s="9"/>
      <c r="O46" s="9"/>
      <c r="P46" s="9"/>
      <c r="Q46" s="9"/>
      <c r="R46" s="9"/>
      <c r="S46" s="9"/>
      <c r="T46" s="9"/>
      <c r="U46" s="9"/>
      <c r="V46" s="9"/>
      <c r="W46" s="9"/>
      <c r="X46" s="9"/>
      <c r="Y46" s="9"/>
      <c r="Z46" s="9"/>
    </row>
    <row r="47" ht="261.0" customHeight="1">
      <c r="A47" s="5">
        <v>4097.0</v>
      </c>
      <c r="B47" s="15" t="s">
        <v>133</v>
      </c>
      <c r="C47" s="7">
        <v>1.0</v>
      </c>
      <c r="D47" s="8" t="s">
        <v>134</v>
      </c>
      <c r="E47" s="9" t="s">
        <v>135</v>
      </c>
      <c r="F47" s="9"/>
      <c r="G47" s="9"/>
      <c r="H47" s="9"/>
      <c r="I47" s="9"/>
      <c r="J47" s="9"/>
      <c r="K47" s="9"/>
      <c r="L47" s="9"/>
      <c r="M47" s="9"/>
      <c r="N47" s="9"/>
      <c r="O47" s="9"/>
      <c r="P47" s="9"/>
      <c r="Q47" s="9"/>
      <c r="R47" s="9"/>
      <c r="S47" s="9"/>
      <c r="T47" s="9"/>
      <c r="U47" s="9"/>
      <c r="V47" s="9"/>
      <c r="W47" s="9"/>
      <c r="X47" s="9"/>
      <c r="Y47" s="9"/>
      <c r="Z47" s="9"/>
    </row>
    <row r="48" ht="152.25" customHeight="1">
      <c r="A48" s="5">
        <v>4108.0</v>
      </c>
      <c r="B48" s="17" t="s">
        <v>136</v>
      </c>
      <c r="C48" s="7">
        <v>1.0</v>
      </c>
      <c r="D48" s="8" t="s">
        <v>137</v>
      </c>
      <c r="E48" s="24"/>
      <c r="F48" s="9"/>
      <c r="G48" s="9"/>
      <c r="H48" s="9"/>
      <c r="I48" s="9"/>
      <c r="J48" s="9"/>
      <c r="K48" s="9"/>
      <c r="L48" s="9"/>
      <c r="M48" s="9"/>
      <c r="N48" s="9"/>
      <c r="O48" s="9"/>
      <c r="P48" s="9"/>
      <c r="Q48" s="9"/>
      <c r="R48" s="9"/>
      <c r="S48" s="9"/>
      <c r="T48" s="9"/>
      <c r="U48" s="9"/>
      <c r="V48" s="9"/>
      <c r="W48" s="9"/>
      <c r="X48" s="9"/>
      <c r="Y48" s="9"/>
      <c r="Z48" s="9"/>
    </row>
    <row r="49" ht="177.75" customHeight="1">
      <c r="A49" s="5">
        <v>4109.0</v>
      </c>
      <c r="B49" s="15" t="s">
        <v>138</v>
      </c>
      <c r="C49" s="7">
        <v>1.0</v>
      </c>
      <c r="D49" s="8" t="s">
        <v>139</v>
      </c>
      <c r="E49" s="9" t="s">
        <v>140</v>
      </c>
      <c r="F49" s="9"/>
      <c r="G49" s="9"/>
      <c r="H49" s="9"/>
      <c r="I49" s="9"/>
      <c r="J49" s="9"/>
      <c r="K49" s="9"/>
      <c r="L49" s="9"/>
      <c r="M49" s="9"/>
      <c r="N49" s="9"/>
      <c r="O49" s="9"/>
      <c r="P49" s="9"/>
      <c r="Q49" s="9"/>
      <c r="R49" s="9"/>
      <c r="S49" s="9"/>
      <c r="T49" s="9"/>
      <c r="U49" s="9"/>
      <c r="V49" s="9"/>
      <c r="W49" s="9"/>
      <c r="X49" s="9"/>
      <c r="Y49" s="9"/>
      <c r="Z49" s="9"/>
    </row>
    <row r="50" ht="132.75" customHeight="1">
      <c r="A50" s="5">
        <v>4110.0</v>
      </c>
      <c r="B50" s="6" t="s">
        <v>141</v>
      </c>
      <c r="C50" s="7">
        <v>1.0</v>
      </c>
      <c r="D50" s="16" t="s">
        <v>72</v>
      </c>
      <c r="E50" s="24"/>
      <c r="F50" s="9"/>
      <c r="G50" s="9"/>
      <c r="H50" s="9"/>
      <c r="I50" s="9"/>
      <c r="J50" s="9"/>
      <c r="K50" s="9"/>
      <c r="L50" s="9"/>
      <c r="M50" s="9"/>
      <c r="N50" s="9"/>
      <c r="O50" s="9"/>
      <c r="P50" s="9"/>
      <c r="Q50" s="9"/>
      <c r="R50" s="9"/>
      <c r="S50" s="9"/>
      <c r="T50" s="9"/>
      <c r="U50" s="9"/>
      <c r="V50" s="9"/>
      <c r="W50" s="9"/>
      <c r="X50" s="9"/>
      <c r="Y50" s="9"/>
      <c r="Z50" s="9"/>
    </row>
    <row r="51" ht="409.5" customHeight="1">
      <c r="A51" s="5">
        <v>4218.0</v>
      </c>
      <c r="B51" s="6" t="s">
        <v>142</v>
      </c>
      <c r="C51" s="7">
        <v>1.0</v>
      </c>
      <c r="D51" s="20" t="s">
        <v>143</v>
      </c>
      <c r="E51" s="24"/>
      <c r="F51" s="9"/>
      <c r="G51" s="9"/>
      <c r="H51" s="9"/>
      <c r="I51" s="9"/>
      <c r="J51" s="9"/>
      <c r="K51" s="9"/>
      <c r="L51" s="9"/>
      <c r="M51" s="9"/>
      <c r="N51" s="9"/>
      <c r="O51" s="9"/>
      <c r="P51" s="9"/>
      <c r="Q51" s="9"/>
      <c r="R51" s="9"/>
      <c r="S51" s="9"/>
      <c r="T51" s="9"/>
      <c r="U51" s="9"/>
      <c r="V51" s="9"/>
      <c r="W51" s="9"/>
      <c r="X51" s="9"/>
      <c r="Y51" s="9"/>
      <c r="Z51" s="9"/>
    </row>
    <row r="52" ht="138.0" customHeight="1">
      <c r="A52" s="5">
        <v>4219.0</v>
      </c>
      <c r="B52" s="17" t="s">
        <v>144</v>
      </c>
      <c r="C52" s="7">
        <v>1.0</v>
      </c>
      <c r="D52" s="13" t="s">
        <v>145</v>
      </c>
      <c r="E52" s="9" t="s">
        <v>146</v>
      </c>
      <c r="F52" s="9"/>
      <c r="G52" s="9"/>
      <c r="H52" s="9"/>
      <c r="I52" s="9"/>
      <c r="J52" s="9"/>
      <c r="K52" s="9"/>
      <c r="L52" s="9"/>
      <c r="M52" s="9"/>
      <c r="N52" s="9"/>
      <c r="O52" s="9"/>
      <c r="P52" s="9"/>
      <c r="Q52" s="9"/>
      <c r="R52" s="9"/>
      <c r="S52" s="9"/>
      <c r="T52" s="9"/>
      <c r="U52" s="9"/>
      <c r="V52" s="9"/>
      <c r="W52" s="9"/>
      <c r="X52" s="9"/>
      <c r="Y52" s="9"/>
      <c r="Z52" s="9"/>
    </row>
    <row r="53" ht="241.5" customHeight="1">
      <c r="A53" s="5">
        <v>4220.0</v>
      </c>
      <c r="B53" s="17" t="s">
        <v>147</v>
      </c>
      <c r="C53" s="7">
        <v>1.0</v>
      </c>
      <c r="D53" s="8" t="s">
        <v>148</v>
      </c>
      <c r="E53" s="24"/>
      <c r="F53" s="9"/>
      <c r="G53" s="9"/>
      <c r="H53" s="9"/>
      <c r="I53" s="9"/>
      <c r="J53" s="9"/>
      <c r="K53" s="9"/>
      <c r="L53" s="9"/>
      <c r="M53" s="9"/>
      <c r="N53" s="9"/>
      <c r="O53" s="9"/>
      <c r="P53" s="9"/>
      <c r="Q53" s="9"/>
      <c r="R53" s="9"/>
      <c r="S53" s="9"/>
      <c r="T53" s="9"/>
      <c r="U53" s="9"/>
      <c r="V53" s="9"/>
      <c r="W53" s="9"/>
      <c r="X53" s="9"/>
      <c r="Y53" s="9"/>
      <c r="Z53" s="9"/>
    </row>
    <row r="54" ht="258.75" customHeight="1">
      <c r="A54" s="25">
        <v>4221.0</v>
      </c>
      <c r="B54" s="15" t="s">
        <v>149</v>
      </c>
      <c r="C54" s="7">
        <v>1.0</v>
      </c>
      <c r="D54" s="8" t="s">
        <v>150</v>
      </c>
      <c r="E54" s="9" t="s">
        <v>151</v>
      </c>
      <c r="F54" s="9"/>
      <c r="G54" s="9"/>
      <c r="H54" s="9"/>
      <c r="I54" s="9"/>
      <c r="J54" s="9"/>
      <c r="K54" s="9"/>
      <c r="L54" s="9"/>
      <c r="M54" s="9"/>
      <c r="N54" s="9"/>
      <c r="O54" s="9"/>
      <c r="P54" s="9"/>
      <c r="Q54" s="9"/>
      <c r="R54" s="9"/>
      <c r="S54" s="9"/>
      <c r="T54" s="9"/>
      <c r="U54" s="9"/>
      <c r="V54" s="9"/>
      <c r="W54" s="9"/>
      <c r="X54" s="9"/>
      <c r="Y54" s="9"/>
      <c r="Z54" s="9"/>
    </row>
    <row r="55" ht="409.5" customHeight="1">
      <c r="A55" s="5">
        <v>4351.0</v>
      </c>
      <c r="B55" s="26" t="s">
        <v>152</v>
      </c>
      <c r="C55" s="7">
        <v>1.0</v>
      </c>
      <c r="D55" s="8" t="s">
        <v>153</v>
      </c>
      <c r="E55" s="24"/>
      <c r="F55" s="9"/>
      <c r="G55" s="9"/>
      <c r="H55" s="9"/>
      <c r="I55" s="9"/>
      <c r="J55" s="9"/>
      <c r="K55" s="9"/>
      <c r="L55" s="9"/>
      <c r="M55" s="9"/>
      <c r="N55" s="9"/>
      <c r="O55" s="9"/>
      <c r="P55" s="9"/>
      <c r="Q55" s="9"/>
      <c r="R55" s="9"/>
      <c r="S55" s="9"/>
      <c r="T55" s="9"/>
      <c r="U55" s="9"/>
      <c r="V55" s="9"/>
      <c r="W55" s="9"/>
      <c r="X55" s="9"/>
      <c r="Y55" s="9"/>
      <c r="Z55" s="9"/>
    </row>
    <row r="56" ht="30.0" customHeight="1">
      <c r="A56" s="27"/>
      <c r="B56" s="9"/>
      <c r="C56" s="27"/>
      <c r="D56" s="8"/>
      <c r="E56" s="9" t="s">
        <v>154</v>
      </c>
      <c r="F56" s="9"/>
      <c r="G56" s="9"/>
      <c r="H56" s="9"/>
      <c r="I56" s="9"/>
      <c r="J56" s="9"/>
      <c r="K56" s="9"/>
      <c r="L56" s="9"/>
      <c r="M56" s="9"/>
      <c r="N56" s="9"/>
      <c r="O56" s="9"/>
      <c r="P56" s="9"/>
      <c r="Q56" s="9"/>
      <c r="R56" s="9"/>
      <c r="S56" s="9"/>
      <c r="T56" s="9"/>
      <c r="U56" s="9"/>
      <c r="V56" s="9"/>
      <c r="W56" s="9"/>
      <c r="X56" s="9"/>
      <c r="Y56" s="9"/>
      <c r="Z56" s="9"/>
    </row>
    <row r="57" ht="30.0" customHeight="1">
      <c r="A57" s="27"/>
      <c r="B57" s="9"/>
      <c r="C57" s="27"/>
      <c r="D57" s="8"/>
      <c r="E57" s="24"/>
      <c r="F57" s="9"/>
      <c r="G57" s="9"/>
      <c r="H57" s="9"/>
      <c r="I57" s="9"/>
      <c r="J57" s="9"/>
      <c r="K57" s="9"/>
      <c r="L57" s="9"/>
      <c r="M57" s="9"/>
      <c r="N57" s="9"/>
      <c r="O57" s="9"/>
      <c r="P57" s="9"/>
      <c r="Q57" s="9"/>
      <c r="R57" s="9"/>
      <c r="S57" s="9"/>
      <c r="T57" s="9"/>
      <c r="U57" s="9"/>
      <c r="V57" s="9"/>
      <c r="W57" s="9"/>
      <c r="X57" s="9"/>
      <c r="Y57" s="9"/>
      <c r="Z57" s="9"/>
    </row>
    <row r="58" ht="30.0" customHeight="1">
      <c r="A58" s="27"/>
      <c r="B58" s="9"/>
      <c r="C58" s="27"/>
      <c r="D58" s="8"/>
      <c r="E58" s="9" t="s">
        <v>155</v>
      </c>
      <c r="F58" s="9"/>
      <c r="G58" s="9"/>
      <c r="H58" s="9"/>
      <c r="I58" s="9"/>
      <c r="J58" s="9"/>
      <c r="K58" s="9"/>
      <c r="L58" s="9"/>
      <c r="M58" s="9"/>
      <c r="N58" s="9"/>
      <c r="O58" s="9"/>
      <c r="P58" s="9"/>
      <c r="Q58" s="9"/>
      <c r="R58" s="9"/>
      <c r="S58" s="9"/>
      <c r="T58" s="9"/>
      <c r="U58" s="9"/>
      <c r="V58" s="9"/>
      <c r="W58" s="9"/>
      <c r="X58" s="9"/>
      <c r="Y58" s="9"/>
      <c r="Z58" s="9"/>
    </row>
    <row r="59" ht="30.0" customHeight="1">
      <c r="A59" s="27"/>
      <c r="B59" s="9"/>
      <c r="C59" s="27"/>
      <c r="D59" s="8"/>
      <c r="E59" s="24"/>
      <c r="F59" s="9"/>
      <c r="G59" s="9"/>
      <c r="H59" s="9"/>
      <c r="I59" s="9"/>
      <c r="J59" s="9"/>
      <c r="K59" s="9"/>
      <c r="L59" s="9"/>
      <c r="M59" s="9"/>
      <c r="N59" s="9"/>
      <c r="O59" s="9"/>
      <c r="P59" s="9"/>
      <c r="Q59" s="9"/>
      <c r="R59" s="9"/>
      <c r="S59" s="9"/>
      <c r="T59" s="9"/>
      <c r="U59" s="9"/>
      <c r="V59" s="9"/>
      <c r="W59" s="9"/>
      <c r="X59" s="9"/>
      <c r="Y59" s="9"/>
      <c r="Z59" s="9"/>
    </row>
    <row r="60" ht="30.0" customHeight="1">
      <c r="A60" s="27"/>
      <c r="B60" s="9"/>
      <c r="C60" s="27"/>
      <c r="D60" s="8"/>
      <c r="E60" s="24"/>
      <c r="F60" s="9"/>
      <c r="G60" s="9"/>
      <c r="H60" s="9"/>
      <c r="I60" s="9"/>
      <c r="J60" s="9"/>
      <c r="K60" s="9"/>
      <c r="L60" s="9"/>
      <c r="M60" s="9"/>
      <c r="N60" s="9"/>
      <c r="O60" s="9"/>
      <c r="P60" s="9"/>
      <c r="Q60" s="9"/>
      <c r="R60" s="9"/>
      <c r="S60" s="9"/>
      <c r="T60" s="9"/>
      <c r="U60" s="9"/>
      <c r="V60" s="9"/>
      <c r="W60" s="9"/>
      <c r="X60" s="9"/>
      <c r="Y60" s="9"/>
      <c r="Z60" s="9"/>
    </row>
    <row r="61" ht="30.0" customHeight="1">
      <c r="A61" s="27"/>
      <c r="B61" s="9"/>
      <c r="C61" s="27"/>
      <c r="D61" s="8"/>
      <c r="E61" s="24"/>
      <c r="F61" s="9"/>
      <c r="G61" s="9"/>
      <c r="H61" s="9"/>
      <c r="I61" s="9"/>
      <c r="J61" s="9"/>
      <c r="K61" s="9"/>
      <c r="L61" s="9"/>
      <c r="M61" s="9"/>
      <c r="N61" s="9"/>
      <c r="O61" s="9"/>
      <c r="P61" s="9"/>
      <c r="Q61" s="9"/>
      <c r="R61" s="9"/>
      <c r="S61" s="9"/>
      <c r="T61" s="9"/>
      <c r="U61" s="9"/>
      <c r="V61" s="9"/>
      <c r="W61" s="9"/>
      <c r="X61" s="9"/>
      <c r="Y61" s="9"/>
      <c r="Z61" s="9"/>
    </row>
    <row r="62" ht="30.0" customHeight="1">
      <c r="A62" s="27"/>
      <c r="B62" s="9"/>
      <c r="C62" s="27"/>
      <c r="D62" s="8"/>
      <c r="E62" s="9" t="s">
        <v>156</v>
      </c>
      <c r="F62" s="9"/>
      <c r="G62" s="9"/>
      <c r="H62" s="9"/>
      <c r="I62" s="9"/>
      <c r="J62" s="9"/>
      <c r="K62" s="9"/>
      <c r="L62" s="9"/>
      <c r="M62" s="9"/>
      <c r="N62" s="9"/>
      <c r="O62" s="9"/>
      <c r="P62" s="9"/>
      <c r="Q62" s="9"/>
      <c r="R62" s="9"/>
      <c r="S62" s="9"/>
      <c r="T62" s="9"/>
      <c r="U62" s="9"/>
      <c r="V62" s="9"/>
      <c r="W62" s="9"/>
      <c r="X62" s="9"/>
      <c r="Y62" s="9"/>
      <c r="Z62" s="9"/>
    </row>
    <row r="63" ht="30.0" customHeight="1">
      <c r="A63" s="27"/>
      <c r="B63" s="9"/>
      <c r="C63" s="27"/>
      <c r="D63" s="8"/>
      <c r="E63" s="24"/>
      <c r="F63" s="9"/>
      <c r="G63" s="9"/>
      <c r="H63" s="9"/>
      <c r="I63" s="9"/>
      <c r="J63" s="9"/>
      <c r="K63" s="9"/>
      <c r="L63" s="9"/>
      <c r="M63" s="9"/>
      <c r="N63" s="9"/>
      <c r="O63" s="9"/>
      <c r="P63" s="9"/>
      <c r="Q63" s="9"/>
      <c r="R63" s="9"/>
      <c r="S63" s="9"/>
      <c r="T63" s="9"/>
      <c r="U63" s="9"/>
      <c r="V63" s="9"/>
      <c r="W63" s="9"/>
      <c r="X63" s="9"/>
      <c r="Y63" s="9"/>
      <c r="Z63" s="9"/>
    </row>
    <row r="64" ht="30.0" customHeight="1">
      <c r="A64" s="27"/>
      <c r="B64" s="9"/>
      <c r="C64" s="27"/>
      <c r="D64" s="8"/>
      <c r="E64" s="9" t="s">
        <v>157</v>
      </c>
      <c r="F64" s="9"/>
      <c r="G64" s="9"/>
      <c r="H64" s="9"/>
      <c r="I64" s="9"/>
      <c r="J64" s="9"/>
      <c r="K64" s="9"/>
      <c r="L64" s="9"/>
      <c r="M64" s="9"/>
      <c r="N64" s="9"/>
      <c r="O64" s="9"/>
      <c r="P64" s="9"/>
      <c r="Q64" s="9"/>
      <c r="R64" s="9"/>
      <c r="S64" s="9"/>
      <c r="T64" s="9"/>
      <c r="U64" s="9"/>
      <c r="V64" s="9"/>
      <c r="W64" s="9"/>
      <c r="X64" s="9"/>
      <c r="Y64" s="9"/>
      <c r="Z64" s="9"/>
    </row>
    <row r="65" ht="30.0" customHeight="1">
      <c r="A65" s="27"/>
      <c r="B65" s="9"/>
      <c r="C65" s="27"/>
      <c r="D65" s="8"/>
      <c r="E65" s="24"/>
      <c r="F65" s="9"/>
      <c r="G65" s="9"/>
      <c r="H65" s="9"/>
      <c r="I65" s="9"/>
      <c r="J65" s="9"/>
      <c r="K65" s="9"/>
      <c r="L65" s="9"/>
      <c r="M65" s="9"/>
      <c r="N65" s="9"/>
      <c r="O65" s="9"/>
      <c r="P65" s="9"/>
      <c r="Q65" s="9"/>
      <c r="R65" s="9"/>
      <c r="S65" s="9"/>
      <c r="T65" s="9"/>
      <c r="U65" s="9"/>
      <c r="V65" s="9"/>
      <c r="W65" s="9"/>
      <c r="X65" s="9"/>
      <c r="Y65" s="9"/>
      <c r="Z65" s="9"/>
    </row>
    <row r="66" ht="30.0" customHeight="1">
      <c r="A66" s="27"/>
      <c r="B66" s="9"/>
      <c r="C66" s="27"/>
      <c r="D66" s="8"/>
      <c r="E66" s="24"/>
      <c r="F66" s="9"/>
      <c r="G66" s="9"/>
      <c r="H66" s="9"/>
      <c r="I66" s="9"/>
      <c r="J66" s="9"/>
      <c r="K66" s="9"/>
      <c r="L66" s="9"/>
      <c r="M66" s="9"/>
      <c r="N66" s="9"/>
      <c r="O66" s="9"/>
      <c r="P66" s="9"/>
      <c r="Q66" s="9"/>
      <c r="R66" s="9"/>
      <c r="S66" s="9"/>
      <c r="T66" s="9"/>
      <c r="U66" s="9"/>
      <c r="V66" s="9"/>
      <c r="W66" s="9"/>
      <c r="X66" s="9"/>
      <c r="Y66" s="9"/>
      <c r="Z66" s="9"/>
    </row>
    <row r="67" ht="30.0" customHeight="1">
      <c r="A67" s="27"/>
      <c r="B67" s="9"/>
      <c r="C67" s="27"/>
      <c r="D67" s="8"/>
      <c r="E67" s="24"/>
      <c r="F67" s="9"/>
      <c r="G67" s="9"/>
      <c r="H67" s="9"/>
      <c r="I67" s="9"/>
      <c r="J67" s="9"/>
      <c r="K67" s="9"/>
      <c r="L67" s="9"/>
      <c r="M67" s="9"/>
      <c r="N67" s="9"/>
      <c r="O67" s="9"/>
      <c r="P67" s="9"/>
      <c r="Q67" s="9"/>
      <c r="R67" s="9"/>
      <c r="S67" s="9"/>
      <c r="T67" s="9"/>
      <c r="U67" s="9"/>
      <c r="V67" s="9"/>
      <c r="W67" s="9"/>
      <c r="X67" s="9"/>
      <c r="Y67" s="9"/>
      <c r="Z67" s="9"/>
    </row>
    <row r="68" ht="30.0" customHeight="1">
      <c r="A68" s="27"/>
      <c r="B68" s="9"/>
      <c r="C68" s="27"/>
      <c r="D68" s="8"/>
      <c r="E68" s="9" t="s">
        <v>158</v>
      </c>
      <c r="F68" s="9"/>
      <c r="G68" s="9"/>
      <c r="H68" s="9"/>
      <c r="I68" s="9"/>
      <c r="J68" s="9"/>
      <c r="K68" s="9"/>
      <c r="L68" s="9"/>
      <c r="M68" s="9"/>
      <c r="N68" s="9"/>
      <c r="O68" s="9"/>
      <c r="P68" s="9"/>
      <c r="Q68" s="9"/>
      <c r="R68" s="9"/>
      <c r="S68" s="9"/>
      <c r="T68" s="9"/>
      <c r="U68" s="9"/>
      <c r="V68" s="9"/>
      <c r="W68" s="9"/>
      <c r="X68" s="9"/>
      <c r="Y68" s="9"/>
      <c r="Z68" s="9"/>
    </row>
    <row r="69" ht="30.0" customHeight="1">
      <c r="A69" s="27"/>
      <c r="B69" s="9"/>
      <c r="C69" s="27"/>
      <c r="D69" s="8"/>
      <c r="E69" s="24"/>
      <c r="F69" s="9"/>
      <c r="G69" s="9"/>
      <c r="H69" s="9"/>
      <c r="I69" s="9"/>
      <c r="J69" s="9"/>
      <c r="K69" s="9"/>
      <c r="L69" s="9"/>
      <c r="M69" s="9"/>
      <c r="N69" s="9"/>
      <c r="O69" s="9"/>
      <c r="P69" s="9"/>
      <c r="Q69" s="9"/>
      <c r="R69" s="9"/>
      <c r="S69" s="9"/>
      <c r="T69" s="9"/>
      <c r="U69" s="9"/>
      <c r="V69" s="9"/>
      <c r="W69" s="9"/>
      <c r="X69" s="9"/>
      <c r="Y69" s="9"/>
      <c r="Z69" s="9"/>
    </row>
    <row r="70" ht="30.0" customHeight="1">
      <c r="A70" s="27"/>
      <c r="B70" s="9"/>
      <c r="C70" s="27"/>
      <c r="D70" s="8"/>
      <c r="E70" s="9" t="s">
        <v>159</v>
      </c>
      <c r="F70" s="9"/>
      <c r="G70" s="9"/>
      <c r="H70" s="9"/>
      <c r="I70" s="9"/>
      <c r="J70" s="9"/>
      <c r="K70" s="9"/>
      <c r="L70" s="9"/>
      <c r="M70" s="9"/>
      <c r="N70" s="9"/>
      <c r="O70" s="9"/>
      <c r="P70" s="9"/>
      <c r="Q70" s="9"/>
      <c r="R70" s="9"/>
      <c r="S70" s="9"/>
      <c r="T70" s="9"/>
      <c r="U70" s="9"/>
      <c r="V70" s="9"/>
      <c r="W70" s="9"/>
      <c r="X70" s="9"/>
      <c r="Y70" s="9"/>
      <c r="Z70" s="9"/>
    </row>
    <row r="71" ht="30.0" customHeight="1">
      <c r="A71" s="27"/>
      <c r="B71" s="9"/>
      <c r="C71" s="27"/>
      <c r="D71" s="8"/>
      <c r="E71" s="24"/>
      <c r="F71" s="9"/>
      <c r="G71" s="9"/>
      <c r="H71" s="9"/>
      <c r="I71" s="9"/>
      <c r="J71" s="9"/>
      <c r="K71" s="9"/>
      <c r="L71" s="9"/>
      <c r="M71" s="9"/>
      <c r="N71" s="9"/>
      <c r="O71" s="9"/>
      <c r="P71" s="9"/>
      <c r="Q71" s="9"/>
      <c r="R71" s="9"/>
      <c r="S71" s="9"/>
      <c r="T71" s="9"/>
      <c r="U71" s="9"/>
      <c r="V71" s="9"/>
      <c r="W71" s="9"/>
      <c r="X71" s="9"/>
      <c r="Y71" s="9"/>
      <c r="Z71" s="9"/>
    </row>
    <row r="72" ht="30.0" customHeight="1">
      <c r="A72" s="27"/>
      <c r="B72" s="9"/>
      <c r="C72" s="27"/>
      <c r="D72" s="8"/>
      <c r="E72" s="9" t="s">
        <v>157</v>
      </c>
      <c r="F72" s="9"/>
      <c r="G72" s="9"/>
      <c r="H72" s="9"/>
      <c r="I72" s="9"/>
      <c r="J72" s="9"/>
      <c r="K72" s="9"/>
      <c r="L72" s="9"/>
      <c r="M72" s="9"/>
      <c r="N72" s="9"/>
      <c r="O72" s="9"/>
      <c r="P72" s="9"/>
      <c r="Q72" s="9"/>
      <c r="R72" s="9"/>
      <c r="S72" s="9"/>
      <c r="T72" s="9"/>
      <c r="U72" s="9"/>
      <c r="V72" s="9"/>
      <c r="W72" s="9"/>
      <c r="X72" s="9"/>
      <c r="Y72" s="9"/>
      <c r="Z72" s="9"/>
    </row>
    <row r="73" ht="30.0" customHeight="1">
      <c r="A73" s="27"/>
      <c r="B73" s="9"/>
      <c r="C73" s="27"/>
      <c r="D73" s="8"/>
      <c r="E73" s="24"/>
      <c r="F73" s="9"/>
      <c r="G73" s="9"/>
      <c r="H73" s="9"/>
      <c r="I73" s="9"/>
      <c r="J73" s="9"/>
      <c r="K73" s="9"/>
      <c r="L73" s="9"/>
      <c r="M73" s="9"/>
      <c r="N73" s="9"/>
      <c r="O73" s="9"/>
      <c r="P73" s="9"/>
      <c r="Q73" s="9"/>
      <c r="R73" s="9"/>
      <c r="S73" s="9"/>
      <c r="T73" s="9"/>
      <c r="U73" s="9"/>
      <c r="V73" s="9"/>
      <c r="W73" s="9"/>
      <c r="X73" s="9"/>
      <c r="Y73" s="9"/>
      <c r="Z73" s="9"/>
    </row>
    <row r="74" ht="30.0" customHeight="1">
      <c r="A74" s="27"/>
      <c r="B74" s="9"/>
      <c r="C74" s="27"/>
      <c r="D74" s="8"/>
      <c r="E74" s="24"/>
      <c r="F74" s="9"/>
      <c r="G74" s="9"/>
      <c r="H74" s="9"/>
      <c r="I74" s="9"/>
      <c r="J74" s="9"/>
      <c r="K74" s="9"/>
      <c r="L74" s="9"/>
      <c r="M74" s="9"/>
      <c r="N74" s="9"/>
      <c r="O74" s="9"/>
      <c r="P74" s="9"/>
      <c r="Q74" s="9"/>
      <c r="R74" s="9"/>
      <c r="S74" s="9"/>
      <c r="T74" s="9"/>
      <c r="U74" s="9"/>
      <c r="V74" s="9"/>
      <c r="W74" s="9"/>
      <c r="X74" s="9"/>
      <c r="Y74" s="9"/>
      <c r="Z74" s="9"/>
    </row>
    <row r="75" ht="30.0" customHeight="1">
      <c r="A75" s="27"/>
      <c r="B75" s="9"/>
      <c r="C75" s="27"/>
      <c r="D75" s="8"/>
      <c r="E75" s="24"/>
      <c r="F75" s="9"/>
      <c r="G75" s="9"/>
      <c r="H75" s="9"/>
      <c r="I75" s="9"/>
      <c r="J75" s="9"/>
      <c r="K75" s="9"/>
      <c r="L75" s="9"/>
      <c r="M75" s="9"/>
      <c r="N75" s="9"/>
      <c r="O75" s="9"/>
      <c r="P75" s="9"/>
      <c r="Q75" s="9"/>
      <c r="R75" s="9"/>
      <c r="S75" s="9"/>
      <c r="T75" s="9"/>
      <c r="U75" s="9"/>
      <c r="V75" s="9"/>
      <c r="W75" s="9"/>
      <c r="X75" s="9"/>
      <c r="Y75" s="9"/>
      <c r="Z75" s="9"/>
    </row>
    <row r="76" ht="30.0" customHeight="1">
      <c r="A76" s="27"/>
      <c r="B76" s="9"/>
      <c r="C76" s="27"/>
      <c r="D76" s="8"/>
      <c r="E76" s="9" t="s">
        <v>160</v>
      </c>
      <c r="F76" s="9"/>
      <c r="G76" s="9"/>
      <c r="H76" s="9"/>
      <c r="I76" s="9"/>
      <c r="J76" s="9"/>
      <c r="K76" s="9"/>
      <c r="L76" s="9"/>
      <c r="M76" s="9"/>
      <c r="N76" s="9"/>
      <c r="O76" s="9"/>
      <c r="P76" s="9"/>
      <c r="Q76" s="9"/>
      <c r="R76" s="9"/>
      <c r="S76" s="9"/>
      <c r="T76" s="9"/>
      <c r="U76" s="9"/>
      <c r="V76" s="9"/>
      <c r="W76" s="9"/>
      <c r="X76" s="9"/>
      <c r="Y76" s="9"/>
      <c r="Z76" s="9"/>
    </row>
    <row r="77" ht="30.0" customHeight="1">
      <c r="A77" s="27"/>
      <c r="B77" s="9"/>
      <c r="C77" s="27"/>
      <c r="D77" s="8"/>
      <c r="E77" s="24"/>
      <c r="F77" s="9"/>
      <c r="G77" s="9"/>
      <c r="H77" s="9"/>
      <c r="I77" s="9"/>
      <c r="J77" s="9"/>
      <c r="K77" s="9"/>
      <c r="L77" s="9"/>
      <c r="M77" s="9"/>
      <c r="N77" s="9"/>
      <c r="O77" s="9"/>
      <c r="P77" s="9"/>
      <c r="Q77" s="9"/>
      <c r="R77" s="9"/>
      <c r="S77" s="9"/>
      <c r="T77" s="9"/>
      <c r="U77" s="9"/>
      <c r="V77" s="9"/>
      <c r="W77" s="9"/>
      <c r="X77" s="9"/>
      <c r="Y77" s="9"/>
      <c r="Z77" s="9"/>
    </row>
    <row r="78" ht="30.0" customHeight="1">
      <c r="A78" s="27"/>
      <c r="B78" s="9"/>
      <c r="C78" s="27"/>
      <c r="D78" s="8"/>
      <c r="E78" s="9" t="s">
        <v>161</v>
      </c>
      <c r="F78" s="9"/>
      <c r="G78" s="9"/>
      <c r="H78" s="9"/>
      <c r="I78" s="9"/>
      <c r="J78" s="9"/>
      <c r="K78" s="9"/>
      <c r="L78" s="9"/>
      <c r="M78" s="9"/>
      <c r="N78" s="9"/>
      <c r="O78" s="9"/>
      <c r="P78" s="9"/>
      <c r="Q78" s="9"/>
      <c r="R78" s="9"/>
      <c r="S78" s="9"/>
      <c r="T78" s="9"/>
      <c r="U78" s="9"/>
      <c r="V78" s="9"/>
      <c r="W78" s="9"/>
      <c r="X78" s="9"/>
      <c r="Y78" s="9"/>
      <c r="Z78" s="9"/>
    </row>
    <row r="79" ht="30.0" customHeight="1">
      <c r="A79" s="27"/>
      <c r="B79" s="9"/>
      <c r="C79" s="27"/>
      <c r="D79" s="8"/>
      <c r="E79" s="24"/>
      <c r="F79" s="9"/>
      <c r="G79" s="9"/>
      <c r="H79" s="9"/>
      <c r="I79" s="9"/>
      <c r="J79" s="9"/>
      <c r="K79" s="9"/>
      <c r="L79" s="9"/>
      <c r="M79" s="9"/>
      <c r="N79" s="9"/>
      <c r="O79" s="9"/>
      <c r="P79" s="9"/>
      <c r="Q79" s="9"/>
      <c r="R79" s="9"/>
      <c r="S79" s="9"/>
      <c r="T79" s="9"/>
      <c r="U79" s="9"/>
      <c r="V79" s="9"/>
      <c r="W79" s="9"/>
      <c r="X79" s="9"/>
      <c r="Y79" s="9"/>
      <c r="Z79" s="9"/>
    </row>
    <row r="80" ht="30.0" customHeight="1">
      <c r="A80" s="27"/>
      <c r="B80" s="9"/>
      <c r="C80" s="27"/>
      <c r="D80" s="8"/>
      <c r="E80" s="9" t="s">
        <v>162</v>
      </c>
      <c r="F80" s="9"/>
      <c r="G80" s="9"/>
      <c r="H80" s="9"/>
      <c r="I80" s="9"/>
      <c r="J80" s="9"/>
      <c r="K80" s="9"/>
      <c r="L80" s="9"/>
      <c r="M80" s="9"/>
      <c r="N80" s="9"/>
      <c r="O80" s="9"/>
      <c r="P80" s="9"/>
      <c r="Q80" s="9"/>
      <c r="R80" s="9"/>
      <c r="S80" s="9"/>
      <c r="T80" s="9"/>
      <c r="U80" s="9"/>
      <c r="V80" s="9"/>
      <c r="W80" s="9"/>
      <c r="X80" s="9"/>
      <c r="Y80" s="9"/>
      <c r="Z80" s="9"/>
    </row>
    <row r="81" ht="30.0" customHeight="1">
      <c r="A81" s="27"/>
      <c r="B81" s="9"/>
      <c r="C81" s="27"/>
      <c r="D81" s="8"/>
      <c r="E81" s="24"/>
      <c r="F81" s="9"/>
      <c r="G81" s="9"/>
      <c r="H81" s="9"/>
      <c r="I81" s="9"/>
      <c r="J81" s="9"/>
      <c r="K81" s="9"/>
      <c r="L81" s="9"/>
      <c r="M81" s="9"/>
      <c r="N81" s="9"/>
      <c r="O81" s="9"/>
      <c r="P81" s="9"/>
      <c r="Q81" s="9"/>
      <c r="R81" s="9"/>
      <c r="S81" s="9"/>
      <c r="T81" s="9"/>
      <c r="U81" s="9"/>
      <c r="V81" s="9"/>
      <c r="W81" s="9"/>
      <c r="X81" s="9"/>
      <c r="Y81" s="9"/>
      <c r="Z81" s="9"/>
    </row>
    <row r="82" ht="30.0" customHeight="1">
      <c r="A82" s="27"/>
      <c r="B82" s="9"/>
      <c r="C82" s="27"/>
      <c r="D82" s="8"/>
      <c r="E82" s="24"/>
      <c r="F82" s="9"/>
      <c r="G82" s="9"/>
      <c r="H82" s="9"/>
      <c r="I82" s="9"/>
      <c r="J82" s="9"/>
      <c r="K82" s="9"/>
      <c r="L82" s="9"/>
      <c r="M82" s="9"/>
      <c r="N82" s="9"/>
      <c r="O82" s="9"/>
      <c r="P82" s="9"/>
      <c r="Q82" s="9"/>
      <c r="R82" s="9"/>
      <c r="S82" s="9"/>
      <c r="T82" s="9"/>
      <c r="U82" s="9"/>
      <c r="V82" s="9"/>
      <c r="W82" s="9"/>
      <c r="X82" s="9"/>
      <c r="Y82" s="9"/>
      <c r="Z82" s="9"/>
    </row>
    <row r="83" ht="30.0" customHeight="1">
      <c r="A83" s="27"/>
      <c r="B83" s="9"/>
      <c r="C83" s="27"/>
      <c r="D83" s="8"/>
      <c r="E83" s="24"/>
      <c r="F83" s="9"/>
      <c r="G83" s="9"/>
      <c r="H83" s="9"/>
      <c r="I83" s="9"/>
      <c r="J83" s="9"/>
      <c r="K83" s="9"/>
      <c r="L83" s="9"/>
      <c r="M83" s="9"/>
      <c r="N83" s="9"/>
      <c r="O83" s="9"/>
      <c r="P83" s="9"/>
      <c r="Q83" s="9"/>
      <c r="R83" s="9"/>
      <c r="S83" s="9"/>
      <c r="T83" s="9"/>
      <c r="U83" s="9"/>
      <c r="V83" s="9"/>
      <c r="W83" s="9"/>
      <c r="X83" s="9"/>
      <c r="Y83" s="9"/>
      <c r="Z83" s="9"/>
    </row>
    <row r="84" ht="30.0" customHeight="1">
      <c r="A84" s="27"/>
      <c r="B84" s="9"/>
      <c r="C84" s="27"/>
      <c r="D84" s="8"/>
      <c r="E84" s="9" t="s">
        <v>163</v>
      </c>
      <c r="F84" s="9"/>
      <c r="G84" s="9"/>
      <c r="H84" s="9"/>
      <c r="I84" s="9"/>
      <c r="J84" s="9"/>
      <c r="K84" s="9"/>
      <c r="L84" s="9"/>
      <c r="M84" s="9"/>
      <c r="N84" s="9"/>
      <c r="O84" s="9"/>
      <c r="P84" s="9"/>
      <c r="Q84" s="9"/>
      <c r="R84" s="9"/>
      <c r="S84" s="9"/>
      <c r="T84" s="9"/>
      <c r="U84" s="9"/>
      <c r="V84" s="9"/>
      <c r="W84" s="9"/>
      <c r="X84" s="9"/>
      <c r="Y84" s="9"/>
      <c r="Z84" s="9"/>
    </row>
    <row r="85" ht="30.0" customHeight="1">
      <c r="A85" s="27"/>
      <c r="B85" s="9"/>
      <c r="C85" s="27"/>
      <c r="D85" s="8"/>
      <c r="E85" s="24"/>
      <c r="F85" s="9"/>
      <c r="G85" s="9"/>
      <c r="H85" s="9"/>
      <c r="I85" s="9"/>
      <c r="J85" s="9"/>
      <c r="K85" s="9"/>
      <c r="L85" s="9"/>
      <c r="M85" s="9"/>
      <c r="N85" s="9"/>
      <c r="O85" s="9"/>
      <c r="P85" s="9"/>
      <c r="Q85" s="9"/>
      <c r="R85" s="9"/>
      <c r="S85" s="9"/>
      <c r="T85" s="9"/>
      <c r="U85" s="9"/>
      <c r="V85" s="9"/>
      <c r="W85" s="9"/>
      <c r="X85" s="9"/>
      <c r="Y85" s="9"/>
      <c r="Z85" s="9"/>
    </row>
    <row r="86" ht="30.0" customHeight="1">
      <c r="A86" s="27"/>
      <c r="B86" s="9"/>
      <c r="C86" s="27"/>
      <c r="D86" s="8"/>
      <c r="E86" s="9" t="s">
        <v>164</v>
      </c>
      <c r="F86" s="9"/>
      <c r="G86" s="9"/>
      <c r="H86" s="9"/>
      <c r="I86" s="9"/>
      <c r="J86" s="9"/>
      <c r="K86" s="9"/>
      <c r="L86" s="9"/>
      <c r="M86" s="9"/>
      <c r="N86" s="9"/>
      <c r="O86" s="9"/>
      <c r="P86" s="9"/>
      <c r="Q86" s="9"/>
      <c r="R86" s="9"/>
      <c r="S86" s="9"/>
      <c r="T86" s="9"/>
      <c r="U86" s="9"/>
      <c r="V86" s="9"/>
      <c r="W86" s="9"/>
      <c r="X86" s="9"/>
      <c r="Y86" s="9"/>
      <c r="Z86" s="9"/>
    </row>
    <row r="87" ht="30.0" customHeight="1">
      <c r="A87" s="27"/>
      <c r="B87" s="9"/>
      <c r="C87" s="27"/>
      <c r="D87" s="8"/>
      <c r="E87" s="24"/>
      <c r="F87" s="9"/>
      <c r="G87" s="9"/>
      <c r="H87" s="9"/>
      <c r="I87" s="9"/>
      <c r="J87" s="9"/>
      <c r="K87" s="9"/>
      <c r="L87" s="9"/>
      <c r="M87" s="9"/>
      <c r="N87" s="9"/>
      <c r="O87" s="9"/>
      <c r="P87" s="9"/>
      <c r="Q87" s="9"/>
      <c r="R87" s="9"/>
      <c r="S87" s="9"/>
      <c r="T87" s="9"/>
      <c r="U87" s="9"/>
      <c r="V87" s="9"/>
      <c r="W87" s="9"/>
      <c r="X87" s="9"/>
      <c r="Y87" s="9"/>
      <c r="Z87" s="9"/>
    </row>
    <row r="88" ht="30.0" customHeight="1">
      <c r="A88" s="27"/>
      <c r="B88" s="9"/>
      <c r="C88" s="27"/>
      <c r="D88" s="8"/>
      <c r="E88" s="9" t="s">
        <v>165</v>
      </c>
      <c r="F88" s="9"/>
      <c r="G88" s="9"/>
      <c r="H88" s="9"/>
      <c r="I88" s="9"/>
      <c r="J88" s="9"/>
      <c r="K88" s="9"/>
      <c r="L88" s="9"/>
      <c r="M88" s="9"/>
      <c r="N88" s="9"/>
      <c r="O88" s="9"/>
      <c r="P88" s="9"/>
      <c r="Q88" s="9"/>
      <c r="R88" s="9"/>
      <c r="S88" s="9"/>
      <c r="T88" s="9"/>
      <c r="U88" s="9"/>
      <c r="V88" s="9"/>
      <c r="W88" s="9"/>
      <c r="X88" s="9"/>
      <c r="Y88" s="9"/>
      <c r="Z88" s="9"/>
    </row>
    <row r="89" ht="30.0" customHeight="1">
      <c r="A89" s="27"/>
      <c r="B89" s="9"/>
      <c r="C89" s="27"/>
      <c r="D89" s="8"/>
      <c r="E89" s="24"/>
      <c r="F89" s="9"/>
      <c r="G89" s="9"/>
      <c r="H89" s="9"/>
      <c r="I89" s="9"/>
      <c r="J89" s="9"/>
      <c r="K89" s="9"/>
      <c r="L89" s="9"/>
      <c r="M89" s="9"/>
      <c r="N89" s="9"/>
      <c r="O89" s="9"/>
      <c r="P89" s="9"/>
      <c r="Q89" s="9"/>
      <c r="R89" s="9"/>
      <c r="S89" s="9"/>
      <c r="T89" s="9"/>
      <c r="U89" s="9"/>
      <c r="V89" s="9"/>
      <c r="W89" s="9"/>
      <c r="X89" s="9"/>
      <c r="Y89" s="9"/>
      <c r="Z89" s="9"/>
    </row>
    <row r="90" ht="30.0" customHeight="1">
      <c r="A90" s="27"/>
      <c r="B90" s="9"/>
      <c r="C90" s="27"/>
      <c r="D90" s="8"/>
      <c r="E90" s="9" t="s">
        <v>166</v>
      </c>
      <c r="F90" s="9"/>
      <c r="G90" s="9"/>
      <c r="H90" s="9"/>
      <c r="I90" s="9"/>
      <c r="J90" s="9"/>
      <c r="K90" s="9"/>
      <c r="L90" s="9"/>
      <c r="M90" s="9"/>
      <c r="N90" s="9"/>
      <c r="O90" s="9"/>
      <c r="P90" s="9"/>
      <c r="Q90" s="9"/>
      <c r="R90" s="9"/>
      <c r="S90" s="9"/>
      <c r="T90" s="9"/>
      <c r="U90" s="9"/>
      <c r="V90" s="9"/>
      <c r="W90" s="9"/>
      <c r="X90" s="9"/>
      <c r="Y90" s="9"/>
      <c r="Z90" s="9"/>
    </row>
    <row r="91" ht="30.0" customHeight="1">
      <c r="A91" s="27"/>
      <c r="B91" s="9"/>
      <c r="C91" s="27"/>
      <c r="D91" s="8"/>
      <c r="E91" s="24"/>
      <c r="F91" s="9"/>
      <c r="G91" s="9"/>
      <c r="H91" s="9"/>
      <c r="I91" s="9"/>
      <c r="J91" s="9"/>
      <c r="K91" s="9"/>
      <c r="L91" s="9"/>
      <c r="M91" s="9"/>
      <c r="N91" s="9"/>
      <c r="O91" s="9"/>
      <c r="P91" s="9"/>
      <c r="Q91" s="9"/>
      <c r="R91" s="9"/>
      <c r="S91" s="9"/>
      <c r="T91" s="9"/>
      <c r="U91" s="9"/>
      <c r="V91" s="9"/>
      <c r="W91" s="9"/>
      <c r="X91" s="9"/>
      <c r="Y91" s="9"/>
      <c r="Z91" s="9"/>
    </row>
    <row r="92" ht="30.0" customHeight="1">
      <c r="A92" s="27"/>
      <c r="B92" s="9"/>
      <c r="C92" s="27"/>
      <c r="D92" s="8"/>
      <c r="E92" s="9" t="s">
        <v>167</v>
      </c>
      <c r="F92" s="9"/>
      <c r="G92" s="9"/>
      <c r="H92" s="9"/>
      <c r="I92" s="9"/>
      <c r="J92" s="9"/>
      <c r="K92" s="9"/>
      <c r="L92" s="9"/>
      <c r="M92" s="9"/>
      <c r="N92" s="9"/>
      <c r="O92" s="9"/>
      <c r="P92" s="9"/>
      <c r="Q92" s="9"/>
      <c r="R92" s="9"/>
      <c r="S92" s="9"/>
      <c r="T92" s="9"/>
      <c r="U92" s="9"/>
      <c r="V92" s="9"/>
      <c r="W92" s="9"/>
      <c r="X92" s="9"/>
      <c r="Y92" s="9"/>
      <c r="Z92" s="9"/>
    </row>
    <row r="93" ht="30.0" customHeight="1">
      <c r="A93" s="27"/>
      <c r="B93" s="9"/>
      <c r="C93" s="27"/>
      <c r="D93" s="8"/>
      <c r="E93" s="24"/>
      <c r="F93" s="9"/>
      <c r="G93" s="9"/>
      <c r="H93" s="9"/>
      <c r="I93" s="9"/>
      <c r="J93" s="9"/>
      <c r="K93" s="9"/>
      <c r="L93" s="9"/>
      <c r="M93" s="9"/>
      <c r="N93" s="9"/>
      <c r="O93" s="9"/>
      <c r="P93" s="9"/>
      <c r="Q93" s="9"/>
      <c r="R93" s="9"/>
      <c r="S93" s="9"/>
      <c r="T93" s="9"/>
      <c r="U93" s="9"/>
      <c r="V93" s="9"/>
      <c r="W93" s="9"/>
      <c r="X93" s="9"/>
      <c r="Y93" s="9"/>
      <c r="Z93" s="9"/>
    </row>
    <row r="94" ht="30.0" customHeight="1">
      <c r="A94" s="27"/>
      <c r="B94" s="9"/>
      <c r="C94" s="27"/>
      <c r="D94" s="8"/>
      <c r="E94" s="9" t="s">
        <v>168</v>
      </c>
      <c r="F94" s="9"/>
      <c r="G94" s="9"/>
      <c r="H94" s="9"/>
      <c r="I94" s="9"/>
      <c r="J94" s="9"/>
      <c r="K94" s="9"/>
      <c r="L94" s="9"/>
      <c r="M94" s="9"/>
      <c r="N94" s="9"/>
      <c r="O94" s="9"/>
      <c r="P94" s="9"/>
      <c r="Q94" s="9"/>
      <c r="R94" s="9"/>
      <c r="S94" s="9"/>
      <c r="T94" s="9"/>
      <c r="U94" s="9"/>
      <c r="V94" s="9"/>
      <c r="W94" s="9"/>
      <c r="X94" s="9"/>
      <c r="Y94" s="9"/>
      <c r="Z94" s="9"/>
    </row>
    <row r="95" ht="30.0" customHeight="1">
      <c r="A95" s="27"/>
      <c r="B95" s="9"/>
      <c r="C95" s="27"/>
      <c r="D95" s="8"/>
      <c r="E95" s="24"/>
      <c r="F95" s="9"/>
      <c r="G95" s="9"/>
      <c r="H95" s="9"/>
      <c r="I95" s="9"/>
      <c r="J95" s="9"/>
      <c r="K95" s="9"/>
      <c r="L95" s="9"/>
      <c r="M95" s="9"/>
      <c r="N95" s="9"/>
      <c r="O95" s="9"/>
      <c r="P95" s="9"/>
      <c r="Q95" s="9"/>
      <c r="R95" s="9"/>
      <c r="S95" s="9"/>
      <c r="T95" s="9"/>
      <c r="U95" s="9"/>
      <c r="V95" s="9"/>
      <c r="W95" s="9"/>
      <c r="X95" s="9"/>
      <c r="Y95" s="9"/>
      <c r="Z95" s="9"/>
    </row>
    <row r="96" ht="30.0" customHeight="1">
      <c r="A96" s="27"/>
      <c r="B96" s="9"/>
      <c r="C96" s="27"/>
      <c r="D96" s="8"/>
      <c r="E96" s="9" t="s">
        <v>169</v>
      </c>
      <c r="F96" s="9"/>
      <c r="G96" s="9"/>
      <c r="H96" s="9"/>
      <c r="I96" s="9"/>
      <c r="J96" s="9"/>
      <c r="K96" s="9"/>
      <c r="L96" s="9"/>
      <c r="M96" s="9"/>
      <c r="N96" s="9"/>
      <c r="O96" s="9"/>
      <c r="P96" s="9"/>
      <c r="Q96" s="9"/>
      <c r="R96" s="9"/>
      <c r="S96" s="9"/>
      <c r="T96" s="9"/>
      <c r="U96" s="9"/>
      <c r="V96" s="9"/>
      <c r="W96" s="9"/>
      <c r="X96" s="9"/>
      <c r="Y96" s="9"/>
      <c r="Z96" s="9"/>
    </row>
    <row r="97" ht="30.0" customHeight="1">
      <c r="A97" s="27"/>
      <c r="B97" s="9"/>
      <c r="C97" s="27"/>
      <c r="D97" s="8"/>
      <c r="E97" s="24"/>
      <c r="F97" s="9"/>
      <c r="G97" s="9"/>
      <c r="H97" s="9"/>
      <c r="I97" s="9"/>
      <c r="J97" s="9"/>
      <c r="K97" s="9"/>
      <c r="L97" s="9"/>
      <c r="M97" s="9"/>
      <c r="N97" s="9"/>
      <c r="O97" s="9"/>
      <c r="P97" s="9"/>
      <c r="Q97" s="9"/>
      <c r="R97" s="9"/>
      <c r="S97" s="9"/>
      <c r="T97" s="9"/>
      <c r="U97" s="9"/>
      <c r="V97" s="9"/>
      <c r="W97" s="9"/>
      <c r="X97" s="9"/>
      <c r="Y97" s="9"/>
      <c r="Z97" s="9"/>
    </row>
    <row r="98" ht="30.0" customHeight="1">
      <c r="A98" s="27"/>
      <c r="B98" s="9"/>
      <c r="C98" s="27"/>
      <c r="D98" s="8"/>
      <c r="E98" s="9" t="s">
        <v>170</v>
      </c>
      <c r="F98" s="9"/>
      <c r="G98" s="9"/>
      <c r="H98" s="9"/>
      <c r="I98" s="9"/>
      <c r="J98" s="9"/>
      <c r="K98" s="9"/>
      <c r="L98" s="9"/>
      <c r="M98" s="9"/>
      <c r="N98" s="9"/>
      <c r="O98" s="9"/>
      <c r="P98" s="9"/>
      <c r="Q98" s="9"/>
      <c r="R98" s="9"/>
      <c r="S98" s="9"/>
      <c r="T98" s="9"/>
      <c r="U98" s="9"/>
      <c r="V98" s="9"/>
      <c r="W98" s="9"/>
      <c r="X98" s="9"/>
      <c r="Y98" s="9"/>
      <c r="Z98" s="9"/>
    </row>
    <row r="99" ht="30.0" customHeight="1">
      <c r="A99" s="27"/>
      <c r="B99" s="9"/>
      <c r="C99" s="27"/>
      <c r="D99" s="8"/>
      <c r="E99" s="24"/>
      <c r="F99" s="9"/>
      <c r="G99" s="9"/>
      <c r="H99" s="9"/>
      <c r="I99" s="9"/>
      <c r="J99" s="9"/>
      <c r="K99" s="9"/>
      <c r="L99" s="9"/>
      <c r="M99" s="9"/>
      <c r="N99" s="9"/>
      <c r="O99" s="9"/>
      <c r="P99" s="9"/>
      <c r="Q99" s="9"/>
      <c r="R99" s="9"/>
      <c r="S99" s="9"/>
      <c r="T99" s="9"/>
      <c r="U99" s="9"/>
      <c r="V99" s="9"/>
      <c r="W99" s="9"/>
      <c r="X99" s="9"/>
      <c r="Y99" s="9"/>
      <c r="Z99" s="9"/>
    </row>
    <row r="100" ht="30.0" customHeight="1">
      <c r="A100" s="27"/>
      <c r="B100" s="9"/>
      <c r="C100" s="27"/>
      <c r="D100" s="8"/>
      <c r="E100" s="9" t="s">
        <v>171</v>
      </c>
      <c r="F100" s="9"/>
      <c r="G100" s="9"/>
      <c r="H100" s="9"/>
      <c r="I100" s="9"/>
      <c r="J100" s="9"/>
      <c r="K100" s="9"/>
      <c r="L100" s="9"/>
      <c r="M100" s="9"/>
      <c r="N100" s="9"/>
      <c r="O100" s="9"/>
      <c r="P100" s="9"/>
      <c r="Q100" s="9"/>
      <c r="R100" s="9"/>
      <c r="S100" s="9"/>
      <c r="T100" s="9"/>
      <c r="U100" s="9"/>
      <c r="V100" s="9"/>
      <c r="W100" s="9"/>
      <c r="X100" s="9"/>
      <c r="Y100" s="9"/>
      <c r="Z100" s="9"/>
    </row>
    <row r="101" ht="30.0" customHeight="1">
      <c r="A101" s="27"/>
      <c r="B101" s="9"/>
      <c r="C101" s="27"/>
      <c r="D101" s="8"/>
      <c r="E101" s="24"/>
      <c r="F101" s="9"/>
      <c r="G101" s="9"/>
      <c r="H101" s="9"/>
      <c r="I101" s="9"/>
      <c r="J101" s="9"/>
      <c r="K101" s="9"/>
      <c r="L101" s="9"/>
      <c r="M101" s="9"/>
      <c r="N101" s="9"/>
      <c r="O101" s="9"/>
      <c r="P101" s="9"/>
      <c r="Q101" s="9"/>
      <c r="R101" s="9"/>
      <c r="S101" s="9"/>
      <c r="T101" s="9"/>
      <c r="U101" s="9"/>
      <c r="V101" s="9"/>
      <c r="W101" s="9"/>
      <c r="X101" s="9"/>
      <c r="Y101" s="9"/>
      <c r="Z101" s="9"/>
    </row>
    <row r="102" ht="30.0" customHeight="1">
      <c r="A102" s="27"/>
      <c r="B102" s="9"/>
      <c r="C102" s="27"/>
      <c r="D102" s="8"/>
      <c r="E102" s="24"/>
      <c r="F102" s="9"/>
      <c r="G102" s="9"/>
      <c r="H102" s="9"/>
      <c r="I102" s="9"/>
      <c r="J102" s="9"/>
      <c r="K102" s="9"/>
      <c r="L102" s="9"/>
      <c r="M102" s="9"/>
      <c r="N102" s="9"/>
      <c r="O102" s="9"/>
      <c r="P102" s="9"/>
      <c r="Q102" s="9"/>
      <c r="R102" s="9"/>
      <c r="S102" s="9"/>
      <c r="T102" s="9"/>
      <c r="U102" s="9"/>
      <c r="V102" s="9"/>
      <c r="W102" s="9"/>
      <c r="X102" s="9"/>
      <c r="Y102" s="9"/>
      <c r="Z102" s="9"/>
    </row>
    <row r="103" ht="30.0" customHeight="1">
      <c r="A103" s="27"/>
      <c r="B103" s="9"/>
      <c r="C103" s="27"/>
      <c r="D103" s="8"/>
      <c r="E103" s="24"/>
      <c r="F103" s="9"/>
      <c r="G103" s="9"/>
      <c r="H103" s="9"/>
      <c r="I103" s="9"/>
      <c r="J103" s="9"/>
      <c r="K103" s="9"/>
      <c r="L103" s="9"/>
      <c r="M103" s="9"/>
      <c r="N103" s="9"/>
      <c r="O103" s="9"/>
      <c r="P103" s="9"/>
      <c r="Q103" s="9"/>
      <c r="R103" s="9"/>
      <c r="S103" s="9"/>
      <c r="T103" s="9"/>
      <c r="U103" s="9"/>
      <c r="V103" s="9"/>
      <c r="W103" s="9"/>
      <c r="X103" s="9"/>
      <c r="Y103" s="9"/>
      <c r="Z103" s="9"/>
    </row>
    <row r="104" ht="30.0" customHeight="1">
      <c r="A104" s="27"/>
      <c r="B104" s="9"/>
      <c r="C104" s="27"/>
      <c r="D104" s="8"/>
      <c r="E104" s="9" t="s">
        <v>172</v>
      </c>
      <c r="F104" s="9"/>
      <c r="G104" s="9"/>
      <c r="H104" s="9"/>
      <c r="I104" s="9"/>
      <c r="J104" s="9"/>
      <c r="K104" s="9"/>
      <c r="L104" s="9"/>
      <c r="M104" s="9"/>
      <c r="N104" s="9"/>
      <c r="O104" s="9"/>
      <c r="P104" s="9"/>
      <c r="Q104" s="9"/>
      <c r="R104" s="9"/>
      <c r="S104" s="9"/>
      <c r="T104" s="9"/>
      <c r="U104" s="9"/>
      <c r="V104" s="9"/>
      <c r="W104" s="9"/>
      <c r="X104" s="9"/>
      <c r="Y104" s="9"/>
      <c r="Z104" s="9"/>
    </row>
    <row r="105" ht="30.0" customHeight="1">
      <c r="A105" s="27"/>
      <c r="B105" s="9"/>
      <c r="C105" s="27"/>
      <c r="D105" s="8"/>
      <c r="E105" s="24"/>
      <c r="F105" s="9"/>
      <c r="G105" s="9"/>
      <c r="H105" s="9"/>
      <c r="I105" s="9"/>
      <c r="J105" s="9"/>
      <c r="K105" s="9"/>
      <c r="L105" s="9"/>
      <c r="M105" s="9"/>
      <c r="N105" s="9"/>
      <c r="O105" s="9"/>
      <c r="P105" s="9"/>
      <c r="Q105" s="9"/>
      <c r="R105" s="9"/>
      <c r="S105" s="9"/>
      <c r="T105" s="9"/>
      <c r="U105" s="9"/>
      <c r="V105" s="9"/>
      <c r="W105" s="9"/>
      <c r="X105" s="9"/>
      <c r="Y105" s="9"/>
      <c r="Z105" s="9"/>
    </row>
    <row r="106" ht="30.0" customHeight="1">
      <c r="A106" s="27"/>
      <c r="B106" s="9"/>
      <c r="C106" s="27"/>
      <c r="D106" s="8"/>
      <c r="E106" s="9" t="s">
        <v>173</v>
      </c>
      <c r="F106" s="9"/>
      <c r="G106" s="9"/>
      <c r="H106" s="9"/>
      <c r="I106" s="9"/>
      <c r="J106" s="9"/>
      <c r="K106" s="9"/>
      <c r="L106" s="9"/>
      <c r="M106" s="9"/>
      <c r="N106" s="9"/>
      <c r="O106" s="9"/>
      <c r="P106" s="9"/>
      <c r="Q106" s="9"/>
      <c r="R106" s="9"/>
      <c r="S106" s="9"/>
      <c r="T106" s="9"/>
      <c r="U106" s="9"/>
      <c r="V106" s="9"/>
      <c r="W106" s="9"/>
      <c r="X106" s="9"/>
      <c r="Y106" s="9"/>
      <c r="Z106" s="9"/>
    </row>
    <row r="107" ht="30.0" customHeight="1">
      <c r="A107" s="27"/>
      <c r="B107" s="9"/>
      <c r="C107" s="27"/>
      <c r="D107" s="8"/>
      <c r="E107" s="24"/>
      <c r="F107" s="9"/>
      <c r="G107" s="9"/>
      <c r="H107" s="9"/>
      <c r="I107" s="9"/>
      <c r="J107" s="9"/>
      <c r="K107" s="9"/>
      <c r="L107" s="9"/>
      <c r="M107" s="9"/>
      <c r="N107" s="9"/>
      <c r="O107" s="9"/>
      <c r="P107" s="9"/>
      <c r="Q107" s="9"/>
      <c r="R107" s="9"/>
      <c r="S107" s="9"/>
      <c r="T107" s="9"/>
      <c r="U107" s="9"/>
      <c r="V107" s="9"/>
      <c r="W107" s="9"/>
      <c r="X107" s="9"/>
      <c r="Y107" s="9"/>
      <c r="Z107" s="9"/>
    </row>
    <row r="108" ht="30.0" customHeight="1">
      <c r="A108" s="27"/>
      <c r="B108" s="9"/>
      <c r="C108" s="27"/>
      <c r="D108" s="8"/>
      <c r="E108" s="9" t="s">
        <v>174</v>
      </c>
      <c r="F108" s="9"/>
      <c r="G108" s="9"/>
      <c r="H108" s="9"/>
      <c r="I108" s="9"/>
      <c r="J108" s="9"/>
      <c r="K108" s="9"/>
      <c r="L108" s="9"/>
      <c r="M108" s="9"/>
      <c r="N108" s="9"/>
      <c r="O108" s="9"/>
      <c r="P108" s="9"/>
      <c r="Q108" s="9"/>
      <c r="R108" s="9"/>
      <c r="S108" s="9"/>
      <c r="T108" s="9"/>
      <c r="U108" s="9"/>
      <c r="V108" s="9"/>
      <c r="W108" s="9"/>
      <c r="X108" s="9"/>
      <c r="Y108" s="9"/>
      <c r="Z108" s="9"/>
    </row>
    <row r="109" ht="30.0" customHeight="1">
      <c r="A109" s="27"/>
      <c r="B109" s="9"/>
      <c r="C109" s="27"/>
      <c r="D109" s="8"/>
      <c r="E109" s="24"/>
      <c r="F109" s="9"/>
      <c r="G109" s="9"/>
      <c r="H109" s="9"/>
      <c r="I109" s="9"/>
      <c r="J109" s="9"/>
      <c r="K109" s="9"/>
      <c r="L109" s="9"/>
      <c r="M109" s="9"/>
      <c r="N109" s="9"/>
      <c r="O109" s="9"/>
      <c r="P109" s="9"/>
      <c r="Q109" s="9"/>
      <c r="R109" s="9"/>
      <c r="S109" s="9"/>
      <c r="T109" s="9"/>
      <c r="U109" s="9"/>
      <c r="V109" s="9"/>
      <c r="W109" s="9"/>
      <c r="X109" s="9"/>
      <c r="Y109" s="9"/>
      <c r="Z109" s="9"/>
    </row>
    <row r="110" ht="30.0" customHeight="1">
      <c r="A110" s="27"/>
      <c r="B110" s="9"/>
      <c r="C110" s="27"/>
      <c r="D110" s="8"/>
      <c r="E110" s="9" t="s">
        <v>175</v>
      </c>
      <c r="F110" s="9"/>
      <c r="G110" s="9"/>
      <c r="H110" s="9"/>
      <c r="I110" s="9"/>
      <c r="J110" s="9"/>
      <c r="K110" s="9"/>
      <c r="L110" s="9"/>
      <c r="M110" s="9"/>
      <c r="N110" s="9"/>
      <c r="O110" s="9"/>
      <c r="P110" s="9"/>
      <c r="Q110" s="9"/>
      <c r="R110" s="9"/>
      <c r="S110" s="9"/>
      <c r="T110" s="9"/>
      <c r="U110" s="9"/>
      <c r="V110" s="9"/>
      <c r="W110" s="9"/>
      <c r="X110" s="9"/>
      <c r="Y110" s="9"/>
      <c r="Z110" s="9"/>
    </row>
    <row r="111" ht="30.0" customHeight="1">
      <c r="A111" s="27"/>
      <c r="B111" s="9"/>
      <c r="C111" s="27"/>
      <c r="D111" s="8"/>
      <c r="E111" s="24"/>
      <c r="F111" s="9"/>
      <c r="G111" s="9"/>
      <c r="H111" s="9"/>
      <c r="I111" s="9"/>
      <c r="J111" s="9"/>
      <c r="K111" s="9"/>
      <c r="L111" s="9"/>
      <c r="M111" s="9"/>
      <c r="N111" s="9"/>
      <c r="O111" s="9"/>
      <c r="P111" s="9"/>
      <c r="Q111" s="9"/>
      <c r="R111" s="9"/>
      <c r="S111" s="9"/>
      <c r="T111" s="9"/>
      <c r="U111" s="9"/>
      <c r="V111" s="9"/>
      <c r="W111" s="9"/>
      <c r="X111" s="9"/>
      <c r="Y111" s="9"/>
      <c r="Z111" s="9"/>
    </row>
    <row r="112" ht="30.0" customHeight="1">
      <c r="A112" s="27"/>
      <c r="B112" s="9"/>
      <c r="C112" s="27"/>
      <c r="D112" s="8"/>
      <c r="E112" s="9" t="s">
        <v>170</v>
      </c>
      <c r="F112" s="9"/>
      <c r="G112" s="9"/>
      <c r="H112" s="9"/>
      <c r="I112" s="9"/>
      <c r="J112" s="9"/>
      <c r="K112" s="9"/>
      <c r="L112" s="9"/>
      <c r="M112" s="9"/>
      <c r="N112" s="9"/>
      <c r="O112" s="9"/>
      <c r="P112" s="9"/>
      <c r="Q112" s="9"/>
      <c r="R112" s="9"/>
      <c r="S112" s="9"/>
      <c r="T112" s="9"/>
      <c r="U112" s="9"/>
      <c r="V112" s="9"/>
      <c r="W112" s="9"/>
      <c r="X112" s="9"/>
      <c r="Y112" s="9"/>
      <c r="Z112" s="9"/>
    </row>
    <row r="113" ht="30.0" customHeight="1">
      <c r="A113" s="27"/>
      <c r="B113" s="9"/>
      <c r="C113" s="27"/>
      <c r="D113" s="8"/>
      <c r="E113" s="24"/>
      <c r="F113" s="9"/>
      <c r="G113" s="9"/>
      <c r="H113" s="9"/>
      <c r="I113" s="9"/>
      <c r="J113" s="9"/>
      <c r="K113" s="9"/>
      <c r="L113" s="9"/>
      <c r="M113" s="9"/>
      <c r="N113" s="9"/>
      <c r="O113" s="9"/>
      <c r="P113" s="9"/>
      <c r="Q113" s="9"/>
      <c r="R113" s="9"/>
      <c r="S113" s="9"/>
      <c r="T113" s="9"/>
      <c r="U113" s="9"/>
      <c r="V113" s="9"/>
      <c r="W113" s="9"/>
      <c r="X113" s="9"/>
      <c r="Y113" s="9"/>
      <c r="Z113" s="9"/>
    </row>
    <row r="114" ht="30.0" customHeight="1">
      <c r="A114" s="27"/>
      <c r="B114" s="9"/>
      <c r="C114" s="27"/>
      <c r="D114" s="8"/>
      <c r="E114" s="9" t="s">
        <v>176</v>
      </c>
      <c r="F114" s="9"/>
      <c r="G114" s="9"/>
      <c r="H114" s="9"/>
      <c r="I114" s="9"/>
      <c r="J114" s="9"/>
      <c r="K114" s="9"/>
      <c r="L114" s="9"/>
      <c r="M114" s="9"/>
      <c r="N114" s="9"/>
      <c r="O114" s="9"/>
      <c r="P114" s="9"/>
      <c r="Q114" s="9"/>
      <c r="R114" s="9"/>
      <c r="S114" s="9"/>
      <c r="T114" s="9"/>
      <c r="U114" s="9"/>
      <c r="V114" s="9"/>
      <c r="W114" s="9"/>
      <c r="X114" s="9"/>
      <c r="Y114" s="9"/>
      <c r="Z114" s="9"/>
    </row>
    <row r="115" ht="30.0" customHeight="1">
      <c r="A115" s="27"/>
      <c r="B115" s="9"/>
      <c r="C115" s="27"/>
      <c r="D115" s="8"/>
      <c r="E115" s="24"/>
      <c r="F115" s="9"/>
      <c r="G115" s="9"/>
      <c r="H115" s="9"/>
      <c r="I115" s="9"/>
      <c r="J115" s="9"/>
      <c r="K115" s="9"/>
      <c r="L115" s="9"/>
      <c r="M115" s="9"/>
      <c r="N115" s="9"/>
      <c r="O115" s="9"/>
      <c r="P115" s="9"/>
      <c r="Q115" s="9"/>
      <c r="R115" s="9"/>
      <c r="S115" s="9"/>
      <c r="T115" s="9"/>
      <c r="U115" s="9"/>
      <c r="V115" s="9"/>
      <c r="W115" s="9"/>
      <c r="X115" s="9"/>
      <c r="Y115" s="9"/>
      <c r="Z115" s="9"/>
    </row>
    <row r="116" ht="30.0" customHeight="1">
      <c r="A116" s="27"/>
      <c r="B116" s="9"/>
      <c r="C116" s="27"/>
      <c r="D116" s="8"/>
      <c r="E116" s="24"/>
      <c r="F116" s="9"/>
      <c r="G116" s="9"/>
      <c r="H116" s="9"/>
      <c r="I116" s="9"/>
      <c r="J116" s="9"/>
      <c r="K116" s="9"/>
      <c r="L116" s="9"/>
      <c r="M116" s="9"/>
      <c r="N116" s="9"/>
      <c r="O116" s="9"/>
      <c r="P116" s="9"/>
      <c r="Q116" s="9"/>
      <c r="R116" s="9"/>
      <c r="S116" s="9"/>
      <c r="T116" s="9"/>
      <c r="U116" s="9"/>
      <c r="V116" s="9"/>
      <c r="W116" s="9"/>
      <c r="X116" s="9"/>
      <c r="Y116" s="9"/>
      <c r="Z116" s="9"/>
    </row>
    <row r="117" ht="30.0" customHeight="1">
      <c r="A117" s="27"/>
      <c r="B117" s="9"/>
      <c r="C117" s="27"/>
      <c r="D117" s="8"/>
      <c r="E117" s="24"/>
      <c r="F117" s="9"/>
      <c r="G117" s="9"/>
      <c r="H117" s="9"/>
      <c r="I117" s="9"/>
      <c r="J117" s="9"/>
      <c r="K117" s="9"/>
      <c r="L117" s="9"/>
      <c r="M117" s="9"/>
      <c r="N117" s="9"/>
      <c r="O117" s="9"/>
      <c r="P117" s="9"/>
      <c r="Q117" s="9"/>
      <c r="R117" s="9"/>
      <c r="S117" s="9"/>
      <c r="T117" s="9"/>
      <c r="U117" s="9"/>
      <c r="V117" s="9"/>
      <c r="W117" s="9"/>
      <c r="X117" s="9"/>
      <c r="Y117" s="9"/>
      <c r="Z117" s="9"/>
    </row>
    <row r="118" ht="30.0" customHeight="1">
      <c r="A118" s="27"/>
      <c r="B118" s="9"/>
      <c r="C118" s="27"/>
      <c r="D118" s="8"/>
      <c r="E118" s="9" t="s">
        <v>177</v>
      </c>
      <c r="F118" s="9"/>
      <c r="G118" s="9"/>
      <c r="H118" s="9"/>
      <c r="I118" s="9"/>
      <c r="J118" s="9"/>
      <c r="K118" s="9"/>
      <c r="L118" s="9"/>
      <c r="M118" s="9"/>
      <c r="N118" s="9"/>
      <c r="O118" s="9"/>
      <c r="P118" s="9"/>
      <c r="Q118" s="9"/>
      <c r="R118" s="9"/>
      <c r="S118" s="9"/>
      <c r="T118" s="9"/>
      <c r="U118" s="9"/>
      <c r="V118" s="9"/>
      <c r="W118" s="9"/>
      <c r="X118" s="9"/>
      <c r="Y118" s="9"/>
      <c r="Z118" s="9"/>
    </row>
    <row r="119" ht="30.0" customHeight="1">
      <c r="A119" s="27"/>
      <c r="B119" s="9"/>
      <c r="C119" s="27"/>
      <c r="D119" s="8"/>
      <c r="E119" s="24"/>
      <c r="F119" s="9"/>
      <c r="G119" s="9"/>
      <c r="H119" s="9"/>
      <c r="I119" s="9"/>
      <c r="J119" s="9"/>
      <c r="K119" s="9"/>
      <c r="L119" s="9"/>
      <c r="M119" s="9"/>
      <c r="N119" s="9"/>
      <c r="O119" s="9"/>
      <c r="P119" s="9"/>
      <c r="Q119" s="9"/>
      <c r="R119" s="9"/>
      <c r="S119" s="9"/>
      <c r="T119" s="9"/>
      <c r="U119" s="9"/>
      <c r="V119" s="9"/>
      <c r="W119" s="9"/>
      <c r="X119" s="9"/>
      <c r="Y119" s="9"/>
      <c r="Z119" s="9"/>
    </row>
    <row r="120" ht="30.0" customHeight="1">
      <c r="A120" s="27"/>
      <c r="B120" s="9"/>
      <c r="C120" s="27"/>
      <c r="D120" s="8"/>
      <c r="E120" s="9" t="s">
        <v>167</v>
      </c>
      <c r="F120" s="9"/>
      <c r="G120" s="9"/>
      <c r="H120" s="9"/>
      <c r="I120" s="9"/>
      <c r="J120" s="9"/>
      <c r="K120" s="9"/>
      <c r="L120" s="9"/>
      <c r="M120" s="9"/>
      <c r="N120" s="9"/>
      <c r="O120" s="9"/>
      <c r="P120" s="9"/>
      <c r="Q120" s="9"/>
      <c r="R120" s="9"/>
      <c r="S120" s="9"/>
      <c r="T120" s="9"/>
      <c r="U120" s="9"/>
      <c r="V120" s="9"/>
      <c r="W120" s="9"/>
      <c r="X120" s="9"/>
      <c r="Y120" s="9"/>
      <c r="Z120" s="9"/>
    </row>
    <row r="121" ht="30.0" customHeight="1">
      <c r="A121" s="27"/>
      <c r="B121" s="9"/>
      <c r="C121" s="27"/>
      <c r="D121" s="8"/>
      <c r="E121" s="24"/>
      <c r="F121" s="9"/>
      <c r="G121" s="9"/>
      <c r="H121" s="9"/>
      <c r="I121" s="9"/>
      <c r="J121" s="9"/>
      <c r="K121" s="9"/>
      <c r="L121" s="9"/>
      <c r="M121" s="9"/>
      <c r="N121" s="9"/>
      <c r="O121" s="9"/>
      <c r="P121" s="9"/>
      <c r="Q121" s="9"/>
      <c r="R121" s="9"/>
      <c r="S121" s="9"/>
      <c r="T121" s="9"/>
      <c r="U121" s="9"/>
      <c r="V121" s="9"/>
      <c r="W121" s="9"/>
      <c r="X121" s="9"/>
      <c r="Y121" s="9"/>
      <c r="Z121" s="9"/>
    </row>
    <row r="122" ht="30.0" customHeight="1">
      <c r="A122" s="27"/>
      <c r="B122" s="9"/>
      <c r="C122" s="27"/>
      <c r="D122" s="8"/>
      <c r="E122" s="24"/>
      <c r="F122" s="9"/>
      <c r="G122" s="9"/>
      <c r="H122" s="9"/>
      <c r="I122" s="9"/>
      <c r="J122" s="9"/>
      <c r="K122" s="9"/>
      <c r="L122" s="9"/>
      <c r="M122" s="9"/>
      <c r="N122" s="9"/>
      <c r="O122" s="9"/>
      <c r="P122" s="9"/>
      <c r="Q122" s="9"/>
      <c r="R122" s="9"/>
      <c r="S122" s="9"/>
      <c r="T122" s="9"/>
      <c r="U122" s="9"/>
      <c r="V122" s="9"/>
      <c r="W122" s="9"/>
      <c r="X122" s="9"/>
      <c r="Y122" s="9"/>
      <c r="Z122" s="9"/>
    </row>
    <row r="123" ht="30.0" customHeight="1">
      <c r="A123" s="27"/>
      <c r="B123" s="9"/>
      <c r="C123" s="27"/>
      <c r="D123" s="8"/>
      <c r="E123" s="24"/>
      <c r="F123" s="9"/>
      <c r="G123" s="9"/>
      <c r="H123" s="9"/>
      <c r="I123" s="9"/>
      <c r="J123" s="9"/>
      <c r="K123" s="9"/>
      <c r="L123" s="9"/>
      <c r="M123" s="9"/>
      <c r="N123" s="9"/>
      <c r="O123" s="9"/>
      <c r="P123" s="9"/>
      <c r="Q123" s="9"/>
      <c r="R123" s="9"/>
      <c r="S123" s="9"/>
      <c r="T123" s="9"/>
      <c r="U123" s="9"/>
      <c r="V123" s="9"/>
      <c r="W123" s="9"/>
      <c r="X123" s="9"/>
      <c r="Y123" s="9"/>
      <c r="Z123" s="9"/>
    </row>
    <row r="124" ht="30.0" customHeight="1">
      <c r="A124" s="27"/>
      <c r="B124" s="9"/>
      <c r="C124" s="27"/>
      <c r="D124" s="8"/>
      <c r="E124" s="9" t="s">
        <v>178</v>
      </c>
      <c r="F124" s="9"/>
      <c r="G124" s="9"/>
      <c r="H124" s="9"/>
      <c r="I124" s="9"/>
      <c r="J124" s="9"/>
      <c r="K124" s="9"/>
      <c r="L124" s="9"/>
      <c r="M124" s="9"/>
      <c r="N124" s="9"/>
      <c r="O124" s="9"/>
      <c r="P124" s="9"/>
      <c r="Q124" s="9"/>
      <c r="R124" s="9"/>
      <c r="S124" s="9"/>
      <c r="T124" s="9"/>
      <c r="U124" s="9"/>
      <c r="V124" s="9"/>
      <c r="W124" s="9"/>
      <c r="X124" s="9"/>
      <c r="Y124" s="9"/>
      <c r="Z124" s="9"/>
    </row>
    <row r="125" ht="30.0" customHeight="1">
      <c r="A125" s="27"/>
      <c r="B125" s="9"/>
      <c r="C125" s="27"/>
      <c r="D125" s="8"/>
      <c r="E125" s="24"/>
      <c r="F125" s="9"/>
      <c r="G125" s="9"/>
      <c r="H125" s="9"/>
      <c r="I125" s="9"/>
      <c r="J125" s="9"/>
      <c r="K125" s="9"/>
      <c r="L125" s="9"/>
      <c r="M125" s="9"/>
      <c r="N125" s="9"/>
      <c r="O125" s="9"/>
      <c r="P125" s="9"/>
      <c r="Q125" s="9"/>
      <c r="R125" s="9"/>
      <c r="S125" s="9"/>
      <c r="T125" s="9"/>
      <c r="U125" s="9"/>
      <c r="V125" s="9"/>
      <c r="W125" s="9"/>
      <c r="X125" s="9"/>
      <c r="Y125" s="9"/>
      <c r="Z125" s="9"/>
    </row>
    <row r="126" ht="30.0" customHeight="1">
      <c r="A126" s="27"/>
      <c r="B126" s="9"/>
      <c r="C126" s="27"/>
      <c r="D126" s="8"/>
      <c r="E126" s="9" t="s">
        <v>174</v>
      </c>
      <c r="F126" s="9"/>
      <c r="G126" s="9"/>
      <c r="H126" s="9"/>
      <c r="I126" s="9"/>
      <c r="J126" s="9"/>
      <c r="K126" s="9"/>
      <c r="L126" s="9"/>
      <c r="M126" s="9"/>
      <c r="N126" s="9"/>
      <c r="O126" s="9"/>
      <c r="P126" s="9"/>
      <c r="Q126" s="9"/>
      <c r="R126" s="9"/>
      <c r="S126" s="9"/>
      <c r="T126" s="9"/>
      <c r="U126" s="9"/>
      <c r="V126" s="9"/>
      <c r="W126" s="9"/>
      <c r="X126" s="9"/>
      <c r="Y126" s="9"/>
      <c r="Z126" s="9"/>
    </row>
    <row r="127" ht="30.0" customHeight="1">
      <c r="A127" s="27"/>
      <c r="B127" s="9"/>
      <c r="C127" s="27"/>
      <c r="D127" s="8"/>
      <c r="E127" s="24"/>
      <c r="F127" s="9"/>
      <c r="G127" s="9"/>
      <c r="H127" s="9"/>
      <c r="I127" s="9"/>
      <c r="J127" s="9"/>
      <c r="K127" s="9"/>
      <c r="L127" s="9"/>
      <c r="M127" s="9"/>
      <c r="N127" s="9"/>
      <c r="O127" s="9"/>
      <c r="P127" s="9"/>
      <c r="Q127" s="9"/>
      <c r="R127" s="9"/>
      <c r="S127" s="9"/>
      <c r="T127" s="9"/>
      <c r="U127" s="9"/>
      <c r="V127" s="9"/>
      <c r="W127" s="9"/>
      <c r="X127" s="9"/>
      <c r="Y127" s="9"/>
      <c r="Z127" s="9"/>
    </row>
    <row r="128" ht="30.0" customHeight="1">
      <c r="A128" s="27"/>
      <c r="B128" s="9"/>
      <c r="C128" s="27"/>
      <c r="D128" s="8"/>
      <c r="E128" s="9" t="s">
        <v>179</v>
      </c>
      <c r="F128" s="9"/>
      <c r="G128" s="9"/>
      <c r="H128" s="9"/>
      <c r="I128" s="9"/>
      <c r="J128" s="9"/>
      <c r="K128" s="9"/>
      <c r="L128" s="9"/>
      <c r="M128" s="9"/>
      <c r="N128" s="9"/>
      <c r="O128" s="9"/>
      <c r="P128" s="9"/>
      <c r="Q128" s="9"/>
      <c r="R128" s="9"/>
      <c r="S128" s="9"/>
      <c r="T128" s="9"/>
      <c r="U128" s="9"/>
      <c r="V128" s="9"/>
      <c r="W128" s="9"/>
      <c r="X128" s="9"/>
      <c r="Y128" s="9"/>
      <c r="Z128" s="9"/>
    </row>
    <row r="129" ht="30.0" customHeight="1">
      <c r="A129" s="27"/>
      <c r="B129" s="9"/>
      <c r="C129" s="27"/>
      <c r="D129" s="8"/>
      <c r="E129" s="24"/>
      <c r="F129" s="9"/>
      <c r="G129" s="9"/>
      <c r="H129" s="9"/>
      <c r="I129" s="9"/>
      <c r="J129" s="9"/>
      <c r="K129" s="9"/>
      <c r="L129" s="9"/>
      <c r="M129" s="9"/>
      <c r="N129" s="9"/>
      <c r="O129" s="9"/>
      <c r="P129" s="9"/>
      <c r="Q129" s="9"/>
      <c r="R129" s="9"/>
      <c r="S129" s="9"/>
      <c r="T129" s="9"/>
      <c r="U129" s="9"/>
      <c r="V129" s="9"/>
      <c r="W129" s="9"/>
      <c r="X129" s="9"/>
      <c r="Y129" s="9"/>
      <c r="Z129" s="9"/>
    </row>
    <row r="130" ht="30.0" customHeight="1">
      <c r="A130" s="27"/>
      <c r="B130" s="9"/>
      <c r="C130" s="27"/>
      <c r="D130" s="8"/>
      <c r="E130" s="9" t="s">
        <v>170</v>
      </c>
      <c r="F130" s="9"/>
      <c r="G130" s="9"/>
      <c r="H130" s="9"/>
      <c r="I130" s="9"/>
      <c r="J130" s="9"/>
      <c r="K130" s="9"/>
      <c r="L130" s="9"/>
      <c r="M130" s="9"/>
      <c r="N130" s="9"/>
      <c r="O130" s="9"/>
      <c r="P130" s="9"/>
      <c r="Q130" s="9"/>
      <c r="R130" s="9"/>
      <c r="S130" s="9"/>
      <c r="T130" s="9"/>
      <c r="U130" s="9"/>
      <c r="V130" s="9"/>
      <c r="W130" s="9"/>
      <c r="X130" s="9"/>
      <c r="Y130" s="9"/>
      <c r="Z130" s="9"/>
    </row>
    <row r="131" ht="30.0" customHeight="1">
      <c r="A131" s="27"/>
      <c r="B131" s="9"/>
      <c r="C131" s="27"/>
      <c r="D131" s="8"/>
      <c r="E131" s="24"/>
      <c r="F131" s="9"/>
      <c r="G131" s="9"/>
      <c r="H131" s="9"/>
      <c r="I131" s="9"/>
      <c r="J131" s="9"/>
      <c r="K131" s="9"/>
      <c r="L131" s="9"/>
      <c r="M131" s="9"/>
      <c r="N131" s="9"/>
      <c r="O131" s="9"/>
      <c r="P131" s="9"/>
      <c r="Q131" s="9"/>
      <c r="R131" s="9"/>
      <c r="S131" s="9"/>
      <c r="T131" s="9"/>
      <c r="U131" s="9"/>
      <c r="V131" s="9"/>
      <c r="W131" s="9"/>
      <c r="X131" s="9"/>
      <c r="Y131" s="9"/>
      <c r="Z131" s="9"/>
    </row>
    <row r="132" ht="30.0" customHeight="1">
      <c r="A132" s="27"/>
      <c r="B132" s="9"/>
      <c r="C132" s="27"/>
      <c r="D132" s="8"/>
      <c r="E132" s="9" t="s">
        <v>180</v>
      </c>
      <c r="F132" s="9"/>
      <c r="G132" s="9"/>
      <c r="H132" s="9"/>
      <c r="I132" s="9"/>
      <c r="J132" s="9"/>
      <c r="K132" s="9"/>
      <c r="L132" s="9"/>
      <c r="M132" s="9"/>
      <c r="N132" s="9"/>
      <c r="O132" s="9"/>
      <c r="P132" s="9"/>
      <c r="Q132" s="9"/>
      <c r="R132" s="9"/>
      <c r="S132" s="9"/>
      <c r="T132" s="9"/>
      <c r="U132" s="9"/>
      <c r="V132" s="9"/>
      <c r="W132" s="9"/>
      <c r="X132" s="9"/>
      <c r="Y132" s="9"/>
      <c r="Z132" s="9"/>
    </row>
    <row r="133" ht="30.0" customHeight="1">
      <c r="A133" s="27"/>
      <c r="B133" s="9"/>
      <c r="C133" s="27"/>
      <c r="D133" s="8"/>
      <c r="E133" s="24"/>
      <c r="F133" s="9"/>
      <c r="G133" s="9"/>
      <c r="H133" s="9"/>
      <c r="I133" s="9"/>
      <c r="J133" s="9"/>
      <c r="K133" s="9"/>
      <c r="L133" s="9"/>
      <c r="M133" s="9"/>
      <c r="N133" s="9"/>
      <c r="O133" s="9"/>
      <c r="P133" s="9"/>
      <c r="Q133" s="9"/>
      <c r="R133" s="9"/>
      <c r="S133" s="9"/>
      <c r="T133" s="9"/>
      <c r="U133" s="9"/>
      <c r="V133" s="9"/>
      <c r="W133" s="9"/>
      <c r="X133" s="9"/>
      <c r="Y133" s="9"/>
      <c r="Z133" s="9"/>
    </row>
    <row r="134" ht="30.0" customHeight="1">
      <c r="A134" s="27"/>
      <c r="B134" s="9"/>
      <c r="C134" s="27"/>
      <c r="D134" s="8"/>
      <c r="E134" s="24"/>
      <c r="F134" s="9"/>
      <c r="G134" s="9"/>
      <c r="H134" s="9"/>
      <c r="I134" s="9"/>
      <c r="J134" s="9"/>
      <c r="K134" s="9"/>
      <c r="L134" s="9"/>
      <c r="M134" s="9"/>
      <c r="N134" s="9"/>
      <c r="O134" s="9"/>
      <c r="P134" s="9"/>
      <c r="Q134" s="9"/>
      <c r="R134" s="9"/>
      <c r="S134" s="9"/>
      <c r="T134" s="9"/>
      <c r="U134" s="9"/>
      <c r="V134" s="9"/>
      <c r="W134" s="9"/>
      <c r="X134" s="9"/>
      <c r="Y134" s="9"/>
      <c r="Z134" s="9"/>
    </row>
    <row r="135" ht="30.0" customHeight="1">
      <c r="A135" s="27"/>
      <c r="B135" s="9"/>
      <c r="C135" s="27"/>
      <c r="D135" s="8"/>
      <c r="E135" s="24"/>
      <c r="F135" s="9"/>
      <c r="G135" s="9"/>
      <c r="H135" s="9"/>
      <c r="I135" s="9"/>
      <c r="J135" s="9"/>
      <c r="K135" s="9"/>
      <c r="L135" s="9"/>
      <c r="M135" s="9"/>
      <c r="N135" s="9"/>
      <c r="O135" s="9"/>
      <c r="P135" s="9"/>
      <c r="Q135" s="9"/>
      <c r="R135" s="9"/>
      <c r="S135" s="9"/>
      <c r="T135" s="9"/>
      <c r="U135" s="9"/>
      <c r="V135" s="9"/>
      <c r="W135" s="9"/>
      <c r="X135" s="9"/>
      <c r="Y135" s="9"/>
      <c r="Z135" s="9"/>
    </row>
    <row r="136" ht="30.0" customHeight="1">
      <c r="A136" s="27"/>
      <c r="B136" s="9"/>
      <c r="C136" s="27"/>
      <c r="D136" s="8"/>
      <c r="E136" s="9" t="s">
        <v>181</v>
      </c>
      <c r="F136" s="9"/>
      <c r="G136" s="9"/>
      <c r="H136" s="9"/>
      <c r="I136" s="9"/>
      <c r="J136" s="9"/>
      <c r="K136" s="9"/>
      <c r="L136" s="9"/>
      <c r="M136" s="9"/>
      <c r="N136" s="9"/>
      <c r="O136" s="9"/>
      <c r="P136" s="9"/>
      <c r="Q136" s="9"/>
      <c r="R136" s="9"/>
      <c r="S136" s="9"/>
      <c r="T136" s="9"/>
      <c r="U136" s="9"/>
      <c r="V136" s="9"/>
      <c r="W136" s="9"/>
      <c r="X136" s="9"/>
      <c r="Y136" s="9"/>
      <c r="Z136" s="9"/>
    </row>
    <row r="137" ht="30.0" customHeight="1">
      <c r="A137" s="27"/>
      <c r="B137" s="9"/>
      <c r="C137" s="27"/>
      <c r="D137" s="8"/>
      <c r="E137" s="24"/>
      <c r="F137" s="9"/>
      <c r="G137" s="9"/>
      <c r="H137" s="9"/>
      <c r="I137" s="9"/>
      <c r="J137" s="9"/>
      <c r="K137" s="9"/>
      <c r="L137" s="9"/>
      <c r="M137" s="9"/>
      <c r="N137" s="9"/>
      <c r="O137" s="9"/>
      <c r="P137" s="9"/>
      <c r="Q137" s="9"/>
      <c r="R137" s="9"/>
      <c r="S137" s="9"/>
      <c r="T137" s="9"/>
      <c r="U137" s="9"/>
      <c r="V137" s="9"/>
      <c r="W137" s="9"/>
      <c r="X137" s="9"/>
      <c r="Y137" s="9"/>
      <c r="Z137" s="9"/>
    </row>
    <row r="138" ht="30.0" customHeight="1">
      <c r="A138" s="27"/>
      <c r="B138" s="9"/>
      <c r="C138" s="27"/>
      <c r="D138" s="8"/>
      <c r="E138" s="9" t="s">
        <v>167</v>
      </c>
      <c r="F138" s="9"/>
      <c r="G138" s="9"/>
      <c r="H138" s="9"/>
      <c r="I138" s="9"/>
      <c r="J138" s="9"/>
      <c r="K138" s="9"/>
      <c r="L138" s="9"/>
      <c r="M138" s="9"/>
      <c r="N138" s="9"/>
      <c r="O138" s="9"/>
      <c r="P138" s="9"/>
      <c r="Q138" s="9"/>
      <c r="R138" s="9"/>
      <c r="S138" s="9"/>
      <c r="T138" s="9"/>
      <c r="U138" s="9"/>
      <c r="V138" s="9"/>
      <c r="W138" s="9"/>
      <c r="X138" s="9"/>
      <c r="Y138" s="9"/>
      <c r="Z138" s="9"/>
    </row>
    <row r="139" ht="30.0" customHeight="1">
      <c r="A139" s="27"/>
      <c r="B139" s="9"/>
      <c r="C139" s="27"/>
      <c r="D139" s="8"/>
      <c r="E139" s="24"/>
      <c r="F139" s="9"/>
      <c r="G139" s="9"/>
      <c r="H139" s="9"/>
      <c r="I139" s="9"/>
      <c r="J139" s="9"/>
      <c r="K139" s="9"/>
      <c r="L139" s="9"/>
      <c r="M139" s="9"/>
      <c r="N139" s="9"/>
      <c r="O139" s="9"/>
      <c r="P139" s="9"/>
      <c r="Q139" s="9"/>
      <c r="R139" s="9"/>
      <c r="S139" s="9"/>
      <c r="T139" s="9"/>
      <c r="U139" s="9"/>
      <c r="V139" s="9"/>
      <c r="W139" s="9"/>
      <c r="X139" s="9"/>
      <c r="Y139" s="9"/>
      <c r="Z139" s="9"/>
    </row>
    <row r="140" ht="30.0" customHeight="1">
      <c r="A140" s="27"/>
      <c r="B140" s="9"/>
      <c r="C140" s="27"/>
      <c r="D140" s="8"/>
      <c r="E140" s="24"/>
      <c r="F140" s="9"/>
      <c r="G140" s="9"/>
      <c r="H140" s="9"/>
      <c r="I140" s="9"/>
      <c r="J140" s="9"/>
      <c r="K140" s="9"/>
      <c r="L140" s="9"/>
      <c r="M140" s="9"/>
      <c r="N140" s="9"/>
      <c r="O140" s="9"/>
      <c r="P140" s="9"/>
      <c r="Q140" s="9"/>
      <c r="R140" s="9"/>
      <c r="S140" s="9"/>
      <c r="T140" s="9"/>
      <c r="U140" s="9"/>
      <c r="V140" s="9"/>
      <c r="W140" s="9"/>
      <c r="X140" s="9"/>
      <c r="Y140" s="9"/>
      <c r="Z140" s="9"/>
    </row>
    <row r="141" ht="30.0" customHeight="1">
      <c r="A141" s="27"/>
      <c r="B141" s="9"/>
      <c r="C141" s="27"/>
      <c r="D141" s="8"/>
      <c r="E141" s="24"/>
      <c r="F141" s="9"/>
      <c r="G141" s="9"/>
      <c r="H141" s="9"/>
      <c r="I141" s="9"/>
      <c r="J141" s="9"/>
      <c r="K141" s="9"/>
      <c r="L141" s="9"/>
      <c r="M141" s="9"/>
      <c r="N141" s="9"/>
      <c r="O141" s="9"/>
      <c r="P141" s="9"/>
      <c r="Q141" s="9"/>
      <c r="R141" s="9"/>
      <c r="S141" s="9"/>
      <c r="T141" s="9"/>
      <c r="U141" s="9"/>
      <c r="V141" s="9"/>
      <c r="W141" s="9"/>
      <c r="X141" s="9"/>
      <c r="Y141" s="9"/>
      <c r="Z141" s="9"/>
    </row>
    <row r="142" ht="30.0" customHeight="1">
      <c r="A142" s="27"/>
      <c r="B142" s="9"/>
      <c r="C142" s="27"/>
      <c r="D142" s="8"/>
      <c r="E142" s="9" t="s">
        <v>182</v>
      </c>
      <c r="F142" s="9"/>
      <c r="G142" s="9"/>
      <c r="H142" s="9"/>
      <c r="I142" s="9"/>
      <c r="J142" s="9"/>
      <c r="K142" s="9"/>
      <c r="L142" s="9"/>
      <c r="M142" s="9"/>
      <c r="N142" s="9"/>
      <c r="O142" s="9"/>
      <c r="P142" s="9"/>
      <c r="Q142" s="9"/>
      <c r="R142" s="9"/>
      <c r="S142" s="9"/>
      <c r="T142" s="9"/>
      <c r="U142" s="9"/>
      <c r="V142" s="9"/>
      <c r="W142" s="9"/>
      <c r="X142" s="9"/>
      <c r="Y142" s="9"/>
      <c r="Z142" s="9"/>
    </row>
    <row r="143" ht="30.0" customHeight="1">
      <c r="A143" s="27"/>
      <c r="B143" s="9"/>
      <c r="C143" s="27"/>
      <c r="D143" s="8"/>
      <c r="E143" s="24"/>
      <c r="F143" s="9"/>
      <c r="G143" s="9"/>
      <c r="H143" s="9"/>
      <c r="I143" s="9"/>
      <c r="J143" s="9"/>
      <c r="K143" s="9"/>
      <c r="L143" s="9"/>
      <c r="M143" s="9"/>
      <c r="N143" s="9"/>
      <c r="O143" s="9"/>
      <c r="P143" s="9"/>
      <c r="Q143" s="9"/>
      <c r="R143" s="9"/>
      <c r="S143" s="9"/>
      <c r="T143" s="9"/>
      <c r="U143" s="9"/>
      <c r="V143" s="9"/>
      <c r="W143" s="9"/>
      <c r="X143" s="9"/>
      <c r="Y143" s="9"/>
      <c r="Z143" s="9"/>
    </row>
    <row r="144" ht="30.0" customHeight="1">
      <c r="A144" s="27"/>
      <c r="B144" s="9"/>
      <c r="C144" s="27"/>
      <c r="D144" s="8"/>
      <c r="E144" s="9" t="s">
        <v>183</v>
      </c>
      <c r="F144" s="9"/>
      <c r="G144" s="9"/>
      <c r="H144" s="9"/>
      <c r="I144" s="9"/>
      <c r="J144" s="9"/>
      <c r="K144" s="9"/>
      <c r="L144" s="9"/>
      <c r="M144" s="9"/>
      <c r="N144" s="9"/>
      <c r="O144" s="9"/>
      <c r="P144" s="9"/>
      <c r="Q144" s="9"/>
      <c r="R144" s="9"/>
      <c r="S144" s="9"/>
      <c r="T144" s="9"/>
      <c r="U144" s="9"/>
      <c r="V144" s="9"/>
      <c r="W144" s="9"/>
      <c r="X144" s="9"/>
      <c r="Y144" s="9"/>
      <c r="Z144" s="9"/>
    </row>
    <row r="145" ht="30.0" customHeight="1">
      <c r="A145" s="27"/>
      <c r="B145" s="9"/>
      <c r="C145" s="27"/>
      <c r="D145" s="8"/>
      <c r="E145" s="24"/>
      <c r="F145" s="9"/>
      <c r="G145" s="9"/>
      <c r="H145" s="9"/>
      <c r="I145" s="9"/>
      <c r="J145" s="9"/>
      <c r="K145" s="9"/>
      <c r="L145" s="9"/>
      <c r="M145" s="9"/>
      <c r="N145" s="9"/>
      <c r="O145" s="9"/>
      <c r="P145" s="9"/>
      <c r="Q145" s="9"/>
      <c r="R145" s="9"/>
      <c r="S145" s="9"/>
      <c r="T145" s="9"/>
      <c r="U145" s="9"/>
      <c r="V145" s="9"/>
      <c r="W145" s="9"/>
      <c r="X145" s="9"/>
      <c r="Y145" s="9"/>
      <c r="Z145" s="9"/>
    </row>
    <row r="146" ht="30.0" customHeight="1">
      <c r="A146" s="27"/>
      <c r="B146" s="9"/>
      <c r="C146" s="27"/>
      <c r="D146" s="8"/>
      <c r="E146" s="9" t="s">
        <v>184</v>
      </c>
      <c r="F146" s="9"/>
      <c r="G146" s="9"/>
      <c r="H146" s="9"/>
      <c r="I146" s="9"/>
      <c r="J146" s="9"/>
      <c r="K146" s="9"/>
      <c r="L146" s="9"/>
      <c r="M146" s="9"/>
      <c r="N146" s="9"/>
      <c r="O146" s="9"/>
      <c r="P146" s="9"/>
      <c r="Q146" s="9"/>
      <c r="R146" s="9"/>
      <c r="S146" s="9"/>
      <c r="T146" s="9"/>
      <c r="U146" s="9"/>
      <c r="V146" s="9"/>
      <c r="W146" s="9"/>
      <c r="X146" s="9"/>
      <c r="Y146" s="9"/>
      <c r="Z146" s="9"/>
    </row>
    <row r="147" ht="30.0" customHeight="1">
      <c r="A147" s="27"/>
      <c r="B147" s="9"/>
      <c r="C147" s="27"/>
      <c r="D147" s="8"/>
      <c r="E147" s="24"/>
      <c r="F147" s="9"/>
      <c r="G147" s="9"/>
      <c r="H147" s="9"/>
      <c r="I147" s="9"/>
      <c r="J147" s="9"/>
      <c r="K147" s="9"/>
      <c r="L147" s="9"/>
      <c r="M147" s="9"/>
      <c r="N147" s="9"/>
      <c r="O147" s="9"/>
      <c r="P147" s="9"/>
      <c r="Q147" s="9"/>
      <c r="R147" s="9"/>
      <c r="S147" s="9"/>
      <c r="T147" s="9"/>
      <c r="U147" s="9"/>
      <c r="V147" s="9"/>
      <c r="W147" s="9"/>
      <c r="X147" s="9"/>
      <c r="Y147" s="9"/>
      <c r="Z147" s="9"/>
    </row>
    <row r="148" ht="30.0" customHeight="1">
      <c r="A148" s="27"/>
      <c r="B148" s="9"/>
      <c r="C148" s="27"/>
      <c r="D148" s="8"/>
      <c r="E148" s="9" t="s">
        <v>185</v>
      </c>
      <c r="F148" s="9"/>
      <c r="G148" s="9"/>
      <c r="H148" s="9"/>
      <c r="I148" s="9"/>
      <c r="J148" s="9"/>
      <c r="K148" s="9"/>
      <c r="L148" s="9"/>
      <c r="M148" s="9"/>
      <c r="N148" s="9"/>
      <c r="O148" s="9"/>
      <c r="P148" s="9"/>
      <c r="Q148" s="9"/>
      <c r="R148" s="9"/>
      <c r="S148" s="9"/>
      <c r="T148" s="9"/>
      <c r="U148" s="9"/>
      <c r="V148" s="9"/>
      <c r="W148" s="9"/>
      <c r="X148" s="9"/>
      <c r="Y148" s="9"/>
      <c r="Z148" s="9"/>
    </row>
    <row r="149" ht="30.0" customHeight="1">
      <c r="A149" s="27"/>
      <c r="B149" s="9"/>
      <c r="C149" s="27"/>
      <c r="D149" s="8"/>
      <c r="E149" s="24"/>
      <c r="F149" s="9"/>
      <c r="G149" s="9"/>
      <c r="H149" s="9"/>
      <c r="I149" s="9"/>
      <c r="J149" s="9"/>
      <c r="K149" s="9"/>
      <c r="L149" s="9"/>
      <c r="M149" s="9"/>
      <c r="N149" s="9"/>
      <c r="O149" s="9"/>
      <c r="P149" s="9"/>
      <c r="Q149" s="9"/>
      <c r="R149" s="9"/>
      <c r="S149" s="9"/>
      <c r="T149" s="9"/>
      <c r="U149" s="9"/>
      <c r="V149" s="9"/>
      <c r="W149" s="9"/>
      <c r="X149" s="9"/>
      <c r="Y149" s="9"/>
      <c r="Z149" s="9"/>
    </row>
    <row r="150" ht="30.0" customHeight="1">
      <c r="A150" s="27"/>
      <c r="B150" s="9"/>
      <c r="C150" s="27"/>
      <c r="D150" s="8"/>
      <c r="E150" s="9" t="s">
        <v>170</v>
      </c>
      <c r="F150" s="9"/>
      <c r="G150" s="9"/>
      <c r="H150" s="9"/>
      <c r="I150" s="9"/>
      <c r="J150" s="9"/>
      <c r="K150" s="9"/>
      <c r="L150" s="9"/>
      <c r="M150" s="9"/>
      <c r="N150" s="9"/>
      <c r="O150" s="9"/>
      <c r="P150" s="9"/>
      <c r="Q150" s="9"/>
      <c r="R150" s="9"/>
      <c r="S150" s="9"/>
      <c r="T150" s="9"/>
      <c r="U150" s="9"/>
      <c r="V150" s="9"/>
      <c r="W150" s="9"/>
      <c r="X150" s="9"/>
      <c r="Y150" s="9"/>
      <c r="Z150" s="9"/>
    </row>
    <row r="151" ht="30.0" customHeight="1">
      <c r="A151" s="27"/>
      <c r="B151" s="9"/>
      <c r="C151" s="27"/>
      <c r="D151" s="8"/>
      <c r="E151" s="24"/>
      <c r="F151" s="9"/>
      <c r="G151" s="9"/>
      <c r="H151" s="9"/>
      <c r="I151" s="9"/>
      <c r="J151" s="9"/>
      <c r="K151" s="9"/>
      <c r="L151" s="9"/>
      <c r="M151" s="9"/>
      <c r="N151" s="9"/>
      <c r="O151" s="9"/>
      <c r="P151" s="9"/>
      <c r="Q151" s="9"/>
      <c r="R151" s="9"/>
      <c r="S151" s="9"/>
      <c r="T151" s="9"/>
      <c r="U151" s="9"/>
      <c r="V151" s="9"/>
      <c r="W151" s="9"/>
      <c r="X151" s="9"/>
      <c r="Y151" s="9"/>
      <c r="Z151" s="9"/>
    </row>
    <row r="152" ht="30.0" customHeight="1">
      <c r="A152" s="27"/>
      <c r="B152" s="9"/>
      <c r="C152" s="27"/>
      <c r="D152" s="8"/>
      <c r="E152" s="9" t="s">
        <v>186</v>
      </c>
      <c r="F152" s="9"/>
      <c r="G152" s="9"/>
      <c r="H152" s="9"/>
      <c r="I152" s="9"/>
      <c r="J152" s="9"/>
      <c r="K152" s="9"/>
      <c r="L152" s="9"/>
      <c r="M152" s="9"/>
      <c r="N152" s="9"/>
      <c r="O152" s="9"/>
      <c r="P152" s="9"/>
      <c r="Q152" s="9"/>
      <c r="R152" s="9"/>
      <c r="S152" s="9"/>
      <c r="T152" s="9"/>
      <c r="U152" s="9"/>
      <c r="V152" s="9"/>
      <c r="W152" s="9"/>
      <c r="X152" s="9"/>
      <c r="Y152" s="9"/>
      <c r="Z152" s="9"/>
    </row>
    <row r="153" ht="30.0" customHeight="1">
      <c r="A153" s="27"/>
      <c r="B153" s="9"/>
      <c r="C153" s="27"/>
      <c r="D153" s="8"/>
      <c r="E153" s="24"/>
      <c r="F153" s="9"/>
      <c r="G153" s="9"/>
      <c r="H153" s="9"/>
      <c r="I153" s="9"/>
      <c r="J153" s="9"/>
      <c r="K153" s="9"/>
      <c r="L153" s="9"/>
      <c r="M153" s="9"/>
      <c r="N153" s="9"/>
      <c r="O153" s="9"/>
      <c r="P153" s="9"/>
      <c r="Q153" s="9"/>
      <c r="R153" s="9"/>
      <c r="S153" s="9"/>
      <c r="T153" s="9"/>
      <c r="U153" s="9"/>
      <c r="V153" s="9"/>
      <c r="W153" s="9"/>
      <c r="X153" s="9"/>
      <c r="Y153" s="9"/>
      <c r="Z153" s="9"/>
    </row>
    <row r="154" ht="30.0" customHeight="1">
      <c r="A154" s="27"/>
      <c r="B154" s="9"/>
      <c r="C154" s="27"/>
      <c r="D154" s="8"/>
      <c r="E154" s="24"/>
      <c r="F154" s="9"/>
      <c r="G154" s="9"/>
      <c r="H154" s="9"/>
      <c r="I154" s="9"/>
      <c r="J154" s="9"/>
      <c r="K154" s="9"/>
      <c r="L154" s="9"/>
      <c r="M154" s="9"/>
      <c r="N154" s="9"/>
      <c r="O154" s="9"/>
      <c r="P154" s="9"/>
      <c r="Q154" s="9"/>
      <c r="R154" s="9"/>
      <c r="S154" s="9"/>
      <c r="T154" s="9"/>
      <c r="U154" s="9"/>
      <c r="V154" s="9"/>
      <c r="W154" s="9"/>
      <c r="X154" s="9"/>
      <c r="Y154" s="9"/>
      <c r="Z154" s="9"/>
    </row>
    <row r="155" ht="30.0" customHeight="1">
      <c r="A155" s="27"/>
      <c r="B155" s="9"/>
      <c r="C155" s="27"/>
      <c r="D155" s="8"/>
      <c r="E155" s="24"/>
      <c r="F155" s="9"/>
      <c r="G155" s="9"/>
      <c r="H155" s="9"/>
      <c r="I155" s="9"/>
      <c r="J155" s="9"/>
      <c r="K155" s="9"/>
      <c r="L155" s="9"/>
      <c r="M155" s="9"/>
      <c r="N155" s="9"/>
      <c r="O155" s="9"/>
      <c r="P155" s="9"/>
      <c r="Q155" s="9"/>
      <c r="R155" s="9"/>
      <c r="S155" s="9"/>
      <c r="T155" s="9"/>
      <c r="U155" s="9"/>
      <c r="V155" s="9"/>
      <c r="W155" s="9"/>
      <c r="X155" s="9"/>
      <c r="Y155" s="9"/>
      <c r="Z155" s="9"/>
    </row>
    <row r="156" ht="30.0" customHeight="1">
      <c r="A156" s="27"/>
      <c r="B156" s="9"/>
      <c r="C156" s="27"/>
      <c r="D156" s="8"/>
      <c r="E156" s="9" t="s">
        <v>187</v>
      </c>
      <c r="F156" s="9"/>
      <c r="G156" s="9"/>
      <c r="H156" s="9"/>
      <c r="I156" s="9"/>
      <c r="J156" s="9"/>
      <c r="K156" s="9"/>
      <c r="L156" s="9"/>
      <c r="M156" s="9"/>
      <c r="N156" s="9"/>
      <c r="O156" s="9"/>
      <c r="P156" s="9"/>
      <c r="Q156" s="9"/>
      <c r="R156" s="9"/>
      <c r="S156" s="9"/>
      <c r="T156" s="9"/>
      <c r="U156" s="9"/>
      <c r="V156" s="9"/>
      <c r="W156" s="9"/>
      <c r="X156" s="9"/>
      <c r="Y156" s="9"/>
      <c r="Z156" s="9"/>
    </row>
    <row r="157" ht="30.0" customHeight="1">
      <c r="A157" s="27"/>
      <c r="B157" s="9"/>
      <c r="C157" s="27"/>
      <c r="D157" s="8"/>
      <c r="E157" s="24"/>
      <c r="F157" s="9"/>
      <c r="G157" s="9"/>
      <c r="H157" s="9"/>
      <c r="I157" s="9"/>
      <c r="J157" s="9"/>
      <c r="K157" s="9"/>
      <c r="L157" s="9"/>
      <c r="M157" s="9"/>
      <c r="N157" s="9"/>
      <c r="O157" s="9"/>
      <c r="P157" s="9"/>
      <c r="Q157" s="9"/>
      <c r="R157" s="9"/>
      <c r="S157" s="9"/>
      <c r="T157" s="9"/>
      <c r="U157" s="9"/>
      <c r="V157" s="9"/>
      <c r="W157" s="9"/>
      <c r="X157" s="9"/>
      <c r="Y157" s="9"/>
      <c r="Z157" s="9"/>
    </row>
    <row r="158" ht="30.0" customHeight="1">
      <c r="A158" s="27"/>
      <c r="B158" s="9"/>
      <c r="C158" s="27"/>
      <c r="D158" s="8"/>
      <c r="E158" s="9" t="s">
        <v>169</v>
      </c>
      <c r="F158" s="9"/>
      <c r="G158" s="9"/>
      <c r="H158" s="9"/>
      <c r="I158" s="9"/>
      <c r="J158" s="9"/>
      <c r="K158" s="9"/>
      <c r="L158" s="9"/>
      <c r="M158" s="9"/>
      <c r="N158" s="9"/>
      <c r="O158" s="9"/>
      <c r="P158" s="9"/>
      <c r="Q158" s="9"/>
      <c r="R158" s="9"/>
      <c r="S158" s="9"/>
      <c r="T158" s="9"/>
      <c r="U158" s="9"/>
      <c r="V158" s="9"/>
      <c r="W158" s="9"/>
      <c r="X158" s="9"/>
      <c r="Y158" s="9"/>
      <c r="Z158" s="9"/>
    </row>
    <row r="159" ht="30.0" customHeight="1">
      <c r="A159" s="27"/>
      <c r="B159" s="9"/>
      <c r="C159" s="27"/>
      <c r="D159" s="8"/>
      <c r="E159" s="24"/>
      <c r="F159" s="9"/>
      <c r="G159" s="9"/>
      <c r="H159" s="9"/>
      <c r="I159" s="9"/>
      <c r="J159" s="9"/>
      <c r="K159" s="9"/>
      <c r="L159" s="9"/>
      <c r="M159" s="9"/>
      <c r="N159" s="9"/>
      <c r="O159" s="9"/>
      <c r="P159" s="9"/>
      <c r="Q159" s="9"/>
      <c r="R159" s="9"/>
      <c r="S159" s="9"/>
      <c r="T159" s="9"/>
      <c r="U159" s="9"/>
      <c r="V159" s="9"/>
      <c r="W159" s="9"/>
      <c r="X159" s="9"/>
      <c r="Y159" s="9"/>
      <c r="Z159" s="9"/>
    </row>
    <row r="160" ht="30.0" customHeight="1">
      <c r="A160" s="27"/>
      <c r="B160" s="9"/>
      <c r="C160" s="27"/>
      <c r="D160" s="8"/>
      <c r="E160" s="9" t="s">
        <v>170</v>
      </c>
      <c r="F160" s="9"/>
      <c r="G160" s="9"/>
      <c r="H160" s="9"/>
      <c r="I160" s="9"/>
      <c r="J160" s="9"/>
      <c r="K160" s="9"/>
      <c r="L160" s="9"/>
      <c r="M160" s="9"/>
      <c r="N160" s="9"/>
      <c r="O160" s="9"/>
      <c r="P160" s="9"/>
      <c r="Q160" s="9"/>
      <c r="R160" s="9"/>
      <c r="S160" s="9"/>
      <c r="T160" s="9"/>
      <c r="U160" s="9"/>
      <c r="V160" s="9"/>
      <c r="W160" s="9"/>
      <c r="X160" s="9"/>
      <c r="Y160" s="9"/>
      <c r="Z160" s="9"/>
    </row>
    <row r="161" ht="30.0" customHeight="1">
      <c r="A161" s="27"/>
      <c r="B161" s="9"/>
      <c r="C161" s="27"/>
      <c r="D161" s="8"/>
      <c r="E161" s="24"/>
      <c r="F161" s="9"/>
      <c r="G161" s="9"/>
      <c r="H161" s="9"/>
      <c r="I161" s="9"/>
      <c r="J161" s="9"/>
      <c r="K161" s="9"/>
      <c r="L161" s="9"/>
      <c r="M161" s="9"/>
      <c r="N161" s="9"/>
      <c r="O161" s="9"/>
      <c r="P161" s="9"/>
      <c r="Q161" s="9"/>
      <c r="R161" s="9"/>
      <c r="S161" s="9"/>
      <c r="T161" s="9"/>
      <c r="U161" s="9"/>
      <c r="V161" s="9"/>
      <c r="W161" s="9"/>
      <c r="X161" s="9"/>
      <c r="Y161" s="9"/>
      <c r="Z161" s="9"/>
    </row>
    <row r="162" ht="30.0" customHeight="1">
      <c r="A162" s="27"/>
      <c r="B162" s="9"/>
      <c r="C162" s="27"/>
      <c r="D162" s="8"/>
      <c r="E162" s="9" t="s">
        <v>171</v>
      </c>
      <c r="F162" s="9"/>
      <c r="G162" s="9"/>
      <c r="H162" s="9"/>
      <c r="I162" s="9"/>
      <c r="J162" s="9"/>
      <c r="K162" s="9"/>
      <c r="L162" s="9"/>
      <c r="M162" s="9"/>
      <c r="N162" s="9"/>
      <c r="O162" s="9"/>
      <c r="P162" s="9"/>
      <c r="Q162" s="9"/>
      <c r="R162" s="9"/>
      <c r="S162" s="9"/>
      <c r="T162" s="9"/>
      <c r="U162" s="9"/>
      <c r="V162" s="9"/>
      <c r="W162" s="9"/>
      <c r="X162" s="9"/>
      <c r="Y162" s="9"/>
      <c r="Z162" s="9"/>
    </row>
    <row r="163" ht="30.0" customHeight="1">
      <c r="A163" s="27"/>
      <c r="B163" s="9"/>
      <c r="C163" s="27"/>
      <c r="D163" s="8"/>
      <c r="E163" s="24"/>
      <c r="F163" s="9"/>
      <c r="G163" s="9"/>
      <c r="H163" s="9"/>
      <c r="I163" s="9"/>
      <c r="J163" s="9"/>
      <c r="K163" s="9"/>
      <c r="L163" s="9"/>
      <c r="M163" s="9"/>
      <c r="N163" s="9"/>
      <c r="O163" s="9"/>
      <c r="P163" s="9"/>
      <c r="Q163" s="9"/>
      <c r="R163" s="9"/>
      <c r="S163" s="9"/>
      <c r="T163" s="9"/>
      <c r="U163" s="9"/>
      <c r="V163" s="9"/>
      <c r="W163" s="9"/>
      <c r="X163" s="9"/>
      <c r="Y163" s="9"/>
      <c r="Z163" s="9"/>
    </row>
    <row r="164" ht="30.0" customHeight="1">
      <c r="A164" s="27"/>
      <c r="B164" s="9"/>
      <c r="C164" s="27"/>
      <c r="D164" s="8"/>
      <c r="E164" s="9" t="s">
        <v>167</v>
      </c>
      <c r="F164" s="9"/>
      <c r="G164" s="9"/>
      <c r="H164" s="9"/>
      <c r="I164" s="9"/>
      <c r="J164" s="9"/>
      <c r="K164" s="9"/>
      <c r="L164" s="9"/>
      <c r="M164" s="9"/>
      <c r="N164" s="9"/>
      <c r="O164" s="9"/>
      <c r="P164" s="9"/>
      <c r="Q164" s="9"/>
      <c r="R164" s="9"/>
      <c r="S164" s="9"/>
      <c r="T164" s="9"/>
      <c r="U164" s="9"/>
      <c r="V164" s="9"/>
      <c r="W164" s="9"/>
      <c r="X164" s="9"/>
      <c r="Y164" s="9"/>
      <c r="Z164" s="9"/>
    </row>
    <row r="165" ht="30.0" customHeight="1">
      <c r="A165" s="27"/>
      <c r="B165" s="9"/>
      <c r="C165" s="27"/>
      <c r="D165" s="8"/>
      <c r="E165" s="24"/>
      <c r="F165" s="9"/>
      <c r="G165" s="9"/>
      <c r="H165" s="9"/>
      <c r="I165" s="9"/>
      <c r="J165" s="9"/>
      <c r="K165" s="9"/>
      <c r="L165" s="9"/>
      <c r="M165" s="9"/>
      <c r="N165" s="9"/>
      <c r="O165" s="9"/>
      <c r="P165" s="9"/>
      <c r="Q165" s="9"/>
      <c r="R165" s="9"/>
      <c r="S165" s="9"/>
      <c r="T165" s="9"/>
      <c r="U165" s="9"/>
      <c r="V165" s="9"/>
      <c r="W165" s="9"/>
      <c r="X165" s="9"/>
      <c r="Y165" s="9"/>
      <c r="Z165" s="9"/>
    </row>
    <row r="166" ht="30.0" customHeight="1">
      <c r="A166" s="27"/>
      <c r="B166" s="9"/>
      <c r="C166" s="27"/>
      <c r="D166" s="8"/>
      <c r="E166" s="24"/>
      <c r="F166" s="9"/>
      <c r="G166" s="9"/>
      <c r="H166" s="9"/>
      <c r="I166" s="9"/>
      <c r="J166" s="9"/>
      <c r="K166" s="9"/>
      <c r="L166" s="9"/>
      <c r="M166" s="9"/>
      <c r="N166" s="9"/>
      <c r="O166" s="9"/>
      <c r="P166" s="9"/>
      <c r="Q166" s="9"/>
      <c r="R166" s="9"/>
      <c r="S166" s="9"/>
      <c r="T166" s="9"/>
      <c r="U166" s="9"/>
      <c r="V166" s="9"/>
      <c r="W166" s="9"/>
      <c r="X166" s="9"/>
      <c r="Y166" s="9"/>
      <c r="Z166" s="9"/>
    </row>
    <row r="167" ht="30.0" customHeight="1">
      <c r="A167" s="27"/>
      <c r="B167" s="9"/>
      <c r="C167" s="27"/>
      <c r="D167" s="8"/>
      <c r="E167" s="24"/>
      <c r="F167" s="9"/>
      <c r="G167" s="9"/>
      <c r="H167" s="9"/>
      <c r="I167" s="9"/>
      <c r="J167" s="9"/>
      <c r="K167" s="9"/>
      <c r="L167" s="9"/>
      <c r="M167" s="9"/>
      <c r="N167" s="9"/>
      <c r="O167" s="9"/>
      <c r="P167" s="9"/>
      <c r="Q167" s="9"/>
      <c r="R167" s="9"/>
      <c r="S167" s="9"/>
      <c r="T167" s="9"/>
      <c r="U167" s="9"/>
      <c r="V167" s="9"/>
      <c r="W167" s="9"/>
      <c r="X167" s="9"/>
      <c r="Y167" s="9"/>
      <c r="Z167" s="9"/>
    </row>
    <row r="168" ht="30.0" customHeight="1">
      <c r="A168" s="27"/>
      <c r="B168" s="9"/>
      <c r="C168" s="27"/>
      <c r="D168" s="8"/>
      <c r="E168" s="9" t="s">
        <v>188</v>
      </c>
      <c r="F168" s="9"/>
      <c r="G168" s="9"/>
      <c r="H168" s="9"/>
      <c r="I168" s="9"/>
      <c r="J168" s="9"/>
      <c r="K168" s="9"/>
      <c r="L168" s="9"/>
      <c r="M168" s="9"/>
      <c r="N168" s="9"/>
      <c r="O168" s="9"/>
      <c r="P168" s="9"/>
      <c r="Q168" s="9"/>
      <c r="R168" s="9"/>
      <c r="S168" s="9"/>
      <c r="T168" s="9"/>
      <c r="U168" s="9"/>
      <c r="V168" s="9"/>
      <c r="W168" s="9"/>
      <c r="X168" s="9"/>
      <c r="Y168" s="9"/>
      <c r="Z168" s="9"/>
    </row>
    <row r="169" ht="30.0" customHeight="1">
      <c r="A169" s="27"/>
      <c r="B169" s="9"/>
      <c r="C169" s="27"/>
      <c r="D169" s="8"/>
      <c r="E169" s="9"/>
      <c r="F169" s="9"/>
      <c r="G169" s="9"/>
      <c r="H169" s="9"/>
      <c r="I169" s="9"/>
      <c r="J169" s="9"/>
      <c r="K169" s="9"/>
      <c r="L169" s="9"/>
      <c r="M169" s="9"/>
      <c r="N169" s="9"/>
      <c r="O169" s="9"/>
      <c r="P169" s="9"/>
      <c r="Q169" s="9"/>
      <c r="R169" s="9"/>
      <c r="S169" s="9"/>
      <c r="T169" s="9"/>
      <c r="U169" s="9"/>
      <c r="V169" s="9"/>
      <c r="W169" s="9"/>
      <c r="X169" s="9"/>
      <c r="Y169" s="9"/>
      <c r="Z169" s="9"/>
    </row>
    <row r="170" ht="30.0" customHeight="1">
      <c r="A170" s="27"/>
      <c r="B170" s="9"/>
      <c r="C170" s="27"/>
      <c r="D170" s="8"/>
      <c r="E170" s="9"/>
      <c r="F170" s="9"/>
      <c r="G170" s="9"/>
      <c r="H170" s="9"/>
      <c r="I170" s="9"/>
      <c r="J170" s="9"/>
      <c r="K170" s="9"/>
      <c r="L170" s="9"/>
      <c r="M170" s="9"/>
      <c r="N170" s="9"/>
      <c r="O170" s="9"/>
      <c r="P170" s="9"/>
      <c r="Q170" s="9"/>
      <c r="R170" s="9"/>
      <c r="S170" s="9"/>
      <c r="T170" s="9"/>
      <c r="U170" s="9"/>
      <c r="V170" s="9"/>
      <c r="W170" s="9"/>
      <c r="X170" s="9"/>
      <c r="Y170" s="9"/>
      <c r="Z170" s="9"/>
    </row>
    <row r="171" ht="30.0" customHeight="1">
      <c r="A171" s="27"/>
      <c r="B171" s="9"/>
      <c r="C171" s="27"/>
      <c r="D171" s="8"/>
      <c r="E171" s="9"/>
      <c r="F171" s="9"/>
      <c r="G171" s="9"/>
      <c r="H171" s="9"/>
      <c r="I171" s="9"/>
      <c r="J171" s="9"/>
      <c r="K171" s="9"/>
      <c r="L171" s="9"/>
      <c r="M171" s="9"/>
      <c r="N171" s="9"/>
      <c r="O171" s="9"/>
      <c r="P171" s="9"/>
      <c r="Q171" s="9"/>
      <c r="R171" s="9"/>
      <c r="S171" s="9"/>
      <c r="T171" s="9"/>
      <c r="U171" s="9"/>
      <c r="V171" s="9"/>
      <c r="W171" s="9"/>
      <c r="X171" s="9"/>
      <c r="Y171" s="9"/>
      <c r="Z171" s="9"/>
    </row>
    <row r="172" ht="30.0" customHeight="1">
      <c r="A172" s="27"/>
      <c r="B172" s="9"/>
      <c r="C172" s="27"/>
      <c r="D172" s="8"/>
      <c r="E172" s="9"/>
      <c r="F172" s="9"/>
      <c r="G172" s="9"/>
      <c r="H172" s="9"/>
      <c r="I172" s="9"/>
      <c r="J172" s="9"/>
      <c r="K172" s="9"/>
      <c r="L172" s="9"/>
      <c r="M172" s="9"/>
      <c r="N172" s="9"/>
      <c r="O172" s="9"/>
      <c r="P172" s="9"/>
      <c r="Q172" s="9"/>
      <c r="R172" s="9"/>
      <c r="S172" s="9"/>
      <c r="T172" s="9"/>
      <c r="U172" s="9"/>
      <c r="V172" s="9"/>
      <c r="W172" s="9"/>
      <c r="X172" s="9"/>
      <c r="Y172" s="9"/>
      <c r="Z172" s="9"/>
    </row>
    <row r="173" ht="30.0" customHeight="1">
      <c r="A173" s="27"/>
      <c r="B173" s="9"/>
      <c r="C173" s="27"/>
      <c r="D173" s="8"/>
      <c r="E173" s="9"/>
      <c r="F173" s="9"/>
      <c r="G173" s="9"/>
      <c r="H173" s="9"/>
      <c r="I173" s="9"/>
      <c r="J173" s="9"/>
      <c r="K173" s="9"/>
      <c r="L173" s="9"/>
      <c r="M173" s="9"/>
      <c r="N173" s="9"/>
      <c r="O173" s="9"/>
      <c r="P173" s="9"/>
      <c r="Q173" s="9"/>
      <c r="R173" s="9"/>
      <c r="S173" s="9"/>
      <c r="T173" s="9"/>
      <c r="U173" s="9"/>
      <c r="V173" s="9"/>
      <c r="W173" s="9"/>
      <c r="X173" s="9"/>
      <c r="Y173" s="9"/>
      <c r="Z173" s="9"/>
    </row>
    <row r="174" ht="30.0" customHeight="1">
      <c r="A174" s="27"/>
      <c r="B174" s="9"/>
      <c r="C174" s="27"/>
      <c r="D174" s="8"/>
      <c r="E174" s="9"/>
      <c r="F174" s="9"/>
      <c r="G174" s="9"/>
      <c r="H174" s="9"/>
      <c r="I174" s="9"/>
      <c r="J174" s="9"/>
      <c r="K174" s="9"/>
      <c r="L174" s="9"/>
      <c r="M174" s="9"/>
      <c r="N174" s="9"/>
      <c r="O174" s="9"/>
      <c r="P174" s="9"/>
      <c r="Q174" s="9"/>
      <c r="R174" s="9"/>
      <c r="S174" s="9"/>
      <c r="T174" s="9"/>
      <c r="U174" s="9"/>
      <c r="V174" s="9"/>
      <c r="W174" s="9"/>
      <c r="X174" s="9"/>
      <c r="Y174" s="9"/>
      <c r="Z174" s="9"/>
    </row>
    <row r="175" ht="30.0" customHeight="1">
      <c r="A175" s="27"/>
      <c r="B175" s="9"/>
      <c r="C175" s="27"/>
      <c r="D175" s="8"/>
      <c r="E175" s="9"/>
      <c r="F175" s="9"/>
      <c r="G175" s="9"/>
      <c r="H175" s="9"/>
      <c r="I175" s="9"/>
      <c r="J175" s="9"/>
      <c r="K175" s="9"/>
      <c r="L175" s="9"/>
      <c r="M175" s="9"/>
      <c r="N175" s="9"/>
      <c r="O175" s="9"/>
      <c r="P175" s="9"/>
      <c r="Q175" s="9"/>
      <c r="R175" s="9"/>
      <c r="S175" s="9"/>
      <c r="T175" s="9"/>
      <c r="U175" s="9"/>
      <c r="V175" s="9"/>
      <c r="W175" s="9"/>
      <c r="X175" s="9"/>
      <c r="Y175" s="9"/>
      <c r="Z175" s="9"/>
    </row>
    <row r="176" ht="30.0" customHeight="1">
      <c r="A176" s="27"/>
      <c r="B176" s="9"/>
      <c r="C176" s="27"/>
      <c r="D176" s="8"/>
      <c r="E176" s="9"/>
      <c r="F176" s="9"/>
      <c r="G176" s="9"/>
      <c r="H176" s="9"/>
      <c r="I176" s="9"/>
      <c r="J176" s="9"/>
      <c r="K176" s="9"/>
      <c r="L176" s="9"/>
      <c r="M176" s="9"/>
      <c r="N176" s="9"/>
      <c r="O176" s="9"/>
      <c r="P176" s="9"/>
      <c r="Q176" s="9"/>
      <c r="R176" s="9"/>
      <c r="S176" s="9"/>
      <c r="T176" s="9"/>
      <c r="U176" s="9"/>
      <c r="V176" s="9"/>
      <c r="W176" s="9"/>
      <c r="X176" s="9"/>
      <c r="Y176" s="9"/>
      <c r="Z176" s="9"/>
    </row>
    <row r="177" ht="30.0" customHeight="1">
      <c r="A177" s="27"/>
      <c r="B177" s="9"/>
      <c r="C177" s="27"/>
      <c r="D177" s="8"/>
      <c r="E177" s="9"/>
      <c r="F177" s="9"/>
      <c r="G177" s="9"/>
      <c r="H177" s="9"/>
      <c r="I177" s="9"/>
      <c r="J177" s="9"/>
      <c r="K177" s="9"/>
      <c r="L177" s="9"/>
      <c r="M177" s="9"/>
      <c r="N177" s="9"/>
      <c r="O177" s="9"/>
      <c r="P177" s="9"/>
      <c r="Q177" s="9"/>
      <c r="R177" s="9"/>
      <c r="S177" s="9"/>
      <c r="T177" s="9"/>
      <c r="U177" s="9"/>
      <c r="V177" s="9"/>
      <c r="W177" s="9"/>
      <c r="X177" s="9"/>
      <c r="Y177" s="9"/>
      <c r="Z177" s="9"/>
    </row>
    <row r="178" ht="30.0" customHeight="1">
      <c r="A178" s="27"/>
      <c r="B178" s="9"/>
      <c r="C178" s="27"/>
      <c r="D178" s="8"/>
      <c r="E178" s="9"/>
      <c r="F178" s="9"/>
      <c r="G178" s="9"/>
      <c r="H178" s="9"/>
      <c r="I178" s="9"/>
      <c r="J178" s="9"/>
      <c r="K178" s="9"/>
      <c r="L178" s="9"/>
      <c r="M178" s="9"/>
      <c r="N178" s="9"/>
      <c r="O178" s="9"/>
      <c r="P178" s="9"/>
      <c r="Q178" s="9"/>
      <c r="R178" s="9"/>
      <c r="S178" s="9"/>
      <c r="T178" s="9"/>
      <c r="U178" s="9"/>
      <c r="V178" s="9"/>
      <c r="W178" s="9"/>
      <c r="X178" s="9"/>
      <c r="Y178" s="9"/>
      <c r="Z178" s="9"/>
    </row>
    <row r="179" ht="30.0" customHeight="1">
      <c r="A179" s="27"/>
      <c r="B179" s="9"/>
      <c r="C179" s="27"/>
      <c r="D179" s="8"/>
      <c r="E179" s="9"/>
      <c r="F179" s="9"/>
      <c r="G179" s="9"/>
      <c r="H179" s="9"/>
      <c r="I179" s="9"/>
      <c r="J179" s="9"/>
      <c r="K179" s="9"/>
      <c r="L179" s="9"/>
      <c r="M179" s="9"/>
      <c r="N179" s="9"/>
      <c r="O179" s="9"/>
      <c r="P179" s="9"/>
      <c r="Q179" s="9"/>
      <c r="R179" s="9"/>
      <c r="S179" s="9"/>
      <c r="T179" s="9"/>
      <c r="U179" s="9"/>
      <c r="V179" s="9"/>
      <c r="W179" s="9"/>
      <c r="X179" s="9"/>
      <c r="Y179" s="9"/>
      <c r="Z179" s="9"/>
    </row>
    <row r="180" ht="30.0" customHeight="1">
      <c r="A180" s="27"/>
      <c r="B180" s="9"/>
      <c r="C180" s="27"/>
      <c r="D180" s="8"/>
      <c r="E180" s="9"/>
      <c r="F180" s="9"/>
      <c r="G180" s="9"/>
      <c r="H180" s="9"/>
      <c r="I180" s="9"/>
      <c r="J180" s="9"/>
      <c r="K180" s="9"/>
      <c r="L180" s="9"/>
      <c r="M180" s="9"/>
      <c r="N180" s="9"/>
      <c r="O180" s="9"/>
      <c r="P180" s="9"/>
      <c r="Q180" s="9"/>
      <c r="R180" s="9"/>
      <c r="S180" s="9"/>
      <c r="T180" s="9"/>
      <c r="U180" s="9"/>
      <c r="V180" s="9"/>
      <c r="W180" s="9"/>
      <c r="X180" s="9"/>
      <c r="Y180" s="9"/>
      <c r="Z180" s="9"/>
    </row>
    <row r="181" ht="30.0" customHeight="1">
      <c r="A181" s="27"/>
      <c r="B181" s="9"/>
      <c r="C181" s="27"/>
      <c r="D181" s="8"/>
      <c r="E181" s="9"/>
      <c r="F181" s="9"/>
      <c r="G181" s="9"/>
      <c r="H181" s="9"/>
      <c r="I181" s="9"/>
      <c r="J181" s="9"/>
      <c r="K181" s="9"/>
      <c r="L181" s="9"/>
      <c r="M181" s="9"/>
      <c r="N181" s="9"/>
      <c r="O181" s="9"/>
      <c r="P181" s="9"/>
      <c r="Q181" s="9"/>
      <c r="R181" s="9"/>
      <c r="S181" s="9"/>
      <c r="T181" s="9"/>
      <c r="U181" s="9"/>
      <c r="V181" s="9"/>
      <c r="W181" s="9"/>
      <c r="X181" s="9"/>
      <c r="Y181" s="9"/>
      <c r="Z181" s="9"/>
    </row>
    <row r="182" ht="30.0" customHeight="1">
      <c r="A182" s="27"/>
      <c r="B182" s="9"/>
      <c r="C182" s="27"/>
      <c r="D182" s="8"/>
      <c r="E182" s="9"/>
      <c r="F182" s="9"/>
      <c r="G182" s="9"/>
      <c r="H182" s="9"/>
      <c r="I182" s="9"/>
      <c r="J182" s="9"/>
      <c r="K182" s="9"/>
      <c r="L182" s="9"/>
      <c r="M182" s="9"/>
      <c r="N182" s="9"/>
      <c r="O182" s="9"/>
      <c r="P182" s="9"/>
      <c r="Q182" s="9"/>
      <c r="R182" s="9"/>
      <c r="S182" s="9"/>
      <c r="T182" s="9"/>
      <c r="U182" s="9"/>
      <c r="V182" s="9"/>
      <c r="W182" s="9"/>
      <c r="X182" s="9"/>
      <c r="Y182" s="9"/>
      <c r="Z182" s="9"/>
    </row>
    <row r="183" ht="30.0" customHeight="1">
      <c r="A183" s="27"/>
      <c r="B183" s="9"/>
      <c r="C183" s="27"/>
      <c r="D183" s="8"/>
      <c r="E183" s="9"/>
      <c r="F183" s="9"/>
      <c r="G183" s="9"/>
      <c r="H183" s="9"/>
      <c r="I183" s="9"/>
      <c r="J183" s="9"/>
      <c r="K183" s="9"/>
      <c r="L183" s="9"/>
      <c r="M183" s="9"/>
      <c r="N183" s="9"/>
      <c r="O183" s="9"/>
      <c r="P183" s="9"/>
      <c r="Q183" s="9"/>
      <c r="R183" s="9"/>
      <c r="S183" s="9"/>
      <c r="T183" s="9"/>
      <c r="U183" s="9"/>
      <c r="V183" s="9"/>
      <c r="W183" s="9"/>
      <c r="X183" s="9"/>
      <c r="Y183" s="9"/>
      <c r="Z183" s="9"/>
    </row>
    <row r="184" ht="30.0" customHeight="1">
      <c r="A184" s="27"/>
      <c r="B184" s="9"/>
      <c r="C184" s="27"/>
      <c r="D184" s="8"/>
      <c r="E184" s="9"/>
      <c r="F184" s="9"/>
      <c r="G184" s="9"/>
      <c r="H184" s="9"/>
      <c r="I184" s="9"/>
      <c r="J184" s="9"/>
      <c r="K184" s="9"/>
      <c r="L184" s="9"/>
      <c r="M184" s="9"/>
      <c r="N184" s="9"/>
      <c r="O184" s="9"/>
      <c r="P184" s="9"/>
      <c r="Q184" s="9"/>
      <c r="R184" s="9"/>
      <c r="S184" s="9"/>
      <c r="T184" s="9"/>
      <c r="U184" s="9"/>
      <c r="V184" s="9"/>
      <c r="W184" s="9"/>
      <c r="X184" s="9"/>
      <c r="Y184" s="9"/>
      <c r="Z184" s="9"/>
    </row>
    <row r="185" ht="30.0" customHeight="1">
      <c r="A185" s="27"/>
      <c r="B185" s="9"/>
      <c r="C185" s="27"/>
      <c r="D185" s="8"/>
      <c r="E185" s="9"/>
      <c r="F185" s="9"/>
      <c r="G185" s="9"/>
      <c r="H185" s="9"/>
      <c r="I185" s="9"/>
      <c r="J185" s="9"/>
      <c r="K185" s="9"/>
      <c r="L185" s="9"/>
      <c r="M185" s="9"/>
      <c r="N185" s="9"/>
      <c r="O185" s="9"/>
      <c r="P185" s="9"/>
      <c r="Q185" s="9"/>
      <c r="R185" s="9"/>
      <c r="S185" s="9"/>
      <c r="T185" s="9"/>
      <c r="U185" s="9"/>
      <c r="V185" s="9"/>
      <c r="W185" s="9"/>
      <c r="X185" s="9"/>
      <c r="Y185" s="9"/>
      <c r="Z185" s="9"/>
    </row>
    <row r="186" ht="30.0" customHeight="1">
      <c r="A186" s="27"/>
      <c r="B186" s="9"/>
      <c r="C186" s="27"/>
      <c r="D186" s="8"/>
      <c r="E186" s="9"/>
      <c r="F186" s="9"/>
      <c r="G186" s="9"/>
      <c r="H186" s="9"/>
      <c r="I186" s="9"/>
      <c r="J186" s="9"/>
      <c r="K186" s="9"/>
      <c r="L186" s="9"/>
      <c r="M186" s="9"/>
      <c r="N186" s="9"/>
      <c r="O186" s="9"/>
      <c r="P186" s="9"/>
      <c r="Q186" s="9"/>
      <c r="R186" s="9"/>
      <c r="S186" s="9"/>
      <c r="T186" s="9"/>
      <c r="U186" s="9"/>
      <c r="V186" s="9"/>
      <c r="W186" s="9"/>
      <c r="X186" s="9"/>
      <c r="Y186" s="9"/>
      <c r="Z186" s="9"/>
    </row>
    <row r="187" ht="30.0" customHeight="1">
      <c r="A187" s="27"/>
      <c r="B187" s="9"/>
      <c r="C187" s="27"/>
      <c r="D187" s="8"/>
      <c r="E187" s="9"/>
      <c r="F187" s="9"/>
      <c r="G187" s="9"/>
      <c r="H187" s="9"/>
      <c r="I187" s="9"/>
      <c r="J187" s="9"/>
      <c r="K187" s="9"/>
      <c r="L187" s="9"/>
      <c r="M187" s="9"/>
      <c r="N187" s="9"/>
      <c r="O187" s="9"/>
      <c r="P187" s="9"/>
      <c r="Q187" s="9"/>
      <c r="R187" s="9"/>
      <c r="S187" s="9"/>
      <c r="T187" s="9"/>
      <c r="U187" s="9"/>
      <c r="V187" s="9"/>
      <c r="W187" s="9"/>
      <c r="X187" s="9"/>
      <c r="Y187" s="9"/>
      <c r="Z187" s="9"/>
    </row>
    <row r="188" ht="30.0" customHeight="1">
      <c r="A188" s="27"/>
      <c r="B188" s="9"/>
      <c r="C188" s="27"/>
      <c r="D188" s="8"/>
      <c r="E188" s="9"/>
      <c r="F188" s="9"/>
      <c r="G188" s="9"/>
      <c r="H188" s="9"/>
      <c r="I188" s="9"/>
      <c r="J188" s="9"/>
      <c r="K188" s="9"/>
      <c r="L188" s="9"/>
      <c r="M188" s="9"/>
      <c r="N188" s="9"/>
      <c r="O188" s="9"/>
      <c r="P188" s="9"/>
      <c r="Q188" s="9"/>
      <c r="R188" s="9"/>
      <c r="S188" s="9"/>
      <c r="T188" s="9"/>
      <c r="U188" s="9"/>
      <c r="V188" s="9"/>
      <c r="W188" s="9"/>
      <c r="X188" s="9"/>
      <c r="Y188" s="9"/>
      <c r="Z188" s="9"/>
    </row>
    <row r="189" ht="30.0" customHeight="1">
      <c r="A189" s="27"/>
      <c r="B189" s="9"/>
      <c r="C189" s="27"/>
      <c r="D189" s="8"/>
      <c r="E189" s="9"/>
      <c r="F189" s="9"/>
      <c r="G189" s="9"/>
      <c r="H189" s="9"/>
      <c r="I189" s="9"/>
      <c r="J189" s="9"/>
      <c r="K189" s="9"/>
      <c r="L189" s="9"/>
      <c r="M189" s="9"/>
      <c r="N189" s="9"/>
      <c r="O189" s="9"/>
      <c r="P189" s="9"/>
      <c r="Q189" s="9"/>
      <c r="R189" s="9"/>
      <c r="S189" s="9"/>
      <c r="T189" s="9"/>
      <c r="U189" s="9"/>
      <c r="V189" s="9"/>
      <c r="W189" s="9"/>
      <c r="X189" s="9"/>
      <c r="Y189" s="9"/>
      <c r="Z189" s="9"/>
    </row>
    <row r="190" ht="30.0" customHeight="1">
      <c r="A190" s="27"/>
      <c r="B190" s="9"/>
      <c r="C190" s="27"/>
      <c r="D190" s="8"/>
      <c r="E190" s="9"/>
      <c r="F190" s="9"/>
      <c r="G190" s="9"/>
      <c r="H190" s="9"/>
      <c r="I190" s="9"/>
      <c r="J190" s="9"/>
      <c r="K190" s="9"/>
      <c r="L190" s="9"/>
      <c r="M190" s="9"/>
      <c r="N190" s="9"/>
      <c r="O190" s="9"/>
      <c r="P190" s="9"/>
      <c r="Q190" s="9"/>
      <c r="R190" s="9"/>
      <c r="S190" s="9"/>
      <c r="T190" s="9"/>
      <c r="U190" s="9"/>
      <c r="V190" s="9"/>
      <c r="W190" s="9"/>
      <c r="X190" s="9"/>
      <c r="Y190" s="9"/>
      <c r="Z190" s="9"/>
    </row>
    <row r="191" ht="30.0" customHeight="1">
      <c r="A191" s="27"/>
      <c r="B191" s="9"/>
      <c r="C191" s="27"/>
      <c r="D191" s="8"/>
      <c r="E191" s="9"/>
      <c r="F191" s="9"/>
      <c r="G191" s="9"/>
      <c r="H191" s="9"/>
      <c r="I191" s="9"/>
      <c r="J191" s="9"/>
      <c r="K191" s="9"/>
      <c r="L191" s="9"/>
      <c r="M191" s="9"/>
      <c r="N191" s="9"/>
      <c r="O191" s="9"/>
      <c r="P191" s="9"/>
      <c r="Q191" s="9"/>
      <c r="R191" s="9"/>
      <c r="S191" s="9"/>
      <c r="T191" s="9"/>
      <c r="U191" s="9"/>
      <c r="V191" s="9"/>
      <c r="W191" s="9"/>
      <c r="X191" s="9"/>
      <c r="Y191" s="9"/>
      <c r="Z191" s="9"/>
    </row>
    <row r="192" ht="30.0" customHeight="1">
      <c r="A192" s="27"/>
      <c r="B192" s="9"/>
      <c r="C192" s="27"/>
      <c r="D192" s="8"/>
      <c r="E192" s="9"/>
      <c r="F192" s="9"/>
      <c r="G192" s="9"/>
      <c r="H192" s="9"/>
      <c r="I192" s="9"/>
      <c r="J192" s="9"/>
      <c r="K192" s="9"/>
      <c r="L192" s="9"/>
      <c r="M192" s="9"/>
      <c r="N192" s="9"/>
      <c r="O192" s="9"/>
      <c r="P192" s="9"/>
      <c r="Q192" s="9"/>
      <c r="R192" s="9"/>
      <c r="S192" s="9"/>
      <c r="T192" s="9"/>
      <c r="U192" s="9"/>
      <c r="V192" s="9"/>
      <c r="W192" s="9"/>
      <c r="X192" s="9"/>
      <c r="Y192" s="9"/>
      <c r="Z192" s="9"/>
    </row>
    <row r="193" ht="30.0" customHeight="1">
      <c r="A193" s="27"/>
      <c r="B193" s="9"/>
      <c r="C193" s="27"/>
      <c r="D193" s="8"/>
      <c r="E193" s="9"/>
      <c r="F193" s="9"/>
      <c r="G193" s="9"/>
      <c r="H193" s="9"/>
      <c r="I193" s="9"/>
      <c r="J193" s="9"/>
      <c r="K193" s="9"/>
      <c r="L193" s="9"/>
      <c r="M193" s="9"/>
      <c r="N193" s="9"/>
      <c r="O193" s="9"/>
      <c r="P193" s="9"/>
      <c r="Q193" s="9"/>
      <c r="R193" s="9"/>
      <c r="S193" s="9"/>
      <c r="T193" s="9"/>
      <c r="U193" s="9"/>
      <c r="V193" s="9"/>
      <c r="W193" s="9"/>
      <c r="X193" s="9"/>
      <c r="Y193" s="9"/>
      <c r="Z193" s="9"/>
    </row>
    <row r="194" ht="30.0" customHeight="1">
      <c r="A194" s="27"/>
      <c r="B194" s="9"/>
      <c r="C194" s="27"/>
      <c r="D194" s="8"/>
      <c r="E194" s="9"/>
      <c r="F194" s="9"/>
      <c r="G194" s="9"/>
      <c r="H194" s="9"/>
      <c r="I194" s="9"/>
      <c r="J194" s="9"/>
      <c r="K194" s="9"/>
      <c r="L194" s="9"/>
      <c r="M194" s="9"/>
      <c r="N194" s="9"/>
      <c r="O194" s="9"/>
      <c r="P194" s="9"/>
      <c r="Q194" s="9"/>
      <c r="R194" s="9"/>
      <c r="S194" s="9"/>
      <c r="T194" s="9"/>
      <c r="U194" s="9"/>
      <c r="V194" s="9"/>
      <c r="W194" s="9"/>
      <c r="X194" s="9"/>
      <c r="Y194" s="9"/>
      <c r="Z194" s="9"/>
    </row>
    <row r="195" ht="30.0" customHeight="1">
      <c r="A195" s="27"/>
      <c r="B195" s="9"/>
      <c r="C195" s="27"/>
      <c r="D195" s="8"/>
      <c r="E195" s="9"/>
      <c r="F195" s="9"/>
      <c r="G195" s="9"/>
      <c r="H195" s="9"/>
      <c r="I195" s="9"/>
      <c r="J195" s="9"/>
      <c r="K195" s="9"/>
      <c r="L195" s="9"/>
      <c r="M195" s="9"/>
      <c r="N195" s="9"/>
      <c r="O195" s="9"/>
      <c r="P195" s="9"/>
      <c r="Q195" s="9"/>
      <c r="R195" s="9"/>
      <c r="S195" s="9"/>
      <c r="T195" s="9"/>
      <c r="U195" s="9"/>
      <c r="V195" s="9"/>
      <c r="W195" s="9"/>
      <c r="X195" s="9"/>
      <c r="Y195" s="9"/>
      <c r="Z195" s="9"/>
    </row>
    <row r="196" ht="30.0" customHeight="1">
      <c r="A196" s="27"/>
      <c r="B196" s="9"/>
      <c r="C196" s="27"/>
      <c r="D196" s="8"/>
      <c r="E196" s="9"/>
      <c r="F196" s="9"/>
      <c r="G196" s="9"/>
      <c r="H196" s="9"/>
      <c r="I196" s="9"/>
      <c r="J196" s="9"/>
      <c r="K196" s="9"/>
      <c r="L196" s="9"/>
      <c r="M196" s="9"/>
      <c r="N196" s="9"/>
      <c r="O196" s="9"/>
      <c r="P196" s="9"/>
      <c r="Q196" s="9"/>
      <c r="R196" s="9"/>
      <c r="S196" s="9"/>
      <c r="T196" s="9"/>
      <c r="U196" s="9"/>
      <c r="V196" s="9"/>
      <c r="W196" s="9"/>
      <c r="X196" s="9"/>
      <c r="Y196" s="9"/>
      <c r="Z196" s="9"/>
    </row>
    <row r="197" ht="30.0" customHeight="1">
      <c r="A197" s="27"/>
      <c r="B197" s="9"/>
      <c r="C197" s="27"/>
      <c r="D197" s="8"/>
      <c r="E197" s="9"/>
      <c r="F197" s="9"/>
      <c r="G197" s="9"/>
      <c r="H197" s="9"/>
      <c r="I197" s="9"/>
      <c r="J197" s="9"/>
      <c r="K197" s="9"/>
      <c r="L197" s="9"/>
      <c r="M197" s="9"/>
      <c r="N197" s="9"/>
      <c r="O197" s="9"/>
      <c r="P197" s="9"/>
      <c r="Q197" s="9"/>
      <c r="R197" s="9"/>
      <c r="S197" s="9"/>
      <c r="T197" s="9"/>
      <c r="U197" s="9"/>
      <c r="V197" s="9"/>
      <c r="W197" s="9"/>
      <c r="X197" s="9"/>
      <c r="Y197" s="9"/>
      <c r="Z197" s="9"/>
    </row>
    <row r="198" ht="30.0" customHeight="1">
      <c r="A198" s="27"/>
      <c r="B198" s="9"/>
      <c r="C198" s="27"/>
      <c r="D198" s="8"/>
      <c r="E198" s="9"/>
      <c r="F198" s="9"/>
      <c r="G198" s="9"/>
      <c r="H198" s="9"/>
      <c r="I198" s="9"/>
      <c r="J198" s="9"/>
      <c r="K198" s="9"/>
      <c r="L198" s="9"/>
      <c r="M198" s="9"/>
      <c r="N198" s="9"/>
      <c r="O198" s="9"/>
      <c r="P198" s="9"/>
      <c r="Q198" s="9"/>
      <c r="R198" s="9"/>
      <c r="S198" s="9"/>
      <c r="T198" s="9"/>
      <c r="U198" s="9"/>
      <c r="V198" s="9"/>
      <c r="W198" s="9"/>
      <c r="X198" s="9"/>
      <c r="Y198" s="9"/>
      <c r="Z198" s="9"/>
    </row>
    <row r="199" ht="30.0" customHeight="1">
      <c r="A199" s="27"/>
      <c r="B199" s="9"/>
      <c r="C199" s="27"/>
      <c r="D199" s="8"/>
      <c r="E199" s="9"/>
      <c r="F199" s="9"/>
      <c r="G199" s="9"/>
      <c r="H199" s="9"/>
      <c r="I199" s="9"/>
      <c r="J199" s="9"/>
      <c r="K199" s="9"/>
      <c r="L199" s="9"/>
      <c r="M199" s="9"/>
      <c r="N199" s="9"/>
      <c r="O199" s="9"/>
      <c r="P199" s="9"/>
      <c r="Q199" s="9"/>
      <c r="R199" s="9"/>
      <c r="S199" s="9"/>
      <c r="T199" s="9"/>
      <c r="U199" s="9"/>
      <c r="V199" s="9"/>
      <c r="W199" s="9"/>
      <c r="X199" s="9"/>
      <c r="Y199" s="9"/>
      <c r="Z199" s="9"/>
    </row>
    <row r="200" ht="30.0" customHeight="1">
      <c r="A200" s="27"/>
      <c r="B200" s="9"/>
      <c r="C200" s="27"/>
      <c r="D200" s="8"/>
      <c r="E200" s="9"/>
      <c r="F200" s="9"/>
      <c r="G200" s="9"/>
      <c r="H200" s="9"/>
      <c r="I200" s="9"/>
      <c r="J200" s="9"/>
      <c r="K200" s="9"/>
      <c r="L200" s="9"/>
      <c r="M200" s="9"/>
      <c r="N200" s="9"/>
      <c r="O200" s="9"/>
      <c r="P200" s="9"/>
      <c r="Q200" s="9"/>
      <c r="R200" s="9"/>
      <c r="S200" s="9"/>
      <c r="T200" s="9"/>
      <c r="U200" s="9"/>
      <c r="V200" s="9"/>
      <c r="W200" s="9"/>
      <c r="X200" s="9"/>
      <c r="Y200" s="9"/>
      <c r="Z200" s="9"/>
    </row>
    <row r="201" ht="30.0" customHeight="1">
      <c r="A201" s="27"/>
      <c r="B201" s="9"/>
      <c r="C201" s="27"/>
      <c r="D201" s="8"/>
      <c r="E201" s="9"/>
      <c r="F201" s="9"/>
      <c r="G201" s="9"/>
      <c r="H201" s="9"/>
      <c r="I201" s="9"/>
      <c r="J201" s="9"/>
      <c r="K201" s="9"/>
      <c r="L201" s="9"/>
      <c r="M201" s="9"/>
      <c r="N201" s="9"/>
      <c r="O201" s="9"/>
      <c r="P201" s="9"/>
      <c r="Q201" s="9"/>
      <c r="R201" s="9"/>
      <c r="S201" s="9"/>
      <c r="T201" s="9"/>
      <c r="U201" s="9"/>
      <c r="V201" s="9"/>
      <c r="W201" s="9"/>
      <c r="X201" s="9"/>
      <c r="Y201" s="9"/>
      <c r="Z201" s="9"/>
    </row>
    <row r="202" ht="30.0" customHeight="1">
      <c r="A202" s="27"/>
      <c r="B202" s="9"/>
      <c r="C202" s="27"/>
      <c r="D202" s="8"/>
      <c r="E202" s="9"/>
      <c r="F202" s="9"/>
      <c r="G202" s="9"/>
      <c r="H202" s="9"/>
      <c r="I202" s="9"/>
      <c r="J202" s="9"/>
      <c r="K202" s="9"/>
      <c r="L202" s="9"/>
      <c r="M202" s="9"/>
      <c r="N202" s="9"/>
      <c r="O202" s="9"/>
      <c r="P202" s="9"/>
      <c r="Q202" s="9"/>
      <c r="R202" s="9"/>
      <c r="S202" s="9"/>
      <c r="T202" s="9"/>
      <c r="U202" s="9"/>
      <c r="V202" s="9"/>
      <c r="W202" s="9"/>
      <c r="X202" s="9"/>
      <c r="Y202" s="9"/>
      <c r="Z202" s="9"/>
    </row>
    <row r="203" ht="30.0" customHeight="1">
      <c r="A203" s="27"/>
      <c r="B203" s="9"/>
      <c r="C203" s="27"/>
      <c r="D203" s="8"/>
      <c r="E203" s="9"/>
      <c r="F203" s="9"/>
      <c r="G203" s="9"/>
      <c r="H203" s="9"/>
      <c r="I203" s="9"/>
      <c r="J203" s="9"/>
      <c r="K203" s="9"/>
      <c r="L203" s="9"/>
      <c r="M203" s="9"/>
      <c r="N203" s="9"/>
      <c r="O203" s="9"/>
      <c r="P203" s="9"/>
      <c r="Q203" s="9"/>
      <c r="R203" s="9"/>
      <c r="S203" s="9"/>
      <c r="T203" s="9"/>
      <c r="U203" s="9"/>
      <c r="V203" s="9"/>
      <c r="W203" s="9"/>
      <c r="X203" s="9"/>
      <c r="Y203" s="9"/>
      <c r="Z203" s="9"/>
    </row>
    <row r="204" ht="30.0" customHeight="1">
      <c r="A204" s="27"/>
      <c r="B204" s="9"/>
      <c r="C204" s="27"/>
      <c r="D204" s="8"/>
      <c r="E204" s="9"/>
      <c r="F204" s="9"/>
      <c r="G204" s="9"/>
      <c r="H204" s="9"/>
      <c r="I204" s="9"/>
      <c r="J204" s="9"/>
      <c r="K204" s="9"/>
      <c r="L204" s="9"/>
      <c r="M204" s="9"/>
      <c r="N204" s="9"/>
      <c r="O204" s="9"/>
      <c r="P204" s="9"/>
      <c r="Q204" s="9"/>
      <c r="R204" s="9"/>
      <c r="S204" s="9"/>
      <c r="T204" s="9"/>
      <c r="U204" s="9"/>
      <c r="V204" s="9"/>
      <c r="W204" s="9"/>
      <c r="X204" s="9"/>
      <c r="Y204" s="9"/>
      <c r="Z204" s="9"/>
    </row>
    <row r="205" ht="30.0" customHeight="1">
      <c r="A205" s="27"/>
      <c r="B205" s="9"/>
      <c r="C205" s="27"/>
      <c r="D205" s="8"/>
      <c r="E205" s="9"/>
      <c r="F205" s="9"/>
      <c r="G205" s="9"/>
      <c r="H205" s="9"/>
      <c r="I205" s="9"/>
      <c r="J205" s="9"/>
      <c r="K205" s="9"/>
      <c r="L205" s="9"/>
      <c r="M205" s="9"/>
      <c r="N205" s="9"/>
      <c r="O205" s="9"/>
      <c r="P205" s="9"/>
      <c r="Q205" s="9"/>
      <c r="R205" s="9"/>
      <c r="S205" s="9"/>
      <c r="T205" s="9"/>
      <c r="U205" s="9"/>
      <c r="V205" s="9"/>
      <c r="W205" s="9"/>
      <c r="X205" s="9"/>
      <c r="Y205" s="9"/>
      <c r="Z205" s="9"/>
    </row>
    <row r="206" ht="30.0" customHeight="1">
      <c r="A206" s="27"/>
      <c r="B206" s="9"/>
      <c r="C206" s="27"/>
      <c r="D206" s="8"/>
      <c r="E206" s="9"/>
      <c r="F206" s="9"/>
      <c r="G206" s="9"/>
      <c r="H206" s="9"/>
      <c r="I206" s="9"/>
      <c r="J206" s="9"/>
      <c r="K206" s="9"/>
      <c r="L206" s="9"/>
      <c r="M206" s="9"/>
      <c r="N206" s="9"/>
      <c r="O206" s="9"/>
      <c r="P206" s="9"/>
      <c r="Q206" s="9"/>
      <c r="R206" s="9"/>
      <c r="S206" s="9"/>
      <c r="T206" s="9"/>
      <c r="U206" s="9"/>
      <c r="V206" s="9"/>
      <c r="W206" s="9"/>
      <c r="X206" s="9"/>
      <c r="Y206" s="9"/>
      <c r="Z206" s="9"/>
    </row>
    <row r="207" ht="30.0" customHeight="1">
      <c r="A207" s="27"/>
      <c r="B207" s="9"/>
      <c r="C207" s="27"/>
      <c r="D207" s="8"/>
      <c r="E207" s="9"/>
      <c r="F207" s="9"/>
      <c r="G207" s="9"/>
      <c r="H207" s="9"/>
      <c r="I207" s="9"/>
      <c r="J207" s="9"/>
      <c r="K207" s="9"/>
      <c r="L207" s="9"/>
      <c r="M207" s="9"/>
      <c r="N207" s="9"/>
      <c r="O207" s="9"/>
      <c r="P207" s="9"/>
      <c r="Q207" s="9"/>
      <c r="R207" s="9"/>
      <c r="S207" s="9"/>
      <c r="T207" s="9"/>
      <c r="U207" s="9"/>
      <c r="V207" s="9"/>
      <c r="W207" s="9"/>
      <c r="X207" s="9"/>
      <c r="Y207" s="9"/>
      <c r="Z207" s="9"/>
    </row>
    <row r="208" ht="30.0" customHeight="1">
      <c r="A208" s="27"/>
      <c r="B208" s="9"/>
      <c r="C208" s="27"/>
      <c r="D208" s="8"/>
      <c r="E208" s="9"/>
      <c r="F208" s="9"/>
      <c r="G208" s="9"/>
      <c r="H208" s="9"/>
      <c r="I208" s="9"/>
      <c r="J208" s="9"/>
      <c r="K208" s="9"/>
      <c r="L208" s="9"/>
      <c r="M208" s="9"/>
      <c r="N208" s="9"/>
      <c r="O208" s="9"/>
      <c r="P208" s="9"/>
      <c r="Q208" s="9"/>
      <c r="R208" s="9"/>
      <c r="S208" s="9"/>
      <c r="T208" s="9"/>
      <c r="U208" s="9"/>
      <c r="V208" s="9"/>
      <c r="W208" s="9"/>
      <c r="X208" s="9"/>
      <c r="Y208" s="9"/>
      <c r="Z208" s="9"/>
    </row>
    <row r="209" ht="30.0" customHeight="1">
      <c r="A209" s="27"/>
      <c r="B209" s="9"/>
      <c r="C209" s="27"/>
      <c r="D209" s="8"/>
      <c r="E209" s="9"/>
      <c r="F209" s="9"/>
      <c r="G209" s="9"/>
      <c r="H209" s="9"/>
      <c r="I209" s="9"/>
      <c r="J209" s="9"/>
      <c r="K209" s="9"/>
      <c r="L209" s="9"/>
      <c r="M209" s="9"/>
      <c r="N209" s="9"/>
      <c r="O209" s="9"/>
      <c r="P209" s="9"/>
      <c r="Q209" s="9"/>
      <c r="R209" s="9"/>
      <c r="S209" s="9"/>
      <c r="T209" s="9"/>
      <c r="U209" s="9"/>
      <c r="V209" s="9"/>
      <c r="W209" s="9"/>
      <c r="X209" s="9"/>
      <c r="Y209" s="9"/>
      <c r="Z209" s="9"/>
    </row>
    <row r="210" ht="30.0" customHeight="1">
      <c r="A210" s="27"/>
      <c r="B210" s="9"/>
      <c r="C210" s="27"/>
      <c r="D210" s="8"/>
      <c r="E210" s="9"/>
      <c r="F210" s="9"/>
      <c r="G210" s="9"/>
      <c r="H210" s="9"/>
      <c r="I210" s="9"/>
      <c r="J210" s="9"/>
      <c r="K210" s="9"/>
      <c r="L210" s="9"/>
      <c r="M210" s="9"/>
      <c r="N210" s="9"/>
      <c r="O210" s="9"/>
      <c r="P210" s="9"/>
      <c r="Q210" s="9"/>
      <c r="R210" s="9"/>
      <c r="S210" s="9"/>
      <c r="T210" s="9"/>
      <c r="U210" s="9"/>
      <c r="V210" s="9"/>
      <c r="W210" s="9"/>
      <c r="X210" s="9"/>
      <c r="Y210" s="9"/>
      <c r="Z210" s="9"/>
    </row>
    <row r="211" ht="30.0" customHeight="1">
      <c r="A211" s="27"/>
      <c r="B211" s="9"/>
      <c r="C211" s="27"/>
      <c r="D211" s="8"/>
      <c r="E211" s="9"/>
      <c r="F211" s="9"/>
      <c r="G211" s="9"/>
      <c r="H211" s="9"/>
      <c r="I211" s="9"/>
      <c r="J211" s="9"/>
      <c r="K211" s="9"/>
      <c r="L211" s="9"/>
      <c r="M211" s="9"/>
      <c r="N211" s="9"/>
      <c r="O211" s="9"/>
      <c r="P211" s="9"/>
      <c r="Q211" s="9"/>
      <c r="R211" s="9"/>
      <c r="S211" s="9"/>
      <c r="T211" s="9"/>
      <c r="U211" s="9"/>
      <c r="V211" s="9"/>
      <c r="W211" s="9"/>
      <c r="X211" s="9"/>
      <c r="Y211" s="9"/>
      <c r="Z211" s="9"/>
    </row>
    <row r="212" ht="30.0" customHeight="1">
      <c r="A212" s="27"/>
      <c r="B212" s="9"/>
      <c r="C212" s="27"/>
      <c r="D212" s="8"/>
      <c r="E212" s="9"/>
      <c r="F212" s="9"/>
      <c r="G212" s="9"/>
      <c r="H212" s="9"/>
      <c r="I212" s="9"/>
      <c r="J212" s="9"/>
      <c r="K212" s="9"/>
      <c r="L212" s="9"/>
      <c r="M212" s="9"/>
      <c r="N212" s="9"/>
      <c r="O212" s="9"/>
      <c r="P212" s="9"/>
      <c r="Q212" s="9"/>
      <c r="R212" s="9"/>
      <c r="S212" s="9"/>
      <c r="T212" s="9"/>
      <c r="U212" s="9"/>
      <c r="V212" s="9"/>
      <c r="W212" s="9"/>
      <c r="X212" s="9"/>
      <c r="Y212" s="9"/>
      <c r="Z212" s="9"/>
    </row>
    <row r="213" ht="30.0" customHeight="1">
      <c r="A213" s="27"/>
      <c r="B213" s="9"/>
      <c r="C213" s="27"/>
      <c r="D213" s="8"/>
      <c r="E213" s="9"/>
      <c r="F213" s="9"/>
      <c r="G213" s="9"/>
      <c r="H213" s="9"/>
      <c r="I213" s="9"/>
      <c r="J213" s="9"/>
      <c r="K213" s="9"/>
      <c r="L213" s="9"/>
      <c r="M213" s="9"/>
      <c r="N213" s="9"/>
      <c r="O213" s="9"/>
      <c r="P213" s="9"/>
      <c r="Q213" s="9"/>
      <c r="R213" s="9"/>
      <c r="S213" s="9"/>
      <c r="T213" s="9"/>
      <c r="U213" s="9"/>
      <c r="V213" s="9"/>
      <c r="W213" s="9"/>
      <c r="X213" s="9"/>
      <c r="Y213" s="9"/>
      <c r="Z213" s="9"/>
    </row>
    <row r="214" ht="30.0" customHeight="1">
      <c r="A214" s="27"/>
      <c r="B214" s="9"/>
      <c r="C214" s="27"/>
      <c r="D214" s="8"/>
      <c r="E214" s="9"/>
      <c r="F214" s="9"/>
      <c r="G214" s="9"/>
      <c r="H214" s="9"/>
      <c r="I214" s="9"/>
      <c r="J214" s="9"/>
      <c r="K214" s="9"/>
      <c r="L214" s="9"/>
      <c r="M214" s="9"/>
      <c r="N214" s="9"/>
      <c r="O214" s="9"/>
      <c r="P214" s="9"/>
      <c r="Q214" s="9"/>
      <c r="R214" s="9"/>
      <c r="S214" s="9"/>
      <c r="T214" s="9"/>
      <c r="U214" s="9"/>
      <c r="V214" s="9"/>
      <c r="W214" s="9"/>
      <c r="X214" s="9"/>
      <c r="Y214" s="9"/>
      <c r="Z214" s="9"/>
    </row>
    <row r="215" ht="30.0" customHeight="1">
      <c r="A215" s="27"/>
      <c r="B215" s="9"/>
      <c r="C215" s="27"/>
      <c r="D215" s="8"/>
      <c r="E215" s="9"/>
      <c r="F215" s="9"/>
      <c r="G215" s="9"/>
      <c r="H215" s="9"/>
      <c r="I215" s="9"/>
      <c r="J215" s="9"/>
      <c r="K215" s="9"/>
      <c r="L215" s="9"/>
      <c r="M215" s="9"/>
      <c r="N215" s="9"/>
      <c r="O215" s="9"/>
      <c r="P215" s="9"/>
      <c r="Q215" s="9"/>
      <c r="R215" s="9"/>
      <c r="S215" s="9"/>
      <c r="T215" s="9"/>
      <c r="U215" s="9"/>
      <c r="V215" s="9"/>
      <c r="W215" s="9"/>
      <c r="X215" s="9"/>
      <c r="Y215" s="9"/>
      <c r="Z215" s="9"/>
    </row>
    <row r="216" ht="30.0" customHeight="1">
      <c r="A216" s="27"/>
      <c r="B216" s="9"/>
      <c r="C216" s="27"/>
      <c r="D216" s="8"/>
      <c r="E216" s="9"/>
      <c r="F216" s="9"/>
      <c r="G216" s="9"/>
      <c r="H216" s="9"/>
      <c r="I216" s="9"/>
      <c r="J216" s="9"/>
      <c r="K216" s="9"/>
      <c r="L216" s="9"/>
      <c r="M216" s="9"/>
      <c r="N216" s="9"/>
      <c r="O216" s="9"/>
      <c r="P216" s="9"/>
      <c r="Q216" s="9"/>
      <c r="R216" s="9"/>
      <c r="S216" s="9"/>
      <c r="T216" s="9"/>
      <c r="U216" s="9"/>
      <c r="V216" s="9"/>
      <c r="W216" s="9"/>
      <c r="X216" s="9"/>
      <c r="Y216" s="9"/>
      <c r="Z216" s="9"/>
    </row>
    <row r="217" ht="30.0" customHeight="1">
      <c r="A217" s="27"/>
      <c r="B217" s="9"/>
      <c r="C217" s="27"/>
      <c r="D217" s="8"/>
      <c r="E217" s="9"/>
      <c r="F217" s="9"/>
      <c r="G217" s="9"/>
      <c r="H217" s="9"/>
      <c r="I217" s="9"/>
      <c r="J217" s="9"/>
      <c r="K217" s="9"/>
      <c r="L217" s="9"/>
      <c r="M217" s="9"/>
      <c r="N217" s="9"/>
      <c r="O217" s="9"/>
      <c r="P217" s="9"/>
      <c r="Q217" s="9"/>
      <c r="R217" s="9"/>
      <c r="S217" s="9"/>
      <c r="T217" s="9"/>
      <c r="U217" s="9"/>
      <c r="V217" s="9"/>
      <c r="W217" s="9"/>
      <c r="X217" s="9"/>
      <c r="Y217" s="9"/>
      <c r="Z217" s="9"/>
    </row>
    <row r="218" ht="30.0" customHeight="1">
      <c r="A218" s="27"/>
      <c r="B218" s="9"/>
      <c r="C218" s="27"/>
      <c r="D218" s="8"/>
      <c r="E218" s="9"/>
      <c r="F218" s="9"/>
      <c r="G218" s="9"/>
      <c r="H218" s="9"/>
      <c r="I218" s="9"/>
      <c r="J218" s="9"/>
      <c r="K218" s="9"/>
      <c r="L218" s="9"/>
      <c r="M218" s="9"/>
      <c r="N218" s="9"/>
      <c r="O218" s="9"/>
      <c r="P218" s="9"/>
      <c r="Q218" s="9"/>
      <c r="R218" s="9"/>
      <c r="S218" s="9"/>
      <c r="T218" s="9"/>
      <c r="U218" s="9"/>
      <c r="V218" s="9"/>
      <c r="W218" s="9"/>
      <c r="X218" s="9"/>
      <c r="Y218" s="9"/>
      <c r="Z218" s="9"/>
    </row>
    <row r="219" ht="30.0" customHeight="1">
      <c r="A219" s="27"/>
      <c r="B219" s="9"/>
      <c r="C219" s="27"/>
      <c r="D219" s="8"/>
      <c r="E219" s="9"/>
      <c r="F219" s="9"/>
      <c r="G219" s="9"/>
      <c r="H219" s="9"/>
      <c r="I219" s="9"/>
      <c r="J219" s="9"/>
      <c r="K219" s="9"/>
      <c r="L219" s="9"/>
      <c r="M219" s="9"/>
      <c r="N219" s="9"/>
      <c r="O219" s="9"/>
      <c r="P219" s="9"/>
      <c r="Q219" s="9"/>
      <c r="R219" s="9"/>
      <c r="S219" s="9"/>
      <c r="T219" s="9"/>
      <c r="U219" s="9"/>
      <c r="V219" s="9"/>
      <c r="W219" s="9"/>
      <c r="X219" s="9"/>
      <c r="Y219" s="9"/>
      <c r="Z219" s="9"/>
    </row>
    <row r="220" ht="30.0" customHeight="1">
      <c r="A220" s="27"/>
      <c r="B220" s="9"/>
      <c r="C220" s="27"/>
      <c r="D220" s="8"/>
      <c r="E220" s="9"/>
      <c r="F220" s="9"/>
      <c r="G220" s="9"/>
      <c r="H220" s="9"/>
      <c r="I220" s="9"/>
      <c r="J220" s="9"/>
      <c r="K220" s="9"/>
      <c r="L220" s="9"/>
      <c r="M220" s="9"/>
      <c r="N220" s="9"/>
      <c r="O220" s="9"/>
      <c r="P220" s="9"/>
      <c r="Q220" s="9"/>
      <c r="R220" s="9"/>
      <c r="S220" s="9"/>
      <c r="T220" s="9"/>
      <c r="U220" s="9"/>
      <c r="V220" s="9"/>
      <c r="W220" s="9"/>
      <c r="X220" s="9"/>
      <c r="Y220" s="9"/>
      <c r="Z220" s="9"/>
    </row>
    <row r="221" ht="30.0" customHeight="1">
      <c r="A221" s="27"/>
      <c r="B221" s="9"/>
      <c r="C221" s="27"/>
      <c r="D221" s="8"/>
      <c r="E221" s="9"/>
      <c r="F221" s="9"/>
      <c r="G221" s="9"/>
      <c r="H221" s="9"/>
      <c r="I221" s="9"/>
      <c r="J221" s="9"/>
      <c r="K221" s="9"/>
      <c r="L221" s="9"/>
      <c r="M221" s="9"/>
      <c r="N221" s="9"/>
      <c r="O221" s="9"/>
      <c r="P221" s="9"/>
      <c r="Q221" s="9"/>
      <c r="R221" s="9"/>
      <c r="S221" s="9"/>
      <c r="T221" s="9"/>
      <c r="U221" s="9"/>
      <c r="V221" s="9"/>
      <c r="W221" s="9"/>
      <c r="X221" s="9"/>
      <c r="Y221" s="9"/>
      <c r="Z221" s="9"/>
    </row>
    <row r="222" ht="30.0" customHeight="1">
      <c r="A222" s="27"/>
      <c r="B222" s="9"/>
      <c r="C222" s="27"/>
      <c r="D222" s="8"/>
      <c r="E222" s="9"/>
      <c r="F222" s="9"/>
      <c r="G222" s="9"/>
      <c r="H222" s="9"/>
      <c r="I222" s="9"/>
      <c r="J222" s="9"/>
      <c r="K222" s="9"/>
      <c r="L222" s="9"/>
      <c r="M222" s="9"/>
      <c r="N222" s="9"/>
      <c r="O222" s="9"/>
      <c r="P222" s="9"/>
      <c r="Q222" s="9"/>
      <c r="R222" s="9"/>
      <c r="S222" s="9"/>
      <c r="T222" s="9"/>
      <c r="U222" s="9"/>
      <c r="V222" s="9"/>
      <c r="W222" s="9"/>
      <c r="X222" s="9"/>
      <c r="Y222" s="9"/>
      <c r="Z222" s="9"/>
    </row>
    <row r="223" ht="30.0" customHeight="1">
      <c r="A223" s="27"/>
      <c r="B223" s="9"/>
      <c r="C223" s="27"/>
      <c r="D223" s="8"/>
      <c r="E223" s="9"/>
      <c r="F223" s="9"/>
      <c r="G223" s="9"/>
      <c r="H223" s="9"/>
      <c r="I223" s="9"/>
      <c r="J223" s="9"/>
      <c r="K223" s="9"/>
      <c r="L223" s="9"/>
      <c r="M223" s="9"/>
      <c r="N223" s="9"/>
      <c r="O223" s="9"/>
      <c r="P223" s="9"/>
      <c r="Q223" s="9"/>
      <c r="R223" s="9"/>
      <c r="S223" s="9"/>
      <c r="T223" s="9"/>
      <c r="U223" s="9"/>
      <c r="V223" s="9"/>
      <c r="W223" s="9"/>
      <c r="X223" s="9"/>
      <c r="Y223" s="9"/>
      <c r="Z223" s="9"/>
    </row>
    <row r="224" ht="30.0" customHeight="1">
      <c r="A224" s="27"/>
      <c r="B224" s="9"/>
      <c r="C224" s="27"/>
      <c r="D224" s="8"/>
      <c r="E224" s="9"/>
      <c r="F224" s="9"/>
      <c r="G224" s="9"/>
      <c r="H224" s="9"/>
      <c r="I224" s="9"/>
      <c r="J224" s="9"/>
      <c r="K224" s="9"/>
      <c r="L224" s="9"/>
      <c r="M224" s="9"/>
      <c r="N224" s="9"/>
      <c r="O224" s="9"/>
      <c r="P224" s="9"/>
      <c r="Q224" s="9"/>
      <c r="R224" s="9"/>
      <c r="S224" s="9"/>
      <c r="T224" s="9"/>
      <c r="U224" s="9"/>
      <c r="V224" s="9"/>
      <c r="W224" s="9"/>
      <c r="X224" s="9"/>
      <c r="Y224" s="9"/>
      <c r="Z224" s="9"/>
    </row>
    <row r="225" ht="30.0" customHeight="1">
      <c r="A225" s="27"/>
      <c r="B225" s="9"/>
      <c r="C225" s="27"/>
      <c r="D225" s="8"/>
      <c r="E225" s="9"/>
      <c r="F225" s="9"/>
      <c r="G225" s="9"/>
      <c r="H225" s="9"/>
      <c r="I225" s="9"/>
      <c r="J225" s="9"/>
      <c r="K225" s="9"/>
      <c r="L225" s="9"/>
      <c r="M225" s="9"/>
      <c r="N225" s="9"/>
      <c r="O225" s="9"/>
      <c r="P225" s="9"/>
      <c r="Q225" s="9"/>
      <c r="R225" s="9"/>
      <c r="S225" s="9"/>
      <c r="T225" s="9"/>
      <c r="U225" s="9"/>
      <c r="V225" s="9"/>
      <c r="W225" s="9"/>
      <c r="X225" s="9"/>
      <c r="Y225" s="9"/>
      <c r="Z225" s="9"/>
    </row>
    <row r="226" ht="30.0" customHeight="1">
      <c r="A226" s="27"/>
      <c r="B226" s="9"/>
      <c r="C226" s="27"/>
      <c r="D226" s="8"/>
      <c r="E226" s="9"/>
      <c r="F226" s="9"/>
      <c r="G226" s="9"/>
      <c r="H226" s="9"/>
      <c r="I226" s="9"/>
      <c r="J226" s="9"/>
      <c r="K226" s="9"/>
      <c r="L226" s="9"/>
      <c r="M226" s="9"/>
      <c r="N226" s="9"/>
      <c r="O226" s="9"/>
      <c r="P226" s="9"/>
      <c r="Q226" s="9"/>
      <c r="R226" s="9"/>
      <c r="S226" s="9"/>
      <c r="T226" s="9"/>
      <c r="U226" s="9"/>
      <c r="V226" s="9"/>
      <c r="W226" s="9"/>
      <c r="X226" s="9"/>
      <c r="Y226" s="9"/>
      <c r="Z226" s="9"/>
    </row>
    <row r="227" ht="30.0" customHeight="1">
      <c r="A227" s="27"/>
      <c r="B227" s="9"/>
      <c r="C227" s="27"/>
      <c r="D227" s="8"/>
      <c r="E227" s="9"/>
      <c r="F227" s="9"/>
      <c r="G227" s="9"/>
      <c r="H227" s="9"/>
      <c r="I227" s="9"/>
      <c r="J227" s="9"/>
      <c r="K227" s="9"/>
      <c r="L227" s="9"/>
      <c r="M227" s="9"/>
      <c r="N227" s="9"/>
      <c r="O227" s="9"/>
      <c r="P227" s="9"/>
      <c r="Q227" s="9"/>
      <c r="R227" s="9"/>
      <c r="S227" s="9"/>
      <c r="T227" s="9"/>
      <c r="U227" s="9"/>
      <c r="V227" s="9"/>
      <c r="W227" s="9"/>
      <c r="X227" s="9"/>
      <c r="Y227" s="9"/>
      <c r="Z227" s="9"/>
    </row>
    <row r="228" ht="30.0" customHeight="1">
      <c r="A228" s="27"/>
      <c r="B228" s="9"/>
      <c r="C228" s="27"/>
      <c r="D228" s="8"/>
      <c r="E228" s="9"/>
      <c r="F228" s="9"/>
      <c r="G228" s="9"/>
      <c r="H228" s="9"/>
      <c r="I228" s="9"/>
      <c r="J228" s="9"/>
      <c r="K228" s="9"/>
      <c r="L228" s="9"/>
      <c r="M228" s="9"/>
      <c r="N228" s="9"/>
      <c r="O228" s="9"/>
      <c r="P228" s="9"/>
      <c r="Q228" s="9"/>
      <c r="R228" s="9"/>
      <c r="S228" s="9"/>
      <c r="T228" s="9"/>
      <c r="U228" s="9"/>
      <c r="V228" s="9"/>
      <c r="W228" s="9"/>
      <c r="X228" s="9"/>
      <c r="Y228" s="9"/>
      <c r="Z228" s="9"/>
    </row>
    <row r="229" ht="30.0" customHeight="1">
      <c r="A229" s="27"/>
      <c r="B229" s="9"/>
      <c r="C229" s="27"/>
      <c r="D229" s="8"/>
      <c r="E229" s="9"/>
      <c r="F229" s="9"/>
      <c r="G229" s="9"/>
      <c r="H229" s="9"/>
      <c r="I229" s="9"/>
      <c r="J229" s="9"/>
      <c r="K229" s="9"/>
      <c r="L229" s="9"/>
      <c r="M229" s="9"/>
      <c r="N229" s="9"/>
      <c r="O229" s="9"/>
      <c r="P229" s="9"/>
      <c r="Q229" s="9"/>
      <c r="R229" s="9"/>
      <c r="S229" s="9"/>
      <c r="T229" s="9"/>
      <c r="U229" s="9"/>
      <c r="V229" s="9"/>
      <c r="W229" s="9"/>
      <c r="X229" s="9"/>
      <c r="Y229" s="9"/>
      <c r="Z229" s="9"/>
    </row>
    <row r="230" ht="30.0" customHeight="1">
      <c r="A230" s="27"/>
      <c r="B230" s="9"/>
      <c r="C230" s="27"/>
      <c r="D230" s="8"/>
      <c r="E230" s="9"/>
      <c r="F230" s="9"/>
      <c r="G230" s="9"/>
      <c r="H230" s="9"/>
      <c r="I230" s="9"/>
      <c r="J230" s="9"/>
      <c r="K230" s="9"/>
      <c r="L230" s="9"/>
      <c r="M230" s="9"/>
      <c r="N230" s="9"/>
      <c r="O230" s="9"/>
      <c r="P230" s="9"/>
      <c r="Q230" s="9"/>
      <c r="R230" s="9"/>
      <c r="S230" s="9"/>
      <c r="T230" s="9"/>
      <c r="U230" s="9"/>
      <c r="V230" s="9"/>
      <c r="W230" s="9"/>
      <c r="X230" s="9"/>
      <c r="Y230" s="9"/>
      <c r="Z230" s="9"/>
    </row>
    <row r="231" ht="30.0" customHeight="1">
      <c r="A231" s="27"/>
      <c r="B231" s="9"/>
      <c r="C231" s="27"/>
      <c r="D231" s="8"/>
      <c r="E231" s="9"/>
      <c r="F231" s="9"/>
      <c r="G231" s="9"/>
      <c r="H231" s="9"/>
      <c r="I231" s="9"/>
      <c r="J231" s="9"/>
      <c r="K231" s="9"/>
      <c r="L231" s="9"/>
      <c r="M231" s="9"/>
      <c r="N231" s="9"/>
      <c r="O231" s="9"/>
      <c r="P231" s="9"/>
      <c r="Q231" s="9"/>
      <c r="R231" s="9"/>
      <c r="S231" s="9"/>
      <c r="T231" s="9"/>
      <c r="U231" s="9"/>
      <c r="V231" s="9"/>
      <c r="W231" s="9"/>
      <c r="X231" s="9"/>
      <c r="Y231" s="9"/>
      <c r="Z231" s="9"/>
    </row>
    <row r="232" ht="30.0" customHeight="1">
      <c r="A232" s="27"/>
      <c r="B232" s="9"/>
      <c r="C232" s="27"/>
      <c r="D232" s="8"/>
      <c r="E232" s="9"/>
      <c r="F232" s="9"/>
      <c r="G232" s="9"/>
      <c r="H232" s="9"/>
      <c r="I232" s="9"/>
      <c r="J232" s="9"/>
      <c r="K232" s="9"/>
      <c r="L232" s="9"/>
      <c r="M232" s="9"/>
      <c r="N232" s="9"/>
      <c r="O232" s="9"/>
      <c r="P232" s="9"/>
      <c r="Q232" s="9"/>
      <c r="R232" s="9"/>
      <c r="S232" s="9"/>
      <c r="T232" s="9"/>
      <c r="U232" s="9"/>
      <c r="V232" s="9"/>
      <c r="W232" s="9"/>
      <c r="X232" s="9"/>
      <c r="Y232" s="9"/>
      <c r="Z232" s="9"/>
    </row>
    <row r="233" ht="30.0" customHeight="1">
      <c r="A233" s="27"/>
      <c r="B233" s="9"/>
      <c r="C233" s="27"/>
      <c r="D233" s="8"/>
      <c r="E233" s="9"/>
      <c r="F233" s="9"/>
      <c r="G233" s="9"/>
      <c r="H233" s="9"/>
      <c r="I233" s="9"/>
      <c r="J233" s="9"/>
      <c r="K233" s="9"/>
      <c r="L233" s="9"/>
      <c r="M233" s="9"/>
      <c r="N233" s="9"/>
      <c r="O233" s="9"/>
      <c r="P233" s="9"/>
      <c r="Q233" s="9"/>
      <c r="R233" s="9"/>
      <c r="S233" s="9"/>
      <c r="T233" s="9"/>
      <c r="U233" s="9"/>
      <c r="V233" s="9"/>
      <c r="W233" s="9"/>
      <c r="X233" s="9"/>
      <c r="Y233" s="9"/>
      <c r="Z233" s="9"/>
    </row>
    <row r="234" ht="30.0" customHeight="1">
      <c r="A234" s="27"/>
      <c r="B234" s="9"/>
      <c r="C234" s="27"/>
      <c r="D234" s="8"/>
      <c r="E234" s="9"/>
      <c r="F234" s="9"/>
      <c r="G234" s="9"/>
      <c r="H234" s="9"/>
      <c r="I234" s="9"/>
      <c r="J234" s="9"/>
      <c r="K234" s="9"/>
      <c r="L234" s="9"/>
      <c r="M234" s="9"/>
      <c r="N234" s="9"/>
      <c r="O234" s="9"/>
      <c r="P234" s="9"/>
      <c r="Q234" s="9"/>
      <c r="R234" s="9"/>
      <c r="S234" s="9"/>
      <c r="T234" s="9"/>
      <c r="U234" s="9"/>
      <c r="V234" s="9"/>
      <c r="W234" s="9"/>
      <c r="X234" s="9"/>
      <c r="Y234" s="9"/>
      <c r="Z234" s="9"/>
    </row>
    <row r="235" ht="30.0" customHeight="1">
      <c r="A235" s="27"/>
      <c r="B235" s="9"/>
      <c r="C235" s="27"/>
      <c r="D235" s="8"/>
      <c r="E235" s="9"/>
      <c r="F235" s="9"/>
      <c r="G235" s="9"/>
      <c r="H235" s="9"/>
      <c r="I235" s="9"/>
      <c r="J235" s="9"/>
      <c r="K235" s="9"/>
      <c r="L235" s="9"/>
      <c r="M235" s="9"/>
      <c r="N235" s="9"/>
      <c r="O235" s="9"/>
      <c r="P235" s="9"/>
      <c r="Q235" s="9"/>
      <c r="R235" s="9"/>
      <c r="S235" s="9"/>
      <c r="T235" s="9"/>
      <c r="U235" s="9"/>
      <c r="V235" s="9"/>
      <c r="W235" s="9"/>
      <c r="X235" s="9"/>
      <c r="Y235" s="9"/>
      <c r="Z235" s="9"/>
    </row>
    <row r="236" ht="30.0" customHeight="1">
      <c r="A236" s="27"/>
      <c r="B236" s="9"/>
      <c r="C236" s="27"/>
      <c r="D236" s="8"/>
      <c r="E236" s="9"/>
      <c r="F236" s="9"/>
      <c r="G236" s="9"/>
      <c r="H236" s="9"/>
      <c r="I236" s="9"/>
      <c r="J236" s="9"/>
      <c r="K236" s="9"/>
      <c r="L236" s="9"/>
      <c r="M236" s="9"/>
      <c r="N236" s="9"/>
      <c r="O236" s="9"/>
      <c r="P236" s="9"/>
      <c r="Q236" s="9"/>
      <c r="R236" s="9"/>
      <c r="S236" s="9"/>
      <c r="T236" s="9"/>
      <c r="U236" s="9"/>
      <c r="V236" s="9"/>
      <c r="W236" s="9"/>
      <c r="X236" s="9"/>
      <c r="Y236" s="9"/>
      <c r="Z236" s="9"/>
    </row>
    <row r="237" ht="30.0" customHeight="1">
      <c r="A237" s="27"/>
      <c r="B237" s="9"/>
      <c r="C237" s="27"/>
      <c r="D237" s="8"/>
      <c r="E237" s="9"/>
      <c r="F237" s="9"/>
      <c r="G237" s="9"/>
      <c r="H237" s="9"/>
      <c r="I237" s="9"/>
      <c r="J237" s="9"/>
      <c r="K237" s="9"/>
      <c r="L237" s="9"/>
      <c r="M237" s="9"/>
      <c r="N237" s="9"/>
      <c r="O237" s="9"/>
      <c r="P237" s="9"/>
      <c r="Q237" s="9"/>
      <c r="R237" s="9"/>
      <c r="S237" s="9"/>
      <c r="T237" s="9"/>
      <c r="U237" s="9"/>
      <c r="V237" s="9"/>
      <c r="W237" s="9"/>
      <c r="X237" s="9"/>
      <c r="Y237" s="9"/>
      <c r="Z237" s="9"/>
    </row>
    <row r="238" ht="30.0" customHeight="1">
      <c r="A238" s="27"/>
      <c r="B238" s="9"/>
      <c r="C238" s="27"/>
      <c r="D238" s="8"/>
      <c r="E238" s="9"/>
      <c r="F238" s="9"/>
      <c r="G238" s="9"/>
      <c r="H238" s="9"/>
      <c r="I238" s="9"/>
      <c r="J238" s="9"/>
      <c r="K238" s="9"/>
      <c r="L238" s="9"/>
      <c r="M238" s="9"/>
      <c r="N238" s="9"/>
      <c r="O238" s="9"/>
      <c r="P238" s="9"/>
      <c r="Q238" s="9"/>
      <c r="R238" s="9"/>
      <c r="S238" s="9"/>
      <c r="T238" s="9"/>
      <c r="U238" s="9"/>
      <c r="V238" s="9"/>
      <c r="W238" s="9"/>
      <c r="X238" s="9"/>
      <c r="Y238" s="9"/>
      <c r="Z238" s="9"/>
    </row>
    <row r="239" ht="30.0" customHeight="1">
      <c r="A239" s="27"/>
      <c r="B239" s="9"/>
      <c r="C239" s="27"/>
      <c r="D239" s="8"/>
      <c r="E239" s="9"/>
      <c r="F239" s="9"/>
      <c r="G239" s="9"/>
      <c r="H239" s="9"/>
      <c r="I239" s="9"/>
      <c r="J239" s="9"/>
      <c r="K239" s="9"/>
      <c r="L239" s="9"/>
      <c r="M239" s="9"/>
      <c r="N239" s="9"/>
      <c r="O239" s="9"/>
      <c r="P239" s="9"/>
      <c r="Q239" s="9"/>
      <c r="R239" s="9"/>
      <c r="S239" s="9"/>
      <c r="T239" s="9"/>
      <c r="U239" s="9"/>
      <c r="V239" s="9"/>
      <c r="W239" s="9"/>
      <c r="X239" s="9"/>
      <c r="Y239" s="9"/>
      <c r="Z239" s="9"/>
    </row>
    <row r="240" ht="30.0" customHeight="1">
      <c r="A240" s="27"/>
      <c r="B240" s="9"/>
      <c r="C240" s="27"/>
      <c r="D240" s="8"/>
      <c r="E240" s="9"/>
      <c r="F240" s="9"/>
      <c r="G240" s="9"/>
      <c r="H240" s="9"/>
      <c r="I240" s="9"/>
      <c r="J240" s="9"/>
      <c r="K240" s="9"/>
      <c r="L240" s="9"/>
      <c r="M240" s="9"/>
      <c r="N240" s="9"/>
      <c r="O240" s="9"/>
      <c r="P240" s="9"/>
      <c r="Q240" s="9"/>
      <c r="R240" s="9"/>
      <c r="S240" s="9"/>
      <c r="T240" s="9"/>
      <c r="U240" s="9"/>
      <c r="V240" s="9"/>
      <c r="W240" s="9"/>
      <c r="X240" s="9"/>
      <c r="Y240" s="9"/>
      <c r="Z240" s="9"/>
    </row>
    <row r="241" ht="30.0" customHeight="1">
      <c r="A241" s="27"/>
      <c r="B241" s="9"/>
      <c r="C241" s="27"/>
      <c r="D241" s="8"/>
      <c r="E241" s="9"/>
      <c r="F241" s="9"/>
      <c r="G241" s="9"/>
      <c r="H241" s="9"/>
      <c r="I241" s="9"/>
      <c r="J241" s="9"/>
      <c r="K241" s="9"/>
      <c r="L241" s="9"/>
      <c r="M241" s="9"/>
      <c r="N241" s="9"/>
      <c r="O241" s="9"/>
      <c r="P241" s="9"/>
      <c r="Q241" s="9"/>
      <c r="R241" s="9"/>
      <c r="S241" s="9"/>
      <c r="T241" s="9"/>
      <c r="U241" s="9"/>
      <c r="V241" s="9"/>
      <c r="W241" s="9"/>
      <c r="X241" s="9"/>
      <c r="Y241" s="9"/>
      <c r="Z241" s="9"/>
    </row>
    <row r="242" ht="30.0" customHeight="1">
      <c r="A242" s="27"/>
      <c r="B242" s="9"/>
      <c r="C242" s="27"/>
      <c r="D242" s="8"/>
      <c r="E242" s="9"/>
      <c r="F242" s="9"/>
      <c r="G242" s="9"/>
      <c r="H242" s="9"/>
      <c r="I242" s="9"/>
      <c r="J242" s="9"/>
      <c r="K242" s="9"/>
      <c r="L242" s="9"/>
      <c r="M242" s="9"/>
      <c r="N242" s="9"/>
      <c r="O242" s="9"/>
      <c r="P242" s="9"/>
      <c r="Q242" s="9"/>
      <c r="R242" s="9"/>
      <c r="S242" s="9"/>
      <c r="T242" s="9"/>
      <c r="U242" s="9"/>
      <c r="V242" s="9"/>
      <c r="W242" s="9"/>
      <c r="X242" s="9"/>
      <c r="Y242" s="9"/>
      <c r="Z242" s="9"/>
    </row>
    <row r="243" ht="30.0" customHeight="1">
      <c r="A243" s="27"/>
      <c r="B243" s="9"/>
      <c r="C243" s="27"/>
      <c r="D243" s="8"/>
      <c r="E243" s="9"/>
      <c r="F243" s="9"/>
      <c r="G243" s="9"/>
      <c r="H243" s="9"/>
      <c r="I243" s="9"/>
      <c r="J243" s="9"/>
      <c r="K243" s="9"/>
      <c r="L243" s="9"/>
      <c r="M243" s="9"/>
      <c r="N243" s="9"/>
      <c r="O243" s="9"/>
      <c r="P243" s="9"/>
      <c r="Q243" s="9"/>
      <c r="R243" s="9"/>
      <c r="S243" s="9"/>
      <c r="T243" s="9"/>
      <c r="U243" s="9"/>
      <c r="V243" s="9"/>
      <c r="W243" s="9"/>
      <c r="X243" s="9"/>
      <c r="Y243" s="9"/>
      <c r="Z243" s="9"/>
    </row>
    <row r="244" ht="30.0" customHeight="1">
      <c r="A244" s="27"/>
      <c r="B244" s="9"/>
      <c r="C244" s="27"/>
      <c r="D244" s="8"/>
      <c r="E244" s="9"/>
      <c r="F244" s="9"/>
      <c r="G244" s="9"/>
      <c r="H244" s="9"/>
      <c r="I244" s="9"/>
      <c r="J244" s="9"/>
      <c r="K244" s="9"/>
      <c r="L244" s="9"/>
      <c r="M244" s="9"/>
      <c r="N244" s="9"/>
      <c r="O244" s="9"/>
      <c r="P244" s="9"/>
      <c r="Q244" s="9"/>
      <c r="R244" s="9"/>
      <c r="S244" s="9"/>
      <c r="T244" s="9"/>
      <c r="U244" s="9"/>
      <c r="V244" s="9"/>
      <c r="W244" s="9"/>
      <c r="X244" s="9"/>
      <c r="Y244" s="9"/>
      <c r="Z244" s="9"/>
    </row>
    <row r="245" ht="30.0" customHeight="1">
      <c r="A245" s="27"/>
      <c r="B245" s="9"/>
      <c r="C245" s="27"/>
      <c r="D245" s="8"/>
      <c r="E245" s="9"/>
      <c r="F245" s="9"/>
      <c r="G245" s="9"/>
      <c r="H245" s="9"/>
      <c r="I245" s="9"/>
      <c r="J245" s="9"/>
      <c r="K245" s="9"/>
      <c r="L245" s="9"/>
      <c r="M245" s="9"/>
      <c r="N245" s="9"/>
      <c r="O245" s="9"/>
      <c r="P245" s="9"/>
      <c r="Q245" s="9"/>
      <c r="R245" s="9"/>
      <c r="S245" s="9"/>
      <c r="T245" s="9"/>
      <c r="U245" s="9"/>
      <c r="V245" s="9"/>
      <c r="W245" s="9"/>
      <c r="X245" s="9"/>
      <c r="Y245" s="9"/>
      <c r="Z245" s="9"/>
    </row>
    <row r="246" ht="30.0" customHeight="1">
      <c r="A246" s="27"/>
      <c r="B246" s="9"/>
      <c r="C246" s="27"/>
      <c r="D246" s="8"/>
      <c r="E246" s="9"/>
      <c r="F246" s="9"/>
      <c r="G246" s="9"/>
      <c r="H246" s="9"/>
      <c r="I246" s="9"/>
      <c r="J246" s="9"/>
      <c r="K246" s="9"/>
      <c r="L246" s="9"/>
      <c r="M246" s="9"/>
      <c r="N246" s="9"/>
      <c r="O246" s="9"/>
      <c r="P246" s="9"/>
      <c r="Q246" s="9"/>
      <c r="R246" s="9"/>
      <c r="S246" s="9"/>
      <c r="T246" s="9"/>
      <c r="U246" s="9"/>
      <c r="V246" s="9"/>
      <c r="W246" s="9"/>
      <c r="X246" s="9"/>
      <c r="Y246" s="9"/>
      <c r="Z246" s="9"/>
    </row>
    <row r="247" ht="30.0" customHeight="1">
      <c r="A247" s="27"/>
      <c r="B247" s="9"/>
      <c r="C247" s="27"/>
      <c r="D247" s="8"/>
      <c r="E247" s="9"/>
      <c r="F247" s="9"/>
      <c r="G247" s="9"/>
      <c r="H247" s="9"/>
      <c r="I247" s="9"/>
      <c r="J247" s="9"/>
      <c r="K247" s="9"/>
      <c r="L247" s="9"/>
      <c r="M247" s="9"/>
      <c r="N247" s="9"/>
      <c r="O247" s="9"/>
      <c r="P247" s="9"/>
      <c r="Q247" s="9"/>
      <c r="R247" s="9"/>
      <c r="S247" s="9"/>
      <c r="T247" s="9"/>
      <c r="U247" s="9"/>
      <c r="V247" s="9"/>
      <c r="W247" s="9"/>
      <c r="X247" s="9"/>
      <c r="Y247" s="9"/>
      <c r="Z247" s="9"/>
    </row>
    <row r="248" ht="30.0" customHeight="1">
      <c r="A248" s="27"/>
      <c r="B248" s="9"/>
      <c r="C248" s="27"/>
      <c r="D248" s="8"/>
      <c r="E248" s="9"/>
      <c r="F248" s="9"/>
      <c r="G248" s="9"/>
      <c r="H248" s="9"/>
      <c r="I248" s="9"/>
      <c r="J248" s="9"/>
      <c r="K248" s="9"/>
      <c r="L248" s="9"/>
      <c r="M248" s="9"/>
      <c r="N248" s="9"/>
      <c r="O248" s="9"/>
      <c r="P248" s="9"/>
      <c r="Q248" s="9"/>
      <c r="R248" s="9"/>
      <c r="S248" s="9"/>
      <c r="T248" s="9"/>
      <c r="U248" s="9"/>
      <c r="V248" s="9"/>
      <c r="W248" s="9"/>
      <c r="X248" s="9"/>
      <c r="Y248" s="9"/>
      <c r="Z248" s="9"/>
    </row>
    <row r="249" ht="30.0" customHeight="1">
      <c r="A249" s="27"/>
      <c r="B249" s="9"/>
      <c r="C249" s="27"/>
      <c r="D249" s="8"/>
      <c r="E249" s="9"/>
      <c r="F249" s="9"/>
      <c r="G249" s="9"/>
      <c r="H249" s="9"/>
      <c r="I249" s="9"/>
      <c r="J249" s="9"/>
      <c r="K249" s="9"/>
      <c r="L249" s="9"/>
      <c r="M249" s="9"/>
      <c r="N249" s="9"/>
      <c r="O249" s="9"/>
      <c r="P249" s="9"/>
      <c r="Q249" s="9"/>
      <c r="R249" s="9"/>
      <c r="S249" s="9"/>
      <c r="T249" s="9"/>
      <c r="U249" s="9"/>
      <c r="V249" s="9"/>
      <c r="W249" s="9"/>
      <c r="X249" s="9"/>
      <c r="Y249" s="9"/>
      <c r="Z249" s="9"/>
    </row>
    <row r="250" ht="30.0" customHeight="1">
      <c r="A250" s="27"/>
      <c r="B250" s="9"/>
      <c r="C250" s="27"/>
      <c r="D250" s="8"/>
      <c r="E250" s="9"/>
      <c r="F250" s="9"/>
      <c r="G250" s="9"/>
      <c r="H250" s="9"/>
      <c r="I250" s="9"/>
      <c r="J250" s="9"/>
      <c r="K250" s="9"/>
      <c r="L250" s="9"/>
      <c r="M250" s="9"/>
      <c r="N250" s="9"/>
      <c r="O250" s="9"/>
      <c r="P250" s="9"/>
      <c r="Q250" s="9"/>
      <c r="R250" s="9"/>
      <c r="S250" s="9"/>
      <c r="T250" s="9"/>
      <c r="U250" s="9"/>
      <c r="V250" s="9"/>
      <c r="W250" s="9"/>
      <c r="X250" s="9"/>
      <c r="Y250" s="9"/>
      <c r="Z250" s="9"/>
    </row>
    <row r="251" ht="30.0" customHeight="1">
      <c r="A251" s="27"/>
      <c r="B251" s="9"/>
      <c r="C251" s="27"/>
      <c r="D251" s="8"/>
      <c r="E251" s="9"/>
      <c r="F251" s="9"/>
      <c r="G251" s="9"/>
      <c r="H251" s="9"/>
      <c r="I251" s="9"/>
      <c r="J251" s="9"/>
      <c r="K251" s="9"/>
      <c r="L251" s="9"/>
      <c r="M251" s="9"/>
      <c r="N251" s="9"/>
      <c r="O251" s="9"/>
      <c r="P251" s="9"/>
      <c r="Q251" s="9"/>
      <c r="R251" s="9"/>
      <c r="S251" s="9"/>
      <c r="T251" s="9"/>
      <c r="U251" s="9"/>
      <c r="V251" s="9"/>
      <c r="W251" s="9"/>
      <c r="X251" s="9"/>
      <c r="Y251" s="9"/>
      <c r="Z251" s="9"/>
    </row>
    <row r="252" ht="30.0" customHeight="1">
      <c r="A252" s="27"/>
      <c r="B252" s="9"/>
      <c r="C252" s="27"/>
      <c r="D252" s="8"/>
      <c r="E252" s="9"/>
      <c r="F252" s="9"/>
      <c r="G252" s="9"/>
      <c r="H252" s="9"/>
      <c r="I252" s="9"/>
      <c r="J252" s="9"/>
      <c r="K252" s="9"/>
      <c r="L252" s="9"/>
      <c r="M252" s="9"/>
      <c r="N252" s="9"/>
      <c r="O252" s="9"/>
      <c r="P252" s="9"/>
      <c r="Q252" s="9"/>
      <c r="R252" s="9"/>
      <c r="S252" s="9"/>
      <c r="T252" s="9"/>
      <c r="U252" s="9"/>
      <c r="V252" s="9"/>
      <c r="W252" s="9"/>
      <c r="X252" s="9"/>
      <c r="Y252" s="9"/>
      <c r="Z252" s="9"/>
    </row>
    <row r="253" ht="30.0" customHeight="1">
      <c r="A253" s="27"/>
      <c r="B253" s="9"/>
      <c r="C253" s="27"/>
      <c r="D253" s="8"/>
      <c r="E253" s="9"/>
      <c r="F253" s="9"/>
      <c r="G253" s="9"/>
      <c r="H253" s="9"/>
      <c r="I253" s="9"/>
      <c r="J253" s="9"/>
      <c r="K253" s="9"/>
      <c r="L253" s="9"/>
      <c r="M253" s="9"/>
      <c r="N253" s="9"/>
      <c r="O253" s="9"/>
      <c r="P253" s="9"/>
      <c r="Q253" s="9"/>
      <c r="R253" s="9"/>
      <c r="S253" s="9"/>
      <c r="T253" s="9"/>
      <c r="U253" s="9"/>
      <c r="V253" s="9"/>
      <c r="W253" s="9"/>
      <c r="X253" s="9"/>
      <c r="Y253" s="9"/>
      <c r="Z253" s="9"/>
    </row>
    <row r="254" ht="30.0" customHeight="1">
      <c r="A254" s="27"/>
      <c r="B254" s="9"/>
      <c r="C254" s="27"/>
      <c r="D254" s="8"/>
      <c r="E254" s="9"/>
      <c r="F254" s="9"/>
      <c r="G254" s="9"/>
      <c r="H254" s="9"/>
      <c r="I254" s="9"/>
      <c r="J254" s="9"/>
      <c r="K254" s="9"/>
      <c r="L254" s="9"/>
      <c r="M254" s="9"/>
      <c r="N254" s="9"/>
      <c r="O254" s="9"/>
      <c r="P254" s="9"/>
      <c r="Q254" s="9"/>
      <c r="R254" s="9"/>
      <c r="S254" s="9"/>
      <c r="T254" s="9"/>
      <c r="U254" s="9"/>
      <c r="V254" s="9"/>
      <c r="W254" s="9"/>
      <c r="X254" s="9"/>
      <c r="Y254" s="9"/>
      <c r="Z254" s="9"/>
    </row>
    <row r="255" ht="30.0" customHeight="1">
      <c r="A255" s="27"/>
      <c r="B255" s="9"/>
      <c r="C255" s="27"/>
      <c r="D255" s="8"/>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28"/>
      <c r="B256" s="29"/>
      <c r="C256" s="28"/>
      <c r="D256" s="29"/>
      <c r="E256" s="24"/>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8"/>
      <c r="B257" s="29"/>
      <c r="C257" s="28"/>
      <c r="D257" s="29"/>
      <c r="E257" s="24"/>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8"/>
      <c r="B258" s="29"/>
      <c r="C258" s="28"/>
      <c r="D258" s="29"/>
      <c r="E258" s="24"/>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8"/>
      <c r="B259" s="29"/>
      <c r="C259" s="28"/>
      <c r="D259" s="29"/>
      <c r="E259" s="24"/>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8"/>
      <c r="B260" s="29"/>
      <c r="C260" s="28"/>
      <c r="D260" s="29"/>
      <c r="E260" s="24"/>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8"/>
      <c r="B261" s="29"/>
      <c r="C261" s="28"/>
      <c r="D261" s="29"/>
      <c r="E261" s="24"/>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8"/>
      <c r="B262" s="29"/>
      <c r="C262" s="28"/>
      <c r="D262" s="29"/>
      <c r="E262" s="24"/>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8"/>
      <c r="B263" s="29"/>
      <c r="C263" s="28"/>
      <c r="D263" s="29"/>
      <c r="E263" s="24"/>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8"/>
      <c r="B264" s="29"/>
      <c r="C264" s="28"/>
      <c r="D264" s="29"/>
      <c r="E264" s="24"/>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8"/>
      <c r="B265" s="29"/>
      <c r="C265" s="28"/>
      <c r="D265" s="29"/>
      <c r="E265" s="24"/>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8"/>
      <c r="B266" s="29"/>
      <c r="C266" s="28"/>
      <c r="D266" s="29"/>
      <c r="E266" s="24"/>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8"/>
      <c r="B267" s="29"/>
      <c r="C267" s="28"/>
      <c r="D267" s="29"/>
      <c r="E267" s="24"/>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8"/>
      <c r="B268" s="29"/>
      <c r="C268" s="28"/>
      <c r="D268" s="29"/>
      <c r="E268" s="24"/>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8"/>
      <c r="B269" s="29"/>
      <c r="C269" s="28"/>
      <c r="D269" s="29"/>
      <c r="E269" s="24"/>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8"/>
      <c r="B270" s="29"/>
      <c r="C270" s="28"/>
      <c r="D270" s="29"/>
      <c r="E270" s="24"/>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8"/>
      <c r="B271" s="29"/>
      <c r="C271" s="28"/>
      <c r="D271" s="29"/>
      <c r="E271" s="24"/>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8"/>
      <c r="B272" s="29"/>
      <c r="C272" s="28"/>
      <c r="D272" s="29"/>
      <c r="E272" s="24"/>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8"/>
      <c r="B273" s="29"/>
      <c r="C273" s="28"/>
      <c r="D273" s="29"/>
      <c r="E273" s="24"/>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8"/>
      <c r="B274" s="29"/>
      <c r="C274" s="28"/>
      <c r="D274" s="29"/>
      <c r="E274" s="24"/>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8"/>
      <c r="B275" s="29"/>
      <c r="C275" s="28"/>
      <c r="D275" s="29"/>
      <c r="E275" s="24"/>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8"/>
      <c r="B276" s="29"/>
      <c r="C276" s="28"/>
      <c r="D276" s="29"/>
      <c r="E276" s="24"/>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8"/>
      <c r="B277" s="29"/>
      <c r="C277" s="28"/>
      <c r="D277" s="29"/>
      <c r="E277" s="24"/>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8"/>
      <c r="B278" s="29"/>
      <c r="C278" s="28"/>
      <c r="D278" s="29"/>
      <c r="E278" s="24"/>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8"/>
      <c r="B279" s="29"/>
      <c r="C279" s="28"/>
      <c r="D279" s="29"/>
      <c r="E279" s="24"/>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8"/>
      <c r="B280" s="29"/>
      <c r="C280" s="28"/>
      <c r="D280" s="29"/>
      <c r="E280" s="24"/>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8"/>
      <c r="B281" s="29"/>
      <c r="C281" s="28"/>
      <c r="D281" s="29"/>
      <c r="E281" s="24"/>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8"/>
      <c r="B282" s="29"/>
      <c r="C282" s="28"/>
      <c r="D282" s="29"/>
      <c r="E282" s="24"/>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8"/>
      <c r="B283" s="29"/>
      <c r="C283" s="28"/>
      <c r="D283" s="29"/>
      <c r="E283" s="24"/>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8"/>
      <c r="B284" s="29"/>
      <c r="C284" s="28"/>
      <c r="D284" s="29"/>
      <c r="E284" s="24"/>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8"/>
      <c r="B285" s="29"/>
      <c r="C285" s="28"/>
      <c r="D285" s="29"/>
      <c r="E285" s="24"/>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8"/>
      <c r="B286" s="29"/>
      <c r="C286" s="28"/>
      <c r="D286" s="29"/>
      <c r="E286" s="24"/>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8"/>
      <c r="B287" s="29"/>
      <c r="C287" s="28"/>
      <c r="D287" s="29"/>
      <c r="E287" s="24"/>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8"/>
      <c r="B288" s="29"/>
      <c r="C288" s="28"/>
      <c r="D288" s="29"/>
      <c r="E288" s="24"/>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8"/>
      <c r="B289" s="29"/>
      <c r="C289" s="28"/>
      <c r="D289" s="29"/>
      <c r="E289" s="24"/>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8"/>
      <c r="B290" s="29"/>
      <c r="C290" s="28"/>
      <c r="D290" s="29"/>
      <c r="E290" s="24"/>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8"/>
      <c r="B291" s="29"/>
      <c r="C291" s="28"/>
      <c r="D291" s="29"/>
      <c r="E291" s="24"/>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8"/>
      <c r="B292" s="29"/>
      <c r="C292" s="28"/>
      <c r="D292" s="29"/>
      <c r="E292" s="24"/>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8"/>
      <c r="B293" s="29"/>
      <c r="C293" s="28"/>
      <c r="D293" s="29"/>
      <c r="E293" s="24"/>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8"/>
      <c r="B294" s="29"/>
      <c r="C294" s="28"/>
      <c r="D294" s="29"/>
      <c r="E294" s="24"/>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8"/>
      <c r="B295" s="29"/>
      <c r="C295" s="28"/>
      <c r="D295" s="29"/>
      <c r="E295" s="24"/>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8"/>
      <c r="B296" s="29"/>
      <c r="C296" s="28"/>
      <c r="D296" s="29"/>
      <c r="E296" s="24"/>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8"/>
      <c r="B297" s="29"/>
      <c r="C297" s="28"/>
      <c r="D297" s="29"/>
      <c r="E297" s="24"/>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8"/>
      <c r="B298" s="29"/>
      <c r="C298" s="28"/>
      <c r="D298" s="29"/>
      <c r="E298" s="24"/>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8"/>
      <c r="B299" s="29"/>
      <c r="C299" s="28"/>
      <c r="D299" s="29"/>
      <c r="E299" s="24"/>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8"/>
      <c r="B300" s="29"/>
      <c r="C300" s="28"/>
      <c r="D300" s="29"/>
      <c r="E300" s="24"/>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8"/>
      <c r="B301" s="29"/>
      <c r="C301" s="28"/>
      <c r="D301" s="29"/>
      <c r="E301" s="24"/>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8"/>
      <c r="B302" s="29"/>
      <c r="C302" s="28"/>
      <c r="D302" s="29"/>
      <c r="E302" s="24"/>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8"/>
      <c r="B303" s="29"/>
      <c r="C303" s="28"/>
      <c r="D303" s="29"/>
      <c r="E303" s="24"/>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8"/>
      <c r="B304" s="29"/>
      <c r="C304" s="28"/>
      <c r="D304" s="29"/>
      <c r="E304" s="24"/>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8"/>
      <c r="B305" s="29"/>
      <c r="C305" s="28"/>
      <c r="D305" s="29"/>
      <c r="E305" s="24"/>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8"/>
      <c r="B306" s="29"/>
      <c r="C306" s="28"/>
      <c r="D306" s="29"/>
      <c r="E306" s="24"/>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8"/>
      <c r="B307" s="29"/>
      <c r="C307" s="28"/>
      <c r="D307" s="29"/>
      <c r="E307" s="24"/>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8"/>
      <c r="B308" s="29"/>
      <c r="C308" s="28"/>
      <c r="D308" s="29"/>
      <c r="E308" s="24"/>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8"/>
      <c r="B309" s="29"/>
      <c r="C309" s="28"/>
      <c r="D309" s="29"/>
      <c r="E309" s="24"/>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8"/>
      <c r="B310" s="29"/>
      <c r="C310" s="28"/>
      <c r="D310" s="29"/>
      <c r="E310" s="24"/>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8"/>
      <c r="B311" s="29"/>
      <c r="C311" s="28"/>
      <c r="D311" s="29"/>
      <c r="E311" s="24"/>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8"/>
      <c r="B312" s="29"/>
      <c r="C312" s="28"/>
      <c r="D312" s="29"/>
      <c r="E312" s="24"/>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8"/>
      <c r="B313" s="29"/>
      <c r="C313" s="28"/>
      <c r="D313" s="29"/>
      <c r="E313" s="24"/>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8"/>
      <c r="B314" s="29"/>
      <c r="C314" s="28"/>
      <c r="D314" s="29"/>
      <c r="E314" s="24"/>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8"/>
      <c r="B315" s="29"/>
      <c r="C315" s="28"/>
      <c r="D315" s="29"/>
      <c r="E315" s="24"/>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8"/>
      <c r="B316" s="29"/>
      <c r="C316" s="28"/>
      <c r="D316" s="29"/>
      <c r="E316" s="24"/>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8"/>
      <c r="B317" s="29"/>
      <c r="C317" s="28"/>
      <c r="D317" s="29"/>
      <c r="E317" s="24"/>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8"/>
      <c r="B318" s="29"/>
      <c r="C318" s="28"/>
      <c r="D318" s="29"/>
      <c r="E318" s="24"/>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8"/>
      <c r="B319" s="29"/>
      <c r="C319" s="28"/>
      <c r="D319" s="29"/>
      <c r="E319" s="24"/>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8"/>
      <c r="B320" s="29"/>
      <c r="C320" s="28"/>
      <c r="D320" s="29"/>
      <c r="E320" s="24"/>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8"/>
      <c r="B321" s="29"/>
      <c r="C321" s="28"/>
      <c r="D321" s="29"/>
      <c r="E321" s="24"/>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8"/>
      <c r="B322" s="29"/>
      <c r="C322" s="28"/>
      <c r="D322" s="29"/>
      <c r="E322" s="24"/>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8"/>
      <c r="B323" s="29"/>
      <c r="C323" s="28"/>
      <c r="D323" s="29"/>
      <c r="E323" s="24"/>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8"/>
      <c r="B324" s="29"/>
      <c r="C324" s="28"/>
      <c r="D324" s="29"/>
      <c r="E324" s="24"/>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8"/>
      <c r="B325" s="29"/>
      <c r="C325" s="28"/>
      <c r="D325" s="29"/>
      <c r="E325" s="24"/>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8"/>
      <c r="B326" s="29"/>
      <c r="C326" s="28"/>
      <c r="D326" s="29"/>
      <c r="E326" s="24"/>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8"/>
      <c r="B327" s="29"/>
      <c r="C327" s="28"/>
      <c r="D327" s="29"/>
      <c r="E327" s="24"/>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8"/>
      <c r="B328" s="29"/>
      <c r="C328" s="28"/>
      <c r="D328" s="29"/>
      <c r="E328" s="24"/>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8"/>
      <c r="B329" s="29"/>
      <c r="C329" s="28"/>
      <c r="D329" s="29"/>
      <c r="E329" s="24"/>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8"/>
      <c r="B330" s="29"/>
      <c r="C330" s="28"/>
      <c r="D330" s="29"/>
      <c r="E330" s="24"/>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8"/>
      <c r="B331" s="29"/>
      <c r="C331" s="28"/>
      <c r="D331" s="29"/>
      <c r="E331" s="24"/>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8"/>
      <c r="B332" s="29"/>
      <c r="C332" s="28"/>
      <c r="D332" s="29"/>
      <c r="E332" s="24"/>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8"/>
      <c r="B333" s="29"/>
      <c r="C333" s="28"/>
      <c r="D333" s="29"/>
      <c r="E333" s="24"/>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8"/>
      <c r="B334" s="29"/>
      <c r="C334" s="28"/>
      <c r="D334" s="29"/>
      <c r="E334" s="24"/>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8"/>
      <c r="B335" s="29"/>
      <c r="C335" s="28"/>
      <c r="D335" s="29"/>
      <c r="E335" s="24"/>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8"/>
      <c r="B336" s="29"/>
      <c r="C336" s="28"/>
      <c r="D336" s="29"/>
      <c r="E336" s="24"/>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8"/>
      <c r="B337" s="29"/>
      <c r="C337" s="28"/>
      <c r="D337" s="29"/>
      <c r="E337" s="24"/>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8"/>
      <c r="B338" s="29"/>
      <c r="C338" s="28"/>
      <c r="D338" s="29"/>
      <c r="E338" s="24"/>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8"/>
      <c r="B339" s="29"/>
      <c r="C339" s="28"/>
      <c r="D339" s="29"/>
      <c r="E339" s="24"/>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8"/>
      <c r="B340" s="29"/>
      <c r="C340" s="28"/>
      <c r="D340" s="29"/>
      <c r="E340" s="24"/>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8"/>
      <c r="B341" s="29"/>
      <c r="C341" s="28"/>
      <c r="D341" s="29"/>
      <c r="E341" s="24"/>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8"/>
      <c r="B342" s="29"/>
      <c r="C342" s="28"/>
      <c r="D342" s="29"/>
      <c r="E342" s="24"/>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8"/>
      <c r="B343" s="29"/>
      <c r="C343" s="28"/>
      <c r="D343" s="29"/>
      <c r="E343" s="24"/>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8"/>
      <c r="B344" s="29"/>
      <c r="C344" s="28"/>
      <c r="D344" s="29"/>
      <c r="E344" s="24"/>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8"/>
      <c r="B345" s="29"/>
      <c r="C345" s="28"/>
      <c r="D345" s="29"/>
      <c r="E345" s="24"/>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8"/>
      <c r="B346" s="29"/>
      <c r="C346" s="28"/>
      <c r="D346" s="29"/>
      <c r="E346" s="24"/>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8"/>
      <c r="B347" s="29"/>
      <c r="C347" s="28"/>
      <c r="D347" s="29"/>
      <c r="E347" s="24"/>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8"/>
      <c r="B348" s="29"/>
      <c r="C348" s="28"/>
      <c r="D348" s="29"/>
      <c r="E348" s="24"/>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8"/>
      <c r="B349" s="29"/>
      <c r="C349" s="28"/>
      <c r="D349" s="29"/>
      <c r="E349" s="24"/>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8"/>
      <c r="B350" s="29"/>
      <c r="C350" s="28"/>
      <c r="D350" s="29"/>
      <c r="E350" s="24"/>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8"/>
      <c r="B351" s="29"/>
      <c r="C351" s="28"/>
      <c r="D351" s="29"/>
      <c r="E351" s="24"/>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8"/>
      <c r="B352" s="29"/>
      <c r="C352" s="28"/>
      <c r="D352" s="29"/>
      <c r="E352" s="24"/>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8"/>
      <c r="B353" s="29"/>
      <c r="C353" s="28"/>
      <c r="D353" s="29"/>
      <c r="E353" s="24"/>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8"/>
      <c r="B354" s="29"/>
      <c r="C354" s="28"/>
      <c r="D354" s="29"/>
      <c r="E354" s="24"/>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8"/>
      <c r="B355" s="29"/>
      <c r="C355" s="28"/>
      <c r="D355" s="29"/>
      <c r="E355" s="24"/>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8"/>
      <c r="B356" s="29"/>
      <c r="C356" s="28"/>
      <c r="D356" s="29"/>
      <c r="E356" s="24"/>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8"/>
      <c r="B357" s="29"/>
      <c r="C357" s="28"/>
      <c r="D357" s="29"/>
      <c r="E357" s="24"/>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8"/>
      <c r="B358" s="29"/>
      <c r="C358" s="28"/>
      <c r="D358" s="29"/>
      <c r="E358" s="24"/>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8"/>
      <c r="B359" s="29"/>
      <c r="C359" s="28"/>
      <c r="D359" s="29"/>
      <c r="E359" s="24"/>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8"/>
      <c r="B360" s="29"/>
      <c r="C360" s="28"/>
      <c r="D360" s="29"/>
      <c r="E360" s="24"/>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8"/>
      <c r="B361" s="29"/>
      <c r="C361" s="28"/>
      <c r="D361" s="29"/>
      <c r="E361" s="24"/>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8"/>
      <c r="B362" s="29"/>
      <c r="C362" s="28"/>
      <c r="D362" s="29"/>
      <c r="E362" s="24"/>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8"/>
      <c r="B363" s="29"/>
      <c r="C363" s="28"/>
      <c r="D363" s="29"/>
      <c r="E363" s="24"/>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8"/>
      <c r="B364" s="29"/>
      <c r="C364" s="28"/>
      <c r="D364" s="29"/>
      <c r="E364" s="24"/>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8"/>
      <c r="B365" s="29"/>
      <c r="C365" s="28"/>
      <c r="D365" s="29"/>
      <c r="E365" s="24"/>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8"/>
      <c r="B366" s="29"/>
      <c r="C366" s="28"/>
      <c r="D366" s="29"/>
      <c r="E366" s="24"/>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8"/>
      <c r="B367" s="29"/>
      <c r="C367" s="28"/>
      <c r="D367" s="29"/>
      <c r="E367" s="24"/>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8"/>
      <c r="B368" s="29"/>
      <c r="C368" s="28"/>
      <c r="D368" s="29"/>
      <c r="E368" s="24"/>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8"/>
      <c r="B369" s="29"/>
      <c r="C369" s="28"/>
      <c r="D369" s="29"/>
      <c r="E369" s="24"/>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8"/>
      <c r="B370" s="29"/>
      <c r="C370" s="28"/>
      <c r="D370" s="29"/>
      <c r="E370" s="24"/>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8"/>
      <c r="B371" s="29"/>
      <c r="C371" s="28"/>
      <c r="D371" s="29"/>
      <c r="E371" s="24"/>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8"/>
      <c r="B372" s="29"/>
      <c r="C372" s="28"/>
      <c r="D372" s="29"/>
      <c r="E372" s="24"/>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8"/>
      <c r="B373" s="29"/>
      <c r="C373" s="28"/>
      <c r="D373" s="29"/>
      <c r="E373" s="24"/>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8"/>
      <c r="B374" s="29"/>
      <c r="C374" s="28"/>
      <c r="D374" s="29"/>
      <c r="E374" s="24"/>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8"/>
      <c r="B375" s="29"/>
      <c r="C375" s="28"/>
      <c r="D375" s="29"/>
      <c r="E375" s="24"/>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8"/>
      <c r="B376" s="29"/>
      <c r="C376" s="28"/>
      <c r="D376" s="29"/>
      <c r="E376" s="24"/>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8"/>
      <c r="B377" s="29"/>
      <c r="C377" s="28"/>
      <c r="D377" s="29"/>
      <c r="E377" s="24"/>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8"/>
      <c r="B378" s="29"/>
      <c r="C378" s="28"/>
      <c r="D378" s="29"/>
      <c r="E378" s="24"/>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8"/>
      <c r="B379" s="29"/>
      <c r="C379" s="28"/>
      <c r="D379" s="29"/>
      <c r="E379" s="24"/>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8"/>
      <c r="B380" s="29"/>
      <c r="C380" s="28"/>
      <c r="D380" s="29"/>
      <c r="E380" s="24"/>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8"/>
      <c r="B381" s="29"/>
      <c r="C381" s="28"/>
      <c r="D381" s="29"/>
      <c r="E381" s="24"/>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8"/>
      <c r="B382" s="29"/>
      <c r="C382" s="28"/>
      <c r="D382" s="29"/>
      <c r="E382" s="24"/>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8"/>
      <c r="B383" s="29"/>
      <c r="C383" s="28"/>
      <c r="D383" s="29"/>
      <c r="E383" s="24"/>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8"/>
      <c r="B384" s="29"/>
      <c r="C384" s="28"/>
      <c r="D384" s="29"/>
      <c r="E384" s="24"/>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8"/>
      <c r="B385" s="29"/>
      <c r="C385" s="28"/>
      <c r="D385" s="29"/>
      <c r="E385" s="24"/>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8"/>
      <c r="B386" s="29"/>
      <c r="C386" s="28"/>
      <c r="D386" s="29"/>
      <c r="E386" s="24"/>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8"/>
      <c r="B387" s="29"/>
      <c r="C387" s="28"/>
      <c r="D387" s="29"/>
      <c r="E387" s="24"/>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8"/>
      <c r="B388" s="29"/>
      <c r="C388" s="28"/>
      <c r="D388" s="29"/>
      <c r="E388" s="24"/>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8"/>
      <c r="B389" s="29"/>
      <c r="C389" s="28"/>
      <c r="D389" s="29"/>
      <c r="E389" s="24"/>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8"/>
      <c r="B390" s="29"/>
      <c r="C390" s="28"/>
      <c r="D390" s="29"/>
      <c r="E390" s="24"/>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8"/>
      <c r="B391" s="29"/>
      <c r="C391" s="28"/>
      <c r="D391" s="29"/>
      <c r="E391" s="24"/>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8"/>
      <c r="B392" s="29"/>
      <c r="C392" s="28"/>
      <c r="D392" s="29"/>
      <c r="E392" s="24"/>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8"/>
      <c r="B393" s="29"/>
      <c r="C393" s="28"/>
      <c r="D393" s="29"/>
      <c r="E393" s="24"/>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8"/>
      <c r="B394" s="29"/>
      <c r="C394" s="28"/>
      <c r="D394" s="29"/>
      <c r="E394" s="24"/>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8"/>
      <c r="B395" s="29"/>
      <c r="C395" s="28"/>
      <c r="D395" s="29"/>
      <c r="E395" s="24"/>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8"/>
      <c r="B396" s="29"/>
      <c r="C396" s="28"/>
      <c r="D396" s="29"/>
      <c r="E396" s="24"/>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8"/>
      <c r="B397" s="29"/>
      <c r="C397" s="28"/>
      <c r="D397" s="29"/>
      <c r="E397" s="24"/>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8"/>
      <c r="B398" s="29"/>
      <c r="C398" s="28"/>
      <c r="D398" s="29"/>
      <c r="E398" s="24"/>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8"/>
      <c r="B399" s="29"/>
      <c r="C399" s="28"/>
      <c r="D399" s="29"/>
      <c r="E399" s="24"/>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8"/>
      <c r="B400" s="29"/>
      <c r="C400" s="28"/>
      <c r="D400" s="29"/>
      <c r="E400" s="24"/>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8"/>
      <c r="B401" s="29"/>
      <c r="C401" s="28"/>
      <c r="D401" s="29"/>
      <c r="E401" s="24"/>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8"/>
      <c r="B402" s="29"/>
      <c r="C402" s="28"/>
      <c r="D402" s="29"/>
      <c r="E402" s="24"/>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8"/>
      <c r="B403" s="29"/>
      <c r="C403" s="28"/>
      <c r="D403" s="29"/>
      <c r="E403" s="24"/>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8"/>
      <c r="B404" s="29"/>
      <c r="C404" s="28"/>
      <c r="D404" s="29"/>
      <c r="E404" s="24"/>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8"/>
      <c r="B405" s="29"/>
      <c r="C405" s="28"/>
      <c r="D405" s="29"/>
      <c r="E405" s="24"/>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8"/>
      <c r="B406" s="29"/>
      <c r="C406" s="28"/>
      <c r="D406" s="29"/>
      <c r="E406" s="24"/>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8"/>
      <c r="B407" s="29"/>
      <c r="C407" s="28"/>
      <c r="D407" s="29"/>
      <c r="E407" s="24"/>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8"/>
      <c r="B408" s="29"/>
      <c r="C408" s="28"/>
      <c r="D408" s="29"/>
      <c r="E408" s="24"/>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8"/>
      <c r="B409" s="29"/>
      <c r="C409" s="28"/>
      <c r="D409" s="29"/>
      <c r="E409" s="24"/>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8"/>
      <c r="B410" s="29"/>
      <c r="C410" s="28"/>
      <c r="D410" s="29"/>
      <c r="E410" s="24"/>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8"/>
      <c r="B411" s="29"/>
      <c r="C411" s="28"/>
      <c r="D411" s="29"/>
      <c r="E411" s="24"/>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8"/>
      <c r="B412" s="29"/>
      <c r="C412" s="28"/>
      <c r="D412" s="29"/>
      <c r="E412" s="24"/>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8"/>
      <c r="B413" s="29"/>
      <c r="C413" s="28"/>
      <c r="D413" s="29"/>
      <c r="E413" s="24"/>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8"/>
      <c r="B414" s="29"/>
      <c r="C414" s="28"/>
      <c r="D414" s="29"/>
      <c r="E414" s="24"/>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8"/>
      <c r="B415" s="29"/>
      <c r="C415" s="28"/>
      <c r="D415" s="29"/>
      <c r="E415" s="24"/>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8"/>
      <c r="B416" s="29"/>
      <c r="C416" s="28"/>
      <c r="D416" s="29"/>
      <c r="E416" s="24"/>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8"/>
      <c r="B417" s="29"/>
      <c r="C417" s="28"/>
      <c r="D417" s="29"/>
      <c r="E417" s="24"/>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8"/>
      <c r="B418" s="29"/>
      <c r="C418" s="28"/>
      <c r="D418" s="29"/>
      <c r="E418" s="24"/>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8"/>
      <c r="B419" s="29"/>
      <c r="C419" s="28"/>
      <c r="D419" s="29"/>
      <c r="E419" s="24"/>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8"/>
      <c r="B420" s="29"/>
      <c r="C420" s="28"/>
      <c r="D420" s="29"/>
      <c r="E420" s="24"/>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8"/>
      <c r="B421" s="29"/>
      <c r="C421" s="28"/>
      <c r="D421" s="29"/>
      <c r="E421" s="24"/>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8"/>
      <c r="B422" s="29"/>
      <c r="C422" s="28"/>
      <c r="D422" s="29"/>
      <c r="E422" s="24"/>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8"/>
      <c r="B423" s="29"/>
      <c r="C423" s="28"/>
      <c r="D423" s="29"/>
      <c r="E423" s="24"/>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8"/>
      <c r="B424" s="29"/>
      <c r="C424" s="28"/>
      <c r="D424" s="29"/>
      <c r="E424" s="24"/>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8"/>
      <c r="B425" s="29"/>
      <c r="C425" s="28"/>
      <c r="D425" s="29"/>
      <c r="E425" s="24"/>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8"/>
      <c r="B426" s="29"/>
      <c r="C426" s="28"/>
      <c r="D426" s="29"/>
      <c r="E426" s="24"/>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8"/>
      <c r="B427" s="29"/>
      <c r="C427" s="28"/>
      <c r="D427" s="29"/>
      <c r="E427" s="24"/>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8"/>
      <c r="B428" s="29"/>
      <c r="C428" s="28"/>
      <c r="D428" s="29"/>
      <c r="E428" s="24"/>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8"/>
      <c r="B429" s="29"/>
      <c r="C429" s="28"/>
      <c r="D429" s="29"/>
      <c r="E429" s="24"/>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8"/>
      <c r="B430" s="29"/>
      <c r="C430" s="28"/>
      <c r="D430" s="29"/>
      <c r="E430" s="24"/>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8"/>
      <c r="B431" s="29"/>
      <c r="C431" s="28"/>
      <c r="D431" s="29"/>
      <c r="E431" s="24"/>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8"/>
      <c r="B432" s="29"/>
      <c r="C432" s="28"/>
      <c r="D432" s="29"/>
      <c r="E432" s="24"/>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8"/>
      <c r="B433" s="29"/>
      <c r="C433" s="28"/>
      <c r="D433" s="29"/>
      <c r="E433" s="24"/>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8"/>
      <c r="B434" s="29"/>
      <c r="C434" s="28"/>
      <c r="D434" s="29"/>
      <c r="E434" s="24"/>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8"/>
      <c r="B435" s="29"/>
      <c r="C435" s="28"/>
      <c r="D435" s="29"/>
      <c r="E435" s="24"/>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8"/>
      <c r="B436" s="29"/>
      <c r="C436" s="28"/>
      <c r="D436" s="29"/>
      <c r="E436" s="24"/>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8"/>
      <c r="B437" s="29"/>
      <c r="C437" s="28"/>
      <c r="D437" s="29"/>
      <c r="E437" s="24"/>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8"/>
      <c r="B438" s="29"/>
      <c r="C438" s="28"/>
      <c r="D438" s="29"/>
      <c r="E438" s="24"/>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8"/>
      <c r="B439" s="29"/>
      <c r="C439" s="28"/>
      <c r="D439" s="29"/>
      <c r="E439" s="24"/>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8"/>
      <c r="B440" s="29"/>
      <c r="C440" s="28"/>
      <c r="D440" s="29"/>
      <c r="E440" s="24"/>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8"/>
      <c r="B441" s="29"/>
      <c r="C441" s="28"/>
      <c r="D441" s="29"/>
      <c r="E441" s="24"/>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8"/>
      <c r="B442" s="29"/>
      <c r="C442" s="28"/>
      <c r="D442" s="29"/>
      <c r="E442" s="24"/>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8"/>
      <c r="B443" s="29"/>
      <c r="C443" s="28"/>
      <c r="D443" s="29"/>
      <c r="E443" s="24"/>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8"/>
      <c r="B444" s="29"/>
      <c r="C444" s="28"/>
      <c r="D444" s="29"/>
      <c r="E444" s="24"/>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8"/>
      <c r="B445" s="29"/>
      <c r="C445" s="28"/>
      <c r="D445" s="29"/>
      <c r="E445" s="24"/>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8"/>
      <c r="B446" s="29"/>
      <c r="C446" s="28"/>
      <c r="D446" s="29"/>
      <c r="E446" s="24"/>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8"/>
      <c r="B447" s="29"/>
      <c r="C447" s="28"/>
      <c r="D447" s="29"/>
      <c r="E447" s="24"/>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8"/>
      <c r="B448" s="29"/>
      <c r="C448" s="28"/>
      <c r="D448" s="29"/>
      <c r="E448" s="24"/>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8"/>
      <c r="B449" s="29"/>
      <c r="C449" s="28"/>
      <c r="D449" s="29"/>
      <c r="E449" s="24"/>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8"/>
      <c r="B450" s="29"/>
      <c r="C450" s="28"/>
      <c r="D450" s="29"/>
      <c r="E450" s="24"/>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8"/>
      <c r="B451" s="29"/>
      <c r="C451" s="28"/>
      <c r="D451" s="29"/>
      <c r="E451" s="24"/>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8"/>
      <c r="B452" s="29"/>
      <c r="C452" s="28"/>
      <c r="D452" s="29"/>
      <c r="E452" s="24"/>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8"/>
      <c r="B453" s="29"/>
      <c r="C453" s="28"/>
      <c r="D453" s="29"/>
      <c r="E453" s="24"/>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8"/>
      <c r="B454" s="29"/>
      <c r="C454" s="28"/>
      <c r="D454" s="29"/>
      <c r="E454" s="24"/>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8"/>
      <c r="B455" s="29"/>
      <c r="C455" s="28"/>
      <c r="D455" s="29"/>
      <c r="E455" s="24"/>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8"/>
      <c r="B456" s="29"/>
      <c r="C456" s="28"/>
      <c r="D456" s="29"/>
      <c r="E456" s="24"/>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8"/>
      <c r="B457" s="29"/>
      <c r="C457" s="28"/>
      <c r="D457" s="29"/>
      <c r="E457" s="24"/>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8"/>
      <c r="B458" s="29"/>
      <c r="C458" s="28"/>
      <c r="D458" s="29"/>
      <c r="E458" s="24"/>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8"/>
      <c r="B459" s="29"/>
      <c r="C459" s="28"/>
      <c r="D459" s="29"/>
      <c r="E459" s="24"/>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8"/>
      <c r="B460" s="29"/>
      <c r="C460" s="28"/>
      <c r="D460" s="29"/>
      <c r="E460" s="24"/>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8"/>
      <c r="B461" s="29"/>
      <c r="C461" s="28"/>
      <c r="D461" s="29"/>
      <c r="E461" s="24"/>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8"/>
      <c r="B462" s="29"/>
      <c r="C462" s="28"/>
      <c r="D462" s="29"/>
      <c r="E462" s="24"/>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8"/>
      <c r="B463" s="29"/>
      <c r="C463" s="28"/>
      <c r="D463" s="29"/>
      <c r="E463" s="24"/>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8"/>
      <c r="B464" s="29"/>
      <c r="C464" s="28"/>
      <c r="D464" s="29"/>
      <c r="E464" s="24"/>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8"/>
      <c r="B465" s="29"/>
      <c r="C465" s="28"/>
      <c r="D465" s="29"/>
      <c r="E465" s="24"/>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8"/>
      <c r="B466" s="29"/>
      <c r="C466" s="28"/>
      <c r="D466" s="29"/>
      <c r="E466" s="24"/>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8"/>
      <c r="B467" s="29"/>
      <c r="C467" s="28"/>
      <c r="D467" s="29"/>
      <c r="E467" s="24"/>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8"/>
      <c r="B468" s="29"/>
      <c r="C468" s="28"/>
      <c r="D468" s="29"/>
      <c r="E468" s="24"/>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8"/>
      <c r="B469" s="29"/>
      <c r="C469" s="28"/>
      <c r="D469" s="29"/>
      <c r="E469" s="24"/>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8"/>
      <c r="B470" s="29"/>
      <c r="C470" s="28"/>
      <c r="D470" s="29"/>
      <c r="E470" s="24"/>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8"/>
      <c r="B471" s="29"/>
      <c r="C471" s="28"/>
      <c r="D471" s="29"/>
      <c r="E471" s="24"/>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8"/>
      <c r="B472" s="29"/>
      <c r="C472" s="28"/>
      <c r="D472" s="29"/>
      <c r="E472" s="24"/>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8"/>
      <c r="B473" s="29"/>
      <c r="C473" s="28"/>
      <c r="D473" s="29"/>
      <c r="E473" s="24"/>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8"/>
      <c r="B474" s="29"/>
      <c r="C474" s="28"/>
      <c r="D474" s="29"/>
      <c r="E474" s="24"/>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8"/>
      <c r="B475" s="29"/>
      <c r="C475" s="28"/>
      <c r="D475" s="29"/>
      <c r="E475" s="24"/>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8"/>
      <c r="B476" s="29"/>
      <c r="C476" s="28"/>
      <c r="D476" s="29"/>
      <c r="E476" s="24"/>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8"/>
      <c r="B477" s="29"/>
      <c r="C477" s="28"/>
      <c r="D477" s="29"/>
      <c r="E477" s="24"/>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8"/>
      <c r="B478" s="29"/>
      <c r="C478" s="28"/>
      <c r="D478" s="29"/>
      <c r="E478" s="24"/>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8"/>
      <c r="B479" s="29"/>
      <c r="C479" s="28"/>
      <c r="D479" s="29"/>
      <c r="E479" s="24"/>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8"/>
      <c r="B480" s="29"/>
      <c r="C480" s="28"/>
      <c r="D480" s="29"/>
      <c r="E480" s="24"/>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8"/>
      <c r="B481" s="29"/>
      <c r="C481" s="28"/>
      <c r="D481" s="29"/>
      <c r="E481" s="24"/>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8"/>
      <c r="B482" s="29"/>
      <c r="C482" s="28"/>
      <c r="D482" s="29"/>
      <c r="E482" s="24"/>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8"/>
      <c r="B483" s="29"/>
      <c r="C483" s="28"/>
      <c r="D483" s="29"/>
      <c r="E483" s="24"/>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8"/>
      <c r="B484" s="29"/>
      <c r="C484" s="28"/>
      <c r="D484" s="29"/>
      <c r="E484" s="24"/>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8"/>
      <c r="B485" s="29"/>
      <c r="C485" s="28"/>
      <c r="D485" s="29"/>
      <c r="E485" s="24"/>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8"/>
      <c r="B486" s="29"/>
      <c r="C486" s="28"/>
      <c r="D486" s="29"/>
      <c r="E486" s="24"/>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8"/>
      <c r="B487" s="29"/>
      <c r="C487" s="28"/>
      <c r="D487" s="29"/>
      <c r="E487" s="24"/>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8"/>
      <c r="B488" s="29"/>
      <c r="C488" s="28"/>
      <c r="D488" s="29"/>
      <c r="E488" s="24"/>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8"/>
      <c r="B489" s="29"/>
      <c r="C489" s="28"/>
      <c r="D489" s="29"/>
      <c r="E489" s="24"/>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8"/>
      <c r="B490" s="29"/>
      <c r="C490" s="28"/>
      <c r="D490" s="29"/>
      <c r="E490" s="24"/>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8"/>
      <c r="B491" s="29"/>
      <c r="C491" s="28"/>
      <c r="D491" s="29"/>
      <c r="E491" s="24"/>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8"/>
      <c r="B492" s="29"/>
      <c r="C492" s="28"/>
      <c r="D492" s="29"/>
      <c r="E492" s="24"/>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8"/>
      <c r="B493" s="29"/>
      <c r="C493" s="28"/>
      <c r="D493" s="29"/>
      <c r="E493" s="24"/>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8"/>
      <c r="B494" s="29"/>
      <c r="C494" s="28"/>
      <c r="D494" s="29"/>
      <c r="E494" s="24"/>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8"/>
      <c r="B495" s="29"/>
      <c r="C495" s="28"/>
      <c r="D495" s="29"/>
      <c r="E495" s="24"/>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8"/>
      <c r="B496" s="29"/>
      <c r="C496" s="28"/>
      <c r="D496" s="29"/>
      <c r="E496" s="24"/>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8"/>
      <c r="B497" s="29"/>
      <c r="C497" s="28"/>
      <c r="D497" s="29"/>
      <c r="E497" s="24"/>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8"/>
      <c r="B498" s="29"/>
      <c r="C498" s="28"/>
      <c r="D498" s="29"/>
      <c r="E498" s="24"/>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8"/>
      <c r="B499" s="29"/>
      <c r="C499" s="28"/>
      <c r="D499" s="29"/>
      <c r="E499" s="24"/>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8"/>
      <c r="B500" s="29"/>
      <c r="C500" s="28"/>
      <c r="D500" s="29"/>
      <c r="E500" s="24"/>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8"/>
      <c r="B501" s="29"/>
      <c r="C501" s="28"/>
      <c r="D501" s="29"/>
      <c r="E501" s="24"/>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8"/>
      <c r="B502" s="29"/>
      <c r="C502" s="28"/>
      <c r="D502" s="29"/>
      <c r="E502" s="24"/>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8"/>
      <c r="B503" s="29"/>
      <c r="C503" s="28"/>
      <c r="D503" s="29"/>
      <c r="E503" s="24"/>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8"/>
      <c r="B504" s="29"/>
      <c r="C504" s="28"/>
      <c r="D504" s="29"/>
      <c r="E504" s="24"/>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8"/>
      <c r="B505" s="29"/>
      <c r="C505" s="28"/>
      <c r="D505" s="29"/>
      <c r="E505" s="24"/>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8"/>
      <c r="B506" s="29"/>
      <c r="C506" s="28"/>
      <c r="D506" s="29"/>
      <c r="E506" s="24"/>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8"/>
      <c r="B507" s="29"/>
      <c r="C507" s="28"/>
      <c r="D507" s="29"/>
      <c r="E507" s="24"/>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8"/>
      <c r="B508" s="29"/>
      <c r="C508" s="28"/>
      <c r="D508" s="29"/>
      <c r="E508" s="24"/>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8"/>
      <c r="B509" s="29"/>
      <c r="C509" s="28"/>
      <c r="D509" s="29"/>
      <c r="E509" s="24"/>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8"/>
      <c r="B510" s="29"/>
      <c r="C510" s="28"/>
      <c r="D510" s="29"/>
      <c r="E510" s="24"/>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8"/>
      <c r="B511" s="29"/>
      <c r="C511" s="28"/>
      <c r="D511" s="29"/>
      <c r="E511" s="24"/>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8"/>
      <c r="B512" s="29"/>
      <c r="C512" s="28"/>
      <c r="D512" s="29"/>
      <c r="E512" s="24"/>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8"/>
      <c r="B513" s="29"/>
      <c r="C513" s="28"/>
      <c r="D513" s="29"/>
      <c r="E513" s="24"/>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8"/>
      <c r="B514" s="29"/>
      <c r="C514" s="28"/>
      <c r="D514" s="29"/>
      <c r="E514" s="24"/>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8"/>
      <c r="B515" s="29"/>
      <c r="C515" s="28"/>
      <c r="D515" s="29"/>
      <c r="E515" s="24"/>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8"/>
      <c r="B516" s="29"/>
      <c r="C516" s="28"/>
      <c r="D516" s="29"/>
      <c r="E516" s="24"/>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8"/>
      <c r="B517" s="29"/>
      <c r="C517" s="28"/>
      <c r="D517" s="29"/>
      <c r="E517" s="24"/>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8"/>
      <c r="B518" s="29"/>
      <c r="C518" s="28"/>
      <c r="D518" s="29"/>
      <c r="E518" s="24"/>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8"/>
      <c r="B519" s="29"/>
      <c r="C519" s="28"/>
      <c r="D519" s="29"/>
      <c r="E519" s="24"/>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8"/>
      <c r="B520" s="29"/>
      <c r="C520" s="28"/>
      <c r="D520" s="29"/>
      <c r="E520" s="24"/>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8"/>
      <c r="B521" s="29"/>
      <c r="C521" s="28"/>
      <c r="D521" s="29"/>
      <c r="E521" s="24"/>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8"/>
      <c r="B522" s="29"/>
      <c r="C522" s="28"/>
      <c r="D522" s="29"/>
      <c r="E522" s="24"/>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8"/>
      <c r="B523" s="29"/>
      <c r="C523" s="28"/>
      <c r="D523" s="29"/>
      <c r="E523" s="24"/>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8"/>
      <c r="B524" s="29"/>
      <c r="C524" s="28"/>
      <c r="D524" s="29"/>
      <c r="E524" s="24"/>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8"/>
      <c r="B525" s="29"/>
      <c r="C525" s="28"/>
      <c r="D525" s="29"/>
      <c r="E525" s="24"/>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8"/>
      <c r="B526" s="29"/>
      <c r="C526" s="28"/>
      <c r="D526" s="29"/>
      <c r="E526" s="24"/>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8"/>
      <c r="B527" s="29"/>
      <c r="C527" s="28"/>
      <c r="D527" s="29"/>
      <c r="E527" s="24"/>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8"/>
      <c r="B528" s="29"/>
      <c r="C528" s="28"/>
      <c r="D528" s="29"/>
      <c r="E528" s="24"/>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8"/>
      <c r="B529" s="29"/>
      <c r="C529" s="28"/>
      <c r="D529" s="29"/>
      <c r="E529" s="24"/>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8"/>
      <c r="B530" s="29"/>
      <c r="C530" s="28"/>
      <c r="D530" s="29"/>
      <c r="E530" s="24"/>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8"/>
      <c r="B531" s="29"/>
      <c r="C531" s="28"/>
      <c r="D531" s="29"/>
      <c r="E531" s="24"/>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8"/>
      <c r="B532" s="29"/>
      <c r="C532" s="28"/>
      <c r="D532" s="29"/>
      <c r="E532" s="24"/>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8"/>
      <c r="B533" s="29"/>
      <c r="C533" s="28"/>
      <c r="D533" s="29"/>
      <c r="E533" s="24"/>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8"/>
      <c r="B534" s="29"/>
      <c r="C534" s="28"/>
      <c r="D534" s="29"/>
      <c r="E534" s="24"/>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8"/>
      <c r="B535" s="29"/>
      <c r="C535" s="28"/>
      <c r="D535" s="29"/>
      <c r="E535" s="24"/>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8"/>
      <c r="B536" s="29"/>
      <c r="C536" s="28"/>
      <c r="D536" s="29"/>
      <c r="E536" s="24"/>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8"/>
      <c r="B537" s="29"/>
      <c r="C537" s="28"/>
      <c r="D537" s="29"/>
      <c r="E537" s="24"/>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8"/>
      <c r="B538" s="29"/>
      <c r="C538" s="28"/>
      <c r="D538" s="29"/>
      <c r="E538" s="24"/>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8"/>
      <c r="B539" s="29"/>
      <c r="C539" s="28"/>
      <c r="D539" s="29"/>
      <c r="E539" s="24"/>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8"/>
      <c r="B540" s="29"/>
      <c r="C540" s="28"/>
      <c r="D540" s="29"/>
      <c r="E540" s="24"/>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8"/>
      <c r="B541" s="29"/>
      <c r="C541" s="28"/>
      <c r="D541" s="29"/>
      <c r="E541" s="24"/>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8"/>
      <c r="B542" s="29"/>
      <c r="C542" s="28"/>
      <c r="D542" s="29"/>
      <c r="E542" s="24"/>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8"/>
      <c r="B543" s="29"/>
      <c r="C543" s="28"/>
      <c r="D543" s="29"/>
      <c r="E543" s="24"/>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8"/>
      <c r="B544" s="29"/>
      <c r="C544" s="28"/>
      <c r="D544" s="29"/>
      <c r="E544" s="24"/>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8"/>
      <c r="B545" s="29"/>
      <c r="C545" s="28"/>
      <c r="D545" s="29"/>
      <c r="E545" s="24"/>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8"/>
      <c r="B546" s="29"/>
      <c r="C546" s="28"/>
      <c r="D546" s="29"/>
      <c r="E546" s="24"/>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8"/>
      <c r="B547" s="29"/>
      <c r="C547" s="28"/>
      <c r="D547" s="29"/>
      <c r="E547" s="24"/>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8"/>
      <c r="B548" s="29"/>
      <c r="C548" s="28"/>
      <c r="D548" s="29"/>
      <c r="E548" s="24"/>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8"/>
      <c r="B549" s="29"/>
      <c r="C549" s="28"/>
      <c r="D549" s="29"/>
      <c r="E549" s="24"/>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8"/>
      <c r="B550" s="29"/>
      <c r="C550" s="28"/>
      <c r="D550" s="29"/>
      <c r="E550" s="24"/>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8"/>
      <c r="B551" s="29"/>
      <c r="C551" s="28"/>
      <c r="D551" s="29"/>
      <c r="E551" s="24"/>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8"/>
      <c r="B552" s="29"/>
      <c r="C552" s="28"/>
      <c r="D552" s="29"/>
      <c r="E552" s="24"/>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8"/>
      <c r="B553" s="29"/>
      <c r="C553" s="28"/>
      <c r="D553" s="29"/>
      <c r="E553" s="24"/>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8"/>
      <c r="B554" s="29"/>
      <c r="C554" s="28"/>
      <c r="D554" s="29"/>
      <c r="E554" s="24"/>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8"/>
      <c r="B555" s="29"/>
      <c r="C555" s="28"/>
      <c r="D555" s="29"/>
      <c r="E555" s="24"/>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8"/>
      <c r="B556" s="29"/>
      <c r="C556" s="28"/>
      <c r="D556" s="29"/>
      <c r="E556" s="24"/>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8"/>
      <c r="B557" s="29"/>
      <c r="C557" s="28"/>
      <c r="D557" s="29"/>
      <c r="E557" s="24"/>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8"/>
      <c r="B558" s="29"/>
      <c r="C558" s="28"/>
      <c r="D558" s="29"/>
      <c r="E558" s="24"/>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8"/>
      <c r="B559" s="29"/>
      <c r="C559" s="28"/>
      <c r="D559" s="29"/>
      <c r="E559" s="24"/>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8"/>
      <c r="B560" s="29"/>
      <c r="C560" s="28"/>
      <c r="D560" s="29"/>
      <c r="E560" s="24"/>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8"/>
      <c r="B561" s="29"/>
      <c r="C561" s="28"/>
      <c r="D561" s="29"/>
      <c r="E561" s="24"/>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8"/>
      <c r="B562" s="29"/>
      <c r="C562" s="28"/>
      <c r="D562" s="29"/>
      <c r="E562" s="24"/>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8"/>
      <c r="B563" s="29"/>
      <c r="C563" s="28"/>
      <c r="D563" s="29"/>
      <c r="E563" s="24"/>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8"/>
      <c r="B564" s="29"/>
      <c r="C564" s="28"/>
      <c r="D564" s="29"/>
      <c r="E564" s="24"/>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8"/>
      <c r="B565" s="29"/>
      <c r="C565" s="28"/>
      <c r="D565" s="29"/>
      <c r="E565" s="24"/>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8"/>
      <c r="B566" s="29"/>
      <c r="C566" s="28"/>
      <c r="D566" s="29"/>
      <c r="E566" s="24"/>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8"/>
      <c r="B567" s="29"/>
      <c r="C567" s="28"/>
      <c r="D567" s="29"/>
      <c r="E567" s="24"/>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8"/>
      <c r="B568" s="29"/>
      <c r="C568" s="28"/>
      <c r="D568" s="29"/>
      <c r="E568" s="24"/>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8"/>
      <c r="B569" s="29"/>
      <c r="C569" s="28"/>
      <c r="D569" s="29"/>
      <c r="E569" s="24"/>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8"/>
      <c r="B570" s="29"/>
      <c r="C570" s="28"/>
      <c r="D570" s="29"/>
      <c r="E570" s="24"/>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8"/>
      <c r="B571" s="29"/>
      <c r="C571" s="28"/>
      <c r="D571" s="29"/>
      <c r="E571" s="24"/>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8"/>
      <c r="B572" s="29"/>
      <c r="C572" s="28"/>
      <c r="D572" s="29"/>
      <c r="E572" s="24"/>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8"/>
      <c r="B573" s="29"/>
      <c r="C573" s="28"/>
      <c r="D573" s="29"/>
      <c r="E573" s="24"/>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8"/>
      <c r="B574" s="29"/>
      <c r="C574" s="28"/>
      <c r="D574" s="29"/>
      <c r="E574" s="24"/>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8"/>
      <c r="B575" s="29"/>
      <c r="C575" s="28"/>
      <c r="D575" s="29"/>
      <c r="E575" s="24"/>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8"/>
      <c r="B576" s="29"/>
      <c r="C576" s="28"/>
      <c r="D576" s="29"/>
      <c r="E576" s="24"/>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8"/>
      <c r="B577" s="29"/>
      <c r="C577" s="28"/>
      <c r="D577" s="29"/>
      <c r="E577" s="24"/>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8"/>
      <c r="B578" s="29"/>
      <c r="C578" s="28"/>
      <c r="D578" s="29"/>
      <c r="E578" s="24"/>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8"/>
      <c r="B579" s="29"/>
      <c r="C579" s="28"/>
      <c r="D579" s="29"/>
      <c r="E579" s="24"/>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8"/>
      <c r="B580" s="29"/>
      <c r="C580" s="28"/>
      <c r="D580" s="29"/>
      <c r="E580" s="24"/>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8"/>
      <c r="B581" s="29"/>
      <c r="C581" s="28"/>
      <c r="D581" s="29"/>
      <c r="E581" s="24"/>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8"/>
      <c r="B582" s="29"/>
      <c r="C582" s="28"/>
      <c r="D582" s="29"/>
      <c r="E582" s="24"/>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8"/>
      <c r="B583" s="29"/>
      <c r="C583" s="28"/>
      <c r="D583" s="29"/>
      <c r="E583" s="24"/>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8"/>
      <c r="B584" s="29"/>
      <c r="C584" s="28"/>
      <c r="D584" s="29"/>
      <c r="E584" s="24"/>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8"/>
      <c r="B585" s="29"/>
      <c r="C585" s="28"/>
      <c r="D585" s="29"/>
      <c r="E585" s="24"/>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8"/>
      <c r="B586" s="29"/>
      <c r="C586" s="28"/>
      <c r="D586" s="29"/>
      <c r="E586" s="24"/>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8"/>
      <c r="B587" s="29"/>
      <c r="C587" s="28"/>
      <c r="D587" s="29"/>
      <c r="E587" s="24"/>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8"/>
      <c r="B588" s="29"/>
      <c r="C588" s="28"/>
      <c r="D588" s="29"/>
      <c r="E588" s="24"/>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8"/>
      <c r="B589" s="29"/>
      <c r="C589" s="28"/>
      <c r="D589" s="29"/>
      <c r="E589" s="24"/>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8"/>
      <c r="B590" s="29"/>
      <c r="C590" s="28"/>
      <c r="D590" s="29"/>
      <c r="E590" s="24"/>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8"/>
      <c r="B591" s="29"/>
      <c r="C591" s="28"/>
      <c r="D591" s="29"/>
      <c r="E591" s="24"/>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8"/>
      <c r="B592" s="29"/>
      <c r="C592" s="28"/>
      <c r="D592" s="29"/>
      <c r="E592" s="24"/>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8"/>
      <c r="B593" s="29"/>
      <c r="C593" s="28"/>
      <c r="D593" s="29"/>
      <c r="E593" s="24"/>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8"/>
      <c r="B594" s="29"/>
      <c r="C594" s="28"/>
      <c r="D594" s="29"/>
      <c r="E594" s="24"/>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8"/>
      <c r="B595" s="29"/>
      <c r="C595" s="28"/>
      <c r="D595" s="29"/>
      <c r="E595" s="24"/>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8"/>
      <c r="B596" s="29"/>
      <c r="C596" s="28"/>
      <c r="D596" s="29"/>
      <c r="E596" s="24"/>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8"/>
      <c r="B597" s="29"/>
      <c r="C597" s="28"/>
      <c r="D597" s="29"/>
      <c r="E597" s="24"/>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8"/>
      <c r="B598" s="29"/>
      <c r="C598" s="28"/>
      <c r="D598" s="29"/>
      <c r="E598" s="24"/>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8"/>
      <c r="B599" s="29"/>
      <c r="C599" s="28"/>
      <c r="D599" s="29"/>
      <c r="E599" s="24"/>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8"/>
      <c r="B600" s="29"/>
      <c r="C600" s="28"/>
      <c r="D600" s="29"/>
      <c r="E600" s="24"/>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8"/>
      <c r="B601" s="29"/>
      <c r="C601" s="28"/>
      <c r="D601" s="29"/>
      <c r="E601" s="24"/>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8"/>
      <c r="B602" s="29"/>
      <c r="C602" s="28"/>
      <c r="D602" s="29"/>
      <c r="E602" s="24"/>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8"/>
      <c r="B603" s="29"/>
      <c r="C603" s="28"/>
      <c r="D603" s="29"/>
      <c r="E603" s="24"/>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8"/>
      <c r="B604" s="29"/>
      <c r="C604" s="28"/>
      <c r="D604" s="29"/>
      <c r="E604" s="24"/>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8"/>
      <c r="B605" s="29"/>
      <c r="C605" s="28"/>
      <c r="D605" s="29"/>
      <c r="E605" s="24"/>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8"/>
      <c r="B606" s="29"/>
      <c r="C606" s="28"/>
      <c r="D606" s="29"/>
      <c r="E606" s="24"/>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8"/>
      <c r="B607" s="29"/>
      <c r="C607" s="28"/>
      <c r="D607" s="29"/>
      <c r="E607" s="24"/>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8"/>
      <c r="B608" s="29"/>
      <c r="C608" s="28"/>
      <c r="D608" s="29"/>
      <c r="E608" s="24"/>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8"/>
      <c r="B609" s="29"/>
      <c r="C609" s="28"/>
      <c r="D609" s="29"/>
      <c r="E609" s="24"/>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8"/>
      <c r="B610" s="29"/>
      <c r="C610" s="28"/>
      <c r="D610" s="29"/>
      <c r="E610" s="24"/>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8"/>
      <c r="B611" s="29"/>
      <c r="C611" s="28"/>
      <c r="D611" s="29"/>
      <c r="E611" s="24"/>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8"/>
      <c r="B612" s="29"/>
      <c r="C612" s="28"/>
      <c r="D612" s="29"/>
      <c r="E612" s="24"/>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8"/>
      <c r="B613" s="29"/>
      <c r="C613" s="28"/>
      <c r="D613" s="29"/>
      <c r="E613" s="24"/>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8"/>
      <c r="B614" s="29"/>
      <c r="C614" s="28"/>
      <c r="D614" s="29"/>
      <c r="E614" s="24"/>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8"/>
      <c r="B615" s="29"/>
      <c r="C615" s="28"/>
      <c r="D615" s="29"/>
      <c r="E615" s="24"/>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8"/>
      <c r="B616" s="29"/>
      <c r="C616" s="28"/>
      <c r="D616" s="29"/>
      <c r="E616" s="24"/>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8"/>
      <c r="B617" s="29"/>
      <c r="C617" s="28"/>
      <c r="D617" s="29"/>
      <c r="E617" s="24"/>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8"/>
      <c r="B618" s="29"/>
      <c r="C618" s="28"/>
      <c r="D618" s="29"/>
      <c r="E618" s="24"/>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8"/>
      <c r="B619" s="29"/>
      <c r="C619" s="28"/>
      <c r="D619" s="29"/>
      <c r="E619" s="24"/>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8"/>
      <c r="B620" s="29"/>
      <c r="C620" s="28"/>
      <c r="D620" s="29"/>
      <c r="E620" s="24"/>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8"/>
      <c r="B621" s="29"/>
      <c r="C621" s="28"/>
      <c r="D621" s="29"/>
      <c r="E621" s="24"/>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8"/>
      <c r="B622" s="29"/>
      <c r="C622" s="28"/>
      <c r="D622" s="29"/>
      <c r="E622" s="24"/>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8"/>
      <c r="B623" s="29"/>
      <c r="C623" s="28"/>
      <c r="D623" s="29"/>
      <c r="E623" s="24"/>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8"/>
      <c r="B624" s="29"/>
      <c r="C624" s="28"/>
      <c r="D624" s="29"/>
      <c r="E624" s="24"/>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8"/>
      <c r="B625" s="29"/>
      <c r="C625" s="28"/>
      <c r="D625" s="29"/>
      <c r="E625" s="24"/>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8"/>
      <c r="B626" s="29"/>
      <c r="C626" s="28"/>
      <c r="D626" s="29"/>
      <c r="E626" s="24"/>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8"/>
      <c r="B627" s="29"/>
      <c r="C627" s="28"/>
      <c r="D627" s="29"/>
      <c r="E627" s="24"/>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8"/>
      <c r="B628" s="29"/>
      <c r="C628" s="28"/>
      <c r="D628" s="29"/>
      <c r="E628" s="24"/>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8"/>
      <c r="B629" s="29"/>
      <c r="C629" s="28"/>
      <c r="D629" s="29"/>
      <c r="E629" s="24"/>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8"/>
      <c r="B630" s="29"/>
      <c r="C630" s="28"/>
      <c r="D630" s="29"/>
      <c r="E630" s="24"/>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8"/>
      <c r="B631" s="29"/>
      <c r="C631" s="28"/>
      <c r="D631" s="29"/>
      <c r="E631" s="24"/>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8"/>
      <c r="B632" s="29"/>
      <c r="C632" s="28"/>
      <c r="D632" s="29"/>
      <c r="E632" s="24"/>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8"/>
      <c r="B633" s="29"/>
      <c r="C633" s="28"/>
      <c r="D633" s="29"/>
      <c r="E633" s="24"/>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8"/>
      <c r="B634" s="29"/>
      <c r="C634" s="28"/>
      <c r="D634" s="29"/>
      <c r="E634" s="24"/>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8"/>
      <c r="B635" s="29"/>
      <c r="C635" s="28"/>
      <c r="D635" s="29"/>
      <c r="E635" s="24"/>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8"/>
      <c r="B636" s="29"/>
      <c r="C636" s="28"/>
      <c r="D636" s="29"/>
      <c r="E636" s="24"/>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8"/>
      <c r="B637" s="29"/>
      <c r="C637" s="28"/>
      <c r="D637" s="29"/>
      <c r="E637" s="24"/>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8"/>
      <c r="B638" s="29"/>
      <c r="C638" s="28"/>
      <c r="D638" s="29"/>
      <c r="E638" s="24"/>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8"/>
      <c r="B639" s="29"/>
      <c r="C639" s="28"/>
      <c r="D639" s="29"/>
      <c r="E639" s="24"/>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8"/>
      <c r="B640" s="29"/>
      <c r="C640" s="28"/>
      <c r="D640" s="29"/>
      <c r="E640" s="24"/>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8"/>
      <c r="B641" s="29"/>
      <c r="C641" s="28"/>
      <c r="D641" s="29"/>
      <c r="E641" s="24"/>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8"/>
      <c r="B642" s="29"/>
      <c r="C642" s="28"/>
      <c r="D642" s="29"/>
      <c r="E642" s="24"/>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8"/>
      <c r="B643" s="29"/>
      <c r="C643" s="28"/>
      <c r="D643" s="29"/>
      <c r="E643" s="24"/>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8"/>
      <c r="B644" s="29"/>
      <c r="C644" s="28"/>
      <c r="D644" s="29"/>
      <c r="E644" s="24"/>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8"/>
      <c r="B645" s="29"/>
      <c r="C645" s="28"/>
      <c r="D645" s="29"/>
      <c r="E645" s="24"/>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8"/>
      <c r="B646" s="29"/>
      <c r="C646" s="28"/>
      <c r="D646" s="29"/>
      <c r="E646" s="24"/>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8"/>
      <c r="B647" s="29"/>
      <c r="C647" s="28"/>
      <c r="D647" s="29"/>
      <c r="E647" s="24"/>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8"/>
      <c r="B648" s="29"/>
      <c r="C648" s="28"/>
      <c r="D648" s="29"/>
      <c r="E648" s="24"/>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8"/>
      <c r="B649" s="29"/>
      <c r="C649" s="28"/>
      <c r="D649" s="29"/>
      <c r="E649" s="24"/>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8"/>
      <c r="B650" s="29"/>
      <c r="C650" s="28"/>
      <c r="D650" s="29"/>
      <c r="E650" s="24"/>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8"/>
      <c r="B651" s="29"/>
      <c r="C651" s="28"/>
      <c r="D651" s="29"/>
      <c r="E651" s="24"/>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8"/>
      <c r="B652" s="29"/>
      <c r="C652" s="28"/>
      <c r="D652" s="29"/>
      <c r="E652" s="24"/>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8"/>
      <c r="B653" s="29"/>
      <c r="C653" s="28"/>
      <c r="D653" s="29"/>
      <c r="E653" s="24"/>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8"/>
      <c r="B654" s="29"/>
      <c r="C654" s="28"/>
      <c r="D654" s="29"/>
      <c r="E654" s="24"/>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8"/>
      <c r="B655" s="29"/>
      <c r="C655" s="28"/>
      <c r="D655" s="29"/>
      <c r="E655" s="24"/>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8"/>
      <c r="B656" s="29"/>
      <c r="C656" s="28"/>
      <c r="D656" s="29"/>
      <c r="E656" s="24"/>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8"/>
      <c r="B657" s="29"/>
      <c r="C657" s="28"/>
      <c r="D657" s="29"/>
      <c r="E657" s="24"/>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8"/>
      <c r="B658" s="29"/>
      <c r="C658" s="28"/>
      <c r="D658" s="29"/>
      <c r="E658" s="24"/>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8"/>
      <c r="B659" s="29"/>
      <c r="C659" s="28"/>
      <c r="D659" s="29"/>
      <c r="E659" s="24"/>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8"/>
      <c r="B660" s="29"/>
      <c r="C660" s="28"/>
      <c r="D660" s="29"/>
      <c r="E660" s="24"/>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8"/>
      <c r="B661" s="29"/>
      <c r="C661" s="28"/>
      <c r="D661" s="29"/>
      <c r="E661" s="24"/>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8"/>
      <c r="B662" s="29"/>
      <c r="C662" s="28"/>
      <c r="D662" s="29"/>
      <c r="E662" s="24"/>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8"/>
      <c r="B663" s="29"/>
      <c r="C663" s="28"/>
      <c r="D663" s="29"/>
      <c r="E663" s="24"/>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8"/>
      <c r="B664" s="29"/>
      <c r="C664" s="28"/>
      <c r="D664" s="29"/>
      <c r="E664" s="24"/>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8"/>
      <c r="B665" s="29"/>
      <c r="C665" s="28"/>
      <c r="D665" s="29"/>
      <c r="E665" s="24"/>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8"/>
      <c r="B666" s="29"/>
      <c r="C666" s="28"/>
      <c r="D666" s="29"/>
      <c r="E666" s="24"/>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8"/>
      <c r="B667" s="29"/>
      <c r="C667" s="28"/>
      <c r="D667" s="29"/>
      <c r="E667" s="24"/>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8"/>
      <c r="B668" s="29"/>
      <c r="C668" s="28"/>
      <c r="D668" s="29"/>
      <c r="E668" s="24"/>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8"/>
      <c r="B669" s="29"/>
      <c r="C669" s="28"/>
      <c r="D669" s="29"/>
      <c r="E669" s="24"/>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8"/>
      <c r="B670" s="29"/>
      <c r="C670" s="28"/>
      <c r="D670" s="29"/>
      <c r="E670" s="24"/>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8"/>
      <c r="B671" s="29"/>
      <c r="C671" s="28"/>
      <c r="D671" s="29"/>
      <c r="E671" s="24"/>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8"/>
      <c r="B672" s="29"/>
      <c r="C672" s="28"/>
      <c r="D672" s="29"/>
      <c r="E672" s="24"/>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8"/>
      <c r="B673" s="29"/>
      <c r="C673" s="28"/>
      <c r="D673" s="29"/>
      <c r="E673" s="24"/>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8"/>
      <c r="B674" s="29"/>
      <c r="C674" s="28"/>
      <c r="D674" s="29"/>
      <c r="E674" s="24"/>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8"/>
      <c r="B675" s="29"/>
      <c r="C675" s="28"/>
      <c r="D675" s="29"/>
      <c r="E675" s="24"/>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8"/>
      <c r="B676" s="29"/>
      <c r="C676" s="28"/>
      <c r="D676" s="29"/>
      <c r="E676" s="24"/>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8"/>
      <c r="B677" s="29"/>
      <c r="C677" s="28"/>
      <c r="D677" s="29"/>
      <c r="E677" s="24"/>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8"/>
      <c r="B678" s="29"/>
      <c r="C678" s="28"/>
      <c r="D678" s="29"/>
      <c r="E678" s="24"/>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8"/>
      <c r="B679" s="29"/>
      <c r="C679" s="28"/>
      <c r="D679" s="29"/>
      <c r="E679" s="24"/>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8"/>
      <c r="B680" s="29"/>
      <c r="C680" s="28"/>
      <c r="D680" s="29"/>
      <c r="E680" s="24"/>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8"/>
      <c r="B681" s="29"/>
      <c r="C681" s="28"/>
      <c r="D681" s="29"/>
      <c r="E681" s="24"/>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8"/>
      <c r="B682" s="29"/>
      <c r="C682" s="28"/>
      <c r="D682" s="29"/>
      <c r="E682" s="24"/>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8"/>
      <c r="B683" s="29"/>
      <c r="C683" s="28"/>
      <c r="D683" s="29"/>
      <c r="E683" s="24"/>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8"/>
      <c r="B684" s="29"/>
      <c r="C684" s="28"/>
      <c r="D684" s="29"/>
      <c r="E684" s="24"/>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8"/>
      <c r="B685" s="29"/>
      <c r="C685" s="28"/>
      <c r="D685" s="29"/>
      <c r="E685" s="24"/>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8"/>
      <c r="B686" s="29"/>
      <c r="C686" s="28"/>
      <c r="D686" s="29"/>
      <c r="E686" s="24"/>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8"/>
      <c r="B687" s="29"/>
      <c r="C687" s="28"/>
      <c r="D687" s="29"/>
      <c r="E687" s="24"/>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8"/>
      <c r="B688" s="29"/>
      <c r="C688" s="28"/>
      <c r="D688" s="29"/>
      <c r="E688" s="24"/>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8"/>
      <c r="B689" s="29"/>
      <c r="C689" s="28"/>
      <c r="D689" s="29"/>
      <c r="E689" s="24"/>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8"/>
      <c r="B690" s="29"/>
      <c r="C690" s="28"/>
      <c r="D690" s="29"/>
      <c r="E690" s="24"/>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8"/>
      <c r="B691" s="29"/>
      <c r="C691" s="28"/>
      <c r="D691" s="29"/>
      <c r="E691" s="24"/>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8"/>
      <c r="B692" s="29"/>
      <c r="C692" s="28"/>
      <c r="D692" s="29"/>
      <c r="E692" s="24"/>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8"/>
      <c r="B693" s="29"/>
      <c r="C693" s="28"/>
      <c r="D693" s="29"/>
      <c r="E693" s="24"/>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8"/>
      <c r="B694" s="29"/>
      <c r="C694" s="28"/>
      <c r="D694" s="29"/>
      <c r="E694" s="24"/>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8"/>
      <c r="B695" s="29"/>
      <c r="C695" s="28"/>
      <c r="D695" s="29"/>
      <c r="E695" s="24"/>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8"/>
      <c r="B696" s="29"/>
      <c r="C696" s="28"/>
      <c r="D696" s="29"/>
      <c r="E696" s="24"/>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8"/>
      <c r="B697" s="29"/>
      <c r="C697" s="28"/>
      <c r="D697" s="29"/>
      <c r="E697" s="24"/>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8"/>
      <c r="B698" s="29"/>
      <c r="C698" s="28"/>
      <c r="D698" s="29"/>
      <c r="E698" s="24"/>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8"/>
      <c r="B699" s="29"/>
      <c r="C699" s="28"/>
      <c r="D699" s="29"/>
      <c r="E699" s="24"/>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8"/>
      <c r="B700" s="29"/>
      <c r="C700" s="28"/>
      <c r="D700" s="29"/>
      <c r="E700" s="24"/>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8"/>
      <c r="B701" s="29"/>
      <c r="C701" s="28"/>
      <c r="D701" s="29"/>
      <c r="E701" s="24"/>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8"/>
      <c r="B702" s="29"/>
      <c r="C702" s="28"/>
      <c r="D702" s="29"/>
      <c r="E702" s="24"/>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8"/>
      <c r="B703" s="29"/>
      <c r="C703" s="28"/>
      <c r="D703" s="29"/>
      <c r="E703" s="24"/>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8"/>
      <c r="B704" s="29"/>
      <c r="C704" s="28"/>
      <c r="D704" s="29"/>
      <c r="E704" s="24"/>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8"/>
      <c r="B705" s="29"/>
      <c r="C705" s="28"/>
      <c r="D705" s="29"/>
      <c r="E705" s="24"/>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8"/>
      <c r="B706" s="29"/>
      <c r="C706" s="28"/>
      <c r="D706" s="29"/>
      <c r="E706" s="24"/>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8"/>
      <c r="B707" s="29"/>
      <c r="C707" s="28"/>
      <c r="D707" s="29"/>
      <c r="E707" s="24"/>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8"/>
      <c r="B708" s="29"/>
      <c r="C708" s="28"/>
      <c r="D708" s="29"/>
      <c r="E708" s="24"/>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8"/>
      <c r="B709" s="29"/>
      <c r="C709" s="28"/>
      <c r="D709" s="29"/>
      <c r="E709" s="24"/>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8"/>
      <c r="B710" s="29"/>
      <c r="C710" s="28"/>
      <c r="D710" s="29"/>
      <c r="E710" s="24"/>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8"/>
      <c r="B711" s="29"/>
      <c r="C711" s="28"/>
      <c r="D711" s="29"/>
      <c r="E711" s="24"/>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8"/>
      <c r="B712" s="29"/>
      <c r="C712" s="28"/>
      <c r="D712" s="29"/>
      <c r="E712" s="24"/>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8"/>
      <c r="B713" s="29"/>
      <c r="C713" s="28"/>
      <c r="D713" s="29"/>
      <c r="E713" s="24"/>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8"/>
      <c r="B714" s="29"/>
      <c r="C714" s="28"/>
      <c r="D714" s="29"/>
      <c r="E714" s="24"/>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8"/>
      <c r="B715" s="29"/>
      <c r="C715" s="28"/>
      <c r="D715" s="29"/>
      <c r="E715" s="24"/>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8"/>
      <c r="B716" s="29"/>
      <c r="C716" s="28"/>
      <c r="D716" s="29"/>
      <c r="E716" s="24"/>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8"/>
      <c r="B717" s="29"/>
      <c r="C717" s="28"/>
      <c r="D717" s="29"/>
      <c r="E717" s="24"/>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8"/>
      <c r="B718" s="29"/>
      <c r="C718" s="28"/>
      <c r="D718" s="29"/>
      <c r="E718" s="24"/>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8"/>
      <c r="B719" s="29"/>
      <c r="C719" s="28"/>
      <c r="D719" s="29"/>
      <c r="E719" s="24"/>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8"/>
      <c r="B720" s="29"/>
      <c r="C720" s="28"/>
      <c r="D720" s="29"/>
      <c r="E720" s="24"/>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8"/>
      <c r="B721" s="29"/>
      <c r="C721" s="28"/>
      <c r="D721" s="29"/>
      <c r="E721" s="24"/>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8"/>
      <c r="B722" s="29"/>
      <c r="C722" s="28"/>
      <c r="D722" s="29"/>
      <c r="E722" s="24"/>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8"/>
      <c r="B723" s="29"/>
      <c r="C723" s="28"/>
      <c r="D723" s="29"/>
      <c r="E723" s="24"/>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8"/>
      <c r="B724" s="29"/>
      <c r="C724" s="28"/>
      <c r="D724" s="29"/>
      <c r="E724" s="24"/>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8"/>
      <c r="B725" s="29"/>
      <c r="C725" s="28"/>
      <c r="D725" s="29"/>
      <c r="E725" s="24"/>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8"/>
      <c r="B726" s="29"/>
      <c r="C726" s="28"/>
      <c r="D726" s="29"/>
      <c r="E726" s="24"/>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8"/>
      <c r="B727" s="29"/>
      <c r="C727" s="28"/>
      <c r="D727" s="29"/>
      <c r="E727" s="24"/>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8"/>
      <c r="B728" s="29"/>
      <c r="C728" s="28"/>
      <c r="D728" s="29"/>
      <c r="E728" s="24"/>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8"/>
      <c r="B729" s="29"/>
      <c r="C729" s="28"/>
      <c r="D729" s="29"/>
      <c r="E729" s="24"/>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8"/>
      <c r="B730" s="29"/>
      <c r="C730" s="28"/>
      <c r="D730" s="29"/>
      <c r="E730" s="24"/>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8"/>
      <c r="B731" s="29"/>
      <c r="C731" s="28"/>
      <c r="D731" s="29"/>
      <c r="E731" s="24"/>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8"/>
      <c r="B732" s="29"/>
      <c r="C732" s="28"/>
      <c r="D732" s="29"/>
      <c r="E732" s="24"/>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8"/>
      <c r="B733" s="29"/>
      <c r="C733" s="28"/>
      <c r="D733" s="29"/>
      <c r="E733" s="24"/>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8"/>
      <c r="B734" s="29"/>
      <c r="C734" s="28"/>
      <c r="D734" s="29"/>
      <c r="E734" s="24"/>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8"/>
      <c r="B735" s="29"/>
      <c r="C735" s="28"/>
      <c r="D735" s="29"/>
      <c r="E735" s="24"/>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8"/>
      <c r="B736" s="29"/>
      <c r="C736" s="28"/>
      <c r="D736" s="29"/>
      <c r="E736" s="24"/>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8"/>
      <c r="B737" s="29"/>
      <c r="C737" s="28"/>
      <c r="D737" s="29"/>
      <c r="E737" s="24"/>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8"/>
      <c r="B738" s="29"/>
      <c r="C738" s="28"/>
      <c r="D738" s="29"/>
      <c r="E738" s="24"/>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8"/>
      <c r="B739" s="29"/>
      <c r="C739" s="28"/>
      <c r="D739" s="29"/>
      <c r="E739" s="24"/>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8"/>
      <c r="B740" s="29"/>
      <c r="C740" s="28"/>
      <c r="D740" s="29"/>
      <c r="E740" s="24"/>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8"/>
      <c r="B741" s="29"/>
      <c r="C741" s="28"/>
      <c r="D741" s="29"/>
      <c r="E741" s="24"/>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8"/>
      <c r="B742" s="29"/>
      <c r="C742" s="28"/>
      <c r="D742" s="29"/>
      <c r="E742" s="24"/>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8"/>
      <c r="B743" s="29"/>
      <c r="C743" s="28"/>
      <c r="D743" s="29"/>
      <c r="E743" s="24"/>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8"/>
      <c r="B744" s="29"/>
      <c r="C744" s="28"/>
      <c r="D744" s="29"/>
      <c r="E744" s="24"/>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8"/>
      <c r="B745" s="29"/>
      <c r="C745" s="28"/>
      <c r="D745" s="29"/>
      <c r="E745" s="24"/>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8"/>
      <c r="B746" s="29"/>
      <c r="C746" s="28"/>
      <c r="D746" s="29"/>
      <c r="E746" s="24"/>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8"/>
      <c r="B747" s="29"/>
      <c r="C747" s="28"/>
      <c r="D747" s="29"/>
      <c r="E747" s="24"/>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8"/>
      <c r="B748" s="29"/>
      <c r="C748" s="28"/>
      <c r="D748" s="29"/>
      <c r="E748" s="24"/>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8"/>
      <c r="B749" s="29"/>
      <c r="C749" s="28"/>
      <c r="D749" s="29"/>
      <c r="E749" s="24"/>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8"/>
      <c r="B750" s="29"/>
      <c r="C750" s="28"/>
      <c r="D750" s="29"/>
      <c r="E750" s="24"/>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8"/>
      <c r="B751" s="29"/>
      <c r="C751" s="28"/>
      <c r="D751" s="29"/>
      <c r="E751" s="24"/>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8"/>
      <c r="B752" s="29"/>
      <c r="C752" s="28"/>
      <c r="D752" s="29"/>
      <c r="E752" s="24"/>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8"/>
      <c r="B753" s="29"/>
      <c r="C753" s="28"/>
      <c r="D753" s="29"/>
      <c r="E753" s="24"/>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8"/>
      <c r="B754" s="29"/>
      <c r="C754" s="28"/>
      <c r="D754" s="29"/>
      <c r="E754" s="24"/>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8"/>
      <c r="B755" s="29"/>
      <c r="C755" s="28"/>
      <c r="D755" s="29"/>
      <c r="E755" s="24"/>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8"/>
      <c r="B756" s="29"/>
      <c r="C756" s="28"/>
      <c r="D756" s="29"/>
      <c r="E756" s="24"/>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8"/>
      <c r="B757" s="29"/>
      <c r="C757" s="28"/>
      <c r="D757" s="29"/>
      <c r="E757" s="24"/>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8"/>
      <c r="B758" s="29"/>
      <c r="C758" s="28"/>
      <c r="D758" s="29"/>
      <c r="E758" s="24"/>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8"/>
      <c r="B759" s="29"/>
      <c r="C759" s="28"/>
      <c r="D759" s="29"/>
      <c r="E759" s="24"/>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8"/>
      <c r="B760" s="29"/>
      <c r="C760" s="28"/>
      <c r="D760" s="29"/>
      <c r="E760" s="24"/>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8"/>
      <c r="B761" s="29"/>
      <c r="C761" s="28"/>
      <c r="D761" s="29"/>
      <c r="E761" s="24"/>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8"/>
      <c r="B762" s="29"/>
      <c r="C762" s="28"/>
      <c r="D762" s="29"/>
      <c r="E762" s="24"/>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8"/>
      <c r="B763" s="29"/>
      <c r="C763" s="28"/>
      <c r="D763" s="29"/>
      <c r="E763" s="24"/>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8"/>
      <c r="B764" s="29"/>
      <c r="C764" s="28"/>
      <c r="D764" s="29"/>
      <c r="E764" s="24"/>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8"/>
      <c r="B765" s="29"/>
      <c r="C765" s="28"/>
      <c r="D765" s="29"/>
      <c r="E765" s="24"/>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8"/>
      <c r="B766" s="29"/>
      <c r="C766" s="28"/>
      <c r="D766" s="29"/>
      <c r="E766" s="24"/>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8"/>
      <c r="B767" s="29"/>
      <c r="C767" s="28"/>
      <c r="D767" s="29"/>
      <c r="E767" s="24"/>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8"/>
      <c r="B768" s="29"/>
      <c r="C768" s="28"/>
      <c r="D768" s="29"/>
      <c r="E768" s="24"/>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8"/>
      <c r="B769" s="29"/>
      <c r="C769" s="28"/>
      <c r="D769" s="29"/>
      <c r="E769" s="24"/>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8"/>
      <c r="B770" s="29"/>
      <c r="C770" s="28"/>
      <c r="D770" s="29"/>
      <c r="E770" s="24"/>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8"/>
      <c r="B771" s="29"/>
      <c r="C771" s="28"/>
      <c r="D771" s="29"/>
      <c r="E771" s="24"/>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8"/>
      <c r="B772" s="29"/>
      <c r="C772" s="28"/>
      <c r="D772" s="29"/>
      <c r="E772" s="24"/>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8"/>
      <c r="B773" s="29"/>
      <c r="C773" s="28"/>
      <c r="D773" s="29"/>
      <c r="E773" s="24"/>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8"/>
      <c r="B774" s="29"/>
      <c r="C774" s="28"/>
      <c r="D774" s="29"/>
      <c r="E774" s="24"/>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8"/>
      <c r="B775" s="29"/>
      <c r="C775" s="28"/>
      <c r="D775" s="29"/>
      <c r="E775" s="24"/>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8"/>
      <c r="B776" s="29"/>
      <c r="C776" s="28"/>
      <c r="D776" s="29"/>
      <c r="E776" s="24"/>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8"/>
      <c r="B777" s="29"/>
      <c r="C777" s="28"/>
      <c r="D777" s="29"/>
      <c r="E777" s="24"/>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8"/>
      <c r="B778" s="29"/>
      <c r="C778" s="28"/>
      <c r="D778" s="29"/>
      <c r="E778" s="24"/>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8"/>
      <c r="B779" s="29"/>
      <c r="C779" s="28"/>
      <c r="D779" s="29"/>
      <c r="E779" s="24"/>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8"/>
      <c r="B780" s="29"/>
      <c r="C780" s="28"/>
      <c r="D780" s="29"/>
      <c r="E780" s="24"/>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8"/>
      <c r="B781" s="29"/>
      <c r="C781" s="28"/>
      <c r="D781" s="29"/>
      <c r="E781" s="24"/>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8"/>
      <c r="B782" s="29"/>
      <c r="C782" s="28"/>
      <c r="D782" s="29"/>
      <c r="E782" s="24"/>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8"/>
      <c r="B783" s="29"/>
      <c r="C783" s="28"/>
      <c r="D783" s="29"/>
      <c r="E783" s="24"/>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8"/>
      <c r="B784" s="29"/>
      <c r="C784" s="28"/>
      <c r="D784" s="29"/>
      <c r="E784" s="24"/>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8"/>
      <c r="B785" s="29"/>
      <c r="C785" s="28"/>
      <c r="D785" s="29"/>
      <c r="E785" s="24"/>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8"/>
      <c r="B786" s="29"/>
      <c r="C786" s="28"/>
      <c r="D786" s="29"/>
      <c r="E786" s="24"/>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8"/>
      <c r="B787" s="29"/>
      <c r="C787" s="28"/>
      <c r="D787" s="29"/>
      <c r="E787" s="24"/>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8"/>
      <c r="B788" s="29"/>
      <c r="C788" s="28"/>
      <c r="D788" s="29"/>
      <c r="E788" s="24"/>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8"/>
      <c r="B789" s="29"/>
      <c r="C789" s="28"/>
      <c r="D789" s="29"/>
      <c r="E789" s="24"/>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8"/>
      <c r="B790" s="29"/>
      <c r="C790" s="28"/>
      <c r="D790" s="29"/>
      <c r="E790" s="24"/>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8"/>
      <c r="B791" s="29"/>
      <c r="C791" s="28"/>
      <c r="D791" s="29"/>
      <c r="E791" s="24"/>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8"/>
      <c r="B792" s="29"/>
      <c r="C792" s="28"/>
      <c r="D792" s="29"/>
      <c r="E792" s="24"/>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8"/>
      <c r="B793" s="29"/>
      <c r="C793" s="28"/>
      <c r="D793" s="29"/>
      <c r="E793" s="24"/>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8"/>
      <c r="B794" s="29"/>
      <c r="C794" s="28"/>
      <c r="D794" s="29"/>
      <c r="E794" s="24"/>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8"/>
      <c r="B795" s="29"/>
      <c r="C795" s="28"/>
      <c r="D795" s="29"/>
      <c r="E795" s="24"/>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8"/>
      <c r="B796" s="29"/>
      <c r="C796" s="28"/>
      <c r="D796" s="29"/>
      <c r="E796" s="24"/>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8"/>
      <c r="B797" s="29"/>
      <c r="C797" s="28"/>
      <c r="D797" s="29"/>
      <c r="E797" s="24"/>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8"/>
      <c r="B798" s="29"/>
      <c r="C798" s="28"/>
      <c r="D798" s="29"/>
      <c r="E798" s="24"/>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8"/>
      <c r="B799" s="29"/>
      <c r="C799" s="28"/>
      <c r="D799" s="29"/>
      <c r="E799" s="24"/>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8"/>
      <c r="B800" s="29"/>
      <c r="C800" s="28"/>
      <c r="D800" s="29"/>
      <c r="E800" s="24"/>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8"/>
      <c r="B801" s="29"/>
      <c r="C801" s="28"/>
      <c r="D801" s="29"/>
      <c r="E801" s="24"/>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8"/>
      <c r="B802" s="29"/>
      <c r="C802" s="28"/>
      <c r="D802" s="29"/>
      <c r="E802" s="24"/>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8"/>
      <c r="B803" s="29"/>
      <c r="C803" s="28"/>
      <c r="D803" s="29"/>
      <c r="E803" s="24"/>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8"/>
      <c r="B804" s="29"/>
      <c r="C804" s="28"/>
      <c r="D804" s="29"/>
      <c r="E804" s="24"/>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8"/>
      <c r="B805" s="29"/>
      <c r="C805" s="28"/>
      <c r="D805" s="29"/>
      <c r="E805" s="24"/>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8"/>
      <c r="B806" s="29"/>
      <c r="C806" s="28"/>
      <c r="D806" s="29"/>
      <c r="E806" s="24"/>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8"/>
      <c r="B807" s="29"/>
      <c r="C807" s="28"/>
      <c r="D807" s="29"/>
      <c r="E807" s="24"/>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8"/>
      <c r="B808" s="29"/>
      <c r="C808" s="28"/>
      <c r="D808" s="29"/>
      <c r="E808" s="24"/>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8"/>
      <c r="B809" s="29"/>
      <c r="C809" s="28"/>
      <c r="D809" s="29"/>
      <c r="E809" s="24"/>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8"/>
      <c r="B810" s="29"/>
      <c r="C810" s="28"/>
      <c r="D810" s="29"/>
      <c r="E810" s="24"/>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8"/>
      <c r="B811" s="29"/>
      <c r="C811" s="28"/>
      <c r="D811" s="29"/>
      <c r="E811" s="24"/>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8"/>
      <c r="B812" s="29"/>
      <c r="C812" s="28"/>
      <c r="D812" s="29"/>
      <c r="E812" s="24"/>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8"/>
      <c r="B813" s="29"/>
      <c r="C813" s="28"/>
      <c r="D813" s="29"/>
      <c r="E813" s="24"/>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8"/>
      <c r="B814" s="29"/>
      <c r="C814" s="28"/>
      <c r="D814" s="29"/>
      <c r="E814" s="24"/>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8"/>
      <c r="B815" s="29"/>
      <c r="C815" s="28"/>
      <c r="D815" s="29"/>
      <c r="E815" s="24"/>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8"/>
      <c r="B816" s="29"/>
      <c r="C816" s="28"/>
      <c r="D816" s="29"/>
      <c r="E816" s="24"/>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8"/>
      <c r="B817" s="29"/>
      <c r="C817" s="28"/>
      <c r="D817" s="29"/>
      <c r="E817" s="24"/>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8"/>
      <c r="B818" s="29"/>
      <c r="C818" s="28"/>
      <c r="D818" s="29"/>
      <c r="E818" s="24"/>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8"/>
      <c r="B819" s="29"/>
      <c r="C819" s="28"/>
      <c r="D819" s="29"/>
      <c r="E819" s="24"/>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8"/>
      <c r="B820" s="29"/>
      <c r="C820" s="28"/>
      <c r="D820" s="29"/>
      <c r="E820" s="24"/>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8"/>
      <c r="B821" s="29"/>
      <c r="C821" s="28"/>
      <c r="D821" s="29"/>
      <c r="E821" s="24"/>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8"/>
      <c r="B822" s="29"/>
      <c r="C822" s="28"/>
      <c r="D822" s="29"/>
      <c r="E822" s="24"/>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8"/>
      <c r="B823" s="29"/>
      <c r="C823" s="28"/>
      <c r="D823" s="29"/>
      <c r="E823" s="24"/>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8"/>
      <c r="B824" s="29"/>
      <c r="C824" s="28"/>
      <c r="D824" s="29"/>
      <c r="E824" s="24"/>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8"/>
      <c r="B825" s="29"/>
      <c r="C825" s="28"/>
      <c r="D825" s="29"/>
      <c r="E825" s="24"/>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8"/>
      <c r="B826" s="29"/>
      <c r="C826" s="28"/>
      <c r="D826" s="29"/>
      <c r="E826" s="24"/>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8"/>
      <c r="B827" s="29"/>
      <c r="C827" s="28"/>
      <c r="D827" s="29"/>
      <c r="E827" s="24"/>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8"/>
      <c r="B828" s="29"/>
      <c r="C828" s="28"/>
      <c r="D828" s="29"/>
      <c r="E828" s="24"/>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8"/>
      <c r="B829" s="29"/>
      <c r="C829" s="28"/>
      <c r="D829" s="29"/>
      <c r="E829" s="24"/>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8"/>
      <c r="B830" s="29"/>
      <c r="C830" s="28"/>
      <c r="D830" s="29"/>
      <c r="E830" s="24"/>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8"/>
      <c r="B831" s="29"/>
      <c r="C831" s="28"/>
      <c r="D831" s="29"/>
      <c r="E831" s="24"/>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8"/>
      <c r="B832" s="29"/>
      <c r="C832" s="28"/>
      <c r="D832" s="29"/>
      <c r="E832" s="24"/>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8"/>
      <c r="B833" s="29"/>
      <c r="C833" s="28"/>
      <c r="D833" s="29"/>
      <c r="E833" s="24"/>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8"/>
      <c r="B834" s="29"/>
      <c r="C834" s="28"/>
      <c r="D834" s="29"/>
      <c r="E834" s="24"/>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8"/>
      <c r="B835" s="29"/>
      <c r="C835" s="28"/>
      <c r="D835" s="29"/>
      <c r="E835" s="24"/>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8"/>
      <c r="B836" s="29"/>
      <c r="C836" s="28"/>
      <c r="D836" s="29"/>
      <c r="E836" s="24"/>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8"/>
      <c r="B837" s="29"/>
      <c r="C837" s="28"/>
      <c r="D837" s="29"/>
      <c r="E837" s="24"/>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8"/>
      <c r="B838" s="29"/>
      <c r="C838" s="28"/>
      <c r="D838" s="29"/>
      <c r="E838" s="24"/>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8"/>
      <c r="B839" s="29"/>
      <c r="C839" s="28"/>
      <c r="D839" s="29"/>
      <c r="E839" s="24"/>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8"/>
      <c r="B840" s="29"/>
      <c r="C840" s="28"/>
      <c r="D840" s="29"/>
      <c r="E840" s="24"/>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8"/>
      <c r="B841" s="29"/>
      <c r="C841" s="28"/>
      <c r="D841" s="29"/>
      <c r="E841" s="24"/>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8"/>
      <c r="B842" s="29"/>
      <c r="C842" s="28"/>
      <c r="D842" s="29"/>
      <c r="E842" s="24"/>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8"/>
      <c r="B843" s="29"/>
      <c r="C843" s="28"/>
      <c r="D843" s="29"/>
      <c r="E843" s="24"/>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8"/>
      <c r="B844" s="29"/>
      <c r="C844" s="28"/>
      <c r="D844" s="29"/>
      <c r="E844" s="24"/>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8"/>
      <c r="B845" s="29"/>
      <c r="C845" s="28"/>
      <c r="D845" s="29"/>
      <c r="E845" s="24"/>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8"/>
      <c r="B846" s="29"/>
      <c r="C846" s="28"/>
      <c r="D846" s="29"/>
      <c r="E846" s="24"/>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8"/>
      <c r="B847" s="29"/>
      <c r="C847" s="28"/>
      <c r="D847" s="29"/>
      <c r="E847" s="24"/>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8"/>
      <c r="B848" s="29"/>
      <c r="C848" s="28"/>
      <c r="D848" s="29"/>
      <c r="E848" s="24"/>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8"/>
      <c r="B849" s="29"/>
      <c r="C849" s="28"/>
      <c r="D849" s="29"/>
      <c r="E849" s="24"/>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8"/>
      <c r="B850" s="29"/>
      <c r="C850" s="28"/>
      <c r="D850" s="29"/>
      <c r="E850" s="24"/>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8"/>
      <c r="B851" s="29"/>
      <c r="C851" s="28"/>
      <c r="D851" s="29"/>
      <c r="E851" s="24"/>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8"/>
      <c r="B852" s="29"/>
      <c r="C852" s="28"/>
      <c r="D852" s="29"/>
      <c r="E852" s="24"/>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8"/>
      <c r="B853" s="29"/>
      <c r="C853" s="28"/>
      <c r="D853" s="29"/>
      <c r="E853" s="24"/>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8"/>
      <c r="B854" s="29"/>
      <c r="C854" s="28"/>
      <c r="D854" s="29"/>
      <c r="E854" s="24"/>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8"/>
      <c r="B855" s="29"/>
      <c r="C855" s="28"/>
      <c r="D855" s="29"/>
      <c r="E855" s="24"/>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8"/>
      <c r="B856" s="29"/>
      <c r="C856" s="28"/>
      <c r="D856" s="29"/>
      <c r="E856" s="24"/>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8"/>
      <c r="B857" s="29"/>
      <c r="C857" s="28"/>
      <c r="D857" s="29"/>
      <c r="E857" s="24"/>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8"/>
      <c r="B858" s="29"/>
      <c r="C858" s="28"/>
      <c r="D858" s="29"/>
      <c r="E858" s="24"/>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8"/>
      <c r="B859" s="29"/>
      <c r="C859" s="28"/>
      <c r="D859" s="29"/>
      <c r="E859" s="24"/>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8"/>
      <c r="B860" s="29"/>
      <c r="C860" s="28"/>
      <c r="D860" s="29"/>
      <c r="E860" s="24"/>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8"/>
      <c r="B861" s="29"/>
      <c r="C861" s="28"/>
      <c r="D861" s="29"/>
      <c r="E861" s="24"/>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8"/>
      <c r="B862" s="29"/>
      <c r="C862" s="28"/>
      <c r="D862" s="29"/>
      <c r="E862" s="24"/>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8"/>
      <c r="B863" s="29"/>
      <c r="C863" s="28"/>
      <c r="D863" s="29"/>
      <c r="E863" s="24"/>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8"/>
      <c r="B864" s="29"/>
      <c r="C864" s="28"/>
      <c r="D864" s="29"/>
      <c r="E864" s="24"/>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8"/>
      <c r="B865" s="29"/>
      <c r="C865" s="28"/>
      <c r="D865" s="29"/>
      <c r="E865" s="24"/>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8"/>
      <c r="B866" s="29"/>
      <c r="C866" s="28"/>
      <c r="D866" s="29"/>
      <c r="E866" s="24"/>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8"/>
      <c r="B867" s="29"/>
      <c r="C867" s="28"/>
      <c r="D867" s="29"/>
      <c r="E867" s="24"/>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8"/>
      <c r="B868" s="29"/>
      <c r="C868" s="28"/>
      <c r="D868" s="29"/>
      <c r="E868" s="24"/>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8"/>
      <c r="B869" s="29"/>
      <c r="C869" s="28"/>
      <c r="D869" s="29"/>
      <c r="E869" s="24"/>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8"/>
      <c r="B870" s="29"/>
      <c r="C870" s="28"/>
      <c r="D870" s="29"/>
      <c r="E870" s="24"/>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8"/>
      <c r="B871" s="29"/>
      <c r="C871" s="28"/>
      <c r="D871" s="29"/>
      <c r="E871" s="24"/>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8"/>
      <c r="B872" s="29"/>
      <c r="C872" s="28"/>
      <c r="D872" s="29"/>
      <c r="E872" s="24"/>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8"/>
      <c r="B873" s="29"/>
      <c r="C873" s="28"/>
      <c r="D873" s="29"/>
      <c r="E873" s="24"/>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8"/>
      <c r="B874" s="29"/>
      <c r="C874" s="28"/>
      <c r="D874" s="29"/>
      <c r="E874" s="24"/>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8"/>
      <c r="B875" s="29"/>
      <c r="C875" s="28"/>
      <c r="D875" s="29"/>
      <c r="E875" s="24"/>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8"/>
      <c r="B876" s="29"/>
      <c r="C876" s="28"/>
      <c r="D876" s="29"/>
      <c r="E876" s="24"/>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8"/>
      <c r="B877" s="29"/>
      <c r="C877" s="28"/>
      <c r="D877" s="29"/>
      <c r="E877" s="24"/>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8"/>
      <c r="B878" s="29"/>
      <c r="C878" s="28"/>
      <c r="D878" s="29"/>
      <c r="E878" s="24"/>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8"/>
      <c r="B879" s="29"/>
      <c r="C879" s="28"/>
      <c r="D879" s="29"/>
      <c r="E879" s="24"/>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8"/>
      <c r="B880" s="29"/>
      <c r="C880" s="28"/>
      <c r="D880" s="29"/>
      <c r="E880" s="24"/>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8"/>
      <c r="B881" s="29"/>
      <c r="C881" s="28"/>
      <c r="D881" s="29"/>
      <c r="E881" s="24"/>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8"/>
      <c r="B882" s="29"/>
      <c r="C882" s="28"/>
      <c r="D882" s="29"/>
      <c r="E882" s="24"/>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8"/>
      <c r="B883" s="29"/>
      <c r="C883" s="28"/>
      <c r="D883" s="29"/>
      <c r="E883" s="24"/>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8"/>
      <c r="B884" s="29"/>
      <c r="C884" s="28"/>
      <c r="D884" s="29"/>
      <c r="E884" s="24"/>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8"/>
      <c r="B885" s="29"/>
      <c r="C885" s="28"/>
      <c r="D885" s="29"/>
      <c r="E885" s="24"/>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8"/>
      <c r="B886" s="29"/>
      <c r="C886" s="28"/>
      <c r="D886" s="29"/>
      <c r="E886" s="24"/>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8"/>
      <c r="B887" s="29"/>
      <c r="C887" s="28"/>
      <c r="D887" s="29"/>
      <c r="E887" s="24"/>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8"/>
      <c r="B888" s="29"/>
      <c r="C888" s="28"/>
      <c r="D888" s="29"/>
      <c r="E888" s="24"/>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8"/>
      <c r="B889" s="29"/>
      <c r="C889" s="28"/>
      <c r="D889" s="29"/>
      <c r="E889" s="24"/>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8"/>
      <c r="B890" s="29"/>
      <c r="C890" s="28"/>
      <c r="D890" s="29"/>
      <c r="E890" s="24"/>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8"/>
      <c r="B891" s="29"/>
      <c r="C891" s="28"/>
      <c r="D891" s="29"/>
      <c r="E891" s="24"/>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8"/>
      <c r="B892" s="29"/>
      <c r="C892" s="28"/>
      <c r="D892" s="29"/>
      <c r="E892" s="24"/>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8"/>
      <c r="B893" s="29"/>
      <c r="C893" s="28"/>
      <c r="D893" s="29"/>
      <c r="E893" s="24"/>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8"/>
      <c r="B894" s="29"/>
      <c r="C894" s="28"/>
      <c r="D894" s="29"/>
      <c r="E894" s="24"/>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8"/>
      <c r="B895" s="29"/>
      <c r="C895" s="28"/>
      <c r="D895" s="29"/>
      <c r="E895" s="24"/>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8"/>
      <c r="B896" s="29"/>
      <c r="C896" s="28"/>
      <c r="D896" s="29"/>
      <c r="E896" s="24"/>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8"/>
      <c r="B897" s="29"/>
      <c r="C897" s="28"/>
      <c r="D897" s="29"/>
      <c r="E897" s="24"/>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8"/>
      <c r="B898" s="29"/>
      <c r="C898" s="28"/>
      <c r="D898" s="29"/>
      <c r="E898" s="24"/>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8"/>
      <c r="B899" s="29"/>
      <c r="C899" s="28"/>
      <c r="D899" s="29"/>
      <c r="E899" s="24"/>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8"/>
      <c r="B900" s="29"/>
      <c r="C900" s="28"/>
      <c r="D900" s="29"/>
      <c r="E900" s="24"/>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8"/>
      <c r="B901" s="29"/>
      <c r="C901" s="28"/>
      <c r="D901" s="29"/>
      <c r="E901" s="24"/>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8"/>
      <c r="B902" s="29"/>
      <c r="C902" s="28"/>
      <c r="D902" s="29"/>
      <c r="E902" s="24"/>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8"/>
      <c r="B903" s="29"/>
      <c r="C903" s="28"/>
      <c r="D903" s="29"/>
      <c r="E903" s="24"/>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8"/>
      <c r="B904" s="29"/>
      <c r="C904" s="28"/>
      <c r="D904" s="29"/>
      <c r="E904" s="24"/>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8"/>
      <c r="B905" s="29"/>
      <c r="C905" s="28"/>
      <c r="D905" s="29"/>
      <c r="E905" s="24"/>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8"/>
      <c r="B906" s="29"/>
      <c r="C906" s="28"/>
      <c r="D906" s="29"/>
      <c r="E906" s="24"/>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8"/>
      <c r="B907" s="29"/>
      <c r="C907" s="28"/>
      <c r="D907" s="29"/>
      <c r="E907" s="24"/>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8"/>
      <c r="B908" s="29"/>
      <c r="C908" s="28"/>
      <c r="D908" s="29"/>
      <c r="E908" s="24"/>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8"/>
      <c r="B909" s="29"/>
      <c r="C909" s="28"/>
      <c r="D909" s="29"/>
      <c r="E909" s="24"/>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8"/>
      <c r="B910" s="29"/>
      <c r="C910" s="28"/>
      <c r="D910" s="29"/>
      <c r="E910" s="24"/>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8"/>
      <c r="B911" s="29"/>
      <c r="C911" s="28"/>
      <c r="D911" s="29"/>
      <c r="E911" s="24"/>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8"/>
      <c r="B912" s="29"/>
      <c r="C912" s="28"/>
      <c r="D912" s="29"/>
      <c r="E912" s="24"/>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8"/>
      <c r="B913" s="29"/>
      <c r="C913" s="28"/>
      <c r="D913" s="29"/>
      <c r="E913" s="24"/>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8"/>
      <c r="B914" s="29"/>
      <c r="C914" s="28"/>
      <c r="D914" s="29"/>
      <c r="E914" s="24"/>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8"/>
      <c r="B915" s="29"/>
      <c r="C915" s="28"/>
      <c r="D915" s="29"/>
      <c r="E915" s="24"/>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8"/>
      <c r="B916" s="29"/>
      <c r="C916" s="28"/>
      <c r="D916" s="29"/>
      <c r="E916" s="24"/>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8"/>
      <c r="B917" s="29"/>
      <c r="C917" s="28"/>
      <c r="D917" s="29"/>
      <c r="E917" s="24"/>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8"/>
      <c r="B918" s="29"/>
      <c r="C918" s="28"/>
      <c r="D918" s="29"/>
      <c r="E918" s="24"/>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8"/>
      <c r="B919" s="29"/>
      <c r="C919" s="28"/>
      <c r="D919" s="29"/>
      <c r="E919" s="24"/>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8"/>
      <c r="B920" s="29"/>
      <c r="C920" s="28"/>
      <c r="D920" s="29"/>
      <c r="E920" s="24"/>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8"/>
      <c r="B921" s="29"/>
      <c r="C921" s="28"/>
      <c r="D921" s="29"/>
      <c r="E921" s="24"/>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8"/>
      <c r="B922" s="29"/>
      <c r="C922" s="28"/>
      <c r="D922" s="29"/>
      <c r="E922" s="24"/>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8"/>
      <c r="B923" s="29"/>
      <c r="C923" s="28"/>
      <c r="D923" s="29"/>
      <c r="E923" s="24"/>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8"/>
      <c r="B924" s="29"/>
      <c r="C924" s="28"/>
      <c r="D924" s="29"/>
      <c r="E924" s="24"/>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8"/>
      <c r="B925" s="29"/>
      <c r="C925" s="28"/>
      <c r="D925" s="29"/>
      <c r="E925" s="24"/>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8"/>
      <c r="B926" s="29"/>
      <c r="C926" s="28"/>
      <c r="D926" s="29"/>
      <c r="E926" s="24"/>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8"/>
      <c r="B927" s="29"/>
      <c r="C927" s="28"/>
      <c r="D927" s="29"/>
      <c r="E927" s="24"/>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8"/>
      <c r="B928" s="29"/>
      <c r="C928" s="28"/>
      <c r="D928" s="29"/>
      <c r="E928" s="24"/>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8"/>
      <c r="B929" s="29"/>
      <c r="C929" s="28"/>
      <c r="D929" s="29"/>
      <c r="E929" s="24"/>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8"/>
      <c r="B930" s="29"/>
      <c r="C930" s="28"/>
      <c r="D930" s="29"/>
      <c r="E930" s="24"/>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8"/>
      <c r="B931" s="29"/>
      <c r="C931" s="28"/>
      <c r="D931" s="29"/>
      <c r="E931" s="24"/>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8"/>
      <c r="B932" s="29"/>
      <c r="C932" s="28"/>
      <c r="D932" s="29"/>
      <c r="E932" s="24"/>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8"/>
      <c r="B933" s="29"/>
      <c r="C933" s="28"/>
      <c r="D933" s="29"/>
      <c r="E933" s="24"/>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8"/>
      <c r="B934" s="29"/>
      <c r="C934" s="28"/>
      <c r="D934" s="29"/>
      <c r="E934" s="24"/>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8"/>
      <c r="B935" s="29"/>
      <c r="C935" s="28"/>
      <c r="D935" s="29"/>
      <c r="E935" s="24"/>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8"/>
      <c r="B936" s="29"/>
      <c r="C936" s="28"/>
      <c r="D936" s="29"/>
      <c r="E936" s="24"/>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8"/>
      <c r="B937" s="29"/>
      <c r="C937" s="28"/>
      <c r="D937" s="29"/>
      <c r="E937" s="24"/>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8"/>
      <c r="B938" s="29"/>
      <c r="C938" s="28"/>
      <c r="D938" s="29"/>
      <c r="E938" s="24"/>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8"/>
      <c r="B939" s="29"/>
      <c r="C939" s="28"/>
      <c r="D939" s="29"/>
      <c r="E939" s="24"/>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8"/>
      <c r="B940" s="29"/>
      <c r="C940" s="28"/>
      <c r="D940" s="29"/>
      <c r="E940" s="24"/>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8"/>
      <c r="B941" s="29"/>
      <c r="C941" s="28"/>
      <c r="D941" s="29"/>
      <c r="E941" s="24"/>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8"/>
      <c r="B942" s="29"/>
      <c r="C942" s="28"/>
      <c r="D942" s="29"/>
      <c r="E942" s="24"/>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8"/>
      <c r="B943" s="29"/>
      <c r="C943" s="28"/>
      <c r="D943" s="29"/>
      <c r="E943" s="24"/>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8"/>
      <c r="B944" s="29"/>
      <c r="C944" s="28"/>
      <c r="D944" s="29"/>
      <c r="E944" s="24"/>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8"/>
      <c r="B945" s="29"/>
      <c r="C945" s="28"/>
      <c r="D945" s="29"/>
      <c r="E945" s="24"/>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8"/>
      <c r="B946" s="29"/>
      <c r="C946" s="28"/>
      <c r="D946" s="29"/>
      <c r="E946" s="24"/>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8"/>
      <c r="B947" s="29"/>
      <c r="C947" s="28"/>
      <c r="D947" s="29"/>
      <c r="E947" s="24"/>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8"/>
      <c r="B948" s="29"/>
      <c r="C948" s="28"/>
      <c r="D948" s="29"/>
      <c r="E948" s="24"/>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8"/>
      <c r="B949" s="29"/>
      <c r="C949" s="28"/>
      <c r="D949" s="29"/>
      <c r="E949" s="24"/>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8"/>
      <c r="B950" s="29"/>
      <c r="C950" s="28"/>
      <c r="D950" s="29"/>
      <c r="E950" s="24"/>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8"/>
      <c r="B951" s="29"/>
      <c r="C951" s="28"/>
      <c r="D951" s="29"/>
      <c r="E951" s="24"/>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8"/>
      <c r="B952" s="29"/>
      <c r="C952" s="28"/>
      <c r="D952" s="29"/>
      <c r="E952" s="24"/>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8"/>
      <c r="B953" s="29"/>
      <c r="C953" s="28"/>
      <c r="D953" s="29"/>
      <c r="E953" s="24"/>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8"/>
      <c r="B954" s="29"/>
      <c r="C954" s="28"/>
      <c r="D954" s="29"/>
      <c r="E954" s="24"/>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8"/>
      <c r="B955" s="29"/>
      <c r="C955" s="28"/>
      <c r="D955" s="29"/>
      <c r="E955" s="24"/>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8"/>
      <c r="B956" s="29"/>
      <c r="C956" s="28"/>
      <c r="D956" s="29"/>
      <c r="E956" s="24"/>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8"/>
      <c r="B957" s="29"/>
      <c r="C957" s="28"/>
      <c r="D957" s="29"/>
      <c r="E957" s="24"/>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8"/>
      <c r="B958" s="29"/>
      <c r="C958" s="28"/>
      <c r="D958" s="29"/>
      <c r="E958" s="24"/>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8"/>
      <c r="B959" s="29"/>
      <c r="C959" s="28"/>
      <c r="D959" s="29"/>
      <c r="E959" s="24"/>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8"/>
      <c r="B960" s="29"/>
      <c r="C960" s="28"/>
      <c r="D960" s="29"/>
      <c r="E960" s="24"/>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8"/>
      <c r="B961" s="29"/>
      <c r="C961" s="28"/>
      <c r="D961" s="29"/>
      <c r="E961" s="24"/>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8"/>
      <c r="B962" s="29"/>
      <c r="C962" s="28"/>
      <c r="D962" s="29"/>
      <c r="E962" s="24"/>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8"/>
      <c r="B963" s="29"/>
      <c r="C963" s="28"/>
      <c r="D963" s="29"/>
      <c r="E963" s="24"/>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8"/>
      <c r="B964" s="29"/>
      <c r="C964" s="28"/>
      <c r="D964" s="29"/>
      <c r="E964" s="24"/>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8"/>
      <c r="B965" s="29"/>
      <c r="C965" s="28"/>
      <c r="D965" s="29"/>
      <c r="E965" s="24"/>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8"/>
      <c r="B966" s="29"/>
      <c r="C966" s="28"/>
      <c r="D966" s="29"/>
      <c r="E966" s="24"/>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8"/>
      <c r="B967" s="29"/>
      <c r="C967" s="28"/>
      <c r="D967" s="29"/>
      <c r="E967" s="24"/>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8"/>
      <c r="B968" s="29"/>
      <c r="C968" s="28"/>
      <c r="D968" s="29"/>
      <c r="E968" s="24"/>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8"/>
      <c r="B969" s="29"/>
      <c r="C969" s="28"/>
      <c r="D969" s="29"/>
      <c r="E969" s="24"/>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8"/>
      <c r="B970" s="29"/>
      <c r="C970" s="28"/>
      <c r="D970" s="29"/>
      <c r="E970" s="24"/>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8"/>
      <c r="B971" s="29"/>
      <c r="C971" s="28"/>
      <c r="D971" s="29"/>
      <c r="E971" s="24"/>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8"/>
      <c r="B972" s="29"/>
      <c r="C972" s="28"/>
      <c r="D972" s="29"/>
      <c r="E972" s="24"/>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8"/>
      <c r="B973" s="29"/>
      <c r="C973" s="28"/>
      <c r="D973" s="29"/>
      <c r="E973" s="24"/>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8"/>
      <c r="B974" s="29"/>
      <c r="C974" s="28"/>
      <c r="D974" s="29"/>
      <c r="E974" s="24"/>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8"/>
      <c r="B975" s="29"/>
      <c r="C975" s="28"/>
      <c r="D975" s="29"/>
      <c r="E975" s="24"/>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8"/>
      <c r="B976" s="29"/>
      <c r="C976" s="28"/>
      <c r="D976" s="29"/>
      <c r="E976" s="24"/>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8"/>
      <c r="B977" s="29"/>
      <c r="C977" s="28"/>
      <c r="D977" s="29"/>
      <c r="E977" s="24"/>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8"/>
      <c r="B978" s="29"/>
      <c r="C978" s="28"/>
      <c r="D978" s="29"/>
      <c r="E978" s="24"/>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8"/>
      <c r="B979" s="29"/>
      <c r="C979" s="28"/>
      <c r="D979" s="29"/>
      <c r="E979" s="24"/>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8"/>
      <c r="B980" s="29"/>
      <c r="C980" s="28"/>
      <c r="D980" s="29"/>
      <c r="E980" s="24"/>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8"/>
      <c r="B981" s="29"/>
      <c r="C981" s="28"/>
      <c r="D981" s="29"/>
      <c r="E981" s="24"/>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8"/>
      <c r="B982" s="29"/>
      <c r="C982" s="28"/>
      <c r="D982" s="29"/>
      <c r="E982" s="24"/>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8"/>
      <c r="B983" s="29"/>
      <c r="C983" s="28"/>
      <c r="D983" s="29"/>
      <c r="E983" s="24"/>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8"/>
      <c r="B984" s="29"/>
      <c r="C984" s="28"/>
      <c r="D984" s="29"/>
      <c r="E984" s="24"/>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8"/>
      <c r="B985" s="29"/>
      <c r="C985" s="28"/>
      <c r="D985" s="29"/>
      <c r="E985" s="24"/>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8"/>
      <c r="B986" s="29"/>
      <c r="C986" s="28"/>
      <c r="D986" s="29"/>
      <c r="E986" s="24"/>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8"/>
      <c r="B987" s="29"/>
      <c r="C987" s="28"/>
      <c r="D987" s="29"/>
      <c r="E987" s="24"/>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8"/>
      <c r="B988" s="29"/>
      <c r="C988" s="28"/>
      <c r="D988" s="29"/>
      <c r="E988" s="24"/>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8"/>
      <c r="B989" s="29"/>
      <c r="C989" s="28"/>
      <c r="D989" s="29"/>
      <c r="E989" s="24"/>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8"/>
      <c r="B990" s="29"/>
      <c r="C990" s="28"/>
      <c r="D990" s="29"/>
      <c r="E990" s="24"/>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8"/>
      <c r="B991" s="29"/>
      <c r="C991" s="28"/>
      <c r="D991" s="29"/>
      <c r="E991" s="24"/>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8"/>
      <c r="B992" s="29"/>
      <c r="C992" s="28"/>
      <c r="D992" s="29"/>
      <c r="E992" s="24"/>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8"/>
      <c r="B993" s="29"/>
      <c r="C993" s="28"/>
      <c r="D993" s="29"/>
      <c r="E993" s="24"/>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8"/>
      <c r="B994" s="29"/>
      <c r="C994" s="28"/>
      <c r="D994" s="29"/>
      <c r="E994" s="24"/>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8"/>
      <c r="B995" s="29"/>
      <c r="C995" s="28"/>
      <c r="D995" s="29"/>
      <c r="E995" s="24"/>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8"/>
      <c r="B996" s="29"/>
      <c r="C996" s="28"/>
      <c r="D996" s="29"/>
      <c r="E996" s="24"/>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8"/>
      <c r="B997" s="29"/>
      <c r="C997" s="28"/>
      <c r="D997" s="29"/>
      <c r="E997" s="24"/>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8"/>
      <c r="B998" s="29"/>
      <c r="C998" s="28"/>
      <c r="D998" s="29"/>
      <c r="E998" s="24"/>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8"/>
      <c r="B999" s="29"/>
      <c r="C999" s="28"/>
      <c r="D999" s="29"/>
      <c r="E999" s="24"/>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8"/>
      <c r="B1000" s="29"/>
      <c r="C1000" s="28"/>
      <c r="D1000" s="29"/>
      <c r="E1000" s="24"/>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autoFilter ref="$A$1:$E$55">
    <sortState ref="A1:E55">
      <sortCondition ref="A1:A55"/>
    </sortState>
  </autoFilter>
  <customSheetViews>
    <customSheetView guid="{EA1E7360-78F2-4B04-A15B-99AE04FEE8AB}" filter="1" showAutoFilter="1">
      <autoFilter ref="$B$1:$B$1000"/>
    </customSheetView>
  </customSheetViews>
  <hyperlinks>
    <hyperlink display="Clear" location="FieldsData!A1" ref="B5"/>
    <hyperlink display="AiaChkdigit" location="CheckDigit!A295" ref="B23"/>
    <hyperlink display="GeMod10" location="CheckDigit!A213" ref="B25"/>
    <hyperlink display="GhbMod10" location="CheckDigit!A445" ref="B26"/>
    <hyperlink display="KiatnakinCust" location="CheckDigit!A235" ref="B28"/>
    <hyperlink display="NwChkDgMod11New" location="CheckDigit!A426" ref="B32"/>
    <hyperlink display="PapCheck45Cis" location="CheckDigit!A258" ref="B33"/>
    <hyperlink display="RevenueControlCode" location="CheckDigit!A377" ref="B34"/>
    <hyperlink display="SmeCheckDigit" location="CheckDigit!A407" ref="B35"/>
    <hyperlink display="StouChkDigit" location="CheckDigit!A171" ref="B36"/>
    <hyperlink display="TOT" location="CheckDigit!A151" ref="B37"/>
    <hyperlink display="ToyotaLeasingChkdg" location="CheckDigit!A354" ref="B38"/>
    <hyperlink display="YanmarCapitalChkdigit" location="CheckDigit!A192" ref="B40"/>
    <hyperlink display="ToyotaTibChkDg" location="CheckDigit!A86" ref="B41"/>
    <hyperlink display="ThanaChkDigit" location="CheckDigit!A112" ref="B42"/>
    <hyperlink display="TrePetchRef1New" location="CheckDigit!A513" ref="B45"/>
    <hyperlink display="NatiChkDigi" location="CheckDigit!A325" ref="B47"/>
    <hyperlink display="GroupLeaseNew" location="CheckDigit!A464" ref="B48"/>
    <hyperlink display="OceanChkDG" location="CheckDigit!A131" ref="B49"/>
    <hyperlink display="TrePetchRef2New" location="CheckDigit!A513" ref="B52"/>
    <hyperlink display="SrmuRegfeeChkDG" location="CheckDigit!A2" ref="B53"/>
    <hyperlink display="SrmuAdmissChkDG" location="CheckDigit!A25" ref="B54"/>
    <hyperlink display="Cat387tr4" location="CheckDigit!A486" ref="B55"/>
  </hyperlinks>
  <printOptions/>
  <pageMargins bottom="0.75" footer="0.0" header="0.0" left="0.7" right="0.7" top="0.75"/>
  <pageSetup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6.29"/>
    <col customWidth="1" min="2" max="2" width="6.0"/>
    <col customWidth="1" min="3" max="19" width="3.29"/>
    <col customWidth="1" min="20" max="20" width="20.57"/>
    <col customWidth="1" min="21" max="85" width="3.29"/>
  </cols>
  <sheetData>
    <row r="1">
      <c r="A1" s="30" t="s">
        <v>189</v>
      </c>
      <c r="B1" s="31"/>
      <c r="C1" s="31"/>
      <c r="D1" s="31"/>
      <c r="E1" s="31"/>
      <c r="F1" s="31"/>
      <c r="G1" s="31"/>
      <c r="H1" s="31"/>
      <c r="I1" s="31"/>
      <c r="J1" s="31"/>
      <c r="K1" s="31"/>
      <c r="L1" s="31"/>
      <c r="M1" s="31"/>
      <c r="N1" s="32" t="s">
        <v>190</v>
      </c>
      <c r="O1" s="33">
        <f>LEN(A1)</f>
        <v>49</v>
      </c>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row>
    <row r="2">
      <c r="A2" s="34" t="s">
        <v>191</v>
      </c>
      <c r="B2" s="35" t="s">
        <v>147</v>
      </c>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6" t="s">
        <v>192</v>
      </c>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row>
    <row r="3">
      <c r="A3" s="37" t="s">
        <v>193</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7" t="s">
        <v>194</v>
      </c>
      <c r="AG3" s="38"/>
      <c r="AH3" s="38"/>
      <c r="AI3" s="38"/>
      <c r="AJ3" s="38"/>
      <c r="AK3" s="38"/>
      <c r="AL3" s="38"/>
      <c r="AM3" s="38"/>
      <c r="AN3" s="38"/>
      <c r="AO3" s="38"/>
      <c r="AP3" s="38"/>
      <c r="AQ3" s="38"/>
      <c r="AR3" s="38"/>
      <c r="AS3" s="38"/>
      <c r="AT3" s="38"/>
      <c r="AU3" s="38"/>
      <c r="AV3" s="38"/>
      <c r="AW3" s="38"/>
      <c r="AX3" s="38"/>
      <c r="AY3" s="38"/>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row>
    <row r="4">
      <c r="A4" s="39" t="s">
        <v>195</v>
      </c>
      <c r="B4" s="40">
        <v>1.0</v>
      </c>
      <c r="C4" s="40">
        <v>2.0</v>
      </c>
      <c r="D4" s="40">
        <v>3.0</v>
      </c>
      <c r="E4" s="40">
        <v>4.0</v>
      </c>
      <c r="F4" s="40">
        <v>5.0</v>
      </c>
      <c r="G4" s="40">
        <v>6.0</v>
      </c>
      <c r="H4" s="40">
        <v>7.0</v>
      </c>
      <c r="I4" s="40">
        <v>8.0</v>
      </c>
      <c r="J4" s="40">
        <v>9.0</v>
      </c>
      <c r="K4" s="40">
        <v>10.0</v>
      </c>
      <c r="L4" s="40">
        <v>11.0</v>
      </c>
      <c r="M4" s="40">
        <v>12.0</v>
      </c>
      <c r="N4" s="40">
        <v>13.0</v>
      </c>
      <c r="O4" s="40">
        <v>14.0</v>
      </c>
      <c r="P4" s="40">
        <v>15.0</v>
      </c>
      <c r="Q4" s="40">
        <v>16.0</v>
      </c>
      <c r="R4" s="40">
        <v>17.0</v>
      </c>
      <c r="S4" s="40">
        <v>18.0</v>
      </c>
      <c r="T4" s="40">
        <v>19.0</v>
      </c>
      <c r="U4" s="40">
        <v>20.0</v>
      </c>
      <c r="V4" s="40">
        <v>21.0</v>
      </c>
      <c r="W4" s="40">
        <v>22.0</v>
      </c>
      <c r="X4" s="40">
        <v>23.0</v>
      </c>
      <c r="Y4" s="40">
        <v>24.0</v>
      </c>
      <c r="Z4" s="40">
        <v>25.0</v>
      </c>
      <c r="AA4" s="40">
        <v>26.0</v>
      </c>
      <c r="AB4" s="40">
        <v>27.0</v>
      </c>
      <c r="AC4" s="40">
        <v>28.0</v>
      </c>
      <c r="AD4" s="40">
        <v>29.0</v>
      </c>
      <c r="AE4" s="40">
        <v>30.0</v>
      </c>
      <c r="AF4" s="40">
        <v>31.0</v>
      </c>
      <c r="AG4" s="40">
        <v>32.0</v>
      </c>
      <c r="AH4" s="40">
        <v>33.0</v>
      </c>
      <c r="AI4" s="40">
        <v>34.0</v>
      </c>
      <c r="AJ4" s="40">
        <v>35.0</v>
      </c>
      <c r="AK4" s="40">
        <v>36.0</v>
      </c>
      <c r="AL4" s="40">
        <v>37.0</v>
      </c>
      <c r="AM4" s="40">
        <v>38.0</v>
      </c>
      <c r="AN4" s="40">
        <v>39.0</v>
      </c>
      <c r="AO4" s="40">
        <v>40.0</v>
      </c>
      <c r="AP4" s="41">
        <v>41.0</v>
      </c>
      <c r="AQ4" s="41">
        <v>42.0</v>
      </c>
      <c r="AR4" s="40">
        <v>43.0</v>
      </c>
      <c r="AS4" s="40">
        <v>44.0</v>
      </c>
      <c r="AT4" s="40">
        <v>45.0</v>
      </c>
      <c r="AU4" s="40">
        <v>46.0</v>
      </c>
      <c r="AV4" s="40">
        <v>47.0</v>
      </c>
      <c r="AW4" s="40">
        <v>48.0</v>
      </c>
      <c r="AX4" s="40">
        <v>49.0</v>
      </c>
      <c r="AY4" s="39">
        <v>50.0</v>
      </c>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row>
    <row r="5">
      <c r="A5" s="42" t="s">
        <v>196</v>
      </c>
      <c r="B5" s="43" t="str">
        <f t="shared" ref="B5:AY5" si="1">MID($A1,B4,1)</f>
        <v>|</v>
      </c>
      <c r="C5" s="43" t="str">
        <f t="shared" si="1"/>
        <v>0</v>
      </c>
      <c r="D5" s="43" t="str">
        <f t="shared" si="1"/>
        <v>9</v>
      </c>
      <c r="E5" s="43" t="str">
        <f t="shared" si="1"/>
        <v>9</v>
      </c>
      <c r="F5" s="43" t="str">
        <f t="shared" si="1"/>
        <v>4</v>
      </c>
      <c r="G5" s="43" t="str">
        <f t="shared" si="1"/>
        <v>0</v>
      </c>
      <c r="H5" s="43" t="str">
        <f t="shared" si="1"/>
        <v>0</v>
      </c>
      <c r="I5" s="43" t="str">
        <f t="shared" si="1"/>
        <v>0</v>
      </c>
      <c r="J5" s="43" t="str">
        <f t="shared" si="1"/>
        <v>2</v>
      </c>
      <c r="K5" s="43" t="str">
        <f t="shared" si="1"/>
        <v>1</v>
      </c>
      <c r="L5" s="43" t="str">
        <f t="shared" si="1"/>
        <v>2</v>
      </c>
      <c r="M5" s="43" t="str">
        <f t="shared" si="1"/>
        <v>2</v>
      </c>
      <c r="N5" s="43" t="str">
        <f t="shared" si="1"/>
        <v>9</v>
      </c>
      <c r="O5" s="43" t="str">
        <f t="shared" si="1"/>
        <v>1</v>
      </c>
      <c r="P5" s="43" t="str">
        <f t="shared" si="1"/>
        <v>0</v>
      </c>
      <c r="Q5" s="43" t="str">
        <f t="shared" si="1"/>
        <v>2</v>
      </c>
      <c r="R5" s="43" t="str">
        <f t="shared" si="1"/>
        <v>2</v>
      </c>
      <c r="S5" s="43" t="str">
        <f t="shared" si="1"/>
        <v>6</v>
      </c>
      <c r="T5" s="43" t="str">
        <f t="shared" si="1"/>
        <v>5</v>
      </c>
      <c r="U5" s="43" t="str">
        <f t="shared" si="1"/>
        <v>3</v>
      </c>
      <c r="V5" s="43" t="str">
        <f t="shared" si="1"/>
        <v>8</v>
      </c>
      <c r="W5" s="43" t="str">
        <f t="shared" si="1"/>
        <v>0</v>
      </c>
      <c r="X5" s="43" t="str">
        <f t="shared" si="1"/>
        <v>3</v>
      </c>
      <c r="Y5" s="43" t="str">
        <f t="shared" si="1"/>
        <v>2</v>
      </c>
      <c r="Z5" s="43" t="str">
        <f t="shared" si="1"/>
        <v>2</v>
      </c>
      <c r="AA5" s="43" t="str">
        <f t="shared" si="1"/>
        <v>0</v>
      </c>
      <c r="AB5" s="43" t="str">
        <f t="shared" si="1"/>
        <v>2</v>
      </c>
      <c r="AC5" s="43" t="str">
        <f t="shared" si="1"/>
        <v>3</v>
      </c>
      <c r="AD5" s="43" t="str">
        <f t="shared" si="1"/>
        <v>1</v>
      </c>
      <c r="AE5" s="43" t="str">
        <f t="shared" si="1"/>
        <v>2</v>
      </c>
      <c r="AF5" s="43" t="str">
        <f t="shared" si="1"/>
        <v>5</v>
      </c>
      <c r="AG5" s="43" t="str">
        <f t="shared" si="1"/>
        <v>6</v>
      </c>
      <c r="AH5" s="43" t="str">
        <f t="shared" si="1"/>
        <v>6</v>
      </c>
      <c r="AI5" s="43" t="str">
        <f t="shared" si="1"/>
        <v>2</v>
      </c>
      <c r="AJ5" s="43" t="str">
        <f t="shared" si="1"/>
        <v>2</v>
      </c>
      <c r="AK5" s="43" t="str">
        <f t="shared" si="1"/>
        <v>0</v>
      </c>
      <c r="AL5" s="43" t="str">
        <f t="shared" si="1"/>
        <v>0</v>
      </c>
      <c r="AM5" s="43" t="str">
        <f t="shared" si="1"/>
        <v>8</v>
      </c>
      <c r="AN5" s="43" t="str">
        <f t="shared" si="1"/>
        <v>6</v>
      </c>
      <c r="AO5" s="43" t="str">
        <f t="shared" si="1"/>
        <v>6</v>
      </c>
      <c r="AP5" s="44" t="str">
        <f t="shared" si="1"/>
        <v>4</v>
      </c>
      <c r="AQ5" s="44" t="str">
        <f t="shared" si="1"/>
        <v>8</v>
      </c>
      <c r="AR5" s="43" t="str">
        <f t="shared" si="1"/>
        <v>3</v>
      </c>
      <c r="AS5" s="43" t="str">
        <f t="shared" si="1"/>
        <v>2</v>
      </c>
      <c r="AT5" s="43" t="str">
        <f t="shared" si="1"/>
        <v>3</v>
      </c>
      <c r="AU5" s="43" t="str">
        <f t="shared" si="1"/>
        <v>0</v>
      </c>
      <c r="AV5" s="43" t="str">
        <f t="shared" si="1"/>
        <v>0</v>
      </c>
      <c r="AW5" s="43" t="str">
        <f t="shared" si="1"/>
        <v>0</v>
      </c>
      <c r="AX5" s="43" t="str">
        <f t="shared" si="1"/>
        <v>0</v>
      </c>
      <c r="AY5" s="43" t="str">
        <f t="shared" si="1"/>
        <v/>
      </c>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row>
    <row r="6">
      <c r="A6" s="45" t="s">
        <v>197</v>
      </c>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30"/>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row>
    <row r="7">
      <c r="A7" s="45" t="s">
        <v>198</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row>
    <row r="8">
      <c r="A8" s="45" t="s">
        <v>189</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row>
    <row r="9">
      <c r="A9" s="47" t="s">
        <v>199</v>
      </c>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9"/>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row>
    <row r="10">
      <c r="A10" s="39" t="s">
        <v>195</v>
      </c>
      <c r="B10" s="40">
        <v>1.0</v>
      </c>
      <c r="C10" s="40">
        <v>2.0</v>
      </c>
      <c r="D10" s="40">
        <v>3.0</v>
      </c>
      <c r="E10" s="40">
        <v>4.0</v>
      </c>
      <c r="F10" s="40">
        <v>5.0</v>
      </c>
      <c r="G10" s="40">
        <v>6.0</v>
      </c>
      <c r="H10" s="40">
        <v>7.0</v>
      </c>
      <c r="I10" s="40">
        <v>8.0</v>
      </c>
      <c r="J10" s="40">
        <v>9.0</v>
      </c>
      <c r="K10" s="40">
        <v>10.0</v>
      </c>
      <c r="L10" s="40">
        <v>11.0</v>
      </c>
      <c r="M10" s="40">
        <v>12.0</v>
      </c>
      <c r="N10" s="40">
        <v>13.0</v>
      </c>
      <c r="O10" s="40">
        <v>14.0</v>
      </c>
      <c r="P10" s="40">
        <v>15.0</v>
      </c>
      <c r="Q10" s="40">
        <v>16.0</v>
      </c>
      <c r="R10" s="50">
        <v>17.0</v>
      </c>
      <c r="S10" s="50">
        <v>18.0</v>
      </c>
      <c r="T10" s="50">
        <v>19.0</v>
      </c>
      <c r="U10" s="50">
        <v>20.0</v>
      </c>
      <c r="V10" s="50">
        <v>21.0</v>
      </c>
      <c r="W10" s="50">
        <v>22.0</v>
      </c>
      <c r="X10" s="50">
        <v>23.0</v>
      </c>
      <c r="Y10" s="50">
        <v>24.0</v>
      </c>
      <c r="Z10" s="50">
        <v>25.0</v>
      </c>
      <c r="AA10" s="50">
        <v>26.0</v>
      </c>
      <c r="AB10" s="50">
        <v>27.0</v>
      </c>
      <c r="AC10" s="50">
        <v>28.0</v>
      </c>
      <c r="AD10" s="50">
        <v>29.0</v>
      </c>
      <c r="AE10" s="50">
        <v>30.0</v>
      </c>
      <c r="AF10" s="50">
        <v>31.0</v>
      </c>
      <c r="AG10" s="50">
        <v>32.0</v>
      </c>
      <c r="AH10" s="50">
        <v>33.0</v>
      </c>
      <c r="AI10" s="50">
        <v>34.0</v>
      </c>
      <c r="AJ10" s="50">
        <v>35.0</v>
      </c>
      <c r="AK10" s="50">
        <v>36.0</v>
      </c>
      <c r="AL10" s="50">
        <v>37.0</v>
      </c>
      <c r="AM10" s="50">
        <v>38.0</v>
      </c>
      <c r="AN10" s="50">
        <v>39.0</v>
      </c>
      <c r="AO10" s="50">
        <v>40.0</v>
      </c>
      <c r="AP10" s="40">
        <v>41.0</v>
      </c>
      <c r="AQ10" s="40">
        <v>42.0</v>
      </c>
      <c r="AR10" s="40">
        <v>43.0</v>
      </c>
      <c r="AS10" s="40">
        <v>44.0</v>
      </c>
      <c r="AT10" s="40">
        <v>45.0</v>
      </c>
      <c r="AU10" s="40">
        <v>46.0</v>
      </c>
      <c r="AV10" s="40">
        <v>47.0</v>
      </c>
      <c r="AW10" s="40">
        <v>48.0</v>
      </c>
      <c r="AX10" s="40">
        <v>49.0</v>
      </c>
      <c r="AY10" s="39">
        <v>50.0</v>
      </c>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row>
    <row r="11">
      <c r="A11" s="42" t="s">
        <v>196</v>
      </c>
      <c r="B11" s="43" t="str">
        <f t="shared" ref="B11:AY11" si="2">B5</f>
        <v>|</v>
      </c>
      <c r="C11" s="43" t="str">
        <f t="shared" si="2"/>
        <v>0</v>
      </c>
      <c r="D11" s="43" t="str">
        <f t="shared" si="2"/>
        <v>9</v>
      </c>
      <c r="E11" s="43" t="str">
        <f t="shared" si="2"/>
        <v>9</v>
      </c>
      <c r="F11" s="43" t="str">
        <f t="shared" si="2"/>
        <v>4</v>
      </c>
      <c r="G11" s="43" t="str">
        <f t="shared" si="2"/>
        <v>0</v>
      </c>
      <c r="H11" s="43" t="str">
        <f t="shared" si="2"/>
        <v>0</v>
      </c>
      <c r="I11" s="43" t="str">
        <f t="shared" si="2"/>
        <v>0</v>
      </c>
      <c r="J11" s="43" t="str">
        <f t="shared" si="2"/>
        <v>2</v>
      </c>
      <c r="K11" s="43" t="str">
        <f t="shared" si="2"/>
        <v>1</v>
      </c>
      <c r="L11" s="43" t="str">
        <f t="shared" si="2"/>
        <v>2</v>
      </c>
      <c r="M11" s="43" t="str">
        <f t="shared" si="2"/>
        <v>2</v>
      </c>
      <c r="N11" s="43" t="str">
        <f t="shared" si="2"/>
        <v>9</v>
      </c>
      <c r="O11" s="43" t="str">
        <f t="shared" si="2"/>
        <v>1</v>
      </c>
      <c r="P11" s="43" t="str">
        <f t="shared" si="2"/>
        <v>0</v>
      </c>
      <c r="Q11" s="43" t="str">
        <f t="shared" si="2"/>
        <v>2</v>
      </c>
      <c r="R11" s="51" t="str">
        <f t="shared" si="2"/>
        <v>2</v>
      </c>
      <c r="S11" s="51" t="str">
        <f t="shared" si="2"/>
        <v>6</v>
      </c>
      <c r="T11" s="51" t="str">
        <f t="shared" si="2"/>
        <v>5</v>
      </c>
      <c r="U11" s="51" t="str">
        <f t="shared" si="2"/>
        <v>3</v>
      </c>
      <c r="V11" s="51" t="str">
        <f t="shared" si="2"/>
        <v>8</v>
      </c>
      <c r="W11" s="51" t="str">
        <f t="shared" si="2"/>
        <v>0</v>
      </c>
      <c r="X11" s="51" t="str">
        <f t="shared" si="2"/>
        <v>3</v>
      </c>
      <c r="Y11" s="51" t="str">
        <f t="shared" si="2"/>
        <v>2</v>
      </c>
      <c r="Z11" s="51" t="str">
        <f t="shared" si="2"/>
        <v>2</v>
      </c>
      <c r="AA11" s="51" t="str">
        <f t="shared" si="2"/>
        <v>0</v>
      </c>
      <c r="AB11" s="51" t="str">
        <f t="shared" si="2"/>
        <v>2</v>
      </c>
      <c r="AC11" s="51" t="str">
        <f t="shared" si="2"/>
        <v>3</v>
      </c>
      <c r="AD11" s="51" t="str">
        <f t="shared" si="2"/>
        <v>1</v>
      </c>
      <c r="AE11" s="51" t="str">
        <f t="shared" si="2"/>
        <v>2</v>
      </c>
      <c r="AF11" s="51" t="str">
        <f t="shared" si="2"/>
        <v>5</v>
      </c>
      <c r="AG11" s="51" t="str">
        <f t="shared" si="2"/>
        <v>6</v>
      </c>
      <c r="AH11" s="51" t="str">
        <f t="shared" si="2"/>
        <v>6</v>
      </c>
      <c r="AI11" s="51" t="str">
        <f t="shared" si="2"/>
        <v>2</v>
      </c>
      <c r="AJ11" s="51" t="str">
        <f t="shared" si="2"/>
        <v>2</v>
      </c>
      <c r="AK11" s="51" t="str">
        <f t="shared" si="2"/>
        <v>0</v>
      </c>
      <c r="AL11" s="51" t="str">
        <f t="shared" si="2"/>
        <v>0</v>
      </c>
      <c r="AM11" s="51" t="str">
        <f t="shared" si="2"/>
        <v>8</v>
      </c>
      <c r="AN11" s="51" t="str">
        <f t="shared" si="2"/>
        <v>6</v>
      </c>
      <c r="AO11" s="51" t="str">
        <f t="shared" si="2"/>
        <v>6</v>
      </c>
      <c r="AP11" s="43" t="str">
        <f t="shared" si="2"/>
        <v>4</v>
      </c>
      <c r="AQ11" s="43" t="str">
        <f t="shared" si="2"/>
        <v>8</v>
      </c>
      <c r="AR11" s="43" t="str">
        <f t="shared" si="2"/>
        <v>3</v>
      </c>
      <c r="AS11" s="43" t="str">
        <f t="shared" si="2"/>
        <v>2</v>
      </c>
      <c r="AT11" s="43" t="str">
        <f t="shared" si="2"/>
        <v>3</v>
      </c>
      <c r="AU11" s="43" t="str">
        <f t="shared" si="2"/>
        <v>0</v>
      </c>
      <c r="AV11" s="43" t="str">
        <f t="shared" si="2"/>
        <v>0</v>
      </c>
      <c r="AW11" s="43" t="str">
        <f t="shared" si="2"/>
        <v>0</v>
      </c>
      <c r="AX11" s="43" t="str">
        <f t="shared" si="2"/>
        <v>0</v>
      </c>
      <c r="AY11" s="43" t="str">
        <f t="shared" si="2"/>
        <v/>
      </c>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row>
    <row r="12">
      <c r="A12" s="52" t="s">
        <v>200</v>
      </c>
      <c r="B12" s="43"/>
      <c r="C12" s="46"/>
      <c r="D12" s="43"/>
      <c r="E12" s="43"/>
      <c r="F12" s="43"/>
      <c r="G12" s="43"/>
      <c r="H12" s="43"/>
      <c r="I12" s="43"/>
      <c r="J12" s="43"/>
      <c r="K12" s="43"/>
      <c r="L12" s="43"/>
      <c r="M12" s="43"/>
      <c r="N12" s="43"/>
      <c r="O12" s="43"/>
      <c r="P12" s="43"/>
      <c r="Q12" s="43"/>
      <c r="R12" s="43">
        <v>6.0</v>
      </c>
      <c r="S12" s="43">
        <v>4.0</v>
      </c>
      <c r="T12" s="43">
        <v>6.0</v>
      </c>
      <c r="U12" s="43">
        <v>4.0</v>
      </c>
      <c r="V12" s="43">
        <v>6.0</v>
      </c>
      <c r="W12" s="43">
        <v>4.0</v>
      </c>
      <c r="X12" s="43">
        <v>6.0</v>
      </c>
      <c r="Y12" s="43">
        <v>4.0</v>
      </c>
      <c r="Z12" s="43">
        <v>6.0</v>
      </c>
      <c r="AA12" s="43">
        <v>4.0</v>
      </c>
      <c r="AB12" s="43">
        <v>6.0</v>
      </c>
      <c r="AC12" s="43">
        <v>4.0</v>
      </c>
      <c r="AD12" s="43">
        <v>6.0</v>
      </c>
      <c r="AE12" s="43">
        <v>4.0</v>
      </c>
      <c r="AF12" s="43">
        <v>6.0</v>
      </c>
      <c r="AG12" s="43">
        <v>4.0</v>
      </c>
      <c r="AH12" s="43">
        <v>6.0</v>
      </c>
      <c r="AI12" s="43">
        <v>4.0</v>
      </c>
      <c r="AJ12" s="43">
        <v>6.0</v>
      </c>
      <c r="AK12" s="43">
        <v>4.0</v>
      </c>
      <c r="AL12" s="43">
        <v>6.0</v>
      </c>
      <c r="AM12" s="43">
        <v>4.0</v>
      </c>
      <c r="AN12" s="43">
        <v>6.0</v>
      </c>
      <c r="AO12" s="43">
        <v>4.0</v>
      </c>
      <c r="AP12" s="43"/>
      <c r="AQ12" s="43"/>
      <c r="AR12" s="43"/>
      <c r="AS12" s="43"/>
      <c r="AT12" s="43"/>
      <c r="AU12" s="43"/>
      <c r="AV12" s="43"/>
      <c r="AW12" s="43"/>
      <c r="AX12" s="43"/>
      <c r="AY12" s="52"/>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row>
    <row r="13">
      <c r="A13" s="52" t="s">
        <v>201</v>
      </c>
      <c r="B13" s="43"/>
      <c r="C13" s="43"/>
      <c r="D13" s="43"/>
      <c r="E13" s="43"/>
      <c r="F13" s="43"/>
      <c r="G13" s="43"/>
      <c r="H13" s="43"/>
      <c r="I13" s="43"/>
      <c r="J13" s="43"/>
      <c r="K13" s="43"/>
      <c r="L13" s="43"/>
      <c r="M13" s="43"/>
      <c r="N13" s="43"/>
      <c r="O13" s="43"/>
      <c r="P13" s="43"/>
      <c r="Q13" s="43"/>
      <c r="R13" s="43">
        <f t="shared" ref="R13:AO13" si="3">R11*R12</f>
        <v>12</v>
      </c>
      <c r="S13" s="43">
        <f t="shared" si="3"/>
        <v>24</v>
      </c>
      <c r="T13" s="43">
        <f t="shared" si="3"/>
        <v>30</v>
      </c>
      <c r="U13" s="43">
        <f t="shared" si="3"/>
        <v>12</v>
      </c>
      <c r="V13" s="43">
        <f t="shared" si="3"/>
        <v>48</v>
      </c>
      <c r="W13" s="43">
        <f t="shared" si="3"/>
        <v>0</v>
      </c>
      <c r="X13" s="43">
        <f t="shared" si="3"/>
        <v>18</v>
      </c>
      <c r="Y13" s="43">
        <f t="shared" si="3"/>
        <v>8</v>
      </c>
      <c r="Z13" s="43">
        <f t="shared" si="3"/>
        <v>12</v>
      </c>
      <c r="AA13" s="43">
        <f t="shared" si="3"/>
        <v>0</v>
      </c>
      <c r="AB13" s="43">
        <f t="shared" si="3"/>
        <v>12</v>
      </c>
      <c r="AC13" s="43">
        <f t="shared" si="3"/>
        <v>12</v>
      </c>
      <c r="AD13" s="43">
        <f t="shared" si="3"/>
        <v>6</v>
      </c>
      <c r="AE13" s="43">
        <f t="shared" si="3"/>
        <v>8</v>
      </c>
      <c r="AF13" s="43">
        <f t="shared" si="3"/>
        <v>30</v>
      </c>
      <c r="AG13" s="43">
        <f t="shared" si="3"/>
        <v>24</v>
      </c>
      <c r="AH13" s="43">
        <f t="shared" si="3"/>
        <v>36</v>
      </c>
      <c r="AI13" s="43">
        <f t="shared" si="3"/>
        <v>8</v>
      </c>
      <c r="AJ13" s="43">
        <f t="shared" si="3"/>
        <v>12</v>
      </c>
      <c r="AK13" s="43">
        <f t="shared" si="3"/>
        <v>0</v>
      </c>
      <c r="AL13" s="43">
        <f t="shared" si="3"/>
        <v>0</v>
      </c>
      <c r="AM13" s="43">
        <f t="shared" si="3"/>
        <v>32</v>
      </c>
      <c r="AN13" s="43">
        <f t="shared" si="3"/>
        <v>36</v>
      </c>
      <c r="AO13" s="43">
        <f t="shared" si="3"/>
        <v>24</v>
      </c>
      <c r="AP13" s="43"/>
      <c r="AQ13" s="43"/>
      <c r="AR13" s="43"/>
      <c r="AS13" s="43"/>
      <c r="AT13" s="43"/>
      <c r="AU13" s="43"/>
      <c r="AV13" s="43"/>
      <c r="AW13" s="43"/>
      <c r="AX13" s="43"/>
      <c r="AY13" s="52"/>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row>
    <row r="14">
      <c r="A14" s="31"/>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row>
    <row r="15">
      <c r="A15" s="47" t="s">
        <v>202</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9"/>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row>
    <row r="16">
      <c r="A16" s="39" t="s">
        <v>195</v>
      </c>
      <c r="B16" s="40">
        <v>1.0</v>
      </c>
      <c r="C16" s="40">
        <v>2.0</v>
      </c>
      <c r="D16" s="40">
        <v>3.0</v>
      </c>
      <c r="E16" s="40">
        <v>4.0</v>
      </c>
      <c r="F16" s="40">
        <v>5.0</v>
      </c>
      <c r="G16" s="40">
        <v>6.0</v>
      </c>
      <c r="H16" s="40">
        <v>7.0</v>
      </c>
      <c r="I16" s="40">
        <v>8.0</v>
      </c>
      <c r="J16" s="40">
        <v>9.0</v>
      </c>
      <c r="K16" s="40">
        <v>10.0</v>
      </c>
      <c r="L16" s="40">
        <v>11.0</v>
      </c>
      <c r="M16" s="40">
        <v>12.0</v>
      </c>
      <c r="N16" s="40">
        <v>13.0</v>
      </c>
      <c r="O16" s="40">
        <v>14.0</v>
      </c>
      <c r="P16" s="40">
        <v>15.0</v>
      </c>
      <c r="Q16" s="40">
        <v>16.0</v>
      </c>
      <c r="R16" s="40">
        <v>17.0</v>
      </c>
      <c r="S16" s="40">
        <v>18.0</v>
      </c>
      <c r="T16" s="40">
        <v>19.0</v>
      </c>
      <c r="U16" s="40">
        <v>20.0</v>
      </c>
      <c r="V16" s="40">
        <v>21.0</v>
      </c>
      <c r="W16" s="40">
        <v>22.0</v>
      </c>
      <c r="X16" s="40">
        <v>23.0</v>
      </c>
      <c r="Y16" s="40">
        <v>24.0</v>
      </c>
      <c r="Z16" s="40">
        <v>25.0</v>
      </c>
      <c r="AA16" s="40">
        <v>26.0</v>
      </c>
      <c r="AB16" s="40">
        <v>27.0</v>
      </c>
      <c r="AC16" s="40">
        <v>28.0</v>
      </c>
      <c r="AD16" s="40">
        <v>29.0</v>
      </c>
      <c r="AE16" s="40">
        <v>30.0</v>
      </c>
      <c r="AF16" s="40">
        <v>31.0</v>
      </c>
      <c r="AG16" s="40">
        <v>32.0</v>
      </c>
      <c r="AH16" s="40">
        <v>33.0</v>
      </c>
      <c r="AI16" s="40">
        <v>34.0</v>
      </c>
      <c r="AJ16" s="40">
        <v>35.0</v>
      </c>
      <c r="AK16" s="40">
        <v>36.0</v>
      </c>
      <c r="AL16" s="40">
        <v>37.0</v>
      </c>
      <c r="AM16" s="40">
        <v>38.0</v>
      </c>
      <c r="AN16" s="40">
        <v>39.0</v>
      </c>
      <c r="AO16" s="40">
        <v>40.0</v>
      </c>
      <c r="AP16" s="40">
        <v>41.0</v>
      </c>
      <c r="AQ16" s="40">
        <v>42.0</v>
      </c>
      <c r="AR16" s="50">
        <v>43.0</v>
      </c>
      <c r="AS16" s="50">
        <v>44.0</v>
      </c>
      <c r="AT16" s="50">
        <v>45.0</v>
      </c>
      <c r="AU16" s="50">
        <v>46.0</v>
      </c>
      <c r="AV16" s="50">
        <v>47.0</v>
      </c>
      <c r="AW16" s="50">
        <v>48.0</v>
      </c>
      <c r="AX16" s="50">
        <v>49.0</v>
      </c>
      <c r="AY16" s="50">
        <v>50.0</v>
      </c>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row>
    <row r="17">
      <c r="A17" s="42" t="s">
        <v>196</v>
      </c>
      <c r="B17" s="43" t="str">
        <f t="shared" ref="B17:AY17" si="4">B5</f>
        <v>|</v>
      </c>
      <c r="C17" s="43" t="str">
        <f t="shared" si="4"/>
        <v>0</v>
      </c>
      <c r="D17" s="43" t="str">
        <f t="shared" si="4"/>
        <v>9</v>
      </c>
      <c r="E17" s="43" t="str">
        <f t="shared" si="4"/>
        <v>9</v>
      </c>
      <c r="F17" s="43" t="str">
        <f t="shared" si="4"/>
        <v>4</v>
      </c>
      <c r="G17" s="43" t="str">
        <f t="shared" si="4"/>
        <v>0</v>
      </c>
      <c r="H17" s="43" t="str">
        <f t="shared" si="4"/>
        <v>0</v>
      </c>
      <c r="I17" s="43" t="str">
        <f t="shared" si="4"/>
        <v>0</v>
      </c>
      <c r="J17" s="43" t="str">
        <f t="shared" si="4"/>
        <v>2</v>
      </c>
      <c r="K17" s="43" t="str">
        <f t="shared" si="4"/>
        <v>1</v>
      </c>
      <c r="L17" s="43" t="str">
        <f t="shared" si="4"/>
        <v>2</v>
      </c>
      <c r="M17" s="43" t="str">
        <f t="shared" si="4"/>
        <v>2</v>
      </c>
      <c r="N17" s="43" t="str">
        <f t="shared" si="4"/>
        <v>9</v>
      </c>
      <c r="O17" s="43" t="str">
        <f t="shared" si="4"/>
        <v>1</v>
      </c>
      <c r="P17" s="43" t="str">
        <f t="shared" si="4"/>
        <v>0</v>
      </c>
      <c r="Q17" s="43" t="str">
        <f t="shared" si="4"/>
        <v>2</v>
      </c>
      <c r="R17" s="43" t="str">
        <f t="shared" si="4"/>
        <v>2</v>
      </c>
      <c r="S17" s="43" t="str">
        <f t="shared" si="4"/>
        <v>6</v>
      </c>
      <c r="T17" s="43" t="str">
        <f t="shared" si="4"/>
        <v>5</v>
      </c>
      <c r="U17" s="43" t="str">
        <f t="shared" si="4"/>
        <v>3</v>
      </c>
      <c r="V17" s="43" t="str">
        <f t="shared" si="4"/>
        <v>8</v>
      </c>
      <c r="W17" s="43" t="str">
        <f t="shared" si="4"/>
        <v>0</v>
      </c>
      <c r="X17" s="43" t="str">
        <f t="shared" si="4"/>
        <v>3</v>
      </c>
      <c r="Y17" s="43" t="str">
        <f t="shared" si="4"/>
        <v>2</v>
      </c>
      <c r="Z17" s="43" t="str">
        <f t="shared" si="4"/>
        <v>2</v>
      </c>
      <c r="AA17" s="43" t="str">
        <f t="shared" si="4"/>
        <v>0</v>
      </c>
      <c r="AB17" s="43" t="str">
        <f t="shared" si="4"/>
        <v>2</v>
      </c>
      <c r="AC17" s="43" t="str">
        <f t="shared" si="4"/>
        <v>3</v>
      </c>
      <c r="AD17" s="43" t="str">
        <f t="shared" si="4"/>
        <v>1</v>
      </c>
      <c r="AE17" s="43" t="str">
        <f t="shared" si="4"/>
        <v>2</v>
      </c>
      <c r="AF17" s="43" t="str">
        <f t="shared" si="4"/>
        <v>5</v>
      </c>
      <c r="AG17" s="43" t="str">
        <f t="shared" si="4"/>
        <v>6</v>
      </c>
      <c r="AH17" s="43" t="str">
        <f t="shared" si="4"/>
        <v>6</v>
      </c>
      <c r="AI17" s="43" t="str">
        <f t="shared" si="4"/>
        <v>2</v>
      </c>
      <c r="AJ17" s="43" t="str">
        <f t="shared" si="4"/>
        <v>2</v>
      </c>
      <c r="AK17" s="43" t="str">
        <f t="shared" si="4"/>
        <v>0</v>
      </c>
      <c r="AL17" s="43" t="str">
        <f t="shared" si="4"/>
        <v>0</v>
      </c>
      <c r="AM17" s="43" t="str">
        <f t="shared" si="4"/>
        <v>8</v>
      </c>
      <c r="AN17" s="43" t="str">
        <f t="shared" si="4"/>
        <v>6</v>
      </c>
      <c r="AO17" s="43" t="str">
        <f t="shared" si="4"/>
        <v>6</v>
      </c>
      <c r="AP17" s="43" t="str">
        <f t="shared" si="4"/>
        <v>4</v>
      </c>
      <c r="AQ17" s="43" t="str">
        <f t="shared" si="4"/>
        <v>8</v>
      </c>
      <c r="AR17" s="51" t="str">
        <f t="shared" si="4"/>
        <v>3</v>
      </c>
      <c r="AS17" s="51" t="str">
        <f t="shared" si="4"/>
        <v>2</v>
      </c>
      <c r="AT17" s="51" t="str">
        <f t="shared" si="4"/>
        <v>3</v>
      </c>
      <c r="AU17" s="51" t="str">
        <f t="shared" si="4"/>
        <v>0</v>
      </c>
      <c r="AV17" s="51" t="str">
        <f t="shared" si="4"/>
        <v>0</v>
      </c>
      <c r="AW17" s="51" t="str">
        <f t="shared" si="4"/>
        <v>0</v>
      </c>
      <c r="AX17" s="51" t="str">
        <f t="shared" si="4"/>
        <v>0</v>
      </c>
      <c r="AY17" s="51" t="str">
        <f t="shared" si="4"/>
        <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row>
    <row r="18">
      <c r="A18" s="52" t="s">
        <v>200</v>
      </c>
      <c r="B18" s="43"/>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v>6.0</v>
      </c>
      <c r="AS18" s="43">
        <v>4.0</v>
      </c>
      <c r="AT18" s="43">
        <v>6.0</v>
      </c>
      <c r="AU18" s="43">
        <v>4.0</v>
      </c>
      <c r="AV18" s="43">
        <v>6.0</v>
      </c>
      <c r="AW18" s="43">
        <v>4.0</v>
      </c>
      <c r="AX18" s="43">
        <v>6.0</v>
      </c>
      <c r="AY18" s="43">
        <v>4.0</v>
      </c>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row>
    <row r="19">
      <c r="A19" s="52" t="s">
        <v>201</v>
      </c>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f t="shared" ref="AR19:AY19" si="5">AR17*AR18</f>
        <v>18</v>
      </c>
      <c r="AS19" s="43">
        <f t="shared" si="5"/>
        <v>8</v>
      </c>
      <c r="AT19" s="43">
        <f t="shared" si="5"/>
        <v>18</v>
      </c>
      <c r="AU19" s="43">
        <f t="shared" si="5"/>
        <v>0</v>
      </c>
      <c r="AV19" s="43">
        <f t="shared" si="5"/>
        <v>0</v>
      </c>
      <c r="AW19" s="43">
        <f t="shared" si="5"/>
        <v>0</v>
      </c>
      <c r="AX19" s="43">
        <f t="shared" si="5"/>
        <v>0</v>
      </c>
      <c r="AY19" s="43">
        <f t="shared" si="5"/>
        <v>0</v>
      </c>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row>
    <row r="20">
      <c r="A20" s="52" t="s">
        <v>203</v>
      </c>
      <c r="B20" s="52">
        <f>SUM(B13:AY13)+SUM(B19:AY19)</f>
        <v>448</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row>
    <row r="21" ht="15.75" customHeight="1">
      <c r="A21" s="52" t="s">
        <v>204</v>
      </c>
      <c r="B21" s="53">
        <f>MOD(B20,100)</f>
        <v>48</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row>
    <row r="23" ht="5.2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row>
    <row r="24" ht="15.75" customHeight="1">
      <c r="A24" s="30" t="s">
        <v>205</v>
      </c>
      <c r="B24" s="31"/>
      <c r="C24" s="31"/>
      <c r="D24" s="31"/>
      <c r="E24" s="31"/>
      <c r="F24" s="31"/>
      <c r="G24" s="31"/>
      <c r="H24" s="31"/>
      <c r="I24" s="31"/>
      <c r="J24" s="31"/>
      <c r="K24" s="31"/>
      <c r="L24" s="31"/>
      <c r="M24" s="31"/>
      <c r="N24" s="32" t="s">
        <v>190</v>
      </c>
      <c r="O24" s="33">
        <f>LEN(A24)</f>
        <v>50</v>
      </c>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row>
    <row r="25" ht="15.75" customHeight="1">
      <c r="A25" s="34" t="s">
        <v>191</v>
      </c>
      <c r="B25" s="35" t="s">
        <v>149</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6" t="s">
        <v>206</v>
      </c>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row>
    <row r="26" ht="15.75" customHeight="1">
      <c r="A26" s="37" t="s">
        <v>193</v>
      </c>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7" t="s">
        <v>194</v>
      </c>
      <c r="AG26" s="38"/>
      <c r="AH26" s="38"/>
      <c r="AI26" s="38"/>
      <c r="AJ26" s="38"/>
      <c r="AK26" s="38"/>
      <c r="AL26" s="38"/>
      <c r="AM26" s="38"/>
      <c r="AN26" s="38"/>
      <c r="AO26" s="38"/>
      <c r="AP26" s="38"/>
      <c r="AQ26" s="38"/>
      <c r="AR26" s="38"/>
      <c r="AS26" s="38"/>
      <c r="AT26" s="38"/>
      <c r="AU26" s="38"/>
      <c r="AV26" s="38"/>
      <c r="AW26" s="38"/>
      <c r="AX26" s="38"/>
      <c r="AY26" s="38"/>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row>
    <row r="27" ht="15.75" customHeight="1">
      <c r="A27" s="39" t="s">
        <v>195</v>
      </c>
      <c r="B27" s="40">
        <v>1.0</v>
      </c>
      <c r="C27" s="40">
        <v>2.0</v>
      </c>
      <c r="D27" s="40">
        <v>3.0</v>
      </c>
      <c r="E27" s="40">
        <v>4.0</v>
      </c>
      <c r="F27" s="40">
        <v>5.0</v>
      </c>
      <c r="G27" s="40">
        <v>6.0</v>
      </c>
      <c r="H27" s="40">
        <v>7.0</v>
      </c>
      <c r="I27" s="40">
        <v>8.0</v>
      </c>
      <c r="J27" s="40">
        <v>9.0</v>
      </c>
      <c r="K27" s="40">
        <v>10.0</v>
      </c>
      <c r="L27" s="40">
        <v>11.0</v>
      </c>
      <c r="M27" s="40">
        <v>12.0</v>
      </c>
      <c r="N27" s="40">
        <v>13.0</v>
      </c>
      <c r="O27" s="40">
        <v>14.0</v>
      </c>
      <c r="P27" s="40">
        <v>15.0</v>
      </c>
      <c r="Q27" s="40">
        <v>16.0</v>
      </c>
      <c r="R27" s="40">
        <v>17.0</v>
      </c>
      <c r="S27" s="40">
        <v>18.0</v>
      </c>
      <c r="T27" s="40">
        <v>19.0</v>
      </c>
      <c r="U27" s="40">
        <v>20.0</v>
      </c>
      <c r="V27" s="40">
        <v>21.0</v>
      </c>
      <c r="W27" s="40">
        <v>22.0</v>
      </c>
      <c r="X27" s="40">
        <v>23.0</v>
      </c>
      <c r="Y27" s="40">
        <v>24.0</v>
      </c>
      <c r="Z27" s="40">
        <v>25.0</v>
      </c>
      <c r="AA27" s="40">
        <v>26.0</v>
      </c>
      <c r="AB27" s="40">
        <v>27.0</v>
      </c>
      <c r="AC27" s="40">
        <v>28.0</v>
      </c>
      <c r="AD27" s="40">
        <v>29.0</v>
      </c>
      <c r="AE27" s="40">
        <v>30.0</v>
      </c>
      <c r="AF27" s="41">
        <v>31.0</v>
      </c>
      <c r="AG27" s="41">
        <v>32.0</v>
      </c>
      <c r="AH27" s="40">
        <v>33.0</v>
      </c>
      <c r="AI27" s="40">
        <v>34.0</v>
      </c>
      <c r="AJ27" s="40">
        <v>35.0</v>
      </c>
      <c r="AK27" s="40">
        <v>36.0</v>
      </c>
      <c r="AL27" s="40">
        <v>37.0</v>
      </c>
      <c r="AM27" s="40">
        <v>38.0</v>
      </c>
      <c r="AN27" s="40">
        <v>39.0</v>
      </c>
      <c r="AO27" s="40">
        <v>40.0</v>
      </c>
      <c r="AP27" s="40">
        <v>41.0</v>
      </c>
      <c r="AQ27" s="40">
        <v>42.0</v>
      </c>
      <c r="AR27" s="40">
        <v>43.0</v>
      </c>
      <c r="AS27" s="40">
        <v>44.0</v>
      </c>
      <c r="AT27" s="40">
        <v>45.0</v>
      </c>
      <c r="AU27" s="40">
        <v>46.0</v>
      </c>
      <c r="AV27" s="40">
        <v>47.0</v>
      </c>
      <c r="AW27" s="40">
        <v>48.0</v>
      </c>
      <c r="AX27" s="40">
        <v>49.0</v>
      </c>
      <c r="AY27" s="39">
        <v>50.0</v>
      </c>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row>
    <row r="28" ht="15.75" customHeight="1">
      <c r="A28" s="42" t="s">
        <v>196</v>
      </c>
      <c r="B28" s="43" t="str">
        <f t="shared" ref="B28:AY28" si="6">MID($A24,B27,1)</f>
        <v>|</v>
      </c>
      <c r="C28" s="43" t="str">
        <f t="shared" si="6"/>
        <v>0</v>
      </c>
      <c r="D28" s="43" t="str">
        <f t="shared" si="6"/>
        <v>9</v>
      </c>
      <c r="E28" s="43" t="str">
        <f t="shared" si="6"/>
        <v>9</v>
      </c>
      <c r="F28" s="43" t="str">
        <f t="shared" si="6"/>
        <v>4</v>
      </c>
      <c r="G28" s="43" t="str">
        <f t="shared" si="6"/>
        <v>0</v>
      </c>
      <c r="H28" s="43" t="str">
        <f t="shared" si="6"/>
        <v>0</v>
      </c>
      <c r="I28" s="43" t="str">
        <f t="shared" si="6"/>
        <v>0</v>
      </c>
      <c r="J28" s="43" t="str">
        <f t="shared" si="6"/>
        <v>2</v>
      </c>
      <c r="K28" s="43" t="str">
        <f t="shared" si="6"/>
        <v>1</v>
      </c>
      <c r="L28" s="43" t="str">
        <f t="shared" si="6"/>
        <v>2</v>
      </c>
      <c r="M28" s="43" t="str">
        <f t="shared" si="6"/>
        <v>2</v>
      </c>
      <c r="N28" s="43" t="str">
        <f t="shared" si="6"/>
        <v>9</v>
      </c>
      <c r="O28" s="43" t="str">
        <f t="shared" si="6"/>
        <v>1</v>
      </c>
      <c r="P28" s="43" t="str">
        <f t="shared" si="6"/>
        <v>0</v>
      </c>
      <c r="Q28" s="43" t="str">
        <f t="shared" si="6"/>
        <v>1</v>
      </c>
      <c r="R28" s="43" t="str">
        <f t="shared" si="6"/>
        <v>2</v>
      </c>
      <c r="S28" s="43" t="str">
        <f t="shared" si="6"/>
        <v>6</v>
      </c>
      <c r="T28" s="43" t="str">
        <f t="shared" si="6"/>
        <v>6</v>
      </c>
      <c r="U28" s="43" t="str">
        <f t="shared" si="6"/>
        <v>0</v>
      </c>
      <c r="V28" s="43" t="str">
        <f t="shared" si="6"/>
        <v>9</v>
      </c>
      <c r="W28" s="43" t="str">
        <f t="shared" si="6"/>
        <v>1</v>
      </c>
      <c r="X28" s="43" t="str">
        <f t="shared" si="6"/>
        <v>5</v>
      </c>
      <c r="Y28" s="43" t="str">
        <f t="shared" si="6"/>
        <v>9</v>
      </c>
      <c r="Z28" s="43" t="str">
        <f t="shared" si="6"/>
        <v>2</v>
      </c>
      <c r="AA28" s="43" t="str">
        <f t="shared" si="6"/>
        <v>9</v>
      </c>
      <c r="AB28" s="43" t="str">
        <f t="shared" si="6"/>
        <v>0</v>
      </c>
      <c r="AC28" s="43" t="str">
        <f t="shared" si="6"/>
        <v>9</v>
      </c>
      <c r="AD28" s="43" t="str">
        <f t="shared" si="6"/>
        <v>6</v>
      </c>
      <c r="AE28" s="43" t="str">
        <f t="shared" si="6"/>
        <v>6</v>
      </c>
      <c r="AF28" s="44" t="str">
        <f t="shared" si="6"/>
        <v>8</v>
      </c>
      <c r="AG28" s="44" t="str">
        <f t="shared" si="6"/>
        <v>0</v>
      </c>
      <c r="AH28" s="43" t="str">
        <f t="shared" si="6"/>
        <v>1</v>
      </c>
      <c r="AI28" s="43" t="str">
        <f t="shared" si="6"/>
        <v>4</v>
      </c>
      <c r="AJ28" s="43" t="str">
        <f t="shared" si="6"/>
        <v>5</v>
      </c>
      <c r="AK28" s="43" t="str">
        <f t="shared" si="6"/>
        <v>0</v>
      </c>
      <c r="AL28" s="43" t="str">
        <f t="shared" si="6"/>
        <v>6</v>
      </c>
      <c r="AM28" s="43" t="str">
        <f t="shared" si="6"/>
        <v>0</v>
      </c>
      <c r="AN28" s="43" t="str">
        <f t="shared" si="6"/>
        <v>0</v>
      </c>
      <c r="AO28" s="43" t="str">
        <f t="shared" si="6"/>
        <v>1</v>
      </c>
      <c r="AP28" s="43" t="str">
        <f t="shared" si="6"/>
        <v>0</v>
      </c>
      <c r="AQ28" s="43" t="str">
        <f t="shared" si="6"/>
        <v>7</v>
      </c>
      <c r="AR28" s="43" t="str">
        <f t="shared" si="6"/>
        <v>8</v>
      </c>
      <c r="AS28" s="43" t="str">
        <f t="shared" si="6"/>
        <v>3</v>
      </c>
      <c r="AT28" s="43" t="str">
        <f t="shared" si="6"/>
        <v>8</v>
      </c>
      <c r="AU28" s="43" t="str">
        <f t="shared" si="6"/>
        <v>3</v>
      </c>
      <c r="AV28" s="43" t="str">
        <f t="shared" si="6"/>
        <v>0</v>
      </c>
      <c r="AW28" s="43" t="str">
        <f t="shared" si="6"/>
        <v>0</v>
      </c>
      <c r="AX28" s="43" t="str">
        <f t="shared" si="6"/>
        <v>0</v>
      </c>
      <c r="AY28" s="43" t="str">
        <f t="shared" si="6"/>
        <v>0</v>
      </c>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row>
    <row r="29" ht="15.75" customHeight="1">
      <c r="A29" s="45" t="s">
        <v>207</v>
      </c>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30"/>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row>
    <row r="30" ht="15.75" customHeight="1">
      <c r="A30" s="45" t="s">
        <v>205</v>
      </c>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row>
    <row r="31" ht="15.75" customHeight="1">
      <c r="A31" s="31"/>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row>
    <row r="32" ht="15.75" customHeight="1">
      <c r="A32" s="47" t="s">
        <v>199</v>
      </c>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9"/>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row>
    <row r="33" ht="15.75" customHeight="1">
      <c r="A33" s="39" t="s">
        <v>195</v>
      </c>
      <c r="B33" s="40">
        <v>1.0</v>
      </c>
      <c r="C33" s="40">
        <v>2.0</v>
      </c>
      <c r="D33" s="40">
        <v>3.0</v>
      </c>
      <c r="E33" s="40">
        <v>4.0</v>
      </c>
      <c r="F33" s="40">
        <v>5.0</v>
      </c>
      <c r="G33" s="40">
        <v>6.0</v>
      </c>
      <c r="H33" s="40">
        <v>7.0</v>
      </c>
      <c r="I33" s="40">
        <v>8.0</v>
      </c>
      <c r="J33" s="40">
        <v>9.0</v>
      </c>
      <c r="K33" s="40">
        <v>10.0</v>
      </c>
      <c r="L33" s="40">
        <v>11.0</v>
      </c>
      <c r="M33" s="40">
        <v>12.0</v>
      </c>
      <c r="N33" s="40">
        <v>13.0</v>
      </c>
      <c r="O33" s="40">
        <v>14.0</v>
      </c>
      <c r="P33" s="40">
        <v>15.0</v>
      </c>
      <c r="Q33" s="40">
        <v>16.0</v>
      </c>
      <c r="R33" s="50">
        <v>17.0</v>
      </c>
      <c r="S33" s="50">
        <v>18.0</v>
      </c>
      <c r="T33" s="50">
        <v>19.0</v>
      </c>
      <c r="U33" s="50">
        <v>20.0</v>
      </c>
      <c r="V33" s="50">
        <v>21.0</v>
      </c>
      <c r="W33" s="50">
        <v>22.0</v>
      </c>
      <c r="X33" s="50">
        <v>23.0</v>
      </c>
      <c r="Y33" s="50">
        <v>24.0</v>
      </c>
      <c r="Z33" s="50">
        <v>25.0</v>
      </c>
      <c r="AA33" s="50">
        <v>26.0</v>
      </c>
      <c r="AB33" s="50">
        <v>27.0</v>
      </c>
      <c r="AC33" s="50">
        <v>28.0</v>
      </c>
      <c r="AD33" s="50">
        <v>29.0</v>
      </c>
      <c r="AE33" s="50">
        <v>30.0</v>
      </c>
      <c r="AF33" s="40">
        <v>31.0</v>
      </c>
      <c r="AG33" s="40">
        <v>32.0</v>
      </c>
      <c r="AH33" s="40">
        <v>33.0</v>
      </c>
      <c r="AI33" s="40">
        <v>34.0</v>
      </c>
      <c r="AJ33" s="40">
        <v>35.0</v>
      </c>
      <c r="AK33" s="40">
        <v>36.0</v>
      </c>
      <c r="AL33" s="40">
        <v>37.0</v>
      </c>
      <c r="AM33" s="40">
        <v>38.0</v>
      </c>
      <c r="AN33" s="40">
        <v>39.0</v>
      </c>
      <c r="AO33" s="40">
        <v>40.0</v>
      </c>
      <c r="AP33" s="40">
        <v>41.0</v>
      </c>
      <c r="AQ33" s="40">
        <v>42.0</v>
      </c>
      <c r="AR33" s="40">
        <v>43.0</v>
      </c>
      <c r="AS33" s="40">
        <v>44.0</v>
      </c>
      <c r="AT33" s="40">
        <v>45.0</v>
      </c>
      <c r="AU33" s="40">
        <v>46.0</v>
      </c>
      <c r="AV33" s="40">
        <v>47.0</v>
      </c>
      <c r="AW33" s="40">
        <v>48.0</v>
      </c>
      <c r="AX33" s="40">
        <v>49.0</v>
      </c>
      <c r="AY33" s="39">
        <v>50.0</v>
      </c>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row>
    <row r="34" ht="15.75" customHeight="1">
      <c r="A34" s="42" t="s">
        <v>196</v>
      </c>
      <c r="B34" s="43" t="str">
        <f t="shared" ref="B34:AY34" si="7">B28</f>
        <v>|</v>
      </c>
      <c r="C34" s="43" t="str">
        <f t="shared" si="7"/>
        <v>0</v>
      </c>
      <c r="D34" s="43" t="str">
        <f t="shared" si="7"/>
        <v>9</v>
      </c>
      <c r="E34" s="43" t="str">
        <f t="shared" si="7"/>
        <v>9</v>
      </c>
      <c r="F34" s="43" t="str">
        <f t="shared" si="7"/>
        <v>4</v>
      </c>
      <c r="G34" s="43" t="str">
        <f t="shared" si="7"/>
        <v>0</v>
      </c>
      <c r="H34" s="43" t="str">
        <f t="shared" si="7"/>
        <v>0</v>
      </c>
      <c r="I34" s="43" t="str">
        <f t="shared" si="7"/>
        <v>0</v>
      </c>
      <c r="J34" s="43" t="str">
        <f t="shared" si="7"/>
        <v>2</v>
      </c>
      <c r="K34" s="43" t="str">
        <f t="shared" si="7"/>
        <v>1</v>
      </c>
      <c r="L34" s="43" t="str">
        <f t="shared" si="7"/>
        <v>2</v>
      </c>
      <c r="M34" s="43" t="str">
        <f t="shared" si="7"/>
        <v>2</v>
      </c>
      <c r="N34" s="43" t="str">
        <f t="shared" si="7"/>
        <v>9</v>
      </c>
      <c r="O34" s="43" t="str">
        <f t="shared" si="7"/>
        <v>1</v>
      </c>
      <c r="P34" s="43" t="str">
        <f t="shared" si="7"/>
        <v>0</v>
      </c>
      <c r="Q34" s="43" t="str">
        <f t="shared" si="7"/>
        <v>1</v>
      </c>
      <c r="R34" s="51" t="str">
        <f t="shared" si="7"/>
        <v>2</v>
      </c>
      <c r="S34" s="51" t="str">
        <f t="shared" si="7"/>
        <v>6</v>
      </c>
      <c r="T34" s="51" t="str">
        <f t="shared" si="7"/>
        <v>6</v>
      </c>
      <c r="U34" s="51" t="str">
        <f t="shared" si="7"/>
        <v>0</v>
      </c>
      <c r="V34" s="51" t="str">
        <f t="shared" si="7"/>
        <v>9</v>
      </c>
      <c r="W34" s="51" t="str">
        <f t="shared" si="7"/>
        <v>1</v>
      </c>
      <c r="X34" s="51" t="str">
        <f t="shared" si="7"/>
        <v>5</v>
      </c>
      <c r="Y34" s="51" t="str">
        <f t="shared" si="7"/>
        <v>9</v>
      </c>
      <c r="Z34" s="51" t="str">
        <f t="shared" si="7"/>
        <v>2</v>
      </c>
      <c r="AA34" s="51" t="str">
        <f t="shared" si="7"/>
        <v>9</v>
      </c>
      <c r="AB34" s="51" t="str">
        <f t="shared" si="7"/>
        <v>0</v>
      </c>
      <c r="AC34" s="51" t="str">
        <f t="shared" si="7"/>
        <v>9</v>
      </c>
      <c r="AD34" s="51" t="str">
        <f t="shared" si="7"/>
        <v>6</v>
      </c>
      <c r="AE34" s="51" t="str">
        <f t="shared" si="7"/>
        <v>6</v>
      </c>
      <c r="AF34" s="43" t="str">
        <f t="shared" si="7"/>
        <v>8</v>
      </c>
      <c r="AG34" s="43" t="str">
        <f t="shared" si="7"/>
        <v>0</v>
      </c>
      <c r="AH34" s="43" t="str">
        <f t="shared" si="7"/>
        <v>1</v>
      </c>
      <c r="AI34" s="43" t="str">
        <f t="shared" si="7"/>
        <v>4</v>
      </c>
      <c r="AJ34" s="43" t="str">
        <f t="shared" si="7"/>
        <v>5</v>
      </c>
      <c r="AK34" s="43" t="str">
        <f t="shared" si="7"/>
        <v>0</v>
      </c>
      <c r="AL34" s="43" t="str">
        <f t="shared" si="7"/>
        <v>6</v>
      </c>
      <c r="AM34" s="43" t="str">
        <f t="shared" si="7"/>
        <v>0</v>
      </c>
      <c r="AN34" s="43" t="str">
        <f t="shared" si="7"/>
        <v>0</v>
      </c>
      <c r="AO34" s="43" t="str">
        <f t="shared" si="7"/>
        <v>1</v>
      </c>
      <c r="AP34" s="43" t="str">
        <f t="shared" si="7"/>
        <v>0</v>
      </c>
      <c r="AQ34" s="43" t="str">
        <f t="shared" si="7"/>
        <v>7</v>
      </c>
      <c r="AR34" s="43" t="str">
        <f t="shared" si="7"/>
        <v>8</v>
      </c>
      <c r="AS34" s="43" t="str">
        <f t="shared" si="7"/>
        <v>3</v>
      </c>
      <c r="AT34" s="43" t="str">
        <f t="shared" si="7"/>
        <v>8</v>
      </c>
      <c r="AU34" s="43" t="str">
        <f t="shared" si="7"/>
        <v>3</v>
      </c>
      <c r="AV34" s="43" t="str">
        <f t="shared" si="7"/>
        <v>0</v>
      </c>
      <c r="AW34" s="43" t="str">
        <f t="shared" si="7"/>
        <v>0</v>
      </c>
      <c r="AX34" s="43" t="str">
        <f t="shared" si="7"/>
        <v>0</v>
      </c>
      <c r="AY34" s="43" t="str">
        <f t="shared" si="7"/>
        <v>0</v>
      </c>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row>
    <row r="35" ht="15.75" customHeight="1">
      <c r="A35" s="52" t="s">
        <v>200</v>
      </c>
      <c r="B35" s="43"/>
      <c r="C35" s="46"/>
      <c r="D35" s="43"/>
      <c r="E35" s="43"/>
      <c r="F35" s="43"/>
      <c r="G35" s="43"/>
      <c r="H35" s="43"/>
      <c r="I35" s="43"/>
      <c r="J35" s="43"/>
      <c r="K35" s="43"/>
      <c r="L35" s="43"/>
      <c r="M35" s="43"/>
      <c r="N35" s="43"/>
      <c r="O35" s="43"/>
      <c r="P35" s="43"/>
      <c r="Q35" s="43"/>
      <c r="R35" s="43">
        <v>6.0</v>
      </c>
      <c r="S35" s="43">
        <v>4.0</v>
      </c>
      <c r="T35" s="43">
        <v>6.0</v>
      </c>
      <c r="U35" s="43">
        <v>4.0</v>
      </c>
      <c r="V35" s="43">
        <v>6.0</v>
      </c>
      <c r="W35" s="43">
        <v>4.0</v>
      </c>
      <c r="X35" s="43">
        <v>6.0</v>
      </c>
      <c r="Y35" s="43">
        <v>4.0</v>
      </c>
      <c r="Z35" s="43">
        <v>6.0</v>
      </c>
      <c r="AA35" s="43">
        <v>4.0</v>
      </c>
      <c r="AB35" s="43">
        <v>6.0</v>
      </c>
      <c r="AC35" s="43">
        <v>4.0</v>
      </c>
      <c r="AD35" s="43">
        <v>6.0</v>
      </c>
      <c r="AE35" s="43">
        <v>4.0</v>
      </c>
      <c r="AF35" s="43"/>
      <c r="AG35" s="43"/>
      <c r="AH35" s="43"/>
      <c r="AI35" s="43"/>
      <c r="AJ35" s="43"/>
      <c r="AK35" s="43"/>
      <c r="AL35" s="43"/>
      <c r="AM35" s="43"/>
      <c r="AN35" s="43"/>
      <c r="AO35" s="43"/>
      <c r="AP35" s="43"/>
      <c r="AQ35" s="43"/>
      <c r="AR35" s="43"/>
      <c r="AS35" s="43"/>
      <c r="AT35" s="43"/>
      <c r="AU35" s="43"/>
      <c r="AV35" s="43"/>
      <c r="AW35" s="43"/>
      <c r="AX35" s="43"/>
      <c r="AY35" s="52"/>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row>
    <row r="36" ht="15.75" customHeight="1">
      <c r="A36" s="52" t="s">
        <v>201</v>
      </c>
      <c r="B36" s="43"/>
      <c r="C36" s="43"/>
      <c r="D36" s="43"/>
      <c r="E36" s="43"/>
      <c r="F36" s="43"/>
      <c r="G36" s="43"/>
      <c r="H36" s="43"/>
      <c r="I36" s="43"/>
      <c r="J36" s="43"/>
      <c r="K36" s="43"/>
      <c r="L36" s="43"/>
      <c r="M36" s="43"/>
      <c r="N36" s="43"/>
      <c r="O36" s="43"/>
      <c r="P36" s="43"/>
      <c r="Q36" s="43"/>
      <c r="R36" s="43">
        <f t="shared" ref="R36:AE36" si="8">R34*R35</f>
        <v>12</v>
      </c>
      <c r="S36" s="43">
        <f t="shared" si="8"/>
        <v>24</v>
      </c>
      <c r="T36" s="43">
        <f t="shared" si="8"/>
        <v>36</v>
      </c>
      <c r="U36" s="43">
        <f t="shared" si="8"/>
        <v>0</v>
      </c>
      <c r="V36" s="43">
        <f t="shared" si="8"/>
        <v>54</v>
      </c>
      <c r="W36" s="43">
        <f t="shared" si="8"/>
        <v>4</v>
      </c>
      <c r="X36" s="43">
        <f t="shared" si="8"/>
        <v>30</v>
      </c>
      <c r="Y36" s="43">
        <f t="shared" si="8"/>
        <v>36</v>
      </c>
      <c r="Z36" s="43">
        <f t="shared" si="8"/>
        <v>12</v>
      </c>
      <c r="AA36" s="43">
        <f t="shared" si="8"/>
        <v>36</v>
      </c>
      <c r="AB36" s="43">
        <f t="shared" si="8"/>
        <v>0</v>
      </c>
      <c r="AC36" s="43">
        <f t="shared" si="8"/>
        <v>36</v>
      </c>
      <c r="AD36" s="43">
        <f t="shared" si="8"/>
        <v>36</v>
      </c>
      <c r="AE36" s="43">
        <f t="shared" si="8"/>
        <v>24</v>
      </c>
      <c r="AF36" s="43"/>
      <c r="AG36" s="43"/>
      <c r="AH36" s="43"/>
      <c r="AI36" s="43"/>
      <c r="AJ36" s="43"/>
      <c r="AK36" s="43"/>
      <c r="AL36" s="43"/>
      <c r="AM36" s="43"/>
      <c r="AN36" s="43"/>
      <c r="AO36" s="43"/>
      <c r="AP36" s="43"/>
      <c r="AQ36" s="43"/>
      <c r="AR36" s="43"/>
      <c r="AS36" s="43"/>
      <c r="AT36" s="43"/>
      <c r="AU36" s="43"/>
      <c r="AV36" s="43"/>
      <c r="AW36" s="43"/>
      <c r="AX36" s="43"/>
      <c r="AY36" s="52"/>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row>
    <row r="37" ht="15.75" customHeight="1">
      <c r="A37" s="31"/>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row>
    <row r="38" ht="15.75" customHeight="1">
      <c r="A38" s="47" t="s">
        <v>202</v>
      </c>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9"/>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row>
    <row r="39" ht="15.75" customHeight="1">
      <c r="A39" s="39" t="s">
        <v>195</v>
      </c>
      <c r="B39" s="40">
        <v>1.0</v>
      </c>
      <c r="C39" s="40">
        <v>2.0</v>
      </c>
      <c r="D39" s="40">
        <v>3.0</v>
      </c>
      <c r="E39" s="40">
        <v>4.0</v>
      </c>
      <c r="F39" s="40">
        <v>5.0</v>
      </c>
      <c r="G39" s="40">
        <v>6.0</v>
      </c>
      <c r="H39" s="40">
        <v>7.0</v>
      </c>
      <c r="I39" s="40">
        <v>8.0</v>
      </c>
      <c r="J39" s="40">
        <v>9.0</v>
      </c>
      <c r="K39" s="40">
        <v>10.0</v>
      </c>
      <c r="L39" s="40">
        <v>11.0</v>
      </c>
      <c r="M39" s="40">
        <v>12.0</v>
      </c>
      <c r="N39" s="40">
        <v>13.0</v>
      </c>
      <c r="O39" s="40">
        <v>14.0</v>
      </c>
      <c r="P39" s="40">
        <v>15.0</v>
      </c>
      <c r="Q39" s="40">
        <v>16.0</v>
      </c>
      <c r="R39" s="40">
        <v>17.0</v>
      </c>
      <c r="S39" s="40">
        <v>18.0</v>
      </c>
      <c r="T39" s="40">
        <v>19.0</v>
      </c>
      <c r="U39" s="40">
        <v>20.0</v>
      </c>
      <c r="V39" s="40">
        <v>21.0</v>
      </c>
      <c r="W39" s="40">
        <v>22.0</v>
      </c>
      <c r="X39" s="40">
        <v>23.0</v>
      </c>
      <c r="Y39" s="40">
        <v>24.0</v>
      </c>
      <c r="Z39" s="40">
        <v>25.0</v>
      </c>
      <c r="AA39" s="40">
        <v>26.0</v>
      </c>
      <c r="AB39" s="40">
        <v>27.0</v>
      </c>
      <c r="AC39" s="40">
        <v>28.0</v>
      </c>
      <c r="AD39" s="40">
        <v>29.0</v>
      </c>
      <c r="AE39" s="40">
        <v>30.0</v>
      </c>
      <c r="AF39" s="40">
        <v>31.0</v>
      </c>
      <c r="AG39" s="40">
        <v>32.0</v>
      </c>
      <c r="AH39" s="50">
        <v>33.0</v>
      </c>
      <c r="AI39" s="50">
        <v>34.0</v>
      </c>
      <c r="AJ39" s="50">
        <v>35.0</v>
      </c>
      <c r="AK39" s="50">
        <v>36.0</v>
      </c>
      <c r="AL39" s="50">
        <v>37.0</v>
      </c>
      <c r="AM39" s="50">
        <v>38.0</v>
      </c>
      <c r="AN39" s="50">
        <v>39.0</v>
      </c>
      <c r="AO39" s="50">
        <v>40.0</v>
      </c>
      <c r="AP39" s="50">
        <v>41.0</v>
      </c>
      <c r="AQ39" s="50">
        <v>42.0</v>
      </c>
      <c r="AR39" s="50">
        <v>43.0</v>
      </c>
      <c r="AS39" s="50">
        <v>44.0</v>
      </c>
      <c r="AT39" s="50">
        <v>45.0</v>
      </c>
      <c r="AU39" s="40">
        <v>46.0</v>
      </c>
      <c r="AV39" s="40">
        <v>47.0</v>
      </c>
      <c r="AW39" s="40">
        <v>48.0</v>
      </c>
      <c r="AX39" s="40">
        <v>49.0</v>
      </c>
      <c r="AY39" s="39">
        <v>50.0</v>
      </c>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row>
    <row r="40" ht="15.75" customHeight="1">
      <c r="A40" s="42" t="s">
        <v>196</v>
      </c>
      <c r="B40" s="43" t="str">
        <f t="shared" ref="B40:AY40" si="9">B28</f>
        <v>|</v>
      </c>
      <c r="C40" s="43" t="str">
        <f t="shared" si="9"/>
        <v>0</v>
      </c>
      <c r="D40" s="43" t="str">
        <f t="shared" si="9"/>
        <v>9</v>
      </c>
      <c r="E40" s="43" t="str">
        <f t="shared" si="9"/>
        <v>9</v>
      </c>
      <c r="F40" s="43" t="str">
        <f t="shared" si="9"/>
        <v>4</v>
      </c>
      <c r="G40" s="43" t="str">
        <f t="shared" si="9"/>
        <v>0</v>
      </c>
      <c r="H40" s="43" t="str">
        <f t="shared" si="9"/>
        <v>0</v>
      </c>
      <c r="I40" s="43" t="str">
        <f t="shared" si="9"/>
        <v>0</v>
      </c>
      <c r="J40" s="43" t="str">
        <f t="shared" si="9"/>
        <v>2</v>
      </c>
      <c r="K40" s="43" t="str">
        <f t="shared" si="9"/>
        <v>1</v>
      </c>
      <c r="L40" s="43" t="str">
        <f t="shared" si="9"/>
        <v>2</v>
      </c>
      <c r="M40" s="43" t="str">
        <f t="shared" si="9"/>
        <v>2</v>
      </c>
      <c r="N40" s="43" t="str">
        <f t="shared" si="9"/>
        <v>9</v>
      </c>
      <c r="O40" s="43" t="str">
        <f t="shared" si="9"/>
        <v>1</v>
      </c>
      <c r="P40" s="43" t="str">
        <f t="shared" si="9"/>
        <v>0</v>
      </c>
      <c r="Q40" s="43" t="str">
        <f t="shared" si="9"/>
        <v>1</v>
      </c>
      <c r="R40" s="43" t="str">
        <f t="shared" si="9"/>
        <v>2</v>
      </c>
      <c r="S40" s="43" t="str">
        <f t="shared" si="9"/>
        <v>6</v>
      </c>
      <c r="T40" s="43" t="str">
        <f t="shared" si="9"/>
        <v>6</v>
      </c>
      <c r="U40" s="43" t="str">
        <f t="shared" si="9"/>
        <v>0</v>
      </c>
      <c r="V40" s="43" t="str">
        <f t="shared" si="9"/>
        <v>9</v>
      </c>
      <c r="W40" s="43" t="str">
        <f t="shared" si="9"/>
        <v>1</v>
      </c>
      <c r="X40" s="43" t="str">
        <f t="shared" si="9"/>
        <v>5</v>
      </c>
      <c r="Y40" s="43" t="str">
        <f t="shared" si="9"/>
        <v>9</v>
      </c>
      <c r="Z40" s="43" t="str">
        <f t="shared" si="9"/>
        <v>2</v>
      </c>
      <c r="AA40" s="43" t="str">
        <f t="shared" si="9"/>
        <v>9</v>
      </c>
      <c r="AB40" s="43" t="str">
        <f t="shared" si="9"/>
        <v>0</v>
      </c>
      <c r="AC40" s="43" t="str">
        <f t="shared" si="9"/>
        <v>9</v>
      </c>
      <c r="AD40" s="43" t="str">
        <f t="shared" si="9"/>
        <v>6</v>
      </c>
      <c r="AE40" s="43" t="str">
        <f t="shared" si="9"/>
        <v>6</v>
      </c>
      <c r="AF40" s="43" t="str">
        <f t="shared" si="9"/>
        <v>8</v>
      </c>
      <c r="AG40" s="43" t="str">
        <f t="shared" si="9"/>
        <v>0</v>
      </c>
      <c r="AH40" s="51" t="str">
        <f t="shared" si="9"/>
        <v>1</v>
      </c>
      <c r="AI40" s="51" t="str">
        <f t="shared" si="9"/>
        <v>4</v>
      </c>
      <c r="AJ40" s="51" t="str">
        <f t="shared" si="9"/>
        <v>5</v>
      </c>
      <c r="AK40" s="51" t="str">
        <f t="shared" si="9"/>
        <v>0</v>
      </c>
      <c r="AL40" s="51" t="str">
        <f t="shared" si="9"/>
        <v>6</v>
      </c>
      <c r="AM40" s="51" t="str">
        <f t="shared" si="9"/>
        <v>0</v>
      </c>
      <c r="AN40" s="51" t="str">
        <f t="shared" si="9"/>
        <v>0</v>
      </c>
      <c r="AO40" s="51" t="str">
        <f t="shared" si="9"/>
        <v>1</v>
      </c>
      <c r="AP40" s="51" t="str">
        <f t="shared" si="9"/>
        <v>0</v>
      </c>
      <c r="AQ40" s="51" t="str">
        <f t="shared" si="9"/>
        <v>7</v>
      </c>
      <c r="AR40" s="51" t="str">
        <f t="shared" si="9"/>
        <v>8</v>
      </c>
      <c r="AS40" s="51" t="str">
        <f t="shared" si="9"/>
        <v>3</v>
      </c>
      <c r="AT40" s="51" t="str">
        <f t="shared" si="9"/>
        <v>8</v>
      </c>
      <c r="AU40" s="43" t="str">
        <f t="shared" si="9"/>
        <v>3</v>
      </c>
      <c r="AV40" s="43" t="str">
        <f t="shared" si="9"/>
        <v>0</v>
      </c>
      <c r="AW40" s="43" t="str">
        <f t="shared" si="9"/>
        <v>0</v>
      </c>
      <c r="AX40" s="43" t="str">
        <f t="shared" si="9"/>
        <v>0</v>
      </c>
      <c r="AY40" s="43" t="str">
        <f t="shared" si="9"/>
        <v>0</v>
      </c>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row>
    <row r="41" ht="15.75" customHeight="1">
      <c r="A41" s="52" t="s">
        <v>200</v>
      </c>
      <c r="B41" s="43"/>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v>6.0</v>
      </c>
      <c r="AI41" s="43">
        <v>4.0</v>
      </c>
      <c r="AJ41" s="43">
        <v>6.0</v>
      </c>
      <c r="AK41" s="43">
        <v>4.0</v>
      </c>
      <c r="AL41" s="43">
        <v>6.0</v>
      </c>
      <c r="AM41" s="43">
        <v>4.0</v>
      </c>
      <c r="AN41" s="43">
        <v>6.0</v>
      </c>
      <c r="AO41" s="43">
        <v>4.0</v>
      </c>
      <c r="AP41" s="43">
        <v>6.0</v>
      </c>
      <c r="AQ41" s="43">
        <v>4.0</v>
      </c>
      <c r="AR41" s="43">
        <v>6.0</v>
      </c>
      <c r="AS41" s="43">
        <v>4.0</v>
      </c>
      <c r="AT41" s="43">
        <v>6.0</v>
      </c>
      <c r="AU41" s="43"/>
      <c r="AV41" s="43"/>
      <c r="AW41" s="43"/>
      <c r="AX41" s="43"/>
      <c r="AY41" s="52"/>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row>
    <row r="42" ht="15.75" customHeight="1">
      <c r="A42" s="52" t="s">
        <v>201</v>
      </c>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f t="shared" ref="AH42:AT42" si="10">AH40*AH41</f>
        <v>6</v>
      </c>
      <c r="AI42" s="43">
        <f t="shared" si="10"/>
        <v>16</v>
      </c>
      <c r="AJ42" s="43">
        <f t="shared" si="10"/>
        <v>30</v>
      </c>
      <c r="AK42" s="43">
        <f t="shared" si="10"/>
        <v>0</v>
      </c>
      <c r="AL42" s="43">
        <f t="shared" si="10"/>
        <v>36</v>
      </c>
      <c r="AM42" s="43">
        <f t="shared" si="10"/>
        <v>0</v>
      </c>
      <c r="AN42" s="43">
        <f t="shared" si="10"/>
        <v>0</v>
      </c>
      <c r="AO42" s="43">
        <f t="shared" si="10"/>
        <v>4</v>
      </c>
      <c r="AP42" s="43">
        <f t="shared" si="10"/>
        <v>0</v>
      </c>
      <c r="AQ42" s="43">
        <f t="shared" si="10"/>
        <v>28</v>
      </c>
      <c r="AR42" s="43">
        <f t="shared" si="10"/>
        <v>48</v>
      </c>
      <c r="AS42" s="43">
        <f t="shared" si="10"/>
        <v>12</v>
      </c>
      <c r="AT42" s="43">
        <f t="shared" si="10"/>
        <v>48</v>
      </c>
      <c r="AU42" s="43"/>
      <c r="AV42" s="43"/>
      <c r="AW42" s="43"/>
      <c r="AX42" s="43"/>
      <c r="AY42" s="52"/>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row>
    <row r="43" ht="15.75" customHeight="1">
      <c r="A43" s="31"/>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row>
    <row r="44" ht="15.75" customHeight="1">
      <c r="A44" s="47" t="s">
        <v>208</v>
      </c>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9"/>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row>
    <row r="45" ht="15.75" customHeight="1">
      <c r="A45" s="39" t="s">
        <v>195</v>
      </c>
      <c r="B45" s="40">
        <v>1.0</v>
      </c>
      <c r="C45" s="40">
        <v>2.0</v>
      </c>
      <c r="D45" s="40">
        <v>3.0</v>
      </c>
      <c r="E45" s="40">
        <v>4.0</v>
      </c>
      <c r="F45" s="40">
        <v>5.0</v>
      </c>
      <c r="G45" s="40">
        <v>6.0</v>
      </c>
      <c r="H45" s="40">
        <v>7.0</v>
      </c>
      <c r="I45" s="40">
        <v>8.0</v>
      </c>
      <c r="J45" s="40">
        <v>9.0</v>
      </c>
      <c r="K45" s="40">
        <v>10.0</v>
      </c>
      <c r="L45" s="40">
        <v>11.0</v>
      </c>
      <c r="M45" s="40">
        <v>12.0</v>
      </c>
      <c r="N45" s="40">
        <v>13.0</v>
      </c>
      <c r="O45" s="40">
        <v>14.0</v>
      </c>
      <c r="P45" s="40">
        <v>15.0</v>
      </c>
      <c r="Q45" s="40">
        <v>16.0</v>
      </c>
      <c r="R45" s="40">
        <v>17.0</v>
      </c>
      <c r="S45" s="40">
        <v>18.0</v>
      </c>
      <c r="T45" s="40">
        <v>19.0</v>
      </c>
      <c r="U45" s="40">
        <v>20.0</v>
      </c>
      <c r="V45" s="40">
        <v>21.0</v>
      </c>
      <c r="W45" s="40">
        <v>22.0</v>
      </c>
      <c r="X45" s="40">
        <v>23.0</v>
      </c>
      <c r="Y45" s="40">
        <v>24.0</v>
      </c>
      <c r="Z45" s="40">
        <v>25.0</v>
      </c>
      <c r="AA45" s="40">
        <v>26.0</v>
      </c>
      <c r="AB45" s="40">
        <v>27.0</v>
      </c>
      <c r="AC45" s="40">
        <v>28.0</v>
      </c>
      <c r="AD45" s="40">
        <v>29.0</v>
      </c>
      <c r="AE45" s="40">
        <v>30.0</v>
      </c>
      <c r="AF45" s="40">
        <v>31.0</v>
      </c>
      <c r="AG45" s="40">
        <v>32.0</v>
      </c>
      <c r="AH45" s="40">
        <v>33.0</v>
      </c>
      <c r="AI45" s="40">
        <v>34.0</v>
      </c>
      <c r="AJ45" s="40">
        <v>35.0</v>
      </c>
      <c r="AK45" s="40">
        <v>36.0</v>
      </c>
      <c r="AL45" s="40">
        <v>37.0</v>
      </c>
      <c r="AM45" s="40">
        <v>38.0</v>
      </c>
      <c r="AN45" s="40">
        <v>39.0</v>
      </c>
      <c r="AO45" s="40">
        <v>40.0</v>
      </c>
      <c r="AP45" s="40">
        <v>41.0</v>
      </c>
      <c r="AQ45" s="40">
        <v>42.0</v>
      </c>
      <c r="AR45" s="40">
        <v>43.0</v>
      </c>
      <c r="AS45" s="40">
        <v>44.0</v>
      </c>
      <c r="AT45" s="40">
        <v>45.0</v>
      </c>
      <c r="AU45" s="40">
        <v>46.0</v>
      </c>
      <c r="AV45" s="40">
        <v>47.0</v>
      </c>
      <c r="AW45" s="40">
        <v>48.0</v>
      </c>
      <c r="AX45" s="40">
        <v>49.0</v>
      </c>
      <c r="AY45" s="39">
        <v>50.0</v>
      </c>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row>
    <row r="46" ht="15.75" customHeight="1">
      <c r="A46" s="42" t="s">
        <v>196</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55" t="str">
        <f t="shared" ref="AU46:AY46" si="11">AU34</f>
        <v>3</v>
      </c>
      <c r="AV46" s="55" t="str">
        <f t="shared" si="11"/>
        <v>0</v>
      </c>
      <c r="AW46" s="55" t="str">
        <f t="shared" si="11"/>
        <v>0</v>
      </c>
      <c r="AX46" s="55" t="str">
        <f t="shared" si="11"/>
        <v>0</v>
      </c>
      <c r="AY46" s="56" t="str">
        <f t="shared" si="11"/>
        <v>0</v>
      </c>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row>
    <row r="47" ht="15.75" customHeight="1">
      <c r="A47" s="52" t="s">
        <v>200</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v>4.0</v>
      </c>
      <c r="AV47" s="43">
        <v>6.0</v>
      </c>
      <c r="AW47" s="43">
        <v>4.0</v>
      </c>
      <c r="AX47" s="43">
        <v>6.0</v>
      </c>
      <c r="AY47" s="52">
        <v>4.0</v>
      </c>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row>
    <row r="48" ht="15.75" customHeight="1">
      <c r="A48" s="52" t="s">
        <v>201</v>
      </c>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f t="shared" ref="AU48:AY48" si="12">AU46*AU47</f>
        <v>12</v>
      </c>
      <c r="AV48" s="43">
        <f t="shared" si="12"/>
        <v>0</v>
      </c>
      <c r="AW48" s="43">
        <f t="shared" si="12"/>
        <v>0</v>
      </c>
      <c r="AX48" s="43">
        <f t="shared" si="12"/>
        <v>0</v>
      </c>
      <c r="AY48" s="52">
        <f t="shared" si="12"/>
        <v>0</v>
      </c>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row>
    <row r="49" ht="15.75" customHeight="1">
      <c r="A49" s="52" t="s">
        <v>203</v>
      </c>
      <c r="B49" s="52">
        <f>SUM(R36:AE36)+SUM(AH42:AT42)+SUM(AU48:AY48)</f>
        <v>580</v>
      </c>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row>
    <row r="50" ht="15.75" customHeight="1">
      <c r="A50" s="52" t="s">
        <v>204</v>
      </c>
      <c r="B50" s="53">
        <f>MOD(B49,100)</f>
        <v>80</v>
      </c>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row>
    <row r="52" ht="5.2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row>
    <row r="53" ht="15.75" customHeight="1">
      <c r="A53" s="45" t="s">
        <v>209</v>
      </c>
      <c r="B53" s="31"/>
      <c r="C53" s="31"/>
      <c r="D53" s="31"/>
      <c r="E53" s="31"/>
      <c r="F53" s="31"/>
      <c r="G53" s="31"/>
      <c r="H53" s="31"/>
      <c r="I53" s="31"/>
      <c r="J53" s="31"/>
      <c r="K53" s="31"/>
      <c r="L53" s="31"/>
      <c r="M53" s="31"/>
      <c r="N53" s="31"/>
      <c r="O53" s="31"/>
      <c r="P53" s="32" t="s">
        <v>190</v>
      </c>
      <c r="Q53" s="33">
        <f>LEN(A53)</f>
        <v>53</v>
      </c>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row>
    <row r="54" ht="15.75" customHeight="1">
      <c r="A54" s="34" t="s">
        <v>191</v>
      </c>
      <c r="B54" s="35" t="s">
        <v>210</v>
      </c>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6" t="s">
        <v>211</v>
      </c>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row>
    <row r="55" ht="15.75" customHeight="1">
      <c r="A55" s="37" t="s">
        <v>193</v>
      </c>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7" t="s">
        <v>194</v>
      </c>
      <c r="AV55" s="38"/>
      <c r="AW55" s="38"/>
      <c r="AX55" s="38"/>
      <c r="AY55" s="38"/>
      <c r="AZ55" s="38"/>
      <c r="BA55" s="38"/>
      <c r="BB55" s="38"/>
      <c r="BC55" s="38"/>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row>
    <row r="56" ht="15.75" customHeight="1">
      <c r="A56" s="39" t="s">
        <v>195</v>
      </c>
      <c r="B56" s="40">
        <v>1.0</v>
      </c>
      <c r="C56" s="40">
        <v>2.0</v>
      </c>
      <c r="D56" s="40">
        <v>3.0</v>
      </c>
      <c r="E56" s="40">
        <v>4.0</v>
      </c>
      <c r="F56" s="40">
        <v>5.0</v>
      </c>
      <c r="G56" s="40">
        <v>6.0</v>
      </c>
      <c r="H56" s="40">
        <v>7.0</v>
      </c>
      <c r="I56" s="40">
        <v>8.0</v>
      </c>
      <c r="J56" s="40">
        <v>9.0</v>
      </c>
      <c r="K56" s="40">
        <v>10.0</v>
      </c>
      <c r="L56" s="40">
        <v>11.0</v>
      </c>
      <c r="M56" s="40">
        <v>12.0</v>
      </c>
      <c r="N56" s="40">
        <v>13.0</v>
      </c>
      <c r="O56" s="40">
        <v>14.0</v>
      </c>
      <c r="P56" s="40">
        <v>15.0</v>
      </c>
      <c r="Q56" s="40">
        <v>16.0</v>
      </c>
      <c r="R56" s="40">
        <v>17.0</v>
      </c>
      <c r="S56" s="40">
        <v>18.0</v>
      </c>
      <c r="T56" s="40">
        <v>19.0</v>
      </c>
      <c r="U56" s="40">
        <v>20.0</v>
      </c>
      <c r="V56" s="40">
        <v>21.0</v>
      </c>
      <c r="W56" s="40">
        <v>22.0</v>
      </c>
      <c r="X56" s="40">
        <v>23.0</v>
      </c>
      <c r="Y56" s="40">
        <v>24.0</v>
      </c>
      <c r="Z56" s="40">
        <v>25.0</v>
      </c>
      <c r="AA56" s="40">
        <v>26.0</v>
      </c>
      <c r="AB56" s="40">
        <v>27.0</v>
      </c>
      <c r="AC56" s="40">
        <v>28.0</v>
      </c>
      <c r="AD56" s="40">
        <v>29.0</v>
      </c>
      <c r="AE56" s="40">
        <v>30.0</v>
      </c>
      <c r="AF56" s="40">
        <v>31.0</v>
      </c>
      <c r="AG56" s="40">
        <v>32.0</v>
      </c>
      <c r="AH56" s="40">
        <v>33.0</v>
      </c>
      <c r="AI56" s="40">
        <v>34.0</v>
      </c>
      <c r="AJ56" s="40">
        <v>35.0</v>
      </c>
      <c r="AK56" s="40">
        <v>36.0</v>
      </c>
      <c r="AL56" s="40">
        <v>37.0</v>
      </c>
      <c r="AM56" s="40">
        <v>38.0</v>
      </c>
      <c r="AN56" s="40">
        <v>39.0</v>
      </c>
      <c r="AO56" s="40">
        <v>40.0</v>
      </c>
      <c r="AP56" s="40">
        <v>41.0</v>
      </c>
      <c r="AQ56" s="40">
        <v>42.0</v>
      </c>
      <c r="AR56" s="40">
        <v>43.0</v>
      </c>
      <c r="AS56" s="40">
        <v>44.0</v>
      </c>
      <c r="AT56" s="40">
        <v>45.0</v>
      </c>
      <c r="AU56" s="41">
        <v>46.0</v>
      </c>
      <c r="AV56" s="41">
        <v>47.0</v>
      </c>
      <c r="AW56" s="40">
        <v>48.0</v>
      </c>
      <c r="AX56" s="40">
        <v>49.0</v>
      </c>
      <c r="AY56" s="40">
        <v>50.0</v>
      </c>
      <c r="AZ56" s="40">
        <v>51.0</v>
      </c>
      <c r="BA56" s="40">
        <v>52.0</v>
      </c>
      <c r="BB56" s="40">
        <v>53.0</v>
      </c>
      <c r="BC56" s="40">
        <v>54.0</v>
      </c>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row>
    <row r="57" ht="15.75" customHeight="1">
      <c r="A57" s="42" t="s">
        <v>196</v>
      </c>
      <c r="B57" s="43" t="str">
        <f t="shared" ref="B57:BC57" si="13">MID($A53,B56,1)</f>
        <v>|</v>
      </c>
      <c r="C57" s="43" t="str">
        <f t="shared" si="13"/>
        <v>0</v>
      </c>
      <c r="D57" s="43" t="str">
        <f t="shared" si="13"/>
        <v>9</v>
      </c>
      <c r="E57" s="43" t="str">
        <f t="shared" si="13"/>
        <v>9</v>
      </c>
      <c r="F57" s="43" t="str">
        <f t="shared" si="13"/>
        <v>4</v>
      </c>
      <c r="G57" s="43" t="str">
        <f t="shared" si="13"/>
        <v>0</v>
      </c>
      <c r="H57" s="43" t="str">
        <f t="shared" si="13"/>
        <v>0</v>
      </c>
      <c r="I57" s="43" t="str">
        <f t="shared" si="13"/>
        <v>0</v>
      </c>
      <c r="J57" s="43" t="str">
        <f t="shared" si="13"/>
        <v>1</v>
      </c>
      <c r="K57" s="43" t="str">
        <f t="shared" si="13"/>
        <v>5</v>
      </c>
      <c r="L57" s="43" t="str">
        <f t="shared" si="13"/>
        <v>9</v>
      </c>
      <c r="M57" s="43" t="str">
        <f t="shared" si="13"/>
        <v>0</v>
      </c>
      <c r="N57" s="43" t="str">
        <f t="shared" si="13"/>
        <v>5</v>
      </c>
      <c r="O57" s="43" t="str">
        <f t="shared" si="13"/>
        <v>6</v>
      </c>
      <c r="P57" s="43" t="str">
        <f t="shared" si="13"/>
        <v>0</v>
      </c>
      <c r="Q57" s="43" t="str">
        <f t="shared" si="13"/>
        <v>0</v>
      </c>
      <c r="R57" s="43" t="str">
        <f t="shared" si="13"/>
        <v>0</v>
      </c>
      <c r="S57" s="43" t="str">
        <f t="shared" si="13"/>
        <v>1</v>
      </c>
      <c r="T57" s="43" t="str">
        <f t="shared" si="13"/>
        <v>0</v>
      </c>
      <c r="U57" s="43" t="str">
        <f t="shared" si="13"/>
        <v>0</v>
      </c>
      <c r="V57" s="43" t="str">
        <f t="shared" si="13"/>
        <v>5</v>
      </c>
      <c r="W57" s="43" t="str">
        <f t="shared" si="13"/>
        <v>4</v>
      </c>
      <c r="X57" s="43" t="str">
        <f t="shared" si="13"/>
        <v>2</v>
      </c>
      <c r="Y57" s="43" t="str">
        <f t="shared" si="13"/>
        <v>7</v>
      </c>
      <c r="Z57" s="43" t="str">
        <f t="shared" si="13"/>
        <v>7</v>
      </c>
      <c r="AA57" s="43" t="str">
        <f t="shared" si="13"/>
        <v>9</v>
      </c>
      <c r="AB57" s="43" t="str">
        <f t="shared" si="13"/>
        <v>6</v>
      </c>
      <c r="AC57" s="43" t="str">
        <f t="shared" si="13"/>
        <v>6</v>
      </c>
      <c r="AD57" s="43" t="str">
        <f t="shared" si="13"/>
        <v>0</v>
      </c>
      <c r="AE57" s="43" t="str">
        <f t="shared" si="13"/>
        <v>9</v>
      </c>
      <c r="AF57" s="43" t="str">
        <f t="shared" si="13"/>
        <v>1</v>
      </c>
      <c r="AG57" s="43" t="str">
        <f t="shared" si="13"/>
        <v>0</v>
      </c>
      <c r="AH57" s="43" t="str">
        <f t="shared" si="13"/>
        <v>4</v>
      </c>
      <c r="AI57" s="43" t="str">
        <f t="shared" si="13"/>
        <v>9</v>
      </c>
      <c r="AJ57" s="43" t="str">
        <f t="shared" si="13"/>
        <v>0</v>
      </c>
      <c r="AK57" s="43" t="str">
        <f t="shared" si="13"/>
        <v>9</v>
      </c>
      <c r="AL57" s="43" t="str">
        <f t="shared" si="13"/>
        <v>7</v>
      </c>
      <c r="AM57" s="43" t="str">
        <f t="shared" si="13"/>
        <v>0</v>
      </c>
      <c r="AN57" s="43" t="str">
        <f t="shared" si="13"/>
        <v>0</v>
      </c>
      <c r="AO57" s="43" t="str">
        <f t="shared" si="13"/>
        <v>0</v>
      </c>
      <c r="AP57" s="43" t="str">
        <f t="shared" si="13"/>
        <v>0</v>
      </c>
      <c r="AQ57" s="43" t="str">
        <f t="shared" si="13"/>
        <v>0</v>
      </c>
      <c r="AR57" s="43" t="str">
        <f t="shared" si="13"/>
        <v>5</v>
      </c>
      <c r="AS57" s="43" t="str">
        <f t="shared" si="13"/>
        <v>0</v>
      </c>
      <c r="AT57" s="43" t="str">
        <f t="shared" si="13"/>
        <v>6</v>
      </c>
      <c r="AU57" s="44" t="str">
        <f t="shared" si="13"/>
        <v>6</v>
      </c>
      <c r="AV57" s="44" t="str">
        <f t="shared" si="13"/>
        <v>7</v>
      </c>
      <c r="AW57" s="43" t="str">
        <f t="shared" si="13"/>
        <v>6</v>
      </c>
      <c r="AX57" s="43" t="str">
        <f t="shared" si="13"/>
        <v>0</v>
      </c>
      <c r="AY57" s="43" t="str">
        <f t="shared" si="13"/>
        <v>6</v>
      </c>
      <c r="AZ57" s="43" t="str">
        <f t="shared" si="13"/>
        <v>0</v>
      </c>
      <c r="BA57" s="43" t="str">
        <f t="shared" si="13"/>
        <v>0</v>
      </c>
      <c r="BB57" s="43" t="str">
        <f t="shared" si="13"/>
        <v>0</v>
      </c>
      <c r="BC57" s="43" t="str">
        <f t="shared" si="13"/>
        <v/>
      </c>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row>
    <row r="58" ht="15.75" customHeight="1">
      <c r="A58" s="45" t="s">
        <v>209</v>
      </c>
      <c r="B58" s="46"/>
      <c r="C58" s="46"/>
      <c r="D58" s="46"/>
      <c r="E58" s="46"/>
      <c r="F58" s="46"/>
      <c r="G58" s="46"/>
      <c r="H58" s="46"/>
      <c r="I58" s="46"/>
      <c r="J58" s="46"/>
      <c r="K58" s="46"/>
      <c r="L58" s="46"/>
      <c r="M58" s="46"/>
      <c r="N58" s="46"/>
      <c r="O58" s="46"/>
      <c r="P58" s="46">
        <f t="shared" ref="P58:P62" si="14">LEN(A58)</f>
        <v>53</v>
      </c>
      <c r="Q58" s="46"/>
      <c r="R58" s="46"/>
      <c r="S58" s="46"/>
      <c r="T58" s="46"/>
      <c r="U58" s="45" t="s">
        <v>212</v>
      </c>
      <c r="V58" s="46"/>
      <c r="W58" s="46"/>
      <c r="X58" s="46"/>
      <c r="Y58" s="46"/>
      <c r="Z58" s="46"/>
      <c r="AA58" s="46"/>
      <c r="AB58" s="46"/>
      <c r="AC58" s="46"/>
      <c r="AD58" s="46"/>
      <c r="AE58" s="46"/>
      <c r="AF58" s="46"/>
      <c r="AG58" s="46"/>
      <c r="AH58" s="46"/>
      <c r="AI58" s="46"/>
      <c r="AJ58" s="46"/>
      <c r="AK58" s="46"/>
      <c r="AL58" s="46"/>
      <c r="AM58" s="46">
        <f t="shared" ref="AM58:AM60" si="15">LEN(U58)</f>
        <v>52</v>
      </c>
      <c r="AN58" s="46"/>
      <c r="AO58" s="46"/>
      <c r="AP58" s="46"/>
      <c r="AQ58" s="46"/>
      <c r="AR58" s="46"/>
      <c r="AS58" s="46"/>
      <c r="AT58" s="46"/>
      <c r="AU58" s="46"/>
      <c r="AV58" s="46"/>
      <c r="AW58" s="46"/>
      <c r="AX58" s="46"/>
      <c r="AY58" s="46"/>
      <c r="AZ58" s="46"/>
      <c r="BA58" s="46"/>
      <c r="BB58" s="46"/>
      <c r="BC58" s="46"/>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row>
    <row r="59" ht="15.75" customHeight="1">
      <c r="A59" s="45" t="s">
        <v>213</v>
      </c>
      <c r="B59" s="46"/>
      <c r="C59" s="46"/>
      <c r="D59" s="46"/>
      <c r="E59" s="46"/>
      <c r="F59" s="46"/>
      <c r="G59" s="46"/>
      <c r="H59" s="46"/>
      <c r="I59" s="46"/>
      <c r="J59" s="46"/>
      <c r="K59" s="46"/>
      <c r="L59" s="46"/>
      <c r="M59" s="46"/>
      <c r="N59" s="46"/>
      <c r="O59" s="46"/>
      <c r="P59" s="46">
        <f t="shared" si="14"/>
        <v>53</v>
      </c>
      <c r="Q59" s="46"/>
      <c r="R59" s="46"/>
      <c r="S59" s="46"/>
      <c r="T59" s="46"/>
      <c r="U59" s="45" t="s">
        <v>214</v>
      </c>
      <c r="V59" s="46"/>
      <c r="W59" s="46"/>
      <c r="X59" s="46"/>
      <c r="Y59" s="46"/>
      <c r="Z59" s="46"/>
      <c r="AA59" s="46"/>
      <c r="AB59" s="46"/>
      <c r="AC59" s="46"/>
      <c r="AD59" s="46"/>
      <c r="AE59" s="46"/>
      <c r="AF59" s="46"/>
      <c r="AG59" s="46"/>
      <c r="AH59" s="46"/>
      <c r="AI59" s="46"/>
      <c r="AJ59" s="46"/>
      <c r="AK59" s="46"/>
      <c r="AL59" s="46"/>
      <c r="AM59" s="46">
        <f t="shared" si="15"/>
        <v>52</v>
      </c>
      <c r="AN59" s="46"/>
      <c r="AO59" s="46"/>
      <c r="AP59" s="46"/>
      <c r="AQ59" s="46"/>
      <c r="AR59" s="46"/>
      <c r="AS59" s="46"/>
      <c r="AT59" s="46"/>
      <c r="AU59" s="46"/>
      <c r="AV59" s="46"/>
      <c r="AW59" s="46"/>
      <c r="AX59" s="46"/>
      <c r="AY59" s="46"/>
      <c r="AZ59" s="46"/>
      <c r="BA59" s="46"/>
      <c r="BB59" s="46"/>
      <c r="BC59" s="46"/>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row>
    <row r="60" ht="15.75" customHeight="1">
      <c r="A60" s="45" t="s">
        <v>215</v>
      </c>
      <c r="B60" s="46"/>
      <c r="C60" s="46"/>
      <c r="D60" s="46"/>
      <c r="E60" s="46"/>
      <c r="F60" s="46"/>
      <c r="G60" s="46"/>
      <c r="H60" s="46"/>
      <c r="I60" s="46"/>
      <c r="J60" s="46"/>
      <c r="K60" s="46"/>
      <c r="L60" s="46"/>
      <c r="M60" s="46"/>
      <c r="N60" s="46"/>
      <c r="O60" s="46"/>
      <c r="P60" s="46">
        <f t="shared" si="14"/>
        <v>53</v>
      </c>
      <c r="Q60" s="46"/>
      <c r="R60" s="46"/>
      <c r="S60" s="46"/>
      <c r="T60" s="46"/>
      <c r="U60" s="45" t="s">
        <v>216</v>
      </c>
      <c r="V60" s="46"/>
      <c r="W60" s="46"/>
      <c r="X60" s="46"/>
      <c r="Y60" s="46"/>
      <c r="Z60" s="46"/>
      <c r="AA60" s="46"/>
      <c r="AB60" s="46"/>
      <c r="AC60" s="46"/>
      <c r="AD60" s="46"/>
      <c r="AE60" s="46"/>
      <c r="AF60" s="46"/>
      <c r="AG60" s="46"/>
      <c r="AH60" s="46"/>
      <c r="AI60" s="46"/>
      <c r="AJ60" s="46"/>
      <c r="AK60" s="46"/>
      <c r="AL60" s="46"/>
      <c r="AM60" s="46">
        <f t="shared" si="15"/>
        <v>52</v>
      </c>
      <c r="AN60" s="46"/>
      <c r="AO60" s="46"/>
      <c r="AP60" s="46"/>
      <c r="AQ60" s="46"/>
      <c r="AR60" s="46"/>
      <c r="AS60" s="46"/>
      <c r="AT60" s="46"/>
      <c r="AU60" s="46"/>
      <c r="AV60" s="46"/>
      <c r="AW60" s="46"/>
      <c r="AX60" s="46"/>
      <c r="AY60" s="46"/>
      <c r="AZ60" s="46"/>
      <c r="BA60" s="46"/>
      <c r="BB60" s="46"/>
      <c r="BC60" s="46"/>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row>
    <row r="61" ht="15.75" customHeight="1">
      <c r="A61" s="45" t="s">
        <v>217</v>
      </c>
      <c r="B61" s="46"/>
      <c r="C61" s="46"/>
      <c r="D61" s="46"/>
      <c r="E61" s="46"/>
      <c r="F61" s="46"/>
      <c r="G61" s="46"/>
      <c r="H61" s="46"/>
      <c r="I61" s="46"/>
      <c r="J61" s="46"/>
      <c r="K61" s="46"/>
      <c r="L61" s="46"/>
      <c r="M61" s="46"/>
      <c r="N61" s="46"/>
      <c r="O61" s="46"/>
      <c r="P61" s="46">
        <f t="shared" si="14"/>
        <v>53</v>
      </c>
      <c r="Q61" s="46"/>
      <c r="R61" s="46"/>
      <c r="S61" s="46"/>
      <c r="T61" s="46"/>
      <c r="U61" s="57"/>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row>
    <row r="62" ht="15.75" customHeight="1">
      <c r="A62" s="45" t="s">
        <v>218</v>
      </c>
      <c r="B62" s="46"/>
      <c r="C62" s="46"/>
      <c r="D62" s="46"/>
      <c r="E62" s="46"/>
      <c r="F62" s="46"/>
      <c r="G62" s="46"/>
      <c r="H62" s="46"/>
      <c r="I62" s="46"/>
      <c r="J62" s="46"/>
      <c r="K62" s="46"/>
      <c r="L62" s="46"/>
      <c r="M62" s="46"/>
      <c r="N62" s="46"/>
      <c r="O62" s="46"/>
      <c r="P62" s="46">
        <f t="shared" si="14"/>
        <v>53</v>
      </c>
      <c r="Q62" s="46"/>
      <c r="R62" s="46"/>
      <c r="S62" s="46"/>
      <c r="T62" s="46"/>
      <c r="U62" s="58" t="s">
        <v>219</v>
      </c>
      <c r="V62" s="46"/>
      <c r="W62" s="46"/>
      <c r="X62" s="46"/>
      <c r="Y62" s="46"/>
      <c r="Z62" s="46"/>
      <c r="AA62" s="46"/>
      <c r="AB62" s="46"/>
      <c r="AC62" s="46"/>
      <c r="AD62" s="46"/>
      <c r="AE62" s="46"/>
      <c r="AF62" s="46"/>
      <c r="AG62" s="46"/>
      <c r="AH62" s="46"/>
      <c r="AI62" s="46"/>
      <c r="AJ62" s="46"/>
      <c r="AK62" s="46"/>
      <c r="AL62" s="46"/>
      <c r="AM62" s="46">
        <f>LEN(U62)</f>
        <v>54</v>
      </c>
      <c r="AN62" s="46"/>
      <c r="AO62" s="46"/>
      <c r="AP62" s="46"/>
      <c r="AQ62" s="46"/>
      <c r="AR62" s="46"/>
      <c r="AS62" s="46"/>
      <c r="AT62" s="46"/>
      <c r="AU62" s="46"/>
      <c r="AV62" s="46"/>
      <c r="AW62" s="46"/>
      <c r="AX62" s="46"/>
      <c r="AY62" s="46"/>
      <c r="AZ62" s="46"/>
      <c r="BA62" s="46"/>
      <c r="BB62" s="46"/>
      <c r="BC62" s="46"/>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row>
    <row r="63" ht="15.75" customHeight="1">
      <c r="A63" s="47" t="s">
        <v>199</v>
      </c>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row>
    <row r="64" ht="15.75" customHeight="1">
      <c r="A64" s="39" t="s">
        <v>195</v>
      </c>
      <c r="B64" s="40">
        <v>1.0</v>
      </c>
      <c r="C64" s="40">
        <v>2.0</v>
      </c>
      <c r="D64" s="40">
        <v>3.0</v>
      </c>
      <c r="E64" s="40">
        <v>4.0</v>
      </c>
      <c r="F64" s="40">
        <v>5.0</v>
      </c>
      <c r="G64" s="40">
        <v>6.0</v>
      </c>
      <c r="H64" s="40">
        <v>7.0</v>
      </c>
      <c r="I64" s="40">
        <v>8.0</v>
      </c>
      <c r="J64" s="40">
        <v>9.0</v>
      </c>
      <c r="K64" s="40">
        <v>10.0</v>
      </c>
      <c r="L64" s="40">
        <v>11.0</v>
      </c>
      <c r="M64" s="40">
        <v>12.0</v>
      </c>
      <c r="N64" s="40">
        <v>13.0</v>
      </c>
      <c r="O64" s="40">
        <v>14.0</v>
      </c>
      <c r="P64" s="40">
        <v>15.0</v>
      </c>
      <c r="Q64" s="40">
        <v>16.0</v>
      </c>
      <c r="R64" s="50">
        <v>17.0</v>
      </c>
      <c r="S64" s="50">
        <v>18.0</v>
      </c>
      <c r="T64" s="50">
        <v>19.0</v>
      </c>
      <c r="U64" s="50">
        <v>20.0</v>
      </c>
      <c r="V64" s="50">
        <v>21.0</v>
      </c>
      <c r="W64" s="50">
        <v>22.0</v>
      </c>
      <c r="X64" s="50">
        <v>23.0</v>
      </c>
      <c r="Y64" s="50">
        <v>24.0</v>
      </c>
      <c r="Z64" s="50">
        <v>25.0</v>
      </c>
      <c r="AA64" s="50">
        <v>26.0</v>
      </c>
      <c r="AB64" s="50">
        <v>27.0</v>
      </c>
      <c r="AC64" s="50">
        <v>28.0</v>
      </c>
      <c r="AD64" s="50">
        <v>29.0</v>
      </c>
      <c r="AE64" s="50">
        <v>30.0</v>
      </c>
      <c r="AF64" s="50">
        <v>31.0</v>
      </c>
      <c r="AG64" s="50">
        <v>32.0</v>
      </c>
      <c r="AH64" s="40">
        <v>33.0</v>
      </c>
      <c r="AI64" s="40">
        <v>34.0</v>
      </c>
      <c r="AJ64" s="40">
        <v>35.0</v>
      </c>
      <c r="AK64" s="40">
        <v>36.0</v>
      </c>
      <c r="AL64" s="40">
        <v>37.0</v>
      </c>
      <c r="AM64" s="40">
        <v>38.0</v>
      </c>
      <c r="AN64" s="40">
        <v>39.0</v>
      </c>
      <c r="AO64" s="40">
        <v>40.0</v>
      </c>
      <c r="AP64" s="40">
        <v>41.0</v>
      </c>
      <c r="AQ64" s="40">
        <v>42.0</v>
      </c>
      <c r="AR64" s="40">
        <v>43.0</v>
      </c>
      <c r="AS64" s="40">
        <v>44.0</v>
      </c>
      <c r="AT64" s="40">
        <v>45.0</v>
      </c>
      <c r="AU64" s="40">
        <v>46.0</v>
      </c>
      <c r="AV64" s="40">
        <v>47.0</v>
      </c>
      <c r="AW64" s="40">
        <v>48.0</v>
      </c>
      <c r="AX64" s="40">
        <v>49.0</v>
      </c>
      <c r="AY64" s="40">
        <v>50.0</v>
      </c>
      <c r="AZ64" s="40">
        <v>51.0</v>
      </c>
      <c r="BA64" s="40">
        <v>52.0</v>
      </c>
      <c r="BB64" s="40">
        <v>53.0</v>
      </c>
      <c r="BC64" s="40">
        <v>54.0</v>
      </c>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row>
    <row r="65" ht="15.75" customHeight="1">
      <c r="A65" s="42" t="s">
        <v>196</v>
      </c>
      <c r="B65" s="43" t="str">
        <f t="shared" ref="B65:BC65" si="16">B57</f>
        <v>|</v>
      </c>
      <c r="C65" s="43" t="str">
        <f t="shared" si="16"/>
        <v>0</v>
      </c>
      <c r="D65" s="43" t="str">
        <f t="shared" si="16"/>
        <v>9</v>
      </c>
      <c r="E65" s="43" t="str">
        <f t="shared" si="16"/>
        <v>9</v>
      </c>
      <c r="F65" s="43" t="str">
        <f t="shared" si="16"/>
        <v>4</v>
      </c>
      <c r="G65" s="43" t="str">
        <f t="shared" si="16"/>
        <v>0</v>
      </c>
      <c r="H65" s="43" t="str">
        <f t="shared" si="16"/>
        <v>0</v>
      </c>
      <c r="I65" s="43" t="str">
        <f t="shared" si="16"/>
        <v>0</v>
      </c>
      <c r="J65" s="43" t="str">
        <f t="shared" si="16"/>
        <v>1</v>
      </c>
      <c r="K65" s="43" t="str">
        <f t="shared" si="16"/>
        <v>5</v>
      </c>
      <c r="L65" s="43" t="str">
        <f t="shared" si="16"/>
        <v>9</v>
      </c>
      <c r="M65" s="43" t="str">
        <f t="shared" si="16"/>
        <v>0</v>
      </c>
      <c r="N65" s="43" t="str">
        <f t="shared" si="16"/>
        <v>5</v>
      </c>
      <c r="O65" s="43" t="str">
        <f t="shared" si="16"/>
        <v>6</v>
      </c>
      <c r="P65" s="43" t="str">
        <f t="shared" si="16"/>
        <v>0</v>
      </c>
      <c r="Q65" s="43" t="str">
        <f t="shared" si="16"/>
        <v>0</v>
      </c>
      <c r="R65" s="51" t="str">
        <f t="shared" si="16"/>
        <v>0</v>
      </c>
      <c r="S65" s="51" t="str">
        <f t="shared" si="16"/>
        <v>1</v>
      </c>
      <c r="T65" s="51" t="str">
        <f t="shared" si="16"/>
        <v>0</v>
      </c>
      <c r="U65" s="51" t="str">
        <f t="shared" si="16"/>
        <v>0</v>
      </c>
      <c r="V65" s="51" t="str">
        <f t="shared" si="16"/>
        <v>5</v>
      </c>
      <c r="W65" s="51" t="str">
        <f t="shared" si="16"/>
        <v>4</v>
      </c>
      <c r="X65" s="51" t="str">
        <f t="shared" si="16"/>
        <v>2</v>
      </c>
      <c r="Y65" s="51" t="str">
        <f t="shared" si="16"/>
        <v>7</v>
      </c>
      <c r="Z65" s="51" t="str">
        <f t="shared" si="16"/>
        <v>7</v>
      </c>
      <c r="AA65" s="51" t="str">
        <f t="shared" si="16"/>
        <v>9</v>
      </c>
      <c r="AB65" s="51" t="str">
        <f t="shared" si="16"/>
        <v>6</v>
      </c>
      <c r="AC65" s="51" t="str">
        <f t="shared" si="16"/>
        <v>6</v>
      </c>
      <c r="AD65" s="51" t="str">
        <f t="shared" si="16"/>
        <v>0</v>
      </c>
      <c r="AE65" s="51" t="str">
        <f t="shared" si="16"/>
        <v>9</v>
      </c>
      <c r="AF65" s="51" t="str">
        <f t="shared" si="16"/>
        <v>1</v>
      </c>
      <c r="AG65" s="51" t="str">
        <f t="shared" si="16"/>
        <v>0</v>
      </c>
      <c r="AH65" s="43" t="str">
        <f t="shared" si="16"/>
        <v>4</v>
      </c>
      <c r="AI65" s="43" t="str">
        <f t="shared" si="16"/>
        <v>9</v>
      </c>
      <c r="AJ65" s="43" t="str">
        <f t="shared" si="16"/>
        <v>0</v>
      </c>
      <c r="AK65" s="43" t="str">
        <f t="shared" si="16"/>
        <v>9</v>
      </c>
      <c r="AL65" s="43" t="str">
        <f t="shared" si="16"/>
        <v>7</v>
      </c>
      <c r="AM65" s="43" t="str">
        <f t="shared" si="16"/>
        <v>0</v>
      </c>
      <c r="AN65" s="43" t="str">
        <f t="shared" si="16"/>
        <v>0</v>
      </c>
      <c r="AO65" s="43" t="str">
        <f t="shared" si="16"/>
        <v>0</v>
      </c>
      <c r="AP65" s="43" t="str">
        <f t="shared" si="16"/>
        <v>0</v>
      </c>
      <c r="AQ65" s="43" t="str">
        <f t="shared" si="16"/>
        <v>0</v>
      </c>
      <c r="AR65" s="43" t="str">
        <f t="shared" si="16"/>
        <v>5</v>
      </c>
      <c r="AS65" s="43" t="str">
        <f t="shared" si="16"/>
        <v>0</v>
      </c>
      <c r="AT65" s="43" t="str">
        <f t="shared" si="16"/>
        <v>6</v>
      </c>
      <c r="AU65" s="43" t="str">
        <f t="shared" si="16"/>
        <v>6</v>
      </c>
      <c r="AV65" s="43" t="str">
        <f t="shared" si="16"/>
        <v>7</v>
      </c>
      <c r="AW65" s="43" t="str">
        <f t="shared" si="16"/>
        <v>6</v>
      </c>
      <c r="AX65" s="43" t="str">
        <f t="shared" si="16"/>
        <v>0</v>
      </c>
      <c r="AY65" s="43" t="str">
        <f t="shared" si="16"/>
        <v>6</v>
      </c>
      <c r="AZ65" s="43" t="str">
        <f t="shared" si="16"/>
        <v>0</v>
      </c>
      <c r="BA65" s="43" t="str">
        <f t="shared" si="16"/>
        <v>0</v>
      </c>
      <c r="BB65" s="43" t="str">
        <f t="shared" si="16"/>
        <v>0</v>
      </c>
      <c r="BC65" s="43" t="str">
        <f t="shared" si="16"/>
        <v/>
      </c>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row>
    <row r="66" ht="15.75" customHeight="1">
      <c r="A66" s="52" t="s">
        <v>200</v>
      </c>
      <c r="B66" s="43"/>
      <c r="C66" s="46"/>
      <c r="D66" s="43"/>
      <c r="E66" s="43"/>
      <c r="F66" s="43"/>
      <c r="G66" s="43"/>
      <c r="H66" s="43"/>
      <c r="I66" s="43"/>
      <c r="J66" s="43"/>
      <c r="K66" s="43"/>
      <c r="L66" s="43"/>
      <c r="M66" s="43"/>
      <c r="N66" s="43"/>
      <c r="O66" s="43"/>
      <c r="P66" s="43"/>
      <c r="Q66" s="43"/>
      <c r="R66" s="43">
        <v>3.0</v>
      </c>
      <c r="S66" s="43">
        <v>9.0</v>
      </c>
      <c r="T66" s="43">
        <v>3.0</v>
      </c>
      <c r="U66" s="43">
        <v>9.0</v>
      </c>
      <c r="V66" s="43">
        <v>3.0</v>
      </c>
      <c r="W66" s="43">
        <v>9.0</v>
      </c>
      <c r="X66" s="43">
        <v>3.0</v>
      </c>
      <c r="Y66" s="43">
        <v>9.0</v>
      </c>
      <c r="Z66" s="43">
        <v>3.0</v>
      </c>
      <c r="AA66" s="43">
        <v>9.0</v>
      </c>
      <c r="AB66" s="43">
        <v>3.0</v>
      </c>
      <c r="AC66" s="43">
        <v>9.0</v>
      </c>
      <c r="AD66" s="43">
        <v>3.0</v>
      </c>
      <c r="AE66" s="43">
        <v>9.0</v>
      </c>
      <c r="AF66" s="43">
        <v>3.0</v>
      </c>
      <c r="AG66" s="43">
        <v>9.0</v>
      </c>
      <c r="AH66" s="43"/>
      <c r="AI66" s="43"/>
      <c r="AJ66" s="43"/>
      <c r="AK66" s="43"/>
      <c r="AL66" s="43"/>
      <c r="AM66" s="43"/>
      <c r="AN66" s="43"/>
      <c r="AO66" s="43"/>
      <c r="AP66" s="43"/>
      <c r="AQ66" s="43"/>
      <c r="AR66" s="43"/>
      <c r="AS66" s="43"/>
      <c r="AT66" s="43"/>
      <c r="AU66" s="43"/>
      <c r="AV66" s="43"/>
      <c r="AW66" s="43"/>
      <c r="AX66" s="43"/>
      <c r="AY66" s="43"/>
      <c r="AZ66" s="43"/>
      <c r="BA66" s="43"/>
      <c r="BB66" s="43"/>
      <c r="BC66" s="43"/>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row>
    <row r="67" ht="15.75" customHeight="1">
      <c r="A67" s="52" t="s">
        <v>201</v>
      </c>
      <c r="B67" s="43"/>
      <c r="C67" s="43"/>
      <c r="D67" s="43"/>
      <c r="E67" s="43"/>
      <c r="F67" s="43"/>
      <c r="G67" s="43"/>
      <c r="H67" s="43"/>
      <c r="I67" s="43"/>
      <c r="J67" s="43"/>
      <c r="K67" s="43"/>
      <c r="L67" s="43"/>
      <c r="M67" s="43"/>
      <c r="N67" s="43"/>
      <c r="O67" s="43"/>
      <c r="P67" s="43"/>
      <c r="Q67" s="43"/>
      <c r="R67" s="43">
        <f t="shared" ref="R67:AG67" si="17">R65*R66</f>
        <v>0</v>
      </c>
      <c r="S67" s="43">
        <f t="shared" si="17"/>
        <v>9</v>
      </c>
      <c r="T67" s="43">
        <f t="shared" si="17"/>
        <v>0</v>
      </c>
      <c r="U67" s="43">
        <f t="shared" si="17"/>
        <v>0</v>
      </c>
      <c r="V67" s="43">
        <f t="shared" si="17"/>
        <v>15</v>
      </c>
      <c r="W67" s="43">
        <f t="shared" si="17"/>
        <v>36</v>
      </c>
      <c r="X67" s="43">
        <f t="shared" si="17"/>
        <v>6</v>
      </c>
      <c r="Y67" s="43">
        <f t="shared" si="17"/>
        <v>63</v>
      </c>
      <c r="Z67" s="43">
        <f t="shared" si="17"/>
        <v>21</v>
      </c>
      <c r="AA67" s="43">
        <f t="shared" si="17"/>
        <v>81</v>
      </c>
      <c r="AB67" s="43">
        <f t="shared" si="17"/>
        <v>18</v>
      </c>
      <c r="AC67" s="43">
        <f t="shared" si="17"/>
        <v>54</v>
      </c>
      <c r="AD67" s="43">
        <f t="shared" si="17"/>
        <v>0</v>
      </c>
      <c r="AE67" s="43">
        <f t="shared" si="17"/>
        <v>81</v>
      </c>
      <c r="AF67" s="43">
        <f t="shared" si="17"/>
        <v>3</v>
      </c>
      <c r="AG67" s="43">
        <f t="shared" si="17"/>
        <v>0</v>
      </c>
      <c r="AH67" s="43"/>
      <c r="AI67" s="43"/>
      <c r="AJ67" s="43"/>
      <c r="AK67" s="43"/>
      <c r="AL67" s="43"/>
      <c r="AM67" s="43"/>
      <c r="AN67" s="43"/>
      <c r="AO67" s="43"/>
      <c r="AP67" s="43"/>
      <c r="AQ67" s="43"/>
      <c r="AR67" s="43"/>
      <c r="AS67" s="43"/>
      <c r="AT67" s="43"/>
      <c r="AU67" s="43"/>
      <c r="AV67" s="43"/>
      <c r="AW67" s="43"/>
      <c r="AX67" s="43"/>
      <c r="AY67" s="43"/>
      <c r="AZ67" s="43"/>
      <c r="BA67" s="43"/>
      <c r="BB67" s="43"/>
      <c r="BC67" s="43"/>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row>
    <row r="68" ht="15.75" customHeight="1">
      <c r="A68" s="31"/>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row>
    <row r="69" ht="15.75" customHeight="1">
      <c r="A69" s="47" t="s">
        <v>202</v>
      </c>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row>
    <row r="70" ht="15.75" customHeight="1">
      <c r="A70" s="39" t="s">
        <v>195</v>
      </c>
      <c r="B70" s="40">
        <v>1.0</v>
      </c>
      <c r="C70" s="40">
        <v>2.0</v>
      </c>
      <c r="D70" s="40">
        <v>3.0</v>
      </c>
      <c r="E70" s="40">
        <v>4.0</v>
      </c>
      <c r="F70" s="40">
        <v>5.0</v>
      </c>
      <c r="G70" s="40">
        <v>6.0</v>
      </c>
      <c r="H70" s="40">
        <v>7.0</v>
      </c>
      <c r="I70" s="40">
        <v>8.0</v>
      </c>
      <c r="J70" s="40">
        <v>9.0</v>
      </c>
      <c r="K70" s="40">
        <v>10.0</v>
      </c>
      <c r="L70" s="40">
        <v>11.0</v>
      </c>
      <c r="M70" s="40">
        <v>12.0</v>
      </c>
      <c r="N70" s="40">
        <v>13.0</v>
      </c>
      <c r="O70" s="40">
        <v>14.0</v>
      </c>
      <c r="P70" s="40">
        <v>15.0</v>
      </c>
      <c r="Q70" s="40">
        <v>16.0</v>
      </c>
      <c r="R70" s="40">
        <v>17.0</v>
      </c>
      <c r="S70" s="40">
        <v>18.0</v>
      </c>
      <c r="T70" s="40">
        <v>19.0</v>
      </c>
      <c r="U70" s="40">
        <v>20.0</v>
      </c>
      <c r="V70" s="40">
        <v>21.0</v>
      </c>
      <c r="W70" s="40">
        <v>22.0</v>
      </c>
      <c r="X70" s="40">
        <v>23.0</v>
      </c>
      <c r="Y70" s="40">
        <v>24.0</v>
      </c>
      <c r="Z70" s="40">
        <v>25.0</v>
      </c>
      <c r="AA70" s="40">
        <v>26.0</v>
      </c>
      <c r="AB70" s="40">
        <v>27.0</v>
      </c>
      <c r="AC70" s="40">
        <v>28.0</v>
      </c>
      <c r="AD70" s="40">
        <v>29.0</v>
      </c>
      <c r="AE70" s="40">
        <v>30.0</v>
      </c>
      <c r="AF70" s="40">
        <v>31.0</v>
      </c>
      <c r="AG70" s="40">
        <v>32.0</v>
      </c>
      <c r="AH70" s="50">
        <v>33.0</v>
      </c>
      <c r="AI70" s="50">
        <v>34.0</v>
      </c>
      <c r="AJ70" s="50">
        <v>35.0</v>
      </c>
      <c r="AK70" s="50">
        <v>36.0</v>
      </c>
      <c r="AL70" s="50">
        <v>37.0</v>
      </c>
      <c r="AM70" s="50">
        <v>38.0</v>
      </c>
      <c r="AN70" s="50">
        <v>39.0</v>
      </c>
      <c r="AO70" s="50">
        <v>40.0</v>
      </c>
      <c r="AP70" s="50">
        <v>41.0</v>
      </c>
      <c r="AQ70" s="50">
        <v>42.0</v>
      </c>
      <c r="AR70" s="50">
        <v>43.0</v>
      </c>
      <c r="AS70" s="50">
        <v>44.0</v>
      </c>
      <c r="AT70" s="50">
        <v>45.0</v>
      </c>
      <c r="AU70" s="40">
        <v>46.0</v>
      </c>
      <c r="AV70" s="40">
        <v>47.0</v>
      </c>
      <c r="AW70" s="40">
        <v>48.0</v>
      </c>
      <c r="AX70" s="40">
        <v>49.0</v>
      </c>
      <c r="AY70" s="40">
        <v>50.0</v>
      </c>
      <c r="AZ70" s="40">
        <v>51.0</v>
      </c>
      <c r="BA70" s="40">
        <v>52.0</v>
      </c>
      <c r="BB70" s="40">
        <v>53.0</v>
      </c>
      <c r="BC70" s="40">
        <v>54.0</v>
      </c>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row>
    <row r="71" ht="15.75" customHeight="1">
      <c r="A71" s="42" t="s">
        <v>196</v>
      </c>
      <c r="B71" s="43" t="str">
        <f t="shared" ref="B71:BC71" si="18">B57</f>
        <v>|</v>
      </c>
      <c r="C71" s="43" t="str">
        <f t="shared" si="18"/>
        <v>0</v>
      </c>
      <c r="D71" s="43" t="str">
        <f t="shared" si="18"/>
        <v>9</v>
      </c>
      <c r="E71" s="43" t="str">
        <f t="shared" si="18"/>
        <v>9</v>
      </c>
      <c r="F71" s="43" t="str">
        <f t="shared" si="18"/>
        <v>4</v>
      </c>
      <c r="G71" s="43" t="str">
        <f t="shared" si="18"/>
        <v>0</v>
      </c>
      <c r="H71" s="43" t="str">
        <f t="shared" si="18"/>
        <v>0</v>
      </c>
      <c r="I71" s="43" t="str">
        <f t="shared" si="18"/>
        <v>0</v>
      </c>
      <c r="J71" s="43" t="str">
        <f t="shared" si="18"/>
        <v>1</v>
      </c>
      <c r="K71" s="43" t="str">
        <f t="shared" si="18"/>
        <v>5</v>
      </c>
      <c r="L71" s="43" t="str">
        <f t="shared" si="18"/>
        <v>9</v>
      </c>
      <c r="M71" s="43" t="str">
        <f t="shared" si="18"/>
        <v>0</v>
      </c>
      <c r="N71" s="43" t="str">
        <f t="shared" si="18"/>
        <v>5</v>
      </c>
      <c r="O71" s="43" t="str">
        <f t="shared" si="18"/>
        <v>6</v>
      </c>
      <c r="P71" s="43" t="str">
        <f t="shared" si="18"/>
        <v>0</v>
      </c>
      <c r="Q71" s="43" t="str">
        <f t="shared" si="18"/>
        <v>0</v>
      </c>
      <c r="R71" s="43" t="str">
        <f t="shared" si="18"/>
        <v>0</v>
      </c>
      <c r="S71" s="43" t="str">
        <f t="shared" si="18"/>
        <v>1</v>
      </c>
      <c r="T71" s="43" t="str">
        <f t="shared" si="18"/>
        <v>0</v>
      </c>
      <c r="U71" s="43" t="str">
        <f t="shared" si="18"/>
        <v>0</v>
      </c>
      <c r="V71" s="43" t="str">
        <f t="shared" si="18"/>
        <v>5</v>
      </c>
      <c r="W71" s="43" t="str">
        <f t="shared" si="18"/>
        <v>4</v>
      </c>
      <c r="X71" s="43" t="str">
        <f t="shared" si="18"/>
        <v>2</v>
      </c>
      <c r="Y71" s="43" t="str">
        <f t="shared" si="18"/>
        <v>7</v>
      </c>
      <c r="Z71" s="43" t="str">
        <f t="shared" si="18"/>
        <v>7</v>
      </c>
      <c r="AA71" s="43" t="str">
        <f t="shared" si="18"/>
        <v>9</v>
      </c>
      <c r="AB71" s="43" t="str">
        <f t="shared" si="18"/>
        <v>6</v>
      </c>
      <c r="AC71" s="43" t="str">
        <f t="shared" si="18"/>
        <v>6</v>
      </c>
      <c r="AD71" s="43" t="str">
        <f t="shared" si="18"/>
        <v>0</v>
      </c>
      <c r="AE71" s="43" t="str">
        <f t="shared" si="18"/>
        <v>9</v>
      </c>
      <c r="AF71" s="43" t="str">
        <f t="shared" si="18"/>
        <v>1</v>
      </c>
      <c r="AG71" s="43" t="str">
        <f t="shared" si="18"/>
        <v>0</v>
      </c>
      <c r="AH71" s="51" t="str">
        <f t="shared" si="18"/>
        <v>4</v>
      </c>
      <c r="AI71" s="51" t="str">
        <f t="shared" si="18"/>
        <v>9</v>
      </c>
      <c r="AJ71" s="51" t="str">
        <f t="shared" si="18"/>
        <v>0</v>
      </c>
      <c r="AK71" s="51" t="str">
        <f t="shared" si="18"/>
        <v>9</v>
      </c>
      <c r="AL71" s="51" t="str">
        <f t="shared" si="18"/>
        <v>7</v>
      </c>
      <c r="AM71" s="51" t="str">
        <f t="shared" si="18"/>
        <v>0</v>
      </c>
      <c r="AN71" s="51" t="str">
        <f t="shared" si="18"/>
        <v>0</v>
      </c>
      <c r="AO71" s="51" t="str">
        <f t="shared" si="18"/>
        <v>0</v>
      </c>
      <c r="AP71" s="51" t="str">
        <f t="shared" si="18"/>
        <v>0</v>
      </c>
      <c r="AQ71" s="51" t="str">
        <f t="shared" si="18"/>
        <v>0</v>
      </c>
      <c r="AR71" s="51" t="str">
        <f t="shared" si="18"/>
        <v>5</v>
      </c>
      <c r="AS71" s="51" t="str">
        <f t="shared" si="18"/>
        <v>0</v>
      </c>
      <c r="AT71" s="51" t="str">
        <f t="shared" si="18"/>
        <v>6</v>
      </c>
      <c r="AU71" s="43" t="str">
        <f t="shared" si="18"/>
        <v>6</v>
      </c>
      <c r="AV71" s="43" t="str">
        <f t="shared" si="18"/>
        <v>7</v>
      </c>
      <c r="AW71" s="43" t="str">
        <f t="shared" si="18"/>
        <v>6</v>
      </c>
      <c r="AX71" s="43" t="str">
        <f t="shared" si="18"/>
        <v>0</v>
      </c>
      <c r="AY71" s="43" t="str">
        <f t="shared" si="18"/>
        <v>6</v>
      </c>
      <c r="AZ71" s="43" t="str">
        <f t="shared" si="18"/>
        <v>0</v>
      </c>
      <c r="BA71" s="43" t="str">
        <f t="shared" si="18"/>
        <v>0</v>
      </c>
      <c r="BB71" s="43" t="str">
        <f t="shared" si="18"/>
        <v>0</v>
      </c>
      <c r="BC71" s="43" t="str">
        <f t="shared" si="18"/>
        <v/>
      </c>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row>
    <row r="72" ht="15.75" customHeight="1">
      <c r="A72" s="52" t="s">
        <v>200</v>
      </c>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v>7.0</v>
      </c>
      <c r="AI72" s="43">
        <v>5.0</v>
      </c>
      <c r="AJ72" s="43">
        <v>7.0</v>
      </c>
      <c r="AK72" s="43">
        <v>5.0</v>
      </c>
      <c r="AL72" s="43">
        <v>7.0</v>
      </c>
      <c r="AM72" s="43">
        <v>5.0</v>
      </c>
      <c r="AN72" s="43">
        <v>7.0</v>
      </c>
      <c r="AO72" s="43">
        <v>5.0</v>
      </c>
      <c r="AP72" s="43">
        <v>7.0</v>
      </c>
      <c r="AQ72" s="43">
        <v>5.0</v>
      </c>
      <c r="AR72" s="43">
        <v>7.0</v>
      </c>
      <c r="AS72" s="43">
        <v>5.0</v>
      </c>
      <c r="AT72" s="43">
        <v>7.0</v>
      </c>
      <c r="AU72" s="43"/>
      <c r="AV72" s="43"/>
      <c r="AW72" s="43"/>
      <c r="AX72" s="43"/>
      <c r="AY72" s="43"/>
      <c r="AZ72" s="43"/>
      <c r="BA72" s="43"/>
      <c r="BB72" s="43"/>
      <c r="BC72" s="43"/>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row>
    <row r="73" ht="15.75" customHeight="1">
      <c r="A73" s="52" t="s">
        <v>201</v>
      </c>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c r="AG73" s="43"/>
      <c r="AH73" s="43">
        <f t="shared" ref="AH73:AT73" si="19">AH71*AH72</f>
        <v>28</v>
      </c>
      <c r="AI73" s="43">
        <f t="shared" si="19"/>
        <v>45</v>
      </c>
      <c r="AJ73" s="43">
        <f t="shared" si="19"/>
        <v>0</v>
      </c>
      <c r="AK73" s="43">
        <f t="shared" si="19"/>
        <v>45</v>
      </c>
      <c r="AL73" s="43">
        <f t="shared" si="19"/>
        <v>49</v>
      </c>
      <c r="AM73" s="43">
        <f t="shared" si="19"/>
        <v>0</v>
      </c>
      <c r="AN73" s="43">
        <f t="shared" si="19"/>
        <v>0</v>
      </c>
      <c r="AO73" s="43">
        <f t="shared" si="19"/>
        <v>0</v>
      </c>
      <c r="AP73" s="43">
        <f t="shared" si="19"/>
        <v>0</v>
      </c>
      <c r="AQ73" s="43">
        <f t="shared" si="19"/>
        <v>0</v>
      </c>
      <c r="AR73" s="43">
        <f t="shared" si="19"/>
        <v>35</v>
      </c>
      <c r="AS73" s="43">
        <f t="shared" si="19"/>
        <v>0</v>
      </c>
      <c r="AT73" s="43">
        <f t="shared" si="19"/>
        <v>42</v>
      </c>
      <c r="AU73" s="43"/>
      <c r="AV73" s="43"/>
      <c r="AW73" s="43"/>
      <c r="AX73" s="43"/>
      <c r="AY73" s="43"/>
      <c r="AZ73" s="43"/>
      <c r="BA73" s="43"/>
      <c r="BB73" s="43"/>
      <c r="BC73" s="43"/>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row>
    <row r="74" ht="15.75" customHeight="1">
      <c r="A74" s="31"/>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row>
    <row r="75" ht="15.75" customHeight="1">
      <c r="A75" s="47" t="s">
        <v>220</v>
      </c>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row>
    <row r="76" ht="15.75" customHeight="1">
      <c r="A76" s="39" t="s">
        <v>195</v>
      </c>
      <c r="B76" s="40">
        <v>1.0</v>
      </c>
      <c r="C76" s="40">
        <v>2.0</v>
      </c>
      <c r="D76" s="40">
        <v>3.0</v>
      </c>
      <c r="E76" s="40">
        <v>4.0</v>
      </c>
      <c r="F76" s="40">
        <v>5.0</v>
      </c>
      <c r="G76" s="40">
        <v>6.0</v>
      </c>
      <c r="H76" s="40">
        <v>7.0</v>
      </c>
      <c r="I76" s="40">
        <v>8.0</v>
      </c>
      <c r="J76" s="40">
        <v>9.0</v>
      </c>
      <c r="K76" s="40">
        <v>10.0</v>
      </c>
      <c r="L76" s="40">
        <v>11.0</v>
      </c>
      <c r="M76" s="40">
        <v>12.0</v>
      </c>
      <c r="N76" s="40">
        <v>13.0</v>
      </c>
      <c r="O76" s="40">
        <v>14.0</v>
      </c>
      <c r="P76" s="40">
        <v>15.0</v>
      </c>
      <c r="Q76" s="40">
        <v>16.0</v>
      </c>
      <c r="R76" s="40">
        <v>17.0</v>
      </c>
      <c r="S76" s="40">
        <v>18.0</v>
      </c>
      <c r="T76" s="40">
        <v>19.0</v>
      </c>
      <c r="U76" s="40">
        <v>20.0</v>
      </c>
      <c r="V76" s="40">
        <v>21.0</v>
      </c>
      <c r="W76" s="40">
        <v>22.0</v>
      </c>
      <c r="X76" s="40">
        <v>23.0</v>
      </c>
      <c r="Y76" s="40">
        <v>24.0</v>
      </c>
      <c r="Z76" s="40">
        <v>25.0</v>
      </c>
      <c r="AA76" s="40">
        <v>26.0</v>
      </c>
      <c r="AB76" s="40">
        <v>27.0</v>
      </c>
      <c r="AC76" s="40">
        <v>28.0</v>
      </c>
      <c r="AD76" s="40">
        <v>29.0</v>
      </c>
      <c r="AE76" s="40">
        <v>30.0</v>
      </c>
      <c r="AF76" s="40">
        <v>31.0</v>
      </c>
      <c r="AG76" s="40">
        <v>32.0</v>
      </c>
      <c r="AH76" s="40">
        <v>33.0</v>
      </c>
      <c r="AI76" s="40">
        <v>34.0</v>
      </c>
      <c r="AJ76" s="40">
        <v>35.0</v>
      </c>
      <c r="AK76" s="40">
        <v>36.0</v>
      </c>
      <c r="AL76" s="40">
        <v>37.0</v>
      </c>
      <c r="AM76" s="40">
        <v>38.0</v>
      </c>
      <c r="AN76" s="40">
        <v>39.0</v>
      </c>
      <c r="AO76" s="40">
        <v>40.0</v>
      </c>
      <c r="AP76" s="40">
        <v>41.0</v>
      </c>
      <c r="AQ76" s="40">
        <v>42.0</v>
      </c>
      <c r="AR76" s="40">
        <v>43.0</v>
      </c>
      <c r="AS76" s="40">
        <v>44.0</v>
      </c>
      <c r="AT76" s="40">
        <v>45.0</v>
      </c>
      <c r="AU76" s="40">
        <v>46.0</v>
      </c>
      <c r="AV76" s="40">
        <v>47.0</v>
      </c>
      <c r="AW76" s="40">
        <v>48.0</v>
      </c>
      <c r="AX76" s="40">
        <v>49.0</v>
      </c>
      <c r="AY76" s="40">
        <v>50.0</v>
      </c>
      <c r="AZ76" s="40">
        <v>51.0</v>
      </c>
      <c r="BA76" s="40">
        <v>52.0</v>
      </c>
      <c r="BB76" s="40">
        <v>53.0</v>
      </c>
      <c r="BC76" s="40">
        <v>54.0</v>
      </c>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row>
    <row r="77" ht="15.75" customHeight="1">
      <c r="A77" s="42" t="s">
        <v>196</v>
      </c>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55" t="str">
        <f t="shared" ref="AW77:BC77" si="20">AW65</f>
        <v>6</v>
      </c>
      <c r="AX77" s="55" t="str">
        <f t="shared" si="20"/>
        <v>0</v>
      </c>
      <c r="AY77" s="55" t="str">
        <f t="shared" si="20"/>
        <v>6</v>
      </c>
      <c r="AZ77" s="55" t="str">
        <f t="shared" si="20"/>
        <v>0</v>
      </c>
      <c r="BA77" s="55" t="str">
        <f t="shared" si="20"/>
        <v>0</v>
      </c>
      <c r="BB77" s="55" t="str">
        <f t="shared" si="20"/>
        <v>0</v>
      </c>
      <c r="BC77" s="55" t="str">
        <f t="shared" si="20"/>
        <v/>
      </c>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row>
    <row r="78" ht="15.75" customHeight="1">
      <c r="A78" s="52" t="s">
        <v>200</v>
      </c>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f>IF(MOD(Q53,2)=0,5,3)</f>
        <v>3</v>
      </c>
      <c r="AX78" s="43">
        <f t="shared" ref="AX78:BC78" si="21">IF(AW78=5,3,5)</f>
        <v>5</v>
      </c>
      <c r="AY78" s="43">
        <f t="shared" si="21"/>
        <v>3</v>
      </c>
      <c r="AZ78" s="43">
        <f t="shared" si="21"/>
        <v>5</v>
      </c>
      <c r="BA78" s="43">
        <f t="shared" si="21"/>
        <v>3</v>
      </c>
      <c r="BB78" s="43">
        <f t="shared" si="21"/>
        <v>5</v>
      </c>
      <c r="BC78" s="43">
        <f t="shared" si="21"/>
        <v>3</v>
      </c>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row>
    <row r="79" ht="15.75" customHeight="1">
      <c r="A79" s="52" t="s">
        <v>201</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f t="shared" ref="AW79:BC79" si="22">AW77*AW78</f>
        <v>18</v>
      </c>
      <c r="AX79" s="43">
        <f t="shared" si="22"/>
        <v>0</v>
      </c>
      <c r="AY79" s="43">
        <f t="shared" si="22"/>
        <v>18</v>
      </c>
      <c r="AZ79" s="43">
        <f t="shared" si="22"/>
        <v>0</v>
      </c>
      <c r="BA79" s="43">
        <f t="shared" si="22"/>
        <v>0</v>
      </c>
      <c r="BB79" s="43">
        <f t="shared" si="22"/>
        <v>0</v>
      </c>
      <c r="BC79" s="43">
        <f t="shared" si="22"/>
        <v>0</v>
      </c>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row>
    <row r="80" ht="15.75" customHeight="1">
      <c r="A80" s="52" t="s">
        <v>203</v>
      </c>
      <c r="B80" s="52">
        <f>SUM(B67:BC67)+SUM(B73:BC73)+SUM(B79:BC79)</f>
        <v>667</v>
      </c>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59" t="s">
        <v>221</v>
      </c>
      <c r="AV80" s="31"/>
      <c r="AW80" s="59"/>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row>
    <row r="81" ht="15.75" customHeight="1">
      <c r="A81" s="52" t="s">
        <v>204</v>
      </c>
      <c r="B81" s="53">
        <f>MOD(B80,100)</f>
        <v>67</v>
      </c>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0" t="s">
        <v>222</v>
      </c>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row>
    <row r="84" ht="5.2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row>
    <row r="85" ht="15.75" customHeight="1">
      <c r="A85" s="45" t="s">
        <v>223</v>
      </c>
      <c r="B85" s="31"/>
      <c r="C85" s="31"/>
      <c r="D85" s="31"/>
      <c r="E85" s="31"/>
      <c r="F85" s="31"/>
      <c r="G85" s="31"/>
      <c r="H85" s="31"/>
      <c r="I85" s="31"/>
      <c r="J85" s="32" t="s">
        <v>190</v>
      </c>
      <c r="K85" s="33">
        <f>LEN(A85)</f>
        <v>37</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45" t="s">
        <v>224</v>
      </c>
      <c r="AT85" s="31"/>
      <c r="AU85" s="31"/>
      <c r="AV85" s="31"/>
      <c r="AW85" s="31"/>
      <c r="AX85" s="31"/>
      <c r="AY85" s="31"/>
      <c r="AZ85" s="31"/>
      <c r="BA85" s="31"/>
      <c r="BB85" s="31"/>
      <c r="BC85" s="31"/>
      <c r="BD85" s="31"/>
      <c r="BE85" s="31"/>
      <c r="BF85" s="32" t="s">
        <v>190</v>
      </c>
      <c r="BG85" s="33">
        <f>LEN(AS85)</f>
        <v>38</v>
      </c>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row>
    <row r="86" ht="15.75" customHeight="1">
      <c r="A86" s="34" t="s">
        <v>191</v>
      </c>
      <c r="B86" s="35" t="s">
        <v>120</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6" t="s">
        <v>225</v>
      </c>
      <c r="AP86" s="31"/>
      <c r="AQ86" s="31"/>
      <c r="AR86" s="31"/>
      <c r="AS86" s="34" t="s">
        <v>191</v>
      </c>
      <c r="AT86" s="35" t="s">
        <v>120</v>
      </c>
      <c r="AU86" s="35"/>
      <c r="AV86" s="35"/>
      <c r="AW86" s="35"/>
      <c r="AX86" s="35"/>
      <c r="AY86" s="35"/>
      <c r="AZ86" s="35"/>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6" t="s">
        <v>225</v>
      </c>
    </row>
    <row r="87" ht="15.75" customHeight="1">
      <c r="A87" s="37" t="s">
        <v>193</v>
      </c>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7" t="s">
        <v>194</v>
      </c>
      <c r="AK87" s="38"/>
      <c r="AL87" s="38"/>
      <c r="AM87" s="38"/>
      <c r="AN87" s="38"/>
      <c r="AO87" s="38"/>
      <c r="AP87" s="31"/>
      <c r="AQ87" s="31"/>
      <c r="AR87" s="31"/>
      <c r="AS87" s="37" t="s">
        <v>193</v>
      </c>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7" t="s">
        <v>194</v>
      </c>
      <c r="CC87" s="38"/>
      <c r="CD87" s="38"/>
      <c r="CE87" s="38"/>
      <c r="CF87" s="38"/>
      <c r="CG87" s="38"/>
    </row>
    <row r="88" ht="15.75" customHeight="1">
      <c r="A88" s="39" t="s">
        <v>195</v>
      </c>
      <c r="B88" s="40">
        <v>1.0</v>
      </c>
      <c r="C88" s="40">
        <v>2.0</v>
      </c>
      <c r="D88" s="40">
        <v>3.0</v>
      </c>
      <c r="E88" s="40">
        <v>4.0</v>
      </c>
      <c r="F88" s="40">
        <v>5.0</v>
      </c>
      <c r="G88" s="40">
        <v>6.0</v>
      </c>
      <c r="H88" s="40">
        <v>7.0</v>
      </c>
      <c r="I88" s="40">
        <v>8.0</v>
      </c>
      <c r="J88" s="40">
        <v>9.0</v>
      </c>
      <c r="K88" s="40">
        <v>10.0</v>
      </c>
      <c r="L88" s="40">
        <v>11.0</v>
      </c>
      <c r="M88" s="40">
        <v>12.0</v>
      </c>
      <c r="N88" s="40">
        <v>13.0</v>
      </c>
      <c r="O88" s="40">
        <v>14.0</v>
      </c>
      <c r="P88" s="40">
        <v>15.0</v>
      </c>
      <c r="Q88" s="40">
        <v>16.0</v>
      </c>
      <c r="R88" s="40">
        <v>17.0</v>
      </c>
      <c r="S88" s="40">
        <v>18.0</v>
      </c>
      <c r="T88" s="40">
        <v>19.0</v>
      </c>
      <c r="U88" s="40">
        <v>20.0</v>
      </c>
      <c r="V88" s="40">
        <v>21.0</v>
      </c>
      <c r="W88" s="40">
        <v>22.0</v>
      </c>
      <c r="X88" s="40">
        <v>23.0</v>
      </c>
      <c r="Y88" s="40">
        <v>24.0</v>
      </c>
      <c r="Z88" s="40">
        <v>25.0</v>
      </c>
      <c r="AA88" s="40">
        <v>26.0</v>
      </c>
      <c r="AB88" s="40">
        <v>27.0</v>
      </c>
      <c r="AC88" s="40">
        <v>28.0</v>
      </c>
      <c r="AD88" s="40">
        <v>29.0</v>
      </c>
      <c r="AE88" s="40">
        <v>30.0</v>
      </c>
      <c r="AF88" s="40">
        <v>31.0</v>
      </c>
      <c r="AG88" s="40">
        <v>32.0</v>
      </c>
      <c r="AH88" s="40">
        <v>33.0</v>
      </c>
      <c r="AI88" s="40">
        <v>34.0</v>
      </c>
      <c r="AJ88" s="41">
        <v>35.0</v>
      </c>
      <c r="AK88" s="41">
        <v>36.0</v>
      </c>
      <c r="AL88" s="40">
        <v>37.0</v>
      </c>
      <c r="AM88" s="40">
        <v>38.0</v>
      </c>
      <c r="AN88" s="40">
        <v>39.0</v>
      </c>
      <c r="AO88" s="40">
        <v>40.0</v>
      </c>
      <c r="AP88" s="31"/>
      <c r="AQ88" s="31"/>
      <c r="AR88" s="31"/>
      <c r="AS88" s="39" t="s">
        <v>195</v>
      </c>
      <c r="AT88" s="40">
        <v>1.0</v>
      </c>
      <c r="AU88" s="40">
        <v>2.0</v>
      </c>
      <c r="AV88" s="40">
        <v>3.0</v>
      </c>
      <c r="AW88" s="40">
        <v>4.0</v>
      </c>
      <c r="AX88" s="40">
        <v>5.0</v>
      </c>
      <c r="AY88" s="40">
        <v>6.0</v>
      </c>
      <c r="AZ88" s="40">
        <v>7.0</v>
      </c>
      <c r="BA88" s="40">
        <v>8.0</v>
      </c>
      <c r="BB88" s="40">
        <v>9.0</v>
      </c>
      <c r="BC88" s="40">
        <v>10.0</v>
      </c>
      <c r="BD88" s="40">
        <v>11.0</v>
      </c>
      <c r="BE88" s="40">
        <v>12.0</v>
      </c>
      <c r="BF88" s="40">
        <v>13.0</v>
      </c>
      <c r="BG88" s="40">
        <v>14.0</v>
      </c>
      <c r="BH88" s="40">
        <v>15.0</v>
      </c>
      <c r="BI88" s="40">
        <v>16.0</v>
      </c>
      <c r="BJ88" s="40">
        <v>17.0</v>
      </c>
      <c r="BK88" s="40">
        <v>18.0</v>
      </c>
      <c r="BL88" s="40">
        <v>19.0</v>
      </c>
      <c r="BM88" s="40">
        <v>20.0</v>
      </c>
      <c r="BN88" s="40">
        <v>21.0</v>
      </c>
      <c r="BO88" s="40">
        <v>22.0</v>
      </c>
      <c r="BP88" s="40">
        <v>23.0</v>
      </c>
      <c r="BQ88" s="40">
        <v>24.0</v>
      </c>
      <c r="BR88" s="40">
        <v>25.0</v>
      </c>
      <c r="BS88" s="40">
        <v>26.0</v>
      </c>
      <c r="BT88" s="40">
        <v>27.0</v>
      </c>
      <c r="BU88" s="40">
        <v>28.0</v>
      </c>
      <c r="BV88" s="40">
        <v>29.0</v>
      </c>
      <c r="BW88" s="40">
        <v>30.0</v>
      </c>
      <c r="BX88" s="40">
        <v>31.0</v>
      </c>
      <c r="BY88" s="40">
        <v>32.0</v>
      </c>
      <c r="BZ88" s="40">
        <v>33.0</v>
      </c>
      <c r="CA88" s="40">
        <v>34.0</v>
      </c>
      <c r="CB88" s="40">
        <v>35.0</v>
      </c>
      <c r="CC88" s="41">
        <v>36.0</v>
      </c>
      <c r="CD88" s="41">
        <v>37.0</v>
      </c>
      <c r="CE88" s="40">
        <v>38.0</v>
      </c>
      <c r="CF88" s="40">
        <v>39.0</v>
      </c>
      <c r="CG88" s="40">
        <v>40.0</v>
      </c>
    </row>
    <row r="89" ht="15.75" customHeight="1">
      <c r="A89" s="42" t="s">
        <v>196</v>
      </c>
      <c r="B89" s="43" t="str">
        <f t="shared" ref="B89:AO89" si="23">MID($A85,B88,1)</f>
        <v>|</v>
      </c>
      <c r="C89" s="43" t="str">
        <f t="shared" si="23"/>
        <v>0</v>
      </c>
      <c r="D89" s="43" t="str">
        <f t="shared" si="23"/>
        <v>1</v>
      </c>
      <c r="E89" s="43" t="str">
        <f t="shared" si="23"/>
        <v>0</v>
      </c>
      <c r="F89" s="43" t="str">
        <f t="shared" si="23"/>
        <v>5</v>
      </c>
      <c r="G89" s="43" t="str">
        <f t="shared" si="23"/>
        <v>5</v>
      </c>
      <c r="H89" s="43" t="str">
        <f t="shared" si="23"/>
        <v>5</v>
      </c>
      <c r="I89" s="43" t="str">
        <f t="shared" si="23"/>
        <v>0</v>
      </c>
      <c r="J89" s="43" t="str">
        <f t="shared" si="23"/>
        <v>1</v>
      </c>
      <c r="K89" s="43" t="str">
        <f t="shared" si="23"/>
        <v>0</v>
      </c>
      <c r="L89" s="43" t="str">
        <f t="shared" si="23"/>
        <v>5</v>
      </c>
      <c r="M89" s="43" t="str">
        <f t="shared" si="23"/>
        <v>9</v>
      </c>
      <c r="N89" s="43" t="str">
        <f t="shared" si="23"/>
        <v>9</v>
      </c>
      <c r="O89" s="43" t="str">
        <f t="shared" si="23"/>
        <v>2</v>
      </c>
      <c r="P89" s="43" t="str">
        <f t="shared" si="23"/>
        <v>0</v>
      </c>
      <c r="Q89" s="43" t="str">
        <f t="shared" si="23"/>
        <v>4</v>
      </c>
      <c r="R89" s="43" t="str">
        <f t="shared" si="23"/>
        <v>4</v>
      </c>
      <c r="S89" s="43" t="str">
        <f t="shared" si="23"/>
        <v>0</v>
      </c>
      <c r="T89" s="43" t="str">
        <f t="shared" si="23"/>
        <v>1</v>
      </c>
      <c r="U89" s="43" t="str">
        <f t="shared" si="23"/>
        <v>2</v>
      </c>
      <c r="V89" s="43" t="str">
        <f t="shared" si="23"/>
        <v>8</v>
      </c>
      <c r="W89" s="43" t="str">
        <f t="shared" si="23"/>
        <v>6</v>
      </c>
      <c r="X89" s="43" t="str">
        <f t="shared" si="23"/>
        <v>4</v>
      </c>
      <c r="Y89" s="43" t="str">
        <f t="shared" si="23"/>
        <v>1</v>
      </c>
      <c r="Z89" s="43" t="str">
        <f t="shared" si="23"/>
        <v>4</v>
      </c>
      <c r="AA89" s="43" t="str">
        <f t="shared" si="23"/>
        <v>5</v>
      </c>
      <c r="AB89" s="43" t="str">
        <f t="shared" si="23"/>
        <v>2</v>
      </c>
      <c r="AC89" s="43" t="str">
        <f t="shared" si="23"/>
        <v>0</v>
      </c>
      <c r="AD89" s="43" t="str">
        <f t="shared" si="23"/>
        <v>8</v>
      </c>
      <c r="AE89" s="43" t="str">
        <f t="shared" si="23"/>
        <v>9</v>
      </c>
      <c r="AF89" s="43" t="str">
        <f t="shared" si="23"/>
        <v>3</v>
      </c>
      <c r="AG89" s="43" t="str">
        <f t="shared" si="23"/>
        <v>1</v>
      </c>
      <c r="AH89" s="60" t="str">
        <f t="shared" si="23"/>
        <v>3</v>
      </c>
      <c r="AI89" s="60" t="str">
        <f t="shared" si="23"/>
        <v>0</v>
      </c>
      <c r="AJ89" s="44" t="str">
        <f t="shared" si="23"/>
        <v>9</v>
      </c>
      <c r="AK89" s="44" t="str">
        <f t="shared" si="23"/>
        <v>2</v>
      </c>
      <c r="AL89" s="43" t="str">
        <f t="shared" si="23"/>
        <v>0</v>
      </c>
      <c r="AM89" s="43" t="str">
        <f t="shared" si="23"/>
        <v/>
      </c>
      <c r="AN89" s="43" t="str">
        <f t="shared" si="23"/>
        <v/>
      </c>
      <c r="AO89" s="43" t="str">
        <f t="shared" si="23"/>
        <v/>
      </c>
      <c r="AP89" s="33"/>
      <c r="AQ89" s="33"/>
      <c r="AR89" s="33"/>
      <c r="AS89" s="42"/>
      <c r="AT89" s="43" t="str">
        <f t="shared" ref="AT89:CG89" si="24">MID($AS85,AT88,1)</f>
        <v>|</v>
      </c>
      <c r="AU89" s="43" t="str">
        <f t="shared" si="24"/>
        <v>0</v>
      </c>
      <c r="AV89" s="43" t="str">
        <f t="shared" si="24"/>
        <v>1</v>
      </c>
      <c r="AW89" s="43" t="str">
        <f t="shared" si="24"/>
        <v>0</v>
      </c>
      <c r="AX89" s="43" t="str">
        <f t="shared" si="24"/>
        <v>5</v>
      </c>
      <c r="AY89" s="43" t="str">
        <f t="shared" si="24"/>
        <v>5</v>
      </c>
      <c r="AZ89" s="43" t="str">
        <f t="shared" si="24"/>
        <v>5</v>
      </c>
      <c r="BA89" s="43" t="str">
        <f t="shared" si="24"/>
        <v>0</v>
      </c>
      <c r="BB89" s="43" t="str">
        <f t="shared" si="24"/>
        <v>1</v>
      </c>
      <c r="BC89" s="43" t="str">
        <f t="shared" si="24"/>
        <v>0</v>
      </c>
      <c r="BD89" s="43" t="str">
        <f t="shared" si="24"/>
        <v>5</v>
      </c>
      <c r="BE89" s="43" t="str">
        <f t="shared" si="24"/>
        <v>9</v>
      </c>
      <c r="BF89" s="43" t="str">
        <f t="shared" si="24"/>
        <v>9</v>
      </c>
      <c r="BG89" s="43" t="str">
        <f t="shared" si="24"/>
        <v>2</v>
      </c>
      <c r="BH89" s="43" t="str">
        <f t="shared" si="24"/>
        <v>0</v>
      </c>
      <c r="BI89" s="43" t="str">
        <f t="shared" si="24"/>
        <v>4</v>
      </c>
      <c r="BJ89" s="43" t="str">
        <f t="shared" si="24"/>
        <v>7</v>
      </c>
      <c r="BK89" s="43" t="str">
        <f t="shared" si="24"/>
        <v>1</v>
      </c>
      <c r="BL89" s="43" t="str">
        <f t="shared" si="24"/>
        <v>5</v>
      </c>
      <c r="BM89" s="43" t="str">
        <f t="shared" si="24"/>
        <v>5</v>
      </c>
      <c r="BN89" s="43" t="str">
        <f t="shared" si="24"/>
        <v>4</v>
      </c>
      <c r="BO89" s="43" t="str">
        <f t="shared" si="24"/>
        <v>0</v>
      </c>
      <c r="BP89" s="43" t="str">
        <f t="shared" si="24"/>
        <v>9</v>
      </c>
      <c r="BQ89" s="43" t="str">
        <f t="shared" si="24"/>
        <v>0</v>
      </c>
      <c r="BR89" s="43" t="str">
        <f t="shared" si="24"/>
        <v>8</v>
      </c>
      <c r="BS89" s="43" t="str">
        <f t="shared" si="24"/>
        <v>1</v>
      </c>
      <c r="BT89" s="43" t="str">
        <f t="shared" si="24"/>
        <v>0</v>
      </c>
      <c r="BU89" s="43" t="str">
        <f t="shared" si="24"/>
        <v>5</v>
      </c>
      <c r="BV89" s="43" t="str">
        <f t="shared" si="24"/>
        <v>0</v>
      </c>
      <c r="BW89" s="43" t="str">
        <f t="shared" si="24"/>
        <v>4</v>
      </c>
      <c r="BX89" s="43" t="str">
        <f t="shared" si="24"/>
        <v>7</v>
      </c>
      <c r="BY89" s="43" t="str">
        <f t="shared" si="24"/>
        <v>2</v>
      </c>
      <c r="BZ89" s="43" t="str">
        <f t="shared" si="24"/>
        <v>4</v>
      </c>
      <c r="CA89" s="60" t="str">
        <f t="shared" si="24"/>
        <v>3</v>
      </c>
      <c r="CB89" s="60" t="str">
        <f t="shared" si="24"/>
        <v>0</v>
      </c>
      <c r="CC89" s="44" t="str">
        <f t="shared" si="24"/>
        <v>2</v>
      </c>
      <c r="CD89" s="44" t="str">
        <f t="shared" si="24"/>
        <v>0</v>
      </c>
      <c r="CE89" s="43" t="str">
        <f t="shared" si="24"/>
        <v>0</v>
      </c>
      <c r="CF89" s="43" t="str">
        <f t="shared" si="24"/>
        <v/>
      </c>
      <c r="CG89" s="43" t="str">
        <f t="shared" si="24"/>
        <v/>
      </c>
    </row>
    <row r="90" ht="15.75" customHeight="1">
      <c r="A90" s="45" t="s">
        <v>223</v>
      </c>
      <c r="B90" s="46"/>
      <c r="C90" s="46"/>
      <c r="D90" s="46"/>
      <c r="E90" s="46"/>
      <c r="F90" s="46"/>
      <c r="G90" s="46"/>
      <c r="H90" s="46"/>
      <c r="I90" s="46"/>
      <c r="J90" s="46"/>
      <c r="K90" s="46">
        <f t="shared" ref="K90:K94" si="25">LEN(A90)</f>
        <v>37</v>
      </c>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31"/>
      <c r="AQ90" s="31"/>
      <c r="AR90" s="31"/>
      <c r="AS90" s="45" t="s">
        <v>226</v>
      </c>
      <c r="AT90" s="46"/>
      <c r="AU90" s="46"/>
      <c r="AV90" s="46"/>
      <c r="AW90" s="46"/>
      <c r="AX90" s="46"/>
      <c r="AY90" s="46"/>
      <c r="AZ90" s="46"/>
      <c r="BA90" s="46"/>
      <c r="BB90" s="46"/>
      <c r="BC90" s="31"/>
      <c r="BD90" s="46"/>
      <c r="BE90" s="46"/>
      <c r="BF90" s="46"/>
      <c r="BG90" s="46">
        <f t="shared" ref="BG90:BG93" si="26">LEN(AS90)</f>
        <v>38</v>
      </c>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row>
    <row r="91" ht="15.75" customHeight="1">
      <c r="A91" s="45" t="s">
        <v>227</v>
      </c>
      <c r="B91" s="46"/>
      <c r="C91" s="46"/>
      <c r="D91" s="46"/>
      <c r="E91" s="46"/>
      <c r="F91" s="46"/>
      <c r="G91" s="46"/>
      <c r="H91" s="46"/>
      <c r="I91" s="46"/>
      <c r="J91" s="46"/>
      <c r="K91" s="46">
        <f t="shared" si="25"/>
        <v>37</v>
      </c>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31"/>
      <c r="AQ91" s="31"/>
      <c r="AR91" s="31"/>
      <c r="AS91" s="45" t="s">
        <v>228</v>
      </c>
      <c r="AT91" s="46"/>
      <c r="AU91" s="46"/>
      <c r="AV91" s="46"/>
      <c r="AW91" s="46"/>
      <c r="AX91" s="46"/>
      <c r="AY91" s="46"/>
      <c r="AZ91" s="46"/>
      <c r="BA91" s="46"/>
      <c r="BB91" s="46"/>
      <c r="BC91" s="31"/>
      <c r="BD91" s="46"/>
      <c r="BE91" s="46"/>
      <c r="BF91" s="46"/>
      <c r="BG91" s="46">
        <f t="shared" si="26"/>
        <v>38</v>
      </c>
      <c r="BH91" s="46"/>
      <c r="BI91" s="46"/>
      <c r="BJ91" s="46"/>
      <c r="BK91" s="46"/>
      <c r="BL91" s="46"/>
      <c r="BM91" s="46"/>
      <c r="BN91" s="46"/>
      <c r="BO91" s="46"/>
      <c r="BP91" s="46"/>
      <c r="BQ91" s="46"/>
      <c r="BR91" s="46"/>
      <c r="BS91" s="46"/>
      <c r="BT91" s="46"/>
      <c r="BU91" s="46"/>
      <c r="BV91" s="46"/>
      <c r="BW91" s="46"/>
      <c r="BX91" s="46"/>
      <c r="BY91" s="46"/>
      <c r="BZ91" s="46"/>
      <c r="CA91" s="46"/>
      <c r="CB91" s="46"/>
      <c r="CC91" s="46"/>
      <c r="CD91" s="46"/>
      <c r="CE91" s="46"/>
      <c r="CF91" s="46"/>
      <c r="CG91" s="46"/>
    </row>
    <row r="92" ht="15.75" customHeight="1">
      <c r="A92" s="45" t="s">
        <v>229</v>
      </c>
      <c r="B92" s="46"/>
      <c r="C92" s="46"/>
      <c r="D92" s="46"/>
      <c r="E92" s="46"/>
      <c r="F92" s="46"/>
      <c r="G92" s="46"/>
      <c r="H92" s="46"/>
      <c r="I92" s="46"/>
      <c r="J92" s="46"/>
      <c r="K92" s="46">
        <f t="shared" si="25"/>
        <v>37</v>
      </c>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31"/>
      <c r="AQ92" s="31"/>
      <c r="AR92" s="31"/>
      <c r="AS92" s="45" t="s">
        <v>224</v>
      </c>
      <c r="AT92" s="46"/>
      <c r="AU92" s="46"/>
      <c r="AV92" s="46"/>
      <c r="AW92" s="46"/>
      <c r="AX92" s="46"/>
      <c r="AY92" s="46"/>
      <c r="AZ92" s="46"/>
      <c r="BA92" s="46"/>
      <c r="BB92" s="46"/>
      <c r="BC92" s="31"/>
      <c r="BD92" s="46"/>
      <c r="BE92" s="46"/>
      <c r="BF92" s="46"/>
      <c r="BG92" s="46">
        <f t="shared" si="26"/>
        <v>38</v>
      </c>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row>
    <row r="93" ht="15.75" customHeight="1">
      <c r="A93" s="45" t="s">
        <v>230</v>
      </c>
      <c r="B93" s="46"/>
      <c r="C93" s="46"/>
      <c r="D93" s="46"/>
      <c r="E93" s="46"/>
      <c r="F93" s="46"/>
      <c r="G93" s="46"/>
      <c r="H93" s="46"/>
      <c r="I93" s="46"/>
      <c r="J93" s="46"/>
      <c r="K93" s="46">
        <f t="shared" si="25"/>
        <v>37</v>
      </c>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31"/>
      <c r="AQ93" s="31"/>
      <c r="AR93" s="31"/>
      <c r="AS93" s="45" t="s">
        <v>231</v>
      </c>
      <c r="AT93" s="46"/>
      <c r="AU93" s="46"/>
      <c r="AV93" s="46"/>
      <c r="AW93" s="46"/>
      <c r="AX93" s="46"/>
      <c r="AY93" s="46"/>
      <c r="AZ93" s="46"/>
      <c r="BA93" s="46"/>
      <c r="BB93" s="46"/>
      <c r="BC93" s="31"/>
      <c r="BD93" s="46"/>
      <c r="BE93" s="46"/>
      <c r="BF93" s="46"/>
      <c r="BG93" s="46">
        <f t="shared" si="26"/>
        <v>38</v>
      </c>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row>
    <row r="94" ht="15.75" customHeight="1">
      <c r="A94" s="45" t="s">
        <v>232</v>
      </c>
      <c r="B94" s="46"/>
      <c r="C94" s="46"/>
      <c r="D94" s="46"/>
      <c r="E94" s="46"/>
      <c r="F94" s="46"/>
      <c r="G94" s="46"/>
      <c r="H94" s="46"/>
      <c r="I94" s="46"/>
      <c r="J94" s="46"/>
      <c r="K94" s="46">
        <f t="shared" si="25"/>
        <v>37</v>
      </c>
      <c r="L94" s="46"/>
      <c r="M94" s="46"/>
      <c r="N94" s="46"/>
      <c r="O94" s="46"/>
      <c r="P94" s="46"/>
      <c r="Q94" s="31"/>
      <c r="R94" s="61" t="s">
        <v>233</v>
      </c>
      <c r="S94" s="46"/>
      <c r="T94" s="46"/>
      <c r="U94" s="46"/>
      <c r="V94" s="46"/>
      <c r="W94" s="46"/>
      <c r="X94" s="46"/>
      <c r="Y94" s="46"/>
      <c r="Z94" s="46"/>
      <c r="AA94" s="46"/>
      <c r="AB94" s="46"/>
      <c r="AC94" s="46"/>
      <c r="AD94" s="46"/>
      <c r="AE94" s="46"/>
      <c r="AF94" s="46"/>
      <c r="AG94" s="46"/>
      <c r="AH94" s="46"/>
      <c r="AI94" s="46"/>
      <c r="AJ94" s="46"/>
      <c r="AK94" s="46"/>
      <c r="AL94" s="46"/>
      <c r="AM94" s="46"/>
      <c r="AN94" s="46"/>
      <c r="AO94" s="46"/>
      <c r="AP94" s="31"/>
      <c r="AQ94" s="31"/>
      <c r="AR94" s="31"/>
      <c r="AS94" s="31"/>
      <c r="AT94" s="31"/>
      <c r="AU94" s="31"/>
      <c r="AV94" s="31"/>
      <c r="AW94" s="31"/>
      <c r="AX94" s="31"/>
      <c r="AY94" s="31"/>
      <c r="AZ94" s="31"/>
      <c r="BA94" s="31"/>
      <c r="BB94" s="31"/>
      <c r="BC94" s="31"/>
      <c r="BD94" s="46"/>
      <c r="BE94" s="46"/>
      <c r="BF94" s="46"/>
      <c r="BG94" s="46"/>
      <c r="BH94" s="46"/>
      <c r="BI94" s="31"/>
      <c r="BJ94" s="61" t="s">
        <v>233</v>
      </c>
      <c r="BK94" s="46"/>
      <c r="BL94" s="46"/>
      <c r="BM94" s="46"/>
      <c r="BN94" s="46"/>
      <c r="BO94" s="46"/>
      <c r="BP94" s="46"/>
      <c r="BQ94" s="46"/>
      <c r="BR94" s="46"/>
      <c r="BS94" s="46"/>
      <c r="BT94" s="46"/>
      <c r="BU94" s="46"/>
      <c r="BV94" s="46"/>
      <c r="BW94" s="46"/>
      <c r="BX94" s="46"/>
      <c r="BY94" s="46"/>
      <c r="BZ94" s="46"/>
      <c r="CA94" s="46"/>
      <c r="CB94" s="46"/>
      <c r="CC94" s="46"/>
      <c r="CD94" s="46"/>
      <c r="CE94" s="46"/>
      <c r="CF94" s="46"/>
      <c r="CG94" s="46"/>
    </row>
    <row r="95" ht="15.75" customHeight="1">
      <c r="A95" s="58"/>
      <c r="B95" s="46"/>
      <c r="C95" s="46"/>
      <c r="D95" s="46"/>
      <c r="E95" s="46"/>
      <c r="F95" s="46"/>
      <c r="G95" s="46"/>
      <c r="H95" s="46"/>
      <c r="I95" s="46"/>
      <c r="J95" s="46"/>
      <c r="K95" s="46"/>
      <c r="L95" s="46"/>
      <c r="M95" s="46"/>
      <c r="N95" s="46"/>
      <c r="O95" s="46"/>
      <c r="P95" s="46"/>
      <c r="Q95" s="31"/>
      <c r="R95" s="62" t="s">
        <v>234</v>
      </c>
      <c r="S95" s="46"/>
      <c r="T95" s="46"/>
      <c r="U95" s="46"/>
      <c r="V95" s="46"/>
      <c r="W95" s="46"/>
      <c r="X95" s="46"/>
      <c r="Y95" s="46"/>
      <c r="Z95" s="46"/>
      <c r="AA95" s="46"/>
      <c r="AB95" s="46"/>
      <c r="AC95" s="46"/>
      <c r="AD95" s="46"/>
      <c r="AE95" s="46"/>
      <c r="AF95" s="46"/>
      <c r="AG95" s="46"/>
      <c r="AH95" s="46"/>
      <c r="AI95" s="46"/>
      <c r="AJ95" s="46"/>
      <c r="AK95" s="46"/>
      <c r="AL95" s="46"/>
      <c r="AM95" s="46"/>
      <c r="AN95" s="46"/>
      <c r="AO95" s="46"/>
      <c r="AP95" s="31"/>
      <c r="AQ95" s="31"/>
      <c r="AR95" s="31"/>
      <c r="AS95" s="31"/>
      <c r="AT95" s="31"/>
      <c r="AU95" s="31"/>
      <c r="AV95" s="31"/>
      <c r="AW95" s="31"/>
      <c r="AX95" s="31"/>
      <c r="AY95" s="31"/>
      <c r="AZ95" s="31"/>
      <c r="BA95" s="31"/>
      <c r="BB95" s="31"/>
      <c r="BC95" s="31"/>
      <c r="BD95" s="46"/>
      <c r="BE95" s="46"/>
      <c r="BF95" s="46"/>
      <c r="BG95" s="46"/>
      <c r="BH95" s="46"/>
      <c r="BI95" s="31"/>
      <c r="BJ95" s="62" t="s">
        <v>234</v>
      </c>
      <c r="BK95" s="46"/>
      <c r="BL95" s="46"/>
      <c r="BM95" s="46"/>
      <c r="BN95" s="46"/>
      <c r="BO95" s="46"/>
      <c r="BP95" s="46"/>
      <c r="BQ95" s="46"/>
      <c r="BR95" s="46"/>
      <c r="BS95" s="46"/>
      <c r="BT95" s="46"/>
      <c r="BU95" s="46"/>
      <c r="BV95" s="46"/>
      <c r="BW95" s="46"/>
      <c r="BX95" s="46"/>
      <c r="BY95" s="46"/>
      <c r="BZ95" s="46"/>
      <c r="CA95" s="46"/>
      <c r="CB95" s="46"/>
      <c r="CC95" s="46"/>
      <c r="CD95" s="46"/>
      <c r="CE95" s="46"/>
      <c r="CF95" s="46"/>
      <c r="CG95" s="46"/>
    </row>
    <row r="96" ht="15.75" customHeight="1">
      <c r="A96" s="47" t="s">
        <v>199</v>
      </c>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31"/>
      <c r="AQ96" s="31"/>
      <c r="AR96" s="31"/>
      <c r="AS96" s="47" t="s">
        <v>199</v>
      </c>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row>
    <row r="97" ht="15.75" customHeight="1">
      <c r="A97" s="39" t="s">
        <v>195</v>
      </c>
      <c r="B97" s="40">
        <v>1.0</v>
      </c>
      <c r="C97" s="40">
        <v>2.0</v>
      </c>
      <c r="D97" s="40">
        <v>3.0</v>
      </c>
      <c r="E97" s="40">
        <v>4.0</v>
      </c>
      <c r="F97" s="40">
        <v>5.0</v>
      </c>
      <c r="G97" s="40">
        <v>6.0</v>
      </c>
      <c r="H97" s="40">
        <v>7.0</v>
      </c>
      <c r="I97" s="40">
        <v>8.0</v>
      </c>
      <c r="J97" s="40">
        <v>9.0</v>
      </c>
      <c r="K97" s="40">
        <v>10.0</v>
      </c>
      <c r="L97" s="40">
        <v>11.0</v>
      </c>
      <c r="M97" s="40">
        <v>12.0</v>
      </c>
      <c r="N97" s="40">
        <v>13.0</v>
      </c>
      <c r="O97" s="40">
        <v>14.0</v>
      </c>
      <c r="P97" s="40">
        <v>15.0</v>
      </c>
      <c r="Q97" s="40">
        <v>16.0</v>
      </c>
      <c r="R97" s="50">
        <v>17.0</v>
      </c>
      <c r="S97" s="50">
        <v>18.0</v>
      </c>
      <c r="T97" s="50">
        <v>19.0</v>
      </c>
      <c r="U97" s="50">
        <v>20.0</v>
      </c>
      <c r="V97" s="50">
        <v>21.0</v>
      </c>
      <c r="W97" s="50">
        <v>22.0</v>
      </c>
      <c r="X97" s="50">
        <v>23.0</v>
      </c>
      <c r="Y97" s="40">
        <v>24.0</v>
      </c>
      <c r="Z97" s="40">
        <v>25.0</v>
      </c>
      <c r="AA97" s="40">
        <v>26.0</v>
      </c>
      <c r="AB97" s="40">
        <v>27.0</v>
      </c>
      <c r="AC97" s="40">
        <v>28.0</v>
      </c>
      <c r="AD97" s="40">
        <v>29.0</v>
      </c>
      <c r="AE97" s="40">
        <v>30.0</v>
      </c>
      <c r="AF97" s="40">
        <v>31.0</v>
      </c>
      <c r="AG97" s="40">
        <v>32.0</v>
      </c>
      <c r="AH97" s="40">
        <v>33.0</v>
      </c>
      <c r="AI97" s="40">
        <v>34.0</v>
      </c>
      <c r="AJ97" s="40">
        <v>35.0</v>
      </c>
      <c r="AK97" s="40">
        <v>36.0</v>
      </c>
      <c r="AL97" s="40">
        <v>37.0</v>
      </c>
      <c r="AM97" s="40">
        <v>38.0</v>
      </c>
      <c r="AN97" s="40">
        <v>39.0</v>
      </c>
      <c r="AO97" s="40">
        <v>40.0</v>
      </c>
      <c r="AP97" s="31"/>
      <c r="AQ97" s="31"/>
      <c r="AR97" s="31"/>
      <c r="AS97" s="39" t="s">
        <v>195</v>
      </c>
      <c r="AT97" s="40">
        <v>1.0</v>
      </c>
      <c r="AU97" s="40">
        <v>2.0</v>
      </c>
      <c r="AV97" s="40">
        <v>3.0</v>
      </c>
      <c r="AW97" s="40">
        <v>4.0</v>
      </c>
      <c r="AX97" s="40">
        <v>5.0</v>
      </c>
      <c r="AY97" s="40">
        <v>6.0</v>
      </c>
      <c r="AZ97" s="40">
        <v>7.0</v>
      </c>
      <c r="BA97" s="40">
        <v>8.0</v>
      </c>
      <c r="BB97" s="40">
        <v>9.0</v>
      </c>
      <c r="BC97" s="40">
        <v>10.0</v>
      </c>
      <c r="BD97" s="40">
        <v>11.0</v>
      </c>
      <c r="BE97" s="40">
        <v>12.0</v>
      </c>
      <c r="BF97" s="40">
        <v>13.0</v>
      </c>
      <c r="BG97" s="40">
        <v>14.0</v>
      </c>
      <c r="BH97" s="40">
        <v>15.0</v>
      </c>
      <c r="BI97" s="40">
        <v>16.0</v>
      </c>
      <c r="BJ97" s="50">
        <v>17.0</v>
      </c>
      <c r="BK97" s="50">
        <v>18.0</v>
      </c>
      <c r="BL97" s="50">
        <v>19.0</v>
      </c>
      <c r="BM97" s="50">
        <v>20.0</v>
      </c>
      <c r="BN97" s="50">
        <v>21.0</v>
      </c>
      <c r="BO97" s="50">
        <v>22.0</v>
      </c>
      <c r="BP97" s="50">
        <v>23.0</v>
      </c>
      <c r="BQ97" s="40">
        <v>24.0</v>
      </c>
      <c r="BR97" s="40">
        <v>25.0</v>
      </c>
      <c r="BS97" s="40">
        <v>26.0</v>
      </c>
      <c r="BT97" s="40">
        <v>27.0</v>
      </c>
      <c r="BU97" s="40">
        <v>28.0</v>
      </c>
      <c r="BV97" s="40">
        <v>29.0</v>
      </c>
      <c r="BW97" s="40">
        <v>30.0</v>
      </c>
      <c r="BX97" s="40">
        <v>31.0</v>
      </c>
      <c r="BY97" s="40">
        <v>32.0</v>
      </c>
      <c r="BZ97" s="40">
        <v>33.0</v>
      </c>
      <c r="CA97" s="40">
        <v>34.0</v>
      </c>
      <c r="CB97" s="40">
        <v>35.0</v>
      </c>
      <c r="CC97" s="40">
        <v>36.0</v>
      </c>
      <c r="CD97" s="40">
        <v>37.0</v>
      </c>
      <c r="CE97" s="40">
        <v>38.0</v>
      </c>
      <c r="CF97" s="40">
        <v>39.0</v>
      </c>
      <c r="CG97" s="40">
        <v>40.0</v>
      </c>
    </row>
    <row r="98" ht="15.75" customHeight="1">
      <c r="A98" s="42" t="s">
        <v>196</v>
      </c>
      <c r="B98" s="43" t="str">
        <f t="shared" ref="B98:AO98" si="27">B89</f>
        <v>|</v>
      </c>
      <c r="C98" s="43" t="str">
        <f t="shared" si="27"/>
        <v>0</v>
      </c>
      <c r="D98" s="43" t="str">
        <f t="shared" si="27"/>
        <v>1</v>
      </c>
      <c r="E98" s="43" t="str">
        <f t="shared" si="27"/>
        <v>0</v>
      </c>
      <c r="F98" s="43" t="str">
        <f t="shared" si="27"/>
        <v>5</v>
      </c>
      <c r="G98" s="43" t="str">
        <f t="shared" si="27"/>
        <v>5</v>
      </c>
      <c r="H98" s="43" t="str">
        <f t="shared" si="27"/>
        <v>5</v>
      </c>
      <c r="I98" s="43" t="str">
        <f t="shared" si="27"/>
        <v>0</v>
      </c>
      <c r="J98" s="43" t="str">
        <f t="shared" si="27"/>
        <v>1</v>
      </c>
      <c r="K98" s="43" t="str">
        <f t="shared" si="27"/>
        <v>0</v>
      </c>
      <c r="L98" s="43" t="str">
        <f t="shared" si="27"/>
        <v>5</v>
      </c>
      <c r="M98" s="43" t="str">
        <f t="shared" si="27"/>
        <v>9</v>
      </c>
      <c r="N98" s="43" t="str">
        <f t="shared" si="27"/>
        <v>9</v>
      </c>
      <c r="O98" s="43" t="str">
        <f t="shared" si="27"/>
        <v>2</v>
      </c>
      <c r="P98" s="43" t="str">
        <f t="shared" si="27"/>
        <v>0</v>
      </c>
      <c r="Q98" s="43" t="str">
        <f t="shared" si="27"/>
        <v>4</v>
      </c>
      <c r="R98" s="51" t="str">
        <f t="shared" si="27"/>
        <v>4</v>
      </c>
      <c r="S98" s="51" t="str">
        <f t="shared" si="27"/>
        <v>0</v>
      </c>
      <c r="T98" s="51" t="str">
        <f t="shared" si="27"/>
        <v>1</v>
      </c>
      <c r="U98" s="51" t="str">
        <f t="shared" si="27"/>
        <v>2</v>
      </c>
      <c r="V98" s="51" t="str">
        <f t="shared" si="27"/>
        <v>8</v>
      </c>
      <c r="W98" s="51" t="str">
        <f t="shared" si="27"/>
        <v>6</v>
      </c>
      <c r="X98" s="51" t="str">
        <f t="shared" si="27"/>
        <v>4</v>
      </c>
      <c r="Y98" s="43" t="str">
        <f t="shared" si="27"/>
        <v>1</v>
      </c>
      <c r="Z98" s="43" t="str">
        <f t="shared" si="27"/>
        <v>4</v>
      </c>
      <c r="AA98" s="43" t="str">
        <f t="shared" si="27"/>
        <v>5</v>
      </c>
      <c r="AB98" s="43" t="str">
        <f t="shared" si="27"/>
        <v>2</v>
      </c>
      <c r="AC98" s="43" t="str">
        <f t="shared" si="27"/>
        <v>0</v>
      </c>
      <c r="AD98" s="43" t="str">
        <f t="shared" si="27"/>
        <v>8</v>
      </c>
      <c r="AE98" s="43" t="str">
        <f t="shared" si="27"/>
        <v>9</v>
      </c>
      <c r="AF98" s="43" t="str">
        <f t="shared" si="27"/>
        <v>3</v>
      </c>
      <c r="AG98" s="43" t="str">
        <f t="shared" si="27"/>
        <v>1</v>
      </c>
      <c r="AH98" s="43" t="str">
        <f t="shared" si="27"/>
        <v>3</v>
      </c>
      <c r="AI98" s="43" t="str">
        <f t="shared" si="27"/>
        <v>0</v>
      </c>
      <c r="AJ98" s="43" t="str">
        <f t="shared" si="27"/>
        <v>9</v>
      </c>
      <c r="AK98" s="43" t="str">
        <f t="shared" si="27"/>
        <v>2</v>
      </c>
      <c r="AL98" s="43" t="str">
        <f t="shared" si="27"/>
        <v>0</v>
      </c>
      <c r="AM98" s="43" t="str">
        <f t="shared" si="27"/>
        <v/>
      </c>
      <c r="AN98" s="43" t="str">
        <f t="shared" si="27"/>
        <v/>
      </c>
      <c r="AO98" s="43" t="str">
        <f t="shared" si="27"/>
        <v/>
      </c>
      <c r="AP98" s="33"/>
      <c r="AQ98" s="33"/>
      <c r="AR98" s="33"/>
      <c r="AS98" s="42"/>
      <c r="AT98" s="43" t="str">
        <f t="shared" ref="AT98:CG98" si="28">AT89</f>
        <v>|</v>
      </c>
      <c r="AU98" s="43" t="str">
        <f t="shared" si="28"/>
        <v>0</v>
      </c>
      <c r="AV98" s="43" t="str">
        <f t="shared" si="28"/>
        <v>1</v>
      </c>
      <c r="AW98" s="43" t="str">
        <f t="shared" si="28"/>
        <v>0</v>
      </c>
      <c r="AX98" s="43" t="str">
        <f t="shared" si="28"/>
        <v>5</v>
      </c>
      <c r="AY98" s="43" t="str">
        <f t="shared" si="28"/>
        <v>5</v>
      </c>
      <c r="AZ98" s="43" t="str">
        <f t="shared" si="28"/>
        <v>5</v>
      </c>
      <c r="BA98" s="43" t="str">
        <f t="shared" si="28"/>
        <v>0</v>
      </c>
      <c r="BB98" s="43" t="str">
        <f t="shared" si="28"/>
        <v>1</v>
      </c>
      <c r="BC98" s="43" t="str">
        <f t="shared" si="28"/>
        <v>0</v>
      </c>
      <c r="BD98" s="43" t="str">
        <f t="shared" si="28"/>
        <v>5</v>
      </c>
      <c r="BE98" s="43" t="str">
        <f t="shared" si="28"/>
        <v>9</v>
      </c>
      <c r="BF98" s="43" t="str">
        <f t="shared" si="28"/>
        <v>9</v>
      </c>
      <c r="BG98" s="43" t="str">
        <f t="shared" si="28"/>
        <v>2</v>
      </c>
      <c r="BH98" s="43" t="str">
        <f t="shared" si="28"/>
        <v>0</v>
      </c>
      <c r="BI98" s="43" t="str">
        <f t="shared" si="28"/>
        <v>4</v>
      </c>
      <c r="BJ98" s="51" t="str">
        <f t="shared" si="28"/>
        <v>7</v>
      </c>
      <c r="BK98" s="51" t="str">
        <f t="shared" si="28"/>
        <v>1</v>
      </c>
      <c r="BL98" s="51" t="str">
        <f t="shared" si="28"/>
        <v>5</v>
      </c>
      <c r="BM98" s="51" t="str">
        <f t="shared" si="28"/>
        <v>5</v>
      </c>
      <c r="BN98" s="51" t="str">
        <f t="shared" si="28"/>
        <v>4</v>
      </c>
      <c r="BO98" s="51" t="str">
        <f t="shared" si="28"/>
        <v>0</v>
      </c>
      <c r="BP98" s="51" t="str">
        <f t="shared" si="28"/>
        <v>9</v>
      </c>
      <c r="BQ98" s="43" t="str">
        <f t="shared" si="28"/>
        <v>0</v>
      </c>
      <c r="BR98" s="43" t="str">
        <f t="shared" si="28"/>
        <v>8</v>
      </c>
      <c r="BS98" s="43" t="str">
        <f t="shared" si="28"/>
        <v>1</v>
      </c>
      <c r="BT98" s="43" t="str">
        <f t="shared" si="28"/>
        <v>0</v>
      </c>
      <c r="BU98" s="43" t="str">
        <f t="shared" si="28"/>
        <v>5</v>
      </c>
      <c r="BV98" s="43" t="str">
        <f t="shared" si="28"/>
        <v>0</v>
      </c>
      <c r="BW98" s="43" t="str">
        <f t="shared" si="28"/>
        <v>4</v>
      </c>
      <c r="BX98" s="43" t="str">
        <f t="shared" si="28"/>
        <v>7</v>
      </c>
      <c r="BY98" s="43" t="str">
        <f t="shared" si="28"/>
        <v>2</v>
      </c>
      <c r="BZ98" s="43" t="str">
        <f t="shared" si="28"/>
        <v>4</v>
      </c>
      <c r="CA98" s="43" t="str">
        <f t="shared" si="28"/>
        <v>3</v>
      </c>
      <c r="CB98" s="43" t="str">
        <f t="shared" si="28"/>
        <v>0</v>
      </c>
      <c r="CC98" s="43" t="str">
        <f t="shared" si="28"/>
        <v>2</v>
      </c>
      <c r="CD98" s="43" t="str">
        <f t="shared" si="28"/>
        <v>0</v>
      </c>
      <c r="CE98" s="43" t="str">
        <f t="shared" si="28"/>
        <v>0</v>
      </c>
      <c r="CF98" s="43" t="str">
        <f t="shared" si="28"/>
        <v/>
      </c>
      <c r="CG98" s="43" t="str">
        <f t="shared" si="28"/>
        <v/>
      </c>
    </row>
    <row r="99" ht="15.75" customHeight="1">
      <c r="A99" s="52" t="s">
        <v>200</v>
      </c>
      <c r="B99" s="43"/>
      <c r="C99" s="46"/>
      <c r="D99" s="43"/>
      <c r="E99" s="43"/>
      <c r="F99" s="43"/>
      <c r="G99" s="43"/>
      <c r="H99" s="43"/>
      <c r="I99" s="43"/>
      <c r="J99" s="43"/>
      <c r="K99" s="43"/>
      <c r="L99" s="43"/>
      <c r="M99" s="43"/>
      <c r="N99" s="43"/>
      <c r="O99" s="43"/>
      <c r="P99" s="43"/>
      <c r="Q99" s="43"/>
      <c r="R99" s="43">
        <v>8.0</v>
      </c>
      <c r="S99" s="43">
        <v>4.0</v>
      </c>
      <c r="T99" s="43">
        <v>8.0</v>
      </c>
      <c r="U99" s="43">
        <v>4.0</v>
      </c>
      <c r="V99" s="43">
        <v>8.0</v>
      </c>
      <c r="W99" s="43">
        <v>4.0</v>
      </c>
      <c r="X99" s="43">
        <v>8.0</v>
      </c>
      <c r="Y99" s="43"/>
      <c r="Z99" s="43"/>
      <c r="AA99" s="43"/>
      <c r="AB99" s="43"/>
      <c r="AC99" s="43"/>
      <c r="AD99" s="43"/>
      <c r="AE99" s="43"/>
      <c r="AF99" s="43"/>
      <c r="AG99" s="43"/>
      <c r="AH99" s="43"/>
      <c r="AI99" s="43"/>
      <c r="AJ99" s="43"/>
      <c r="AK99" s="43"/>
      <c r="AL99" s="43"/>
      <c r="AM99" s="43"/>
      <c r="AN99" s="43"/>
      <c r="AO99" s="43"/>
      <c r="AP99" s="31"/>
      <c r="AQ99" s="31"/>
      <c r="AR99" s="31"/>
      <c r="AS99" s="52" t="s">
        <v>200</v>
      </c>
      <c r="AT99" s="43"/>
      <c r="AU99" s="46"/>
      <c r="AV99" s="43"/>
      <c r="AW99" s="43"/>
      <c r="AX99" s="43"/>
      <c r="AY99" s="43"/>
      <c r="AZ99" s="43"/>
      <c r="BA99" s="43"/>
      <c r="BB99" s="43"/>
      <c r="BC99" s="43"/>
      <c r="BD99" s="43"/>
      <c r="BE99" s="43"/>
      <c r="BF99" s="43"/>
      <c r="BG99" s="43"/>
      <c r="BH99" s="43"/>
      <c r="BI99" s="43"/>
      <c r="BJ99" s="43">
        <v>8.0</v>
      </c>
      <c r="BK99" s="43">
        <v>4.0</v>
      </c>
      <c r="BL99" s="43">
        <v>8.0</v>
      </c>
      <c r="BM99" s="43">
        <v>4.0</v>
      </c>
      <c r="BN99" s="43">
        <v>8.0</v>
      </c>
      <c r="BO99" s="43">
        <v>4.0</v>
      </c>
      <c r="BP99" s="43">
        <v>8.0</v>
      </c>
      <c r="BQ99" s="43"/>
      <c r="BR99" s="43"/>
      <c r="BS99" s="43"/>
      <c r="BT99" s="43"/>
      <c r="BU99" s="43"/>
      <c r="BV99" s="43"/>
      <c r="BW99" s="43"/>
      <c r="BX99" s="43"/>
      <c r="BY99" s="43"/>
      <c r="BZ99" s="43"/>
      <c r="CA99" s="43"/>
      <c r="CB99" s="43"/>
      <c r="CC99" s="43"/>
      <c r="CD99" s="43"/>
      <c r="CE99" s="43"/>
      <c r="CF99" s="43"/>
      <c r="CG99" s="43"/>
    </row>
    <row r="100" ht="15.75" customHeight="1">
      <c r="A100" s="52" t="s">
        <v>201</v>
      </c>
      <c r="B100" s="43"/>
      <c r="C100" s="43"/>
      <c r="D100" s="43"/>
      <c r="E100" s="43"/>
      <c r="F100" s="43"/>
      <c r="G100" s="43"/>
      <c r="H100" s="43"/>
      <c r="I100" s="43"/>
      <c r="J100" s="43"/>
      <c r="K100" s="43"/>
      <c r="L100" s="43"/>
      <c r="M100" s="43"/>
      <c r="N100" s="43"/>
      <c r="O100" s="43"/>
      <c r="P100" s="43"/>
      <c r="Q100" s="43"/>
      <c r="R100" s="43">
        <f t="shared" ref="R100:X100" si="29">R98*R99</f>
        <v>32</v>
      </c>
      <c r="S100" s="43">
        <f t="shared" si="29"/>
        <v>0</v>
      </c>
      <c r="T100" s="43">
        <f t="shared" si="29"/>
        <v>8</v>
      </c>
      <c r="U100" s="43">
        <f t="shared" si="29"/>
        <v>8</v>
      </c>
      <c r="V100" s="43">
        <f t="shared" si="29"/>
        <v>64</v>
      </c>
      <c r="W100" s="43">
        <f t="shared" si="29"/>
        <v>24</v>
      </c>
      <c r="X100" s="43">
        <f t="shared" si="29"/>
        <v>32</v>
      </c>
      <c r="Y100" s="43"/>
      <c r="Z100" s="43"/>
      <c r="AA100" s="43"/>
      <c r="AB100" s="43"/>
      <c r="AC100" s="43"/>
      <c r="AD100" s="43"/>
      <c r="AE100" s="43"/>
      <c r="AF100" s="43"/>
      <c r="AG100" s="43"/>
      <c r="AH100" s="43"/>
      <c r="AI100" s="43"/>
      <c r="AJ100" s="43"/>
      <c r="AK100" s="43"/>
      <c r="AL100" s="43"/>
      <c r="AM100" s="43"/>
      <c r="AN100" s="43"/>
      <c r="AO100" s="43"/>
      <c r="AP100" s="31"/>
      <c r="AQ100" s="31"/>
      <c r="AR100" s="31"/>
      <c r="AS100" s="52" t="s">
        <v>201</v>
      </c>
      <c r="AT100" s="43"/>
      <c r="AU100" s="43"/>
      <c r="AV100" s="43"/>
      <c r="AW100" s="43"/>
      <c r="AX100" s="43"/>
      <c r="AY100" s="43"/>
      <c r="AZ100" s="43"/>
      <c r="BA100" s="43"/>
      <c r="BB100" s="43"/>
      <c r="BC100" s="43"/>
      <c r="BD100" s="43"/>
      <c r="BE100" s="43"/>
      <c r="BF100" s="43"/>
      <c r="BG100" s="43"/>
      <c r="BH100" s="43"/>
      <c r="BI100" s="43"/>
      <c r="BJ100" s="43">
        <f t="shared" ref="BJ100:BP100" si="30">BJ98*BJ99</f>
        <v>56</v>
      </c>
      <c r="BK100" s="43">
        <f t="shared" si="30"/>
        <v>4</v>
      </c>
      <c r="BL100" s="43">
        <f t="shared" si="30"/>
        <v>40</v>
      </c>
      <c r="BM100" s="43">
        <f t="shared" si="30"/>
        <v>20</v>
      </c>
      <c r="BN100" s="43">
        <f t="shared" si="30"/>
        <v>32</v>
      </c>
      <c r="BO100" s="43">
        <f t="shared" si="30"/>
        <v>0</v>
      </c>
      <c r="BP100" s="43">
        <f t="shared" si="30"/>
        <v>72</v>
      </c>
      <c r="BQ100" s="43"/>
      <c r="BR100" s="43"/>
      <c r="BS100" s="43"/>
      <c r="BT100" s="43"/>
      <c r="BU100" s="43"/>
      <c r="BV100" s="43"/>
      <c r="BW100" s="43"/>
      <c r="BX100" s="43"/>
      <c r="BY100" s="43"/>
      <c r="BZ100" s="43"/>
      <c r="CA100" s="43"/>
      <c r="CB100" s="43"/>
      <c r="CC100" s="43"/>
      <c r="CD100" s="43"/>
      <c r="CE100" s="43"/>
      <c r="CF100" s="43"/>
      <c r="CG100" s="43"/>
    </row>
    <row r="101" ht="15.75" customHeight="1">
      <c r="A101" s="31"/>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31"/>
      <c r="AQ101" s="31"/>
      <c r="AR101" s="31"/>
      <c r="AS101" s="31"/>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row>
    <row r="102" ht="15.75" customHeight="1">
      <c r="A102" s="47" t="s">
        <v>202</v>
      </c>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31"/>
      <c r="AQ102" s="31"/>
      <c r="AR102" s="31"/>
      <c r="AS102" s="47" t="s">
        <v>202</v>
      </c>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row>
    <row r="103" ht="15.75" customHeight="1">
      <c r="A103" s="39" t="s">
        <v>195</v>
      </c>
      <c r="B103" s="40">
        <v>1.0</v>
      </c>
      <c r="C103" s="40">
        <v>2.0</v>
      </c>
      <c r="D103" s="40">
        <v>3.0</v>
      </c>
      <c r="E103" s="40">
        <v>4.0</v>
      </c>
      <c r="F103" s="40">
        <v>5.0</v>
      </c>
      <c r="G103" s="40">
        <v>6.0</v>
      </c>
      <c r="H103" s="40">
        <v>7.0</v>
      </c>
      <c r="I103" s="40">
        <v>8.0</v>
      </c>
      <c r="J103" s="40">
        <v>9.0</v>
      </c>
      <c r="K103" s="40">
        <v>10.0</v>
      </c>
      <c r="L103" s="40">
        <v>11.0</v>
      </c>
      <c r="M103" s="40">
        <v>12.0</v>
      </c>
      <c r="N103" s="40">
        <v>13.0</v>
      </c>
      <c r="O103" s="40">
        <v>14.0</v>
      </c>
      <c r="P103" s="40">
        <v>15.0</v>
      </c>
      <c r="Q103" s="40">
        <v>16.0</v>
      </c>
      <c r="R103" s="40">
        <v>17.0</v>
      </c>
      <c r="S103" s="40">
        <v>18.0</v>
      </c>
      <c r="T103" s="40">
        <v>19.0</v>
      </c>
      <c r="U103" s="40">
        <v>20.0</v>
      </c>
      <c r="V103" s="40">
        <v>21.0</v>
      </c>
      <c r="W103" s="40">
        <v>22.0</v>
      </c>
      <c r="X103" s="40">
        <v>23.0</v>
      </c>
      <c r="Y103" s="50">
        <v>24.0</v>
      </c>
      <c r="Z103" s="50">
        <v>25.0</v>
      </c>
      <c r="AA103" s="50">
        <v>26.0</v>
      </c>
      <c r="AB103" s="50">
        <v>27.0</v>
      </c>
      <c r="AC103" s="50">
        <v>28.0</v>
      </c>
      <c r="AD103" s="50">
        <v>29.0</v>
      </c>
      <c r="AE103" s="50">
        <v>30.0</v>
      </c>
      <c r="AF103" s="50">
        <v>31.0</v>
      </c>
      <c r="AG103" s="50">
        <v>32.0</v>
      </c>
      <c r="AH103" s="50">
        <v>33.0</v>
      </c>
      <c r="AI103" s="50">
        <v>34.0</v>
      </c>
      <c r="AJ103" s="40">
        <v>35.0</v>
      </c>
      <c r="AK103" s="40">
        <v>36.0</v>
      </c>
      <c r="AL103" s="40">
        <v>37.0</v>
      </c>
      <c r="AM103" s="40">
        <v>38.0</v>
      </c>
      <c r="AN103" s="40">
        <v>39.0</v>
      </c>
      <c r="AO103" s="40">
        <v>40.0</v>
      </c>
      <c r="AP103" s="31"/>
      <c r="AQ103" s="31"/>
      <c r="AR103" s="31"/>
      <c r="AS103" s="39" t="s">
        <v>195</v>
      </c>
      <c r="AT103" s="40">
        <v>1.0</v>
      </c>
      <c r="AU103" s="40">
        <v>2.0</v>
      </c>
      <c r="AV103" s="40">
        <v>3.0</v>
      </c>
      <c r="AW103" s="40">
        <v>4.0</v>
      </c>
      <c r="AX103" s="40">
        <v>5.0</v>
      </c>
      <c r="AY103" s="40">
        <v>6.0</v>
      </c>
      <c r="AZ103" s="40">
        <v>7.0</v>
      </c>
      <c r="BA103" s="40">
        <v>8.0</v>
      </c>
      <c r="BB103" s="40">
        <v>9.0</v>
      </c>
      <c r="BC103" s="40">
        <v>10.0</v>
      </c>
      <c r="BD103" s="40">
        <v>11.0</v>
      </c>
      <c r="BE103" s="40">
        <v>12.0</v>
      </c>
      <c r="BF103" s="40">
        <v>13.0</v>
      </c>
      <c r="BG103" s="40">
        <v>14.0</v>
      </c>
      <c r="BH103" s="40">
        <v>15.0</v>
      </c>
      <c r="BI103" s="40">
        <v>16.0</v>
      </c>
      <c r="BJ103" s="40">
        <v>17.0</v>
      </c>
      <c r="BK103" s="40">
        <v>18.0</v>
      </c>
      <c r="BL103" s="40">
        <v>19.0</v>
      </c>
      <c r="BM103" s="40">
        <v>20.0</v>
      </c>
      <c r="BN103" s="40">
        <v>21.0</v>
      </c>
      <c r="BO103" s="40">
        <v>22.0</v>
      </c>
      <c r="BP103" s="40">
        <v>23.0</v>
      </c>
      <c r="BQ103" s="40">
        <v>24.0</v>
      </c>
      <c r="BR103" s="50">
        <v>25.0</v>
      </c>
      <c r="BS103" s="50">
        <v>26.0</v>
      </c>
      <c r="BT103" s="50">
        <v>27.0</v>
      </c>
      <c r="BU103" s="50">
        <v>28.0</v>
      </c>
      <c r="BV103" s="50">
        <v>29.0</v>
      </c>
      <c r="BW103" s="50">
        <v>30.0</v>
      </c>
      <c r="BX103" s="50">
        <v>31.0</v>
      </c>
      <c r="BY103" s="50">
        <v>32.0</v>
      </c>
      <c r="BZ103" s="50">
        <v>33.0</v>
      </c>
      <c r="CA103" s="50">
        <v>34.0</v>
      </c>
      <c r="CB103" s="50">
        <v>35.0</v>
      </c>
      <c r="CC103" s="40">
        <v>36.0</v>
      </c>
      <c r="CD103" s="40">
        <v>37.0</v>
      </c>
      <c r="CE103" s="40">
        <v>38.0</v>
      </c>
      <c r="CF103" s="40">
        <v>39.0</v>
      </c>
      <c r="CG103" s="40">
        <v>40.0</v>
      </c>
    </row>
    <row r="104" ht="15.75" customHeight="1">
      <c r="A104" s="42" t="s">
        <v>196</v>
      </c>
      <c r="B104" s="43" t="str">
        <f t="shared" ref="B104:AO104" si="31">B89</f>
        <v>|</v>
      </c>
      <c r="C104" s="43" t="str">
        <f t="shared" si="31"/>
        <v>0</v>
      </c>
      <c r="D104" s="43" t="str">
        <f t="shared" si="31"/>
        <v>1</v>
      </c>
      <c r="E104" s="43" t="str">
        <f t="shared" si="31"/>
        <v>0</v>
      </c>
      <c r="F104" s="43" t="str">
        <f t="shared" si="31"/>
        <v>5</v>
      </c>
      <c r="G104" s="43" t="str">
        <f t="shared" si="31"/>
        <v>5</v>
      </c>
      <c r="H104" s="43" t="str">
        <f t="shared" si="31"/>
        <v>5</v>
      </c>
      <c r="I104" s="43" t="str">
        <f t="shared" si="31"/>
        <v>0</v>
      </c>
      <c r="J104" s="43" t="str">
        <f t="shared" si="31"/>
        <v>1</v>
      </c>
      <c r="K104" s="43" t="str">
        <f t="shared" si="31"/>
        <v>0</v>
      </c>
      <c r="L104" s="43" t="str">
        <f t="shared" si="31"/>
        <v>5</v>
      </c>
      <c r="M104" s="43" t="str">
        <f t="shared" si="31"/>
        <v>9</v>
      </c>
      <c r="N104" s="43" t="str">
        <f t="shared" si="31"/>
        <v>9</v>
      </c>
      <c r="O104" s="43" t="str">
        <f t="shared" si="31"/>
        <v>2</v>
      </c>
      <c r="P104" s="43" t="str">
        <f t="shared" si="31"/>
        <v>0</v>
      </c>
      <c r="Q104" s="43" t="str">
        <f t="shared" si="31"/>
        <v>4</v>
      </c>
      <c r="R104" s="43" t="str">
        <f t="shared" si="31"/>
        <v>4</v>
      </c>
      <c r="S104" s="43" t="str">
        <f t="shared" si="31"/>
        <v>0</v>
      </c>
      <c r="T104" s="43" t="str">
        <f t="shared" si="31"/>
        <v>1</v>
      </c>
      <c r="U104" s="43" t="str">
        <f t="shared" si="31"/>
        <v>2</v>
      </c>
      <c r="V104" s="43" t="str">
        <f t="shared" si="31"/>
        <v>8</v>
      </c>
      <c r="W104" s="43" t="str">
        <f t="shared" si="31"/>
        <v>6</v>
      </c>
      <c r="X104" s="43" t="str">
        <f t="shared" si="31"/>
        <v>4</v>
      </c>
      <c r="Y104" s="51" t="str">
        <f t="shared" si="31"/>
        <v>1</v>
      </c>
      <c r="Z104" s="51" t="str">
        <f t="shared" si="31"/>
        <v>4</v>
      </c>
      <c r="AA104" s="51" t="str">
        <f t="shared" si="31"/>
        <v>5</v>
      </c>
      <c r="AB104" s="51" t="str">
        <f t="shared" si="31"/>
        <v>2</v>
      </c>
      <c r="AC104" s="51" t="str">
        <f t="shared" si="31"/>
        <v>0</v>
      </c>
      <c r="AD104" s="51" t="str">
        <f t="shared" si="31"/>
        <v>8</v>
      </c>
      <c r="AE104" s="51" t="str">
        <f t="shared" si="31"/>
        <v>9</v>
      </c>
      <c r="AF104" s="51" t="str">
        <f t="shared" si="31"/>
        <v>3</v>
      </c>
      <c r="AG104" s="51" t="str">
        <f t="shared" si="31"/>
        <v>1</v>
      </c>
      <c r="AH104" s="51" t="str">
        <f t="shared" si="31"/>
        <v>3</v>
      </c>
      <c r="AI104" s="51" t="str">
        <f t="shared" si="31"/>
        <v>0</v>
      </c>
      <c r="AJ104" s="43" t="str">
        <f t="shared" si="31"/>
        <v>9</v>
      </c>
      <c r="AK104" s="43" t="str">
        <f t="shared" si="31"/>
        <v>2</v>
      </c>
      <c r="AL104" s="43" t="str">
        <f t="shared" si="31"/>
        <v>0</v>
      </c>
      <c r="AM104" s="43" t="str">
        <f t="shared" si="31"/>
        <v/>
      </c>
      <c r="AN104" s="43" t="str">
        <f t="shared" si="31"/>
        <v/>
      </c>
      <c r="AO104" s="43" t="str">
        <f t="shared" si="31"/>
        <v/>
      </c>
      <c r="AP104" s="33"/>
      <c r="AQ104" s="33"/>
      <c r="AR104" s="33"/>
      <c r="AS104" s="42"/>
      <c r="AT104" s="43" t="str">
        <f t="shared" ref="AT104:CG104" si="32">AT89</f>
        <v>|</v>
      </c>
      <c r="AU104" s="43" t="str">
        <f t="shared" si="32"/>
        <v>0</v>
      </c>
      <c r="AV104" s="43" t="str">
        <f t="shared" si="32"/>
        <v>1</v>
      </c>
      <c r="AW104" s="43" t="str">
        <f t="shared" si="32"/>
        <v>0</v>
      </c>
      <c r="AX104" s="43" t="str">
        <f t="shared" si="32"/>
        <v>5</v>
      </c>
      <c r="AY104" s="43" t="str">
        <f t="shared" si="32"/>
        <v>5</v>
      </c>
      <c r="AZ104" s="43" t="str">
        <f t="shared" si="32"/>
        <v>5</v>
      </c>
      <c r="BA104" s="43" t="str">
        <f t="shared" si="32"/>
        <v>0</v>
      </c>
      <c r="BB104" s="43" t="str">
        <f t="shared" si="32"/>
        <v>1</v>
      </c>
      <c r="BC104" s="43" t="str">
        <f t="shared" si="32"/>
        <v>0</v>
      </c>
      <c r="BD104" s="43" t="str">
        <f t="shared" si="32"/>
        <v>5</v>
      </c>
      <c r="BE104" s="43" t="str">
        <f t="shared" si="32"/>
        <v>9</v>
      </c>
      <c r="BF104" s="43" t="str">
        <f t="shared" si="32"/>
        <v>9</v>
      </c>
      <c r="BG104" s="43" t="str">
        <f t="shared" si="32"/>
        <v>2</v>
      </c>
      <c r="BH104" s="43" t="str">
        <f t="shared" si="32"/>
        <v>0</v>
      </c>
      <c r="BI104" s="43" t="str">
        <f t="shared" si="32"/>
        <v>4</v>
      </c>
      <c r="BJ104" s="43" t="str">
        <f t="shared" si="32"/>
        <v>7</v>
      </c>
      <c r="BK104" s="43" t="str">
        <f t="shared" si="32"/>
        <v>1</v>
      </c>
      <c r="BL104" s="43" t="str">
        <f t="shared" si="32"/>
        <v>5</v>
      </c>
      <c r="BM104" s="43" t="str">
        <f t="shared" si="32"/>
        <v>5</v>
      </c>
      <c r="BN104" s="43" t="str">
        <f t="shared" si="32"/>
        <v>4</v>
      </c>
      <c r="BO104" s="43" t="str">
        <f t="shared" si="32"/>
        <v>0</v>
      </c>
      <c r="BP104" s="43" t="str">
        <f t="shared" si="32"/>
        <v>9</v>
      </c>
      <c r="BQ104" s="51" t="str">
        <f t="shared" si="32"/>
        <v>0</v>
      </c>
      <c r="BR104" s="51" t="str">
        <f t="shared" si="32"/>
        <v>8</v>
      </c>
      <c r="BS104" s="51" t="str">
        <f t="shared" si="32"/>
        <v>1</v>
      </c>
      <c r="BT104" s="51" t="str">
        <f t="shared" si="32"/>
        <v>0</v>
      </c>
      <c r="BU104" s="51" t="str">
        <f t="shared" si="32"/>
        <v>5</v>
      </c>
      <c r="BV104" s="51" t="str">
        <f t="shared" si="32"/>
        <v>0</v>
      </c>
      <c r="BW104" s="51" t="str">
        <f t="shared" si="32"/>
        <v>4</v>
      </c>
      <c r="BX104" s="51" t="str">
        <f t="shared" si="32"/>
        <v>7</v>
      </c>
      <c r="BY104" s="51" t="str">
        <f t="shared" si="32"/>
        <v>2</v>
      </c>
      <c r="BZ104" s="51" t="str">
        <f t="shared" si="32"/>
        <v>4</v>
      </c>
      <c r="CA104" s="51" t="str">
        <f t="shared" si="32"/>
        <v>3</v>
      </c>
      <c r="CB104" s="51" t="str">
        <f t="shared" si="32"/>
        <v>0</v>
      </c>
      <c r="CC104" s="43" t="str">
        <f t="shared" si="32"/>
        <v>2</v>
      </c>
      <c r="CD104" s="43" t="str">
        <f t="shared" si="32"/>
        <v>0</v>
      </c>
      <c r="CE104" s="43" t="str">
        <f t="shared" si="32"/>
        <v>0</v>
      </c>
      <c r="CF104" s="43" t="str">
        <f t="shared" si="32"/>
        <v/>
      </c>
      <c r="CG104" s="43" t="str">
        <f t="shared" si="32"/>
        <v/>
      </c>
    </row>
    <row r="105" ht="15.75" customHeight="1">
      <c r="A105" s="52" t="s">
        <v>200</v>
      </c>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v>4.0</v>
      </c>
      <c r="Z105" s="43">
        <v>8.0</v>
      </c>
      <c r="AA105" s="43">
        <v>4.0</v>
      </c>
      <c r="AB105" s="43">
        <v>8.0</v>
      </c>
      <c r="AC105" s="43">
        <v>4.0</v>
      </c>
      <c r="AD105" s="43">
        <v>8.0</v>
      </c>
      <c r="AE105" s="43">
        <v>4.0</v>
      </c>
      <c r="AF105" s="43">
        <v>8.0</v>
      </c>
      <c r="AG105" s="43">
        <v>4.0</v>
      </c>
      <c r="AH105" s="43">
        <v>8.0</v>
      </c>
      <c r="AI105" s="43">
        <v>4.0</v>
      </c>
      <c r="AJ105" s="43"/>
      <c r="AK105" s="43"/>
      <c r="AL105" s="43"/>
      <c r="AM105" s="43"/>
      <c r="AN105" s="43"/>
      <c r="AO105" s="43"/>
      <c r="AP105" s="31"/>
      <c r="AQ105" s="31"/>
      <c r="AR105" s="31"/>
      <c r="AS105" s="52" t="s">
        <v>200</v>
      </c>
      <c r="AT105" s="43"/>
      <c r="AU105" s="43"/>
      <c r="AV105" s="43"/>
      <c r="AW105" s="43"/>
      <c r="AX105" s="43"/>
      <c r="AY105" s="43"/>
      <c r="AZ105" s="43"/>
      <c r="BA105" s="43"/>
      <c r="BB105" s="43"/>
      <c r="BC105" s="43"/>
      <c r="BD105" s="43"/>
      <c r="BE105" s="43"/>
      <c r="BF105" s="43"/>
      <c r="BG105" s="43"/>
      <c r="BH105" s="43"/>
      <c r="BI105" s="43"/>
      <c r="BJ105" s="43"/>
      <c r="BK105" s="43"/>
      <c r="BL105" s="43"/>
      <c r="BM105" s="43"/>
      <c r="BN105" s="43"/>
      <c r="BO105" s="43"/>
      <c r="BP105" s="43"/>
      <c r="BQ105" s="43">
        <v>8.0</v>
      </c>
      <c r="BR105" s="43">
        <v>4.0</v>
      </c>
      <c r="BS105" s="43">
        <v>8.0</v>
      </c>
      <c r="BT105" s="43">
        <v>4.0</v>
      </c>
      <c r="BU105" s="43">
        <v>8.0</v>
      </c>
      <c r="BV105" s="43">
        <v>4.0</v>
      </c>
      <c r="BW105" s="43">
        <v>8.0</v>
      </c>
      <c r="BX105" s="43">
        <v>4.0</v>
      </c>
      <c r="BY105" s="43">
        <v>8.0</v>
      </c>
      <c r="BZ105" s="43">
        <v>4.0</v>
      </c>
      <c r="CA105" s="43">
        <v>8.0</v>
      </c>
      <c r="CB105" s="43">
        <v>4.0</v>
      </c>
      <c r="CC105" s="43"/>
      <c r="CD105" s="43"/>
      <c r="CE105" s="43"/>
      <c r="CF105" s="43"/>
      <c r="CG105" s="43"/>
    </row>
    <row r="106" ht="15.75" customHeight="1">
      <c r="A106" s="52" t="s">
        <v>201</v>
      </c>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f t="shared" ref="Y106:AI106" si="33">Y104*Y105</f>
        <v>4</v>
      </c>
      <c r="Z106" s="43">
        <f t="shared" si="33"/>
        <v>32</v>
      </c>
      <c r="AA106" s="43">
        <f t="shared" si="33"/>
        <v>20</v>
      </c>
      <c r="AB106" s="43">
        <f t="shared" si="33"/>
        <v>16</v>
      </c>
      <c r="AC106" s="43">
        <f t="shared" si="33"/>
        <v>0</v>
      </c>
      <c r="AD106" s="43">
        <f t="shared" si="33"/>
        <v>64</v>
      </c>
      <c r="AE106" s="43">
        <f t="shared" si="33"/>
        <v>36</v>
      </c>
      <c r="AF106" s="43">
        <f t="shared" si="33"/>
        <v>24</v>
      </c>
      <c r="AG106" s="43">
        <f t="shared" si="33"/>
        <v>4</v>
      </c>
      <c r="AH106" s="43">
        <f t="shared" si="33"/>
        <v>24</v>
      </c>
      <c r="AI106" s="43">
        <f t="shared" si="33"/>
        <v>0</v>
      </c>
      <c r="AJ106" s="43"/>
      <c r="AK106" s="43"/>
      <c r="AL106" s="43"/>
      <c r="AM106" s="43"/>
      <c r="AN106" s="43"/>
      <c r="AO106" s="43"/>
      <c r="AP106" s="31"/>
      <c r="AQ106" s="31"/>
      <c r="AR106" s="31"/>
      <c r="AS106" s="52" t="s">
        <v>201</v>
      </c>
      <c r="AT106" s="43"/>
      <c r="AU106" s="43"/>
      <c r="AV106" s="43"/>
      <c r="AW106" s="43"/>
      <c r="AX106" s="43"/>
      <c r="AY106" s="43"/>
      <c r="AZ106" s="43"/>
      <c r="BA106" s="43"/>
      <c r="BB106" s="43"/>
      <c r="BC106" s="43"/>
      <c r="BD106" s="43"/>
      <c r="BE106" s="43"/>
      <c r="BF106" s="43"/>
      <c r="BG106" s="43"/>
      <c r="BH106" s="43"/>
      <c r="BI106" s="43"/>
      <c r="BJ106" s="43"/>
      <c r="BK106" s="43"/>
      <c r="BL106" s="43"/>
      <c r="BM106" s="43"/>
      <c r="BN106" s="43"/>
      <c r="BO106" s="43"/>
      <c r="BP106" s="43"/>
      <c r="BQ106" s="43">
        <f t="shared" ref="BQ106:CB106" si="34">BQ104*BQ105</f>
        <v>0</v>
      </c>
      <c r="BR106" s="43">
        <f t="shared" si="34"/>
        <v>32</v>
      </c>
      <c r="BS106" s="43">
        <f t="shared" si="34"/>
        <v>8</v>
      </c>
      <c r="BT106" s="43">
        <f t="shared" si="34"/>
        <v>0</v>
      </c>
      <c r="BU106" s="43">
        <f t="shared" si="34"/>
        <v>40</v>
      </c>
      <c r="BV106" s="43">
        <f t="shared" si="34"/>
        <v>0</v>
      </c>
      <c r="BW106" s="43">
        <f t="shared" si="34"/>
        <v>32</v>
      </c>
      <c r="BX106" s="43">
        <f t="shared" si="34"/>
        <v>28</v>
      </c>
      <c r="BY106" s="43">
        <f t="shared" si="34"/>
        <v>16</v>
      </c>
      <c r="BZ106" s="43">
        <f t="shared" si="34"/>
        <v>16</v>
      </c>
      <c r="CA106" s="43">
        <f t="shared" si="34"/>
        <v>24</v>
      </c>
      <c r="CB106" s="43">
        <f t="shared" si="34"/>
        <v>0</v>
      </c>
      <c r="CC106" s="43"/>
      <c r="CD106" s="43"/>
      <c r="CE106" s="43"/>
      <c r="CF106" s="43"/>
      <c r="CG106" s="43"/>
    </row>
    <row r="107" ht="15.75" customHeight="1">
      <c r="A107" s="52" t="s">
        <v>203</v>
      </c>
      <c r="B107" s="52">
        <f>SUM(B100:AO100)+SUM(B106:AO106)</f>
        <v>392</v>
      </c>
      <c r="C107" s="31"/>
      <c r="D107" s="31"/>
      <c r="E107" s="31"/>
      <c r="F107" s="31"/>
      <c r="G107" s="31"/>
      <c r="H107" s="31"/>
      <c r="I107" s="31"/>
      <c r="J107" s="31"/>
      <c r="K107" s="31"/>
      <c r="L107" s="31"/>
      <c r="M107" s="31"/>
      <c r="N107" s="31"/>
      <c r="O107" s="31"/>
      <c r="P107" s="31"/>
      <c r="Q107" s="31"/>
      <c r="R107" s="31"/>
      <c r="S107" s="31"/>
      <c r="T107" s="31"/>
      <c r="U107" s="31"/>
      <c r="V107" s="31"/>
      <c r="W107" s="31"/>
      <c r="X107" s="31"/>
      <c r="Y107" s="61" t="s">
        <v>235</v>
      </c>
      <c r="Z107" s="31"/>
      <c r="AA107" s="31"/>
      <c r="AB107" s="31"/>
      <c r="AC107" s="31"/>
      <c r="AD107" s="31"/>
      <c r="AE107" s="31"/>
      <c r="AF107" s="31"/>
      <c r="AG107" s="31"/>
      <c r="AH107" s="31"/>
      <c r="AI107" s="31"/>
      <c r="AJ107" s="31"/>
      <c r="AK107" s="31"/>
      <c r="AL107" s="31"/>
      <c r="AM107" s="31"/>
      <c r="AN107" s="31"/>
      <c r="AO107" s="31"/>
      <c r="AP107" s="31"/>
      <c r="AQ107" s="31"/>
      <c r="AR107" s="31"/>
      <c r="AS107" s="52" t="s">
        <v>203</v>
      </c>
      <c r="AT107" s="52">
        <f>SUM(AT100:CG100)+SUM(AT106:CG106)</f>
        <v>420</v>
      </c>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61" t="s">
        <v>235</v>
      </c>
      <c r="BR107" s="31"/>
      <c r="BS107" s="31"/>
      <c r="BT107" s="31"/>
      <c r="BU107" s="31"/>
      <c r="BV107" s="31"/>
      <c r="BW107" s="31"/>
      <c r="BX107" s="31"/>
      <c r="BY107" s="31"/>
      <c r="BZ107" s="31"/>
      <c r="CA107" s="31"/>
      <c r="CB107" s="31"/>
      <c r="CC107" s="31"/>
      <c r="CD107" s="31"/>
      <c r="CE107" s="31"/>
      <c r="CF107" s="31"/>
      <c r="CG107" s="31"/>
    </row>
    <row r="108" ht="15.75" customHeight="1">
      <c r="A108" s="52" t="s">
        <v>204</v>
      </c>
      <c r="B108" s="44" t="str">
        <f>TEXT(MOD(B107,100),"00")</f>
        <v>92</v>
      </c>
      <c r="C108" s="31"/>
      <c r="D108" s="30" t="s">
        <v>236</v>
      </c>
      <c r="E108" s="31"/>
      <c r="F108" s="30"/>
      <c r="G108" s="31"/>
      <c r="H108" s="31"/>
      <c r="I108" s="31"/>
      <c r="J108" s="31"/>
      <c r="K108" s="31"/>
      <c r="L108" s="31"/>
      <c r="M108" s="31"/>
      <c r="N108" s="31"/>
      <c r="O108" s="31"/>
      <c r="P108" s="31"/>
      <c r="Q108" s="31"/>
      <c r="R108" s="31"/>
      <c r="S108" s="31"/>
      <c r="T108" s="31"/>
      <c r="U108" s="31"/>
      <c r="V108" s="31"/>
      <c r="W108" s="31"/>
      <c r="X108" s="31"/>
      <c r="Y108" s="62" t="s">
        <v>237</v>
      </c>
      <c r="Z108" s="31"/>
      <c r="AA108" s="31"/>
      <c r="AB108" s="31"/>
      <c r="AC108" s="31"/>
      <c r="AD108" s="31"/>
      <c r="AE108" s="31"/>
      <c r="AF108" s="31"/>
      <c r="AG108" s="31"/>
      <c r="AH108" s="31"/>
      <c r="AI108" s="31"/>
      <c r="AJ108" s="31"/>
      <c r="AK108" s="31"/>
      <c r="AL108" s="31"/>
      <c r="AM108" s="31"/>
      <c r="AN108" s="31"/>
      <c r="AO108" s="31"/>
      <c r="AP108" s="31"/>
      <c r="AQ108" s="31"/>
      <c r="AR108" s="31"/>
      <c r="AS108" s="52" t="s">
        <v>204</v>
      </c>
      <c r="AT108" s="44" t="str">
        <f>TEXT(MOD(AT107,100),"00")</f>
        <v>20</v>
      </c>
      <c r="AU108" s="31"/>
      <c r="AV108" s="30" t="s">
        <v>236</v>
      </c>
      <c r="AW108" s="31"/>
      <c r="AX108" s="30"/>
      <c r="AY108" s="31"/>
      <c r="AZ108" s="31"/>
      <c r="BA108" s="31"/>
      <c r="BB108" s="31"/>
      <c r="BC108" s="31"/>
      <c r="BD108" s="31"/>
      <c r="BE108" s="31"/>
      <c r="BF108" s="31"/>
      <c r="BG108" s="31"/>
      <c r="BH108" s="31"/>
      <c r="BI108" s="31"/>
      <c r="BJ108" s="31"/>
      <c r="BK108" s="31"/>
      <c r="BL108" s="31"/>
      <c r="BM108" s="31"/>
      <c r="BN108" s="31"/>
      <c r="BO108" s="31"/>
      <c r="BP108" s="31"/>
      <c r="BQ108" s="62" t="s">
        <v>237</v>
      </c>
      <c r="BR108" s="31"/>
      <c r="BS108" s="31"/>
      <c r="BT108" s="31"/>
      <c r="BU108" s="31"/>
      <c r="BV108" s="31"/>
      <c r="BW108" s="31"/>
      <c r="BX108" s="31"/>
      <c r="BY108" s="31"/>
      <c r="BZ108" s="31"/>
      <c r="CA108" s="31"/>
      <c r="CB108" s="31"/>
      <c r="CC108" s="31"/>
      <c r="CD108" s="31"/>
      <c r="CE108" s="31"/>
      <c r="CF108" s="31"/>
      <c r="CG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row>
    <row r="111" ht="6.0"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row>
    <row r="112" ht="15.75" customHeight="1">
      <c r="A112" s="30" t="s">
        <v>238</v>
      </c>
      <c r="B112" s="63"/>
      <c r="C112" s="63"/>
      <c r="D112" s="63"/>
      <c r="E112" s="63"/>
      <c r="F112" s="63"/>
      <c r="G112" s="63"/>
      <c r="H112" s="63"/>
      <c r="I112" s="63"/>
      <c r="J112" s="63"/>
      <c r="K112" s="63"/>
      <c r="L112" s="64" t="s">
        <v>190</v>
      </c>
      <c r="M112" s="65">
        <f>LEN(A112)</f>
        <v>45</v>
      </c>
      <c r="N112" s="63"/>
      <c r="O112" s="63"/>
      <c r="P112" s="63"/>
      <c r="Q112" s="63"/>
      <c r="R112" s="63"/>
      <c r="S112" s="63"/>
      <c r="T112" s="63"/>
      <c r="U112" s="63"/>
      <c r="V112" s="63"/>
      <c r="W112" s="63"/>
      <c r="X112" s="63"/>
      <c r="Y112" s="63"/>
      <c r="Z112" s="63"/>
      <c r="AA112" s="63"/>
      <c r="AB112" s="63"/>
      <c r="AC112" s="63"/>
      <c r="AD112" s="63"/>
      <c r="AE112" s="63"/>
      <c r="AF112" s="63"/>
      <c r="AG112" s="63"/>
      <c r="AH112" s="63"/>
      <c r="AI112" s="63"/>
      <c r="AJ112" s="63"/>
      <c r="AK112" s="63"/>
      <c r="AL112" s="63"/>
      <c r="AM112" s="63"/>
      <c r="AN112" s="63"/>
      <c r="AO112" s="63"/>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c r="CE112" s="30"/>
      <c r="CF112" s="30"/>
      <c r="CG112" s="30"/>
    </row>
    <row r="113" ht="15.75" customHeight="1">
      <c r="A113" s="34" t="s">
        <v>191</v>
      </c>
      <c r="B113" s="66" t="s">
        <v>122</v>
      </c>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8" t="s">
        <v>239</v>
      </c>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c r="CE113" s="30"/>
      <c r="CF113" s="30"/>
      <c r="CG113" s="30"/>
    </row>
    <row r="114" ht="15.75" customHeight="1">
      <c r="A114" s="69" t="s">
        <v>193</v>
      </c>
      <c r="B114" s="70"/>
      <c r="C114" s="70"/>
      <c r="D114" s="70"/>
      <c r="E114" s="70"/>
      <c r="F114" s="70"/>
      <c r="G114" s="70"/>
      <c r="H114" s="70"/>
      <c r="I114" s="70"/>
      <c r="J114" s="70"/>
      <c r="K114" s="70"/>
      <c r="L114" s="70"/>
      <c r="M114" s="70"/>
      <c r="N114" s="70"/>
      <c r="O114" s="70"/>
      <c r="P114" s="70"/>
      <c r="Q114" s="70"/>
      <c r="R114" s="69" t="s">
        <v>194</v>
      </c>
      <c r="S114" s="70"/>
      <c r="T114" s="70"/>
      <c r="U114" s="70"/>
      <c r="V114" s="70"/>
      <c r="W114" s="70"/>
      <c r="X114" s="70"/>
      <c r="Y114" s="70"/>
      <c r="Z114" s="70"/>
      <c r="AA114" s="70"/>
      <c r="AB114" s="70"/>
      <c r="AC114" s="70"/>
      <c r="AD114" s="70"/>
      <c r="AE114" s="70"/>
      <c r="AF114" s="69"/>
      <c r="AG114" s="70"/>
      <c r="AH114" s="70"/>
      <c r="AI114" s="70"/>
      <c r="AJ114" s="70"/>
      <c r="AK114" s="70"/>
      <c r="AL114" s="70"/>
      <c r="AM114" s="70"/>
      <c r="AN114" s="70"/>
      <c r="AO114" s="7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c r="CE114" s="30"/>
      <c r="CF114" s="30"/>
      <c r="CG114" s="30"/>
    </row>
    <row r="115" ht="15.75" customHeight="1">
      <c r="A115" s="71" t="s">
        <v>195</v>
      </c>
      <c r="B115" s="72">
        <v>1.0</v>
      </c>
      <c r="C115" s="72">
        <v>2.0</v>
      </c>
      <c r="D115" s="72">
        <v>3.0</v>
      </c>
      <c r="E115" s="72">
        <v>4.0</v>
      </c>
      <c r="F115" s="72">
        <v>5.0</v>
      </c>
      <c r="G115" s="72">
        <v>6.0</v>
      </c>
      <c r="H115" s="72">
        <v>7.0</v>
      </c>
      <c r="I115" s="72">
        <v>8.0</v>
      </c>
      <c r="J115" s="72">
        <v>9.0</v>
      </c>
      <c r="K115" s="72">
        <v>10.0</v>
      </c>
      <c r="L115" s="72">
        <v>11.0</v>
      </c>
      <c r="M115" s="72">
        <v>12.0</v>
      </c>
      <c r="N115" s="72">
        <v>13.0</v>
      </c>
      <c r="O115" s="72">
        <v>14.0</v>
      </c>
      <c r="P115" s="72">
        <v>15.0</v>
      </c>
      <c r="Q115" s="72">
        <v>16.0</v>
      </c>
      <c r="R115" s="72">
        <v>17.0</v>
      </c>
      <c r="S115" s="72">
        <v>18.0</v>
      </c>
      <c r="T115" s="72">
        <v>19.0</v>
      </c>
      <c r="U115" s="72">
        <v>20.0</v>
      </c>
      <c r="V115" s="72">
        <v>21.0</v>
      </c>
      <c r="W115" s="72">
        <v>22.0</v>
      </c>
      <c r="X115" s="72">
        <v>23.0</v>
      </c>
      <c r="Y115" s="72">
        <v>24.0</v>
      </c>
      <c r="Z115" s="72">
        <v>25.0</v>
      </c>
      <c r="AA115" s="72">
        <v>26.0</v>
      </c>
      <c r="AB115" s="72">
        <v>27.0</v>
      </c>
      <c r="AC115" s="72">
        <v>28.0</v>
      </c>
      <c r="AD115" s="73">
        <v>29.0</v>
      </c>
      <c r="AE115" s="72">
        <v>30.0</v>
      </c>
      <c r="AF115" s="72">
        <v>31.0</v>
      </c>
      <c r="AG115" s="72">
        <v>32.0</v>
      </c>
      <c r="AH115" s="72">
        <v>33.0</v>
      </c>
      <c r="AI115" s="72">
        <v>34.0</v>
      </c>
      <c r="AJ115" s="72">
        <v>35.0</v>
      </c>
      <c r="AK115" s="72">
        <v>36.0</v>
      </c>
      <c r="AL115" s="72">
        <v>37.0</v>
      </c>
      <c r="AM115" s="72">
        <v>38.0</v>
      </c>
      <c r="AN115" s="72">
        <v>39.0</v>
      </c>
      <c r="AO115" s="74">
        <v>40.0</v>
      </c>
      <c r="AP115" s="75">
        <v>41.0</v>
      </c>
      <c r="AQ115" s="75">
        <v>42.0</v>
      </c>
      <c r="AR115" s="75">
        <v>43.0</v>
      </c>
      <c r="AS115" s="75">
        <v>44.0</v>
      </c>
      <c r="AT115" s="75">
        <v>45.0</v>
      </c>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c r="CE115" s="30"/>
      <c r="CF115" s="30"/>
      <c r="CG115" s="30"/>
    </row>
    <row r="116" ht="15.75" customHeight="1">
      <c r="A116" s="76" t="s">
        <v>240</v>
      </c>
      <c r="B116" s="77" t="str">
        <f t="shared" ref="B116:AT116" si="35">MID($A112,B115,1)</f>
        <v>|</v>
      </c>
      <c r="C116" s="77" t="str">
        <f t="shared" si="35"/>
        <v>0</v>
      </c>
      <c r="D116" s="77" t="str">
        <f t="shared" si="35"/>
        <v>1</v>
      </c>
      <c r="E116" s="77" t="str">
        <f t="shared" si="35"/>
        <v>0</v>
      </c>
      <c r="F116" s="77" t="str">
        <f t="shared" si="35"/>
        <v>7</v>
      </c>
      <c r="G116" s="77" t="str">
        <f t="shared" si="35"/>
        <v>5</v>
      </c>
      <c r="H116" s="77" t="str">
        <f t="shared" si="35"/>
        <v>3</v>
      </c>
      <c r="I116" s="77" t="str">
        <f t="shared" si="35"/>
        <v>6</v>
      </c>
      <c r="J116" s="77" t="str">
        <f t="shared" si="35"/>
        <v>0</v>
      </c>
      <c r="K116" s="77" t="str">
        <f t="shared" si="35"/>
        <v>0</v>
      </c>
      <c r="L116" s="77" t="str">
        <f t="shared" si="35"/>
        <v>1</v>
      </c>
      <c r="M116" s="77" t="str">
        <f t="shared" si="35"/>
        <v>4</v>
      </c>
      <c r="N116" s="77" t="str">
        <f t="shared" si="35"/>
        <v>0</v>
      </c>
      <c r="O116" s="77" t="str">
        <f t="shared" si="35"/>
        <v>1</v>
      </c>
      <c r="P116" s="77" t="str">
        <f t="shared" si="35"/>
        <v>1</v>
      </c>
      <c r="Q116" s="77" t="str">
        <f t="shared" si="35"/>
        <v>2</v>
      </c>
      <c r="R116" s="77" t="str">
        <f t="shared" si="35"/>
        <v>0</v>
      </c>
      <c r="S116" s="77" t="str">
        <f t="shared" si="35"/>
        <v>6</v>
      </c>
      <c r="T116" s="77" t="str">
        <f t="shared" si="35"/>
        <v>0</v>
      </c>
      <c r="U116" s="77" t="str">
        <f t="shared" si="35"/>
        <v>9</v>
      </c>
      <c r="V116" s="77" t="str">
        <f t="shared" si="35"/>
        <v>0</v>
      </c>
      <c r="W116" s="77" t="str">
        <f t="shared" si="35"/>
        <v>2</v>
      </c>
      <c r="X116" s="77" t="str">
        <f t="shared" si="35"/>
        <v>0</v>
      </c>
      <c r="Y116" s="77" t="str">
        <f t="shared" si="35"/>
        <v>0</v>
      </c>
      <c r="Z116" s="77" t="str">
        <f t="shared" si="35"/>
        <v>0</v>
      </c>
      <c r="AA116" s="77" t="str">
        <f t="shared" si="35"/>
        <v>0</v>
      </c>
      <c r="AB116" s="77" t="str">
        <f t="shared" si="35"/>
        <v>0</v>
      </c>
      <c r="AC116" s="77" t="str">
        <f t="shared" si="35"/>
        <v>4</v>
      </c>
      <c r="AD116" s="78" t="str">
        <f t="shared" si="35"/>
        <v>4</v>
      </c>
      <c r="AE116" s="77" t="str">
        <f t="shared" si="35"/>
        <v>2</v>
      </c>
      <c r="AF116" s="77" t="str">
        <f t="shared" si="35"/>
        <v>0</v>
      </c>
      <c r="AG116" s="77" t="str">
        <f t="shared" si="35"/>
        <v>0</v>
      </c>
      <c r="AH116" s="77" t="str">
        <f t="shared" si="35"/>
        <v>8</v>
      </c>
      <c r="AI116" s="77" t="str">
        <f t="shared" si="35"/>
        <v>9</v>
      </c>
      <c r="AJ116" s="77" t="str">
        <f t="shared" si="35"/>
        <v>7</v>
      </c>
      <c r="AK116" s="77" t="str">
        <f t="shared" si="35"/>
        <v>7</v>
      </c>
      <c r="AL116" s="77" t="str">
        <f t="shared" si="35"/>
        <v>4</v>
      </c>
      <c r="AM116" s="77" t="str">
        <f t="shared" si="35"/>
        <v>4</v>
      </c>
      <c r="AN116" s="77" t="str">
        <f t="shared" si="35"/>
        <v>7</v>
      </c>
      <c r="AO116" s="79" t="str">
        <f t="shared" si="35"/>
        <v>7</v>
      </c>
      <c r="AP116" s="80" t="str">
        <f t="shared" si="35"/>
        <v>4</v>
      </c>
      <c r="AQ116" s="80" t="str">
        <f t="shared" si="35"/>
        <v>1</v>
      </c>
      <c r="AR116" s="80" t="str">
        <f t="shared" si="35"/>
        <v>3</v>
      </c>
      <c r="AS116" s="80" t="str">
        <f t="shared" si="35"/>
        <v>0</v>
      </c>
      <c r="AT116" s="80" t="str">
        <f t="shared" si="35"/>
        <v>0</v>
      </c>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30"/>
    </row>
    <row r="117" ht="15.75" customHeight="1">
      <c r="A117" s="45" t="s">
        <v>238</v>
      </c>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c r="CE117" s="30"/>
      <c r="CF117" s="30"/>
      <c r="CG117" s="30"/>
    </row>
    <row r="118" ht="15.75" customHeight="1">
      <c r="A118" s="45" t="s">
        <v>241</v>
      </c>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c r="CE118" s="30"/>
      <c r="CF118" s="30"/>
      <c r="CG118" s="30"/>
    </row>
    <row r="119" ht="15.75" customHeight="1">
      <c r="A119" s="45" t="s">
        <v>242</v>
      </c>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30"/>
    </row>
    <row r="120" ht="15.75" customHeight="1">
      <c r="A120" s="81" t="s">
        <v>243</v>
      </c>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82"/>
      <c r="AB120" s="82"/>
      <c r="AC120" s="82"/>
      <c r="AD120" s="82"/>
      <c r="AE120" s="82"/>
      <c r="AF120" s="82"/>
      <c r="AG120" s="82"/>
      <c r="AH120" s="82"/>
      <c r="AI120" s="82"/>
      <c r="AJ120" s="82"/>
      <c r="AK120" s="82"/>
      <c r="AL120" s="82"/>
      <c r="AM120" s="82"/>
      <c r="AN120" s="82"/>
      <c r="AO120" s="82"/>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c r="CE120" s="30"/>
      <c r="CF120" s="30"/>
      <c r="CG120" s="30"/>
    </row>
    <row r="121" ht="15.75" customHeight="1">
      <c r="A121" s="71" t="s">
        <v>195</v>
      </c>
      <c r="B121" s="72">
        <v>1.0</v>
      </c>
      <c r="C121" s="72">
        <v>2.0</v>
      </c>
      <c r="D121" s="72">
        <v>3.0</v>
      </c>
      <c r="E121" s="72">
        <v>4.0</v>
      </c>
      <c r="F121" s="72">
        <v>5.0</v>
      </c>
      <c r="G121" s="72">
        <v>6.0</v>
      </c>
      <c r="H121" s="72">
        <v>7.0</v>
      </c>
      <c r="I121" s="72">
        <v>8.0</v>
      </c>
      <c r="J121" s="72">
        <v>9.0</v>
      </c>
      <c r="K121" s="72">
        <v>10.0</v>
      </c>
      <c r="L121" s="72">
        <v>11.0</v>
      </c>
      <c r="M121" s="72">
        <v>12.0</v>
      </c>
      <c r="N121" s="72">
        <v>13.0</v>
      </c>
      <c r="O121" s="72">
        <v>14.0</v>
      </c>
      <c r="P121" s="72">
        <v>15.0</v>
      </c>
      <c r="Q121" s="72">
        <v>16.0</v>
      </c>
      <c r="R121" s="73">
        <v>17.0</v>
      </c>
      <c r="S121" s="73">
        <v>18.0</v>
      </c>
      <c r="T121" s="73">
        <v>19.0</v>
      </c>
      <c r="U121" s="73">
        <v>20.0</v>
      </c>
      <c r="V121" s="73">
        <v>21.0</v>
      </c>
      <c r="W121" s="73">
        <v>22.0</v>
      </c>
      <c r="X121" s="73">
        <v>23.0</v>
      </c>
      <c r="Y121" s="73">
        <v>24.0</v>
      </c>
      <c r="Z121" s="73">
        <v>25.0</v>
      </c>
      <c r="AA121" s="73">
        <v>26.0</v>
      </c>
      <c r="AB121" s="73">
        <v>27.0</v>
      </c>
      <c r="AC121" s="73">
        <v>28.0</v>
      </c>
      <c r="AD121" s="73">
        <v>29.0</v>
      </c>
      <c r="AE121" s="72">
        <v>30.0</v>
      </c>
      <c r="AF121" s="72">
        <v>31.0</v>
      </c>
      <c r="AG121" s="72">
        <v>32.0</v>
      </c>
      <c r="AH121" s="72">
        <v>33.0</v>
      </c>
      <c r="AI121" s="72">
        <v>34.0</v>
      </c>
      <c r="AJ121" s="72">
        <v>35.0</v>
      </c>
      <c r="AK121" s="72">
        <v>36.0</v>
      </c>
      <c r="AL121" s="72">
        <v>37.0</v>
      </c>
      <c r="AM121" s="72">
        <v>38.0</v>
      </c>
      <c r="AN121" s="72">
        <v>39.0</v>
      </c>
      <c r="AO121" s="72">
        <v>40.0</v>
      </c>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c r="CE121" s="30"/>
      <c r="CF121" s="30"/>
      <c r="CG121" s="30"/>
    </row>
    <row r="122" ht="15.75" customHeight="1">
      <c r="A122" s="76" t="s">
        <v>240</v>
      </c>
      <c r="B122" s="77" t="str">
        <f t="shared" ref="B122:AO122" si="36">B116</f>
        <v>|</v>
      </c>
      <c r="C122" s="83" t="str">
        <f t="shared" si="36"/>
        <v>0</v>
      </c>
      <c r="D122" s="83" t="str">
        <f t="shared" si="36"/>
        <v>1</v>
      </c>
      <c r="E122" s="83" t="str">
        <f t="shared" si="36"/>
        <v>0</v>
      </c>
      <c r="F122" s="83" t="str">
        <f t="shared" si="36"/>
        <v>7</v>
      </c>
      <c r="G122" s="83" t="str">
        <f t="shared" si="36"/>
        <v>5</v>
      </c>
      <c r="H122" s="83" t="str">
        <f t="shared" si="36"/>
        <v>3</v>
      </c>
      <c r="I122" s="83" t="str">
        <f t="shared" si="36"/>
        <v>6</v>
      </c>
      <c r="J122" s="83" t="str">
        <f t="shared" si="36"/>
        <v>0</v>
      </c>
      <c r="K122" s="83" t="str">
        <f t="shared" si="36"/>
        <v>0</v>
      </c>
      <c r="L122" s="83" t="str">
        <f t="shared" si="36"/>
        <v>1</v>
      </c>
      <c r="M122" s="83" t="str">
        <f t="shared" si="36"/>
        <v>4</v>
      </c>
      <c r="N122" s="83" t="str">
        <f t="shared" si="36"/>
        <v>0</v>
      </c>
      <c r="O122" s="83" t="str">
        <f t="shared" si="36"/>
        <v>1</v>
      </c>
      <c r="P122" s="83" t="str">
        <f t="shared" si="36"/>
        <v>1</v>
      </c>
      <c r="Q122" s="83" t="str">
        <f t="shared" si="36"/>
        <v>2</v>
      </c>
      <c r="R122" s="84" t="str">
        <f t="shared" si="36"/>
        <v>0</v>
      </c>
      <c r="S122" s="84" t="str">
        <f t="shared" si="36"/>
        <v>6</v>
      </c>
      <c r="T122" s="84" t="str">
        <f t="shared" si="36"/>
        <v>0</v>
      </c>
      <c r="U122" s="84" t="str">
        <f t="shared" si="36"/>
        <v>9</v>
      </c>
      <c r="V122" s="84" t="str">
        <f t="shared" si="36"/>
        <v>0</v>
      </c>
      <c r="W122" s="84" t="str">
        <f t="shared" si="36"/>
        <v>2</v>
      </c>
      <c r="X122" s="84" t="str">
        <f t="shared" si="36"/>
        <v>0</v>
      </c>
      <c r="Y122" s="84" t="str">
        <f t="shared" si="36"/>
        <v>0</v>
      </c>
      <c r="Z122" s="84" t="str">
        <f t="shared" si="36"/>
        <v>0</v>
      </c>
      <c r="AA122" s="84" t="str">
        <f t="shared" si="36"/>
        <v>0</v>
      </c>
      <c r="AB122" s="84" t="str">
        <f t="shared" si="36"/>
        <v>0</v>
      </c>
      <c r="AC122" s="84" t="str">
        <f t="shared" si="36"/>
        <v>4</v>
      </c>
      <c r="AD122" s="84" t="str">
        <f t="shared" si="36"/>
        <v>4</v>
      </c>
      <c r="AE122" s="83" t="str">
        <f t="shared" si="36"/>
        <v>2</v>
      </c>
      <c r="AF122" s="83" t="str">
        <f t="shared" si="36"/>
        <v>0</v>
      </c>
      <c r="AG122" s="83" t="str">
        <f t="shared" si="36"/>
        <v>0</v>
      </c>
      <c r="AH122" s="83" t="str">
        <f t="shared" si="36"/>
        <v>8</v>
      </c>
      <c r="AI122" s="83" t="str">
        <f t="shared" si="36"/>
        <v>9</v>
      </c>
      <c r="AJ122" s="83" t="str">
        <f t="shared" si="36"/>
        <v>7</v>
      </c>
      <c r="AK122" s="83" t="str">
        <f t="shared" si="36"/>
        <v>7</v>
      </c>
      <c r="AL122" s="83" t="str">
        <f t="shared" si="36"/>
        <v>4</v>
      </c>
      <c r="AM122" s="83" t="str">
        <f t="shared" si="36"/>
        <v>4</v>
      </c>
      <c r="AN122" s="83" t="str">
        <f t="shared" si="36"/>
        <v>7</v>
      </c>
      <c r="AO122" s="83" t="str">
        <f t="shared" si="36"/>
        <v>7</v>
      </c>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c r="CE122" s="30"/>
      <c r="CF122" s="30"/>
      <c r="CG122" s="30"/>
    </row>
    <row r="123" ht="15.75" customHeight="1">
      <c r="A123" s="85" t="s">
        <v>200</v>
      </c>
      <c r="B123" s="86"/>
      <c r="C123" s="86"/>
      <c r="D123" s="86"/>
      <c r="E123" s="86"/>
      <c r="F123" s="86"/>
      <c r="G123" s="86"/>
      <c r="H123" s="86"/>
      <c r="I123" s="86"/>
      <c r="J123" s="86"/>
      <c r="K123" s="86"/>
      <c r="L123" s="86"/>
      <c r="M123" s="86"/>
      <c r="N123" s="86"/>
      <c r="O123" s="86"/>
      <c r="P123" s="86"/>
      <c r="Q123" s="86"/>
      <c r="R123" s="83">
        <v>5.0</v>
      </c>
      <c r="S123" s="83">
        <v>4.0</v>
      </c>
      <c r="T123" s="83">
        <v>3.0</v>
      </c>
      <c r="U123" s="83">
        <v>2.0</v>
      </c>
      <c r="V123" s="83">
        <v>2.0</v>
      </c>
      <c r="W123" s="83">
        <v>3.0</v>
      </c>
      <c r="X123" s="83">
        <v>4.0</v>
      </c>
      <c r="Y123" s="83">
        <v>5.0</v>
      </c>
      <c r="Z123" s="83">
        <v>6.0</v>
      </c>
      <c r="AA123" s="83">
        <v>7.0</v>
      </c>
      <c r="AB123" s="83">
        <v>8.0</v>
      </c>
      <c r="AC123" s="83">
        <v>9.0</v>
      </c>
      <c r="AD123" s="83"/>
      <c r="AE123" s="83"/>
      <c r="AF123" s="83"/>
      <c r="AG123" s="83"/>
      <c r="AH123" s="83"/>
      <c r="AI123" s="83"/>
      <c r="AJ123" s="86"/>
      <c r="AK123" s="86"/>
      <c r="AL123" s="86"/>
      <c r="AM123" s="86"/>
      <c r="AN123" s="86"/>
      <c r="AO123" s="86"/>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c r="CE123" s="30"/>
      <c r="CF123" s="30"/>
      <c r="CG123" s="30"/>
    </row>
    <row r="124" ht="15.75" customHeight="1">
      <c r="A124" s="85" t="s">
        <v>201</v>
      </c>
      <c r="B124" s="77"/>
      <c r="C124" s="86"/>
      <c r="D124" s="86"/>
      <c r="E124" s="86"/>
      <c r="F124" s="86"/>
      <c r="G124" s="86"/>
      <c r="H124" s="86"/>
      <c r="I124" s="86"/>
      <c r="J124" s="86"/>
      <c r="K124" s="86"/>
      <c r="L124" s="86"/>
      <c r="M124" s="86"/>
      <c r="N124" s="86"/>
      <c r="O124" s="86"/>
      <c r="P124" s="86"/>
      <c r="Q124" s="86"/>
      <c r="R124" s="83">
        <f t="shared" ref="R124:AC124" si="37">R122*R123</f>
        <v>0</v>
      </c>
      <c r="S124" s="83">
        <f t="shared" si="37"/>
        <v>24</v>
      </c>
      <c r="T124" s="83">
        <f t="shared" si="37"/>
        <v>0</v>
      </c>
      <c r="U124" s="83">
        <f t="shared" si="37"/>
        <v>18</v>
      </c>
      <c r="V124" s="83">
        <f t="shared" si="37"/>
        <v>0</v>
      </c>
      <c r="W124" s="83">
        <f t="shared" si="37"/>
        <v>6</v>
      </c>
      <c r="X124" s="83">
        <f t="shared" si="37"/>
        <v>0</v>
      </c>
      <c r="Y124" s="83">
        <f t="shared" si="37"/>
        <v>0</v>
      </c>
      <c r="Z124" s="83">
        <f t="shared" si="37"/>
        <v>0</v>
      </c>
      <c r="AA124" s="83">
        <f t="shared" si="37"/>
        <v>0</v>
      </c>
      <c r="AB124" s="83">
        <f t="shared" si="37"/>
        <v>0</v>
      </c>
      <c r="AC124" s="83">
        <f t="shared" si="37"/>
        <v>36</v>
      </c>
      <c r="AD124" s="83"/>
      <c r="AE124" s="83"/>
      <c r="AF124" s="83"/>
      <c r="AG124" s="83"/>
      <c r="AH124" s="83"/>
      <c r="AI124" s="83"/>
      <c r="AJ124" s="86"/>
      <c r="AK124" s="86"/>
      <c r="AL124" s="86"/>
      <c r="AM124" s="86"/>
      <c r="AN124" s="86"/>
      <c r="AO124" s="86"/>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c r="CE124" s="30"/>
      <c r="CF124" s="30"/>
      <c r="CG124" s="30"/>
    </row>
    <row r="125" ht="15.75" customHeight="1">
      <c r="A125" s="85" t="s">
        <v>203</v>
      </c>
      <c r="B125" s="83">
        <f>SUM(R124:AD124)</f>
        <v>84</v>
      </c>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c r="CE125" s="30"/>
      <c r="CF125" s="30"/>
      <c r="CG125" s="30"/>
    </row>
    <row r="126" ht="15.75" customHeight="1">
      <c r="A126" s="85" t="s">
        <v>244</v>
      </c>
      <c r="B126" s="87">
        <f>MOD(B125,11)</f>
        <v>7</v>
      </c>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c r="CE126" s="30"/>
      <c r="CF126" s="30"/>
      <c r="CG126" s="30"/>
    </row>
    <row r="127" ht="15.75" customHeight="1">
      <c r="A127" s="85" t="s">
        <v>245</v>
      </c>
      <c r="B127" s="88">
        <f>IF(B126=0,0,IF((11-B126)&gt;9,0,11-B126))</f>
        <v>4</v>
      </c>
      <c r="C127" s="30"/>
      <c r="D127" s="30" t="s">
        <v>246</v>
      </c>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c r="CE127" s="30"/>
      <c r="CF127" s="30"/>
      <c r="CG127" s="30"/>
    </row>
    <row r="128" ht="15.75" customHeight="1">
      <c r="A128" s="30"/>
      <c r="B128" s="30"/>
      <c r="C128" s="30"/>
      <c r="D128" s="30" t="s">
        <v>247</v>
      </c>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30"/>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30"/>
    </row>
    <row r="130" ht="6.0"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row>
    <row r="131" ht="15.75" customHeight="1">
      <c r="A131" s="30" t="s">
        <v>248</v>
      </c>
      <c r="B131" s="31"/>
      <c r="C131" s="31"/>
      <c r="D131" s="31"/>
      <c r="E131" s="31"/>
      <c r="F131" s="31"/>
      <c r="G131" s="31"/>
      <c r="H131" s="31"/>
      <c r="I131" s="31"/>
      <c r="J131" s="31"/>
      <c r="K131" s="31"/>
      <c r="L131" s="31"/>
      <c r="M131" s="32" t="s">
        <v>190</v>
      </c>
      <c r="N131" s="33">
        <f>LEN(A131)</f>
        <v>48</v>
      </c>
      <c r="O131" s="31"/>
      <c r="P131" s="31"/>
      <c r="Q131" s="31"/>
      <c r="R131" s="30"/>
      <c r="S131" s="30"/>
      <c r="T131" s="30"/>
      <c r="U131" s="30"/>
      <c r="V131" s="30"/>
      <c r="W131" s="30"/>
      <c r="X131" s="30"/>
      <c r="Y131" s="30"/>
      <c r="Z131" s="30"/>
      <c r="AA131" s="31"/>
      <c r="AB131" s="30"/>
      <c r="AC131" s="30"/>
      <c r="AD131" s="30"/>
      <c r="AE131" s="30"/>
      <c r="AF131" s="30"/>
      <c r="AG131" s="30"/>
      <c r="AH131" s="30"/>
      <c r="AI131" s="30"/>
      <c r="AJ131" s="30"/>
      <c r="AK131" s="30"/>
      <c r="AL131" s="31"/>
      <c r="AM131" s="30"/>
      <c r="AN131" s="30"/>
      <c r="AO131" s="30"/>
      <c r="AP131" s="30"/>
      <c r="AQ131" s="30"/>
      <c r="AR131" s="30"/>
      <c r="AS131" s="31"/>
      <c r="AT131" s="30"/>
      <c r="AU131" s="30"/>
      <c r="AV131" s="30"/>
      <c r="AW131" s="30"/>
      <c r="AX131" s="30"/>
      <c r="AY131" s="30"/>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row>
    <row r="132" ht="15.75" customHeight="1">
      <c r="A132" s="34" t="s">
        <v>191</v>
      </c>
      <c r="B132" s="35" t="s">
        <v>138</v>
      </c>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89" t="s">
        <v>249</v>
      </c>
      <c r="AX132" s="30"/>
      <c r="AY132" s="30"/>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row>
    <row r="133" ht="15.75" customHeight="1">
      <c r="A133" s="37" t="s">
        <v>193</v>
      </c>
      <c r="B133" s="38"/>
      <c r="C133" s="38"/>
      <c r="D133" s="38"/>
      <c r="E133" s="38"/>
      <c r="F133" s="38"/>
      <c r="G133" s="38"/>
      <c r="H133" s="38"/>
      <c r="I133" s="38"/>
      <c r="J133" s="38"/>
      <c r="K133" s="38"/>
      <c r="L133" s="90"/>
      <c r="M133" s="38"/>
      <c r="N133" s="38"/>
      <c r="O133" s="90"/>
      <c r="P133" s="38"/>
      <c r="Q133" s="90"/>
      <c r="R133" s="37" t="s">
        <v>194</v>
      </c>
      <c r="S133" s="38"/>
      <c r="T133" s="38"/>
      <c r="U133" s="38"/>
      <c r="V133" s="38"/>
      <c r="W133" s="38"/>
      <c r="X133" s="38"/>
      <c r="Y133" s="38"/>
      <c r="Z133" s="38"/>
      <c r="AA133" s="38"/>
      <c r="AB133" s="38"/>
      <c r="AC133" s="38"/>
      <c r="AD133" s="38"/>
      <c r="AE133" s="38"/>
      <c r="AF133" s="37"/>
      <c r="AG133" s="38"/>
      <c r="AH133" s="38"/>
      <c r="AI133" s="38"/>
      <c r="AJ133" s="38"/>
      <c r="AK133" s="38"/>
      <c r="AL133" s="38"/>
      <c r="AM133" s="38"/>
      <c r="AN133" s="38"/>
      <c r="AO133" s="38"/>
      <c r="AP133" s="38"/>
      <c r="AQ133" s="38"/>
      <c r="AR133" s="38"/>
      <c r="AS133" s="38"/>
      <c r="AT133" s="38"/>
      <c r="AU133" s="38"/>
      <c r="AV133" s="38"/>
      <c r="AW133" s="38"/>
      <c r="AX133" s="30"/>
      <c r="AY133" s="30"/>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row>
    <row r="134" ht="15.75" customHeight="1">
      <c r="A134" s="39" t="s">
        <v>195</v>
      </c>
      <c r="B134" s="40">
        <v>1.0</v>
      </c>
      <c r="C134" s="40">
        <v>2.0</v>
      </c>
      <c r="D134" s="40">
        <v>3.0</v>
      </c>
      <c r="E134" s="40">
        <v>4.0</v>
      </c>
      <c r="F134" s="40">
        <v>5.0</v>
      </c>
      <c r="G134" s="40">
        <v>6.0</v>
      </c>
      <c r="H134" s="40">
        <v>7.0</v>
      </c>
      <c r="I134" s="40">
        <v>8.0</v>
      </c>
      <c r="J134" s="40">
        <v>9.0</v>
      </c>
      <c r="K134" s="40">
        <v>10.0</v>
      </c>
      <c r="L134" s="40">
        <v>11.0</v>
      </c>
      <c r="M134" s="40">
        <v>12.0</v>
      </c>
      <c r="N134" s="40">
        <v>13.0</v>
      </c>
      <c r="O134" s="40">
        <v>14.0</v>
      </c>
      <c r="P134" s="40">
        <v>15.0</v>
      </c>
      <c r="Q134" s="40">
        <v>16.0</v>
      </c>
      <c r="R134" s="40">
        <v>17.0</v>
      </c>
      <c r="S134" s="40">
        <v>18.0</v>
      </c>
      <c r="T134" s="40">
        <v>19.0</v>
      </c>
      <c r="U134" s="40">
        <v>20.0</v>
      </c>
      <c r="V134" s="40">
        <v>21.0</v>
      </c>
      <c r="W134" s="40">
        <v>22.0</v>
      </c>
      <c r="X134" s="40">
        <v>23.0</v>
      </c>
      <c r="Y134" s="40">
        <v>24.0</v>
      </c>
      <c r="Z134" s="40">
        <v>25.0</v>
      </c>
      <c r="AA134" s="40">
        <v>26.0</v>
      </c>
      <c r="AB134" s="40">
        <v>27.0</v>
      </c>
      <c r="AC134" s="40">
        <v>28.0</v>
      </c>
      <c r="AD134" s="40">
        <v>29.0</v>
      </c>
      <c r="AE134" s="40">
        <v>30.0</v>
      </c>
      <c r="AF134" s="40">
        <v>31.0</v>
      </c>
      <c r="AG134" s="40">
        <v>32.0</v>
      </c>
      <c r="AH134" s="41">
        <v>33.0</v>
      </c>
      <c r="AI134" s="41">
        <v>34.0</v>
      </c>
      <c r="AJ134" s="40">
        <v>35.0</v>
      </c>
      <c r="AK134" s="40">
        <v>36.0</v>
      </c>
      <c r="AL134" s="40">
        <v>37.0</v>
      </c>
      <c r="AM134" s="40">
        <v>38.0</v>
      </c>
      <c r="AN134" s="40">
        <v>39.0</v>
      </c>
      <c r="AO134" s="40">
        <v>40.0</v>
      </c>
      <c r="AP134" s="40">
        <v>41.0</v>
      </c>
      <c r="AQ134" s="40">
        <v>42.0</v>
      </c>
      <c r="AR134" s="40">
        <v>43.0</v>
      </c>
      <c r="AS134" s="40">
        <v>44.0</v>
      </c>
      <c r="AT134" s="40">
        <v>45.0</v>
      </c>
      <c r="AU134" s="40">
        <v>46.0</v>
      </c>
      <c r="AV134" s="40">
        <v>47.0</v>
      </c>
      <c r="AW134" s="40">
        <v>48.0</v>
      </c>
      <c r="AX134" s="30"/>
      <c r="AY134" s="30"/>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row>
    <row r="135" ht="15.75" customHeight="1">
      <c r="A135" s="42" t="s">
        <v>196</v>
      </c>
      <c r="B135" s="91" t="str">
        <f t="shared" ref="B135:AW135" si="38">MID($A131,B134,1)</f>
        <v>|</v>
      </c>
      <c r="C135" s="91" t="str">
        <f t="shared" si="38"/>
        <v>0</v>
      </c>
      <c r="D135" s="91" t="str">
        <f t="shared" si="38"/>
        <v>1</v>
      </c>
      <c r="E135" s="91" t="str">
        <f t="shared" si="38"/>
        <v>0</v>
      </c>
      <c r="F135" s="91" t="str">
        <f t="shared" si="38"/>
        <v>7</v>
      </c>
      <c r="G135" s="91" t="str">
        <f t="shared" si="38"/>
        <v>5</v>
      </c>
      <c r="H135" s="91" t="str">
        <f t="shared" si="38"/>
        <v>5</v>
      </c>
      <c r="I135" s="91" t="str">
        <f t="shared" si="38"/>
        <v>5</v>
      </c>
      <c r="J135" s="91" t="str">
        <f t="shared" si="38"/>
        <v>0</v>
      </c>
      <c r="K135" s="91" t="str">
        <f t="shared" si="38"/>
        <v>0</v>
      </c>
      <c r="L135" s="91" t="str">
        <f t="shared" si="38"/>
        <v>0</v>
      </c>
      <c r="M135" s="91" t="str">
        <f t="shared" si="38"/>
        <v>2</v>
      </c>
      <c r="N135" s="91" t="str">
        <f t="shared" si="38"/>
        <v>1</v>
      </c>
      <c r="O135" s="91" t="str">
        <f t="shared" si="38"/>
        <v>0</v>
      </c>
      <c r="P135" s="91" t="str">
        <f t="shared" si="38"/>
        <v>0</v>
      </c>
      <c r="Q135" s="91" t="str">
        <f t="shared" si="38"/>
        <v>1</v>
      </c>
      <c r="R135" s="91" t="str">
        <f t="shared" si="38"/>
        <v>5</v>
      </c>
      <c r="S135" s="91" t="str">
        <f t="shared" si="38"/>
        <v>1</v>
      </c>
      <c r="T135" s="91" t="str">
        <f t="shared" si="38"/>
        <v>0</v>
      </c>
      <c r="U135" s="91" t="str">
        <f t="shared" si="38"/>
        <v>1</v>
      </c>
      <c r="V135" s="91" t="str">
        <f t="shared" si="38"/>
        <v>0</v>
      </c>
      <c r="W135" s="91" t="str">
        <f t="shared" si="38"/>
        <v>2</v>
      </c>
      <c r="X135" s="91" t="str">
        <f t="shared" si="38"/>
        <v>2</v>
      </c>
      <c r="Y135" s="91" t="str">
        <f t="shared" si="38"/>
        <v>3</v>
      </c>
      <c r="Z135" s="91" t="str">
        <f t="shared" si="38"/>
        <v>5</v>
      </c>
      <c r="AA135" s="91" t="str">
        <f t="shared" si="38"/>
        <v>8</v>
      </c>
      <c r="AB135" s="91" t="str">
        <f t="shared" si="38"/>
        <v>5</v>
      </c>
      <c r="AC135" s="91" t="str">
        <f t="shared" si="38"/>
        <v>5</v>
      </c>
      <c r="AD135" s="91" t="str">
        <f t="shared" si="38"/>
        <v>0</v>
      </c>
      <c r="AE135" s="91" t="str">
        <f t="shared" si="38"/>
        <v>1</v>
      </c>
      <c r="AF135" s="91" t="str">
        <f t="shared" si="38"/>
        <v>1</v>
      </c>
      <c r="AG135" s="91" t="str">
        <f t="shared" si="38"/>
        <v>1</v>
      </c>
      <c r="AH135" s="92" t="str">
        <f t="shared" si="38"/>
        <v>6</v>
      </c>
      <c r="AI135" s="92" t="str">
        <f t="shared" si="38"/>
        <v>0</v>
      </c>
      <c r="AJ135" s="91" t="str">
        <f t="shared" si="38"/>
        <v>3</v>
      </c>
      <c r="AK135" s="91" t="str">
        <f t="shared" si="38"/>
        <v>0</v>
      </c>
      <c r="AL135" s="91" t="str">
        <f t="shared" si="38"/>
        <v>1</v>
      </c>
      <c r="AM135" s="91" t="str">
        <f t="shared" si="38"/>
        <v>0</v>
      </c>
      <c r="AN135" s="91" t="str">
        <f t="shared" si="38"/>
        <v>2</v>
      </c>
      <c r="AO135" s="91" t="str">
        <f t="shared" si="38"/>
        <v>5</v>
      </c>
      <c r="AP135" s="91" t="str">
        <f t="shared" si="38"/>
        <v>6</v>
      </c>
      <c r="AQ135" s="91" t="str">
        <f t="shared" si="38"/>
        <v>6</v>
      </c>
      <c r="AR135" s="91" t="str">
        <f t="shared" si="38"/>
        <v>6</v>
      </c>
      <c r="AS135" s="91" t="str">
        <f t="shared" si="38"/>
        <v>7</v>
      </c>
      <c r="AT135" s="91" t="str">
        <f t="shared" si="38"/>
        <v>0</v>
      </c>
      <c r="AU135" s="91" t="str">
        <f t="shared" si="38"/>
        <v>5</v>
      </c>
      <c r="AV135" s="91" t="str">
        <f t="shared" si="38"/>
        <v>0</v>
      </c>
      <c r="AW135" s="91" t="str">
        <f t="shared" si="38"/>
        <v>0</v>
      </c>
      <c r="AX135" s="30"/>
      <c r="AY135" s="30"/>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row>
    <row r="136" ht="15.75" customHeight="1">
      <c r="A136" s="45" t="s">
        <v>250</v>
      </c>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30"/>
      <c r="AY136" s="30"/>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row>
    <row r="137" ht="15.75" customHeight="1">
      <c r="A137" s="45" t="s">
        <v>251</v>
      </c>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30"/>
      <c r="AY137" s="30"/>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row>
    <row r="138" ht="15.75" customHeight="1">
      <c r="A138" s="45" t="s">
        <v>248</v>
      </c>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30"/>
      <c r="AY138" s="30"/>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row>
    <row r="139" ht="15.75" customHeight="1">
      <c r="A139" s="45" t="s">
        <v>252</v>
      </c>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30"/>
      <c r="AY139" s="30"/>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row>
    <row r="140" ht="15.75" customHeight="1">
      <c r="A140" s="47" t="s">
        <v>253</v>
      </c>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30"/>
      <c r="AY140" s="30"/>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row>
    <row r="141" ht="15.75" customHeight="1">
      <c r="A141" s="39" t="s">
        <v>195</v>
      </c>
      <c r="B141" s="40">
        <v>1.0</v>
      </c>
      <c r="C141" s="40">
        <v>2.0</v>
      </c>
      <c r="D141" s="40">
        <v>3.0</v>
      </c>
      <c r="E141" s="40">
        <v>4.0</v>
      </c>
      <c r="F141" s="40">
        <v>5.0</v>
      </c>
      <c r="G141" s="40">
        <v>6.0</v>
      </c>
      <c r="H141" s="40">
        <v>7.0</v>
      </c>
      <c r="I141" s="40">
        <v>8.0</v>
      </c>
      <c r="J141" s="40">
        <v>9.0</v>
      </c>
      <c r="K141" s="40">
        <v>10.0</v>
      </c>
      <c r="L141" s="40">
        <v>11.0</v>
      </c>
      <c r="M141" s="40">
        <v>12.0</v>
      </c>
      <c r="N141" s="40">
        <v>13.0</v>
      </c>
      <c r="O141" s="40">
        <v>14.0</v>
      </c>
      <c r="P141" s="40">
        <v>15.0</v>
      </c>
      <c r="Q141" s="40">
        <v>16.0</v>
      </c>
      <c r="R141" s="41">
        <v>17.0</v>
      </c>
      <c r="S141" s="41">
        <v>18.0</v>
      </c>
      <c r="T141" s="41">
        <v>19.0</v>
      </c>
      <c r="U141" s="41">
        <v>20.0</v>
      </c>
      <c r="V141" s="41">
        <v>21.0</v>
      </c>
      <c r="W141" s="41">
        <v>22.0</v>
      </c>
      <c r="X141" s="41">
        <v>23.0</v>
      </c>
      <c r="Y141" s="41">
        <v>24.0</v>
      </c>
      <c r="Z141" s="41">
        <v>25.0</v>
      </c>
      <c r="AA141" s="41">
        <v>26.0</v>
      </c>
      <c r="AB141" s="41">
        <v>27.0</v>
      </c>
      <c r="AC141" s="41">
        <v>28.0</v>
      </c>
      <c r="AD141" s="41">
        <v>29.0</v>
      </c>
      <c r="AE141" s="41">
        <v>30.0</v>
      </c>
      <c r="AF141" s="41">
        <v>31.0</v>
      </c>
      <c r="AG141" s="41">
        <v>32.0</v>
      </c>
      <c r="AH141" s="41">
        <v>33.0</v>
      </c>
      <c r="AI141" s="41">
        <v>34.0</v>
      </c>
      <c r="AJ141" s="40">
        <v>35.0</v>
      </c>
      <c r="AK141" s="40">
        <v>36.0</v>
      </c>
      <c r="AL141" s="40">
        <v>37.0</v>
      </c>
      <c r="AM141" s="40">
        <v>38.0</v>
      </c>
      <c r="AN141" s="40">
        <v>39.0</v>
      </c>
      <c r="AO141" s="40">
        <v>40.0</v>
      </c>
      <c r="AP141" s="40">
        <v>41.0</v>
      </c>
      <c r="AQ141" s="40">
        <v>42.0</v>
      </c>
      <c r="AR141" s="40">
        <v>43.0</v>
      </c>
      <c r="AS141" s="40">
        <v>44.0</v>
      </c>
      <c r="AT141" s="40">
        <v>45.0</v>
      </c>
      <c r="AU141" s="40">
        <v>46.0</v>
      </c>
      <c r="AV141" s="40">
        <v>47.0</v>
      </c>
      <c r="AW141" s="40">
        <v>48.0</v>
      </c>
      <c r="AX141" s="30"/>
      <c r="AY141" s="30"/>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row>
    <row r="142" ht="15.75" customHeight="1">
      <c r="A142" s="42" t="s">
        <v>196</v>
      </c>
      <c r="B142" s="43" t="str">
        <f t="shared" ref="B142:AW142" si="39">B135</f>
        <v>|</v>
      </c>
      <c r="C142" s="43" t="str">
        <f t="shared" si="39"/>
        <v>0</v>
      </c>
      <c r="D142" s="43" t="str">
        <f t="shared" si="39"/>
        <v>1</v>
      </c>
      <c r="E142" s="43" t="str">
        <f t="shared" si="39"/>
        <v>0</v>
      </c>
      <c r="F142" s="43" t="str">
        <f t="shared" si="39"/>
        <v>7</v>
      </c>
      <c r="G142" s="43" t="str">
        <f t="shared" si="39"/>
        <v>5</v>
      </c>
      <c r="H142" s="43" t="str">
        <f t="shared" si="39"/>
        <v>5</v>
      </c>
      <c r="I142" s="43" t="str">
        <f t="shared" si="39"/>
        <v>5</v>
      </c>
      <c r="J142" s="43" t="str">
        <f t="shared" si="39"/>
        <v>0</v>
      </c>
      <c r="K142" s="43" t="str">
        <f t="shared" si="39"/>
        <v>0</v>
      </c>
      <c r="L142" s="43" t="str">
        <f t="shared" si="39"/>
        <v>0</v>
      </c>
      <c r="M142" s="43" t="str">
        <f t="shared" si="39"/>
        <v>2</v>
      </c>
      <c r="N142" s="43" t="str">
        <f t="shared" si="39"/>
        <v>1</v>
      </c>
      <c r="O142" s="43" t="str">
        <f t="shared" si="39"/>
        <v>0</v>
      </c>
      <c r="P142" s="43" t="str">
        <f t="shared" si="39"/>
        <v>0</v>
      </c>
      <c r="Q142" s="43" t="str">
        <f t="shared" si="39"/>
        <v>1</v>
      </c>
      <c r="R142" s="55" t="str">
        <f t="shared" si="39"/>
        <v>5</v>
      </c>
      <c r="S142" s="55" t="str">
        <f t="shared" si="39"/>
        <v>1</v>
      </c>
      <c r="T142" s="55" t="str">
        <f t="shared" si="39"/>
        <v>0</v>
      </c>
      <c r="U142" s="55" t="str">
        <f t="shared" si="39"/>
        <v>1</v>
      </c>
      <c r="V142" s="55" t="str">
        <f t="shared" si="39"/>
        <v>0</v>
      </c>
      <c r="W142" s="55" t="str">
        <f t="shared" si="39"/>
        <v>2</v>
      </c>
      <c r="X142" s="55" t="str">
        <f t="shared" si="39"/>
        <v>2</v>
      </c>
      <c r="Y142" s="55" t="str">
        <f t="shared" si="39"/>
        <v>3</v>
      </c>
      <c r="Z142" s="55" t="str">
        <f t="shared" si="39"/>
        <v>5</v>
      </c>
      <c r="AA142" s="55" t="str">
        <f t="shared" si="39"/>
        <v>8</v>
      </c>
      <c r="AB142" s="55" t="str">
        <f t="shared" si="39"/>
        <v>5</v>
      </c>
      <c r="AC142" s="55" t="str">
        <f t="shared" si="39"/>
        <v>5</v>
      </c>
      <c r="AD142" s="55" t="str">
        <f t="shared" si="39"/>
        <v>0</v>
      </c>
      <c r="AE142" s="55" t="str">
        <f t="shared" si="39"/>
        <v>1</v>
      </c>
      <c r="AF142" s="55" t="str">
        <f t="shared" si="39"/>
        <v>1</v>
      </c>
      <c r="AG142" s="55" t="str">
        <f t="shared" si="39"/>
        <v>1</v>
      </c>
      <c r="AH142" s="55" t="str">
        <f t="shared" si="39"/>
        <v>6</v>
      </c>
      <c r="AI142" s="55" t="str">
        <f t="shared" si="39"/>
        <v>0</v>
      </c>
      <c r="AJ142" s="43" t="str">
        <f t="shared" si="39"/>
        <v>3</v>
      </c>
      <c r="AK142" s="43" t="str">
        <f t="shared" si="39"/>
        <v>0</v>
      </c>
      <c r="AL142" s="43" t="str">
        <f t="shared" si="39"/>
        <v>1</v>
      </c>
      <c r="AM142" s="43" t="str">
        <f t="shared" si="39"/>
        <v>0</v>
      </c>
      <c r="AN142" s="43" t="str">
        <f t="shared" si="39"/>
        <v>2</v>
      </c>
      <c r="AO142" s="43" t="str">
        <f t="shared" si="39"/>
        <v>5</v>
      </c>
      <c r="AP142" s="43" t="str">
        <f t="shared" si="39"/>
        <v>6</v>
      </c>
      <c r="AQ142" s="43" t="str">
        <f t="shared" si="39"/>
        <v>6</v>
      </c>
      <c r="AR142" s="43" t="str">
        <f t="shared" si="39"/>
        <v>6</v>
      </c>
      <c r="AS142" s="43" t="str">
        <f t="shared" si="39"/>
        <v>7</v>
      </c>
      <c r="AT142" s="43" t="str">
        <f t="shared" si="39"/>
        <v>0</v>
      </c>
      <c r="AU142" s="43" t="str">
        <f t="shared" si="39"/>
        <v>5</v>
      </c>
      <c r="AV142" s="43" t="str">
        <f t="shared" si="39"/>
        <v>0</v>
      </c>
      <c r="AW142" s="43" t="str">
        <f t="shared" si="39"/>
        <v>0</v>
      </c>
      <c r="AX142" s="30"/>
      <c r="AY142" s="30"/>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row>
    <row r="143" ht="15.75" customHeight="1">
      <c r="A143" s="52" t="s">
        <v>200</v>
      </c>
      <c r="B143" s="43"/>
      <c r="C143" s="43"/>
      <c r="D143" s="43"/>
      <c r="E143" s="43"/>
      <c r="F143" s="43"/>
      <c r="G143" s="43"/>
      <c r="H143" s="43"/>
      <c r="I143" s="43"/>
      <c r="J143" s="43"/>
      <c r="K143" s="43"/>
      <c r="L143" s="43"/>
      <c r="M143" s="43"/>
      <c r="N143" s="43"/>
      <c r="O143" s="43"/>
      <c r="P143" s="43"/>
      <c r="Q143" s="43"/>
      <c r="R143" s="43">
        <v>3.0</v>
      </c>
      <c r="S143" s="43">
        <v>9.0</v>
      </c>
      <c r="T143" s="43">
        <v>3.0</v>
      </c>
      <c r="U143" s="43">
        <v>9.0</v>
      </c>
      <c r="V143" s="43">
        <v>3.0</v>
      </c>
      <c r="W143" s="43">
        <v>9.0</v>
      </c>
      <c r="X143" s="43">
        <v>3.0</v>
      </c>
      <c r="Y143" s="43">
        <v>9.0</v>
      </c>
      <c r="Z143" s="43">
        <v>3.0</v>
      </c>
      <c r="AA143" s="43">
        <v>9.0</v>
      </c>
      <c r="AB143" s="43">
        <v>3.0</v>
      </c>
      <c r="AC143" s="43">
        <v>9.0</v>
      </c>
      <c r="AD143" s="43">
        <v>3.0</v>
      </c>
      <c r="AE143" s="43">
        <v>9.0</v>
      </c>
      <c r="AF143" s="43">
        <v>3.0</v>
      </c>
      <c r="AG143" s="43">
        <v>9.0</v>
      </c>
      <c r="AH143" s="43"/>
      <c r="AI143" s="43"/>
      <c r="AJ143" s="43"/>
      <c r="AK143" s="43"/>
      <c r="AL143" s="43"/>
      <c r="AM143" s="43"/>
      <c r="AN143" s="43"/>
      <c r="AO143" s="43"/>
      <c r="AP143" s="43"/>
      <c r="AQ143" s="43"/>
      <c r="AR143" s="43"/>
      <c r="AS143" s="43"/>
      <c r="AT143" s="43"/>
      <c r="AU143" s="43"/>
      <c r="AV143" s="43"/>
      <c r="AW143" s="43"/>
      <c r="AX143" s="30"/>
      <c r="AY143" s="30"/>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row>
    <row r="144" ht="15.75" customHeight="1">
      <c r="A144" s="52" t="s">
        <v>201</v>
      </c>
      <c r="B144" s="43"/>
      <c r="C144" s="43"/>
      <c r="D144" s="43"/>
      <c r="E144" s="43"/>
      <c r="F144" s="43"/>
      <c r="G144" s="43"/>
      <c r="H144" s="43"/>
      <c r="I144" s="43"/>
      <c r="J144" s="43"/>
      <c r="K144" s="43"/>
      <c r="L144" s="43"/>
      <c r="M144" s="43"/>
      <c r="N144" s="43"/>
      <c r="O144" s="43"/>
      <c r="P144" s="43"/>
      <c r="Q144" s="43"/>
      <c r="R144" s="43">
        <f t="shared" ref="R144:AG144" si="40">R142*R143</f>
        <v>15</v>
      </c>
      <c r="S144" s="43">
        <f t="shared" si="40"/>
        <v>9</v>
      </c>
      <c r="T144" s="43">
        <f t="shared" si="40"/>
        <v>0</v>
      </c>
      <c r="U144" s="43">
        <f t="shared" si="40"/>
        <v>9</v>
      </c>
      <c r="V144" s="43">
        <f t="shared" si="40"/>
        <v>0</v>
      </c>
      <c r="W144" s="43">
        <f t="shared" si="40"/>
        <v>18</v>
      </c>
      <c r="X144" s="43">
        <f t="shared" si="40"/>
        <v>6</v>
      </c>
      <c r="Y144" s="43">
        <f t="shared" si="40"/>
        <v>27</v>
      </c>
      <c r="Z144" s="43">
        <f t="shared" si="40"/>
        <v>15</v>
      </c>
      <c r="AA144" s="43">
        <f t="shared" si="40"/>
        <v>72</v>
      </c>
      <c r="AB144" s="43">
        <f t="shared" si="40"/>
        <v>15</v>
      </c>
      <c r="AC144" s="43">
        <f t="shared" si="40"/>
        <v>45</v>
      </c>
      <c r="AD144" s="43">
        <f t="shared" si="40"/>
        <v>0</v>
      </c>
      <c r="AE144" s="43">
        <f t="shared" si="40"/>
        <v>9</v>
      </c>
      <c r="AF144" s="43">
        <f t="shared" si="40"/>
        <v>3</v>
      </c>
      <c r="AG144" s="43">
        <f t="shared" si="40"/>
        <v>9</v>
      </c>
      <c r="AH144" s="43"/>
      <c r="AI144" s="43"/>
      <c r="AJ144" s="43"/>
      <c r="AK144" s="43"/>
      <c r="AL144" s="43"/>
      <c r="AM144" s="43"/>
      <c r="AN144" s="43"/>
      <c r="AO144" s="43"/>
      <c r="AP144" s="43"/>
      <c r="AQ144" s="43"/>
      <c r="AR144" s="43"/>
      <c r="AS144" s="43"/>
      <c r="AT144" s="43"/>
      <c r="AU144" s="43"/>
      <c r="AV144" s="43"/>
      <c r="AW144" s="43"/>
      <c r="AX144" s="30"/>
      <c r="AY144" s="30"/>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row>
    <row r="145" ht="15.75" customHeight="1">
      <c r="A145" s="52" t="s">
        <v>203</v>
      </c>
      <c r="B145" s="43">
        <f>SUM(B144:AI144)</f>
        <v>252</v>
      </c>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0"/>
      <c r="AK145" s="30"/>
      <c r="AL145" s="31"/>
      <c r="AM145" s="31"/>
      <c r="AN145" s="31"/>
      <c r="AO145" s="31"/>
      <c r="AP145" s="31"/>
      <c r="AQ145" s="30"/>
      <c r="AR145" s="30"/>
      <c r="AS145" s="31"/>
      <c r="AT145" s="31"/>
      <c r="AU145" s="31"/>
      <c r="AV145" s="31"/>
      <c r="AW145" s="31"/>
      <c r="AX145" s="30"/>
      <c r="AY145" s="30"/>
      <c r="AZ145" s="31"/>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row>
    <row r="146" ht="15.75" customHeight="1">
      <c r="A146" s="52" t="s">
        <v>254</v>
      </c>
      <c r="B146" s="42">
        <f>B145*5</f>
        <v>1260</v>
      </c>
      <c r="C146" s="31"/>
      <c r="D146" s="30"/>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0"/>
      <c r="AM146" s="30"/>
      <c r="AN146" s="30"/>
      <c r="AO146" s="30"/>
      <c r="AP146" s="30"/>
      <c r="AQ146" s="30"/>
      <c r="AR146" s="30"/>
      <c r="AS146" s="30"/>
      <c r="AT146" s="30"/>
      <c r="AU146" s="30"/>
      <c r="AV146" s="30"/>
      <c r="AW146" s="30"/>
      <c r="AX146" s="30"/>
      <c r="AY146" s="30"/>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row>
    <row r="147" ht="15.75" customHeight="1">
      <c r="A147" s="52" t="s">
        <v>204</v>
      </c>
      <c r="B147" s="44" t="str">
        <f>TEXT(MOD(B146,100),"00")</f>
        <v>60</v>
      </c>
      <c r="C147" s="31"/>
      <c r="D147" s="30" t="s">
        <v>236</v>
      </c>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0"/>
      <c r="AK148" s="30"/>
      <c r="AL148" s="30"/>
      <c r="AM148" s="30"/>
      <c r="AN148" s="30"/>
      <c r="AO148" s="30"/>
      <c r="AP148" s="30"/>
      <c r="AQ148" s="30"/>
      <c r="AR148" s="30"/>
      <c r="AS148" s="30"/>
      <c r="AT148" s="30"/>
      <c r="AU148" s="30"/>
      <c r="AV148" s="30"/>
      <c r="AW148" s="30"/>
      <c r="AX148" s="30"/>
      <c r="AY148" s="30"/>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row>
    <row r="149" ht="15.75" customHeight="1">
      <c r="A149" s="30"/>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row>
    <row r="150" ht="5.2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row>
    <row r="151" ht="15.75" customHeight="1">
      <c r="A151" s="45">
        <v>2.231085103609E12</v>
      </c>
      <c r="B151" s="63"/>
      <c r="C151" s="64" t="s">
        <v>190</v>
      </c>
      <c r="D151" s="65">
        <f>LEN(A151)</f>
        <v>13</v>
      </c>
      <c r="E151" s="63"/>
      <c r="F151" s="63"/>
      <c r="G151" s="63"/>
      <c r="H151" s="63"/>
      <c r="I151" s="63"/>
      <c r="J151" s="63"/>
      <c r="K151" s="63"/>
      <c r="L151" s="63"/>
      <c r="M151" s="63"/>
      <c r="N151" s="63"/>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c r="CE151" s="30"/>
      <c r="CF151" s="30"/>
      <c r="CG151" s="30"/>
    </row>
    <row r="152" ht="15.75" customHeight="1">
      <c r="A152" s="34" t="s">
        <v>191</v>
      </c>
      <c r="B152" s="66" t="s">
        <v>108</v>
      </c>
      <c r="C152" s="67"/>
      <c r="D152" s="67"/>
      <c r="E152" s="67"/>
      <c r="F152" s="67"/>
      <c r="G152" s="67"/>
      <c r="H152" s="67"/>
      <c r="I152" s="67"/>
      <c r="J152" s="67"/>
      <c r="K152" s="93"/>
      <c r="L152" s="93"/>
      <c r="M152" s="93"/>
      <c r="N152" s="68" t="s">
        <v>255</v>
      </c>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row>
    <row r="153" ht="15.75" customHeight="1">
      <c r="A153" s="69" t="s">
        <v>193</v>
      </c>
      <c r="B153" s="70"/>
      <c r="C153" s="70"/>
      <c r="D153" s="70"/>
      <c r="E153" s="70"/>
      <c r="F153" s="70"/>
      <c r="G153" s="70"/>
      <c r="H153" s="70"/>
      <c r="I153" s="70"/>
      <c r="J153" s="69"/>
      <c r="K153" s="94"/>
      <c r="L153" s="94"/>
      <c r="M153" s="94"/>
      <c r="N153" s="94" t="s">
        <v>194</v>
      </c>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c r="CE153" s="30"/>
      <c r="CF153" s="30"/>
      <c r="CG153" s="30"/>
    </row>
    <row r="154" ht="15.75" customHeight="1">
      <c r="A154" s="71" t="s">
        <v>195</v>
      </c>
      <c r="B154" s="95">
        <v>1.0</v>
      </c>
      <c r="C154" s="95">
        <v>2.0</v>
      </c>
      <c r="D154" s="95">
        <v>3.0</v>
      </c>
      <c r="E154" s="95">
        <v>4.0</v>
      </c>
      <c r="F154" s="95">
        <v>5.0</v>
      </c>
      <c r="G154" s="95">
        <v>6.0</v>
      </c>
      <c r="H154" s="95">
        <v>7.0</v>
      </c>
      <c r="I154" s="95">
        <v>8.0</v>
      </c>
      <c r="J154" s="95">
        <v>9.0</v>
      </c>
      <c r="K154" s="95">
        <v>10.0</v>
      </c>
      <c r="L154" s="95">
        <v>11.0</v>
      </c>
      <c r="M154" s="95">
        <v>12.0</v>
      </c>
      <c r="N154" s="96">
        <v>13.0</v>
      </c>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c r="CE154" s="30"/>
      <c r="CF154" s="30"/>
      <c r="CG154" s="30"/>
    </row>
    <row r="155" ht="15.75" customHeight="1">
      <c r="A155" s="76" t="s">
        <v>196</v>
      </c>
      <c r="B155" s="77" t="str">
        <f>MID(A151,B154,1)</f>
        <v>2</v>
      </c>
      <c r="C155" s="77" t="str">
        <f t="shared" ref="C155:N155" si="41">MID($A151,C154,1)</f>
        <v>2</v>
      </c>
      <c r="D155" s="77" t="str">
        <f t="shared" si="41"/>
        <v>3</v>
      </c>
      <c r="E155" s="77" t="str">
        <f t="shared" si="41"/>
        <v>1</v>
      </c>
      <c r="F155" s="77" t="str">
        <f t="shared" si="41"/>
        <v>0</v>
      </c>
      <c r="G155" s="77" t="str">
        <f t="shared" si="41"/>
        <v>8</v>
      </c>
      <c r="H155" s="77" t="str">
        <f t="shared" si="41"/>
        <v>5</v>
      </c>
      <c r="I155" s="77" t="str">
        <f t="shared" si="41"/>
        <v>1</v>
      </c>
      <c r="J155" s="77" t="str">
        <f t="shared" si="41"/>
        <v>0</v>
      </c>
      <c r="K155" s="77" t="str">
        <f t="shared" si="41"/>
        <v>3</v>
      </c>
      <c r="L155" s="77" t="str">
        <f t="shared" si="41"/>
        <v>6</v>
      </c>
      <c r="M155" s="77" t="str">
        <f t="shared" si="41"/>
        <v>0</v>
      </c>
      <c r="N155" s="78" t="str">
        <f t="shared" si="41"/>
        <v>9</v>
      </c>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c r="CE155" s="30"/>
      <c r="CF155" s="30"/>
      <c r="CG155" s="30"/>
    </row>
    <row r="156" ht="15.75" customHeight="1">
      <c r="A156" s="45">
        <v>1.3053062222E12</v>
      </c>
      <c r="B156" s="46"/>
      <c r="C156" s="46"/>
      <c r="D156" s="46"/>
      <c r="E156" s="46"/>
      <c r="F156" s="46"/>
      <c r="G156" s="46"/>
      <c r="H156" s="46"/>
      <c r="I156" s="46"/>
      <c r="J156" s="46"/>
      <c r="K156" s="46"/>
      <c r="L156" s="46"/>
      <c r="M156" s="46"/>
      <c r="N156" s="46"/>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c r="CE156" s="30"/>
      <c r="CF156" s="30"/>
      <c r="CG156" s="30"/>
    </row>
    <row r="157" ht="15.75" customHeight="1">
      <c r="A157" s="45">
        <v>2.231085103609E12</v>
      </c>
      <c r="B157" s="46"/>
      <c r="C157" s="46"/>
      <c r="D157" s="46"/>
      <c r="E157" s="46"/>
      <c r="F157" s="46"/>
      <c r="G157" s="46"/>
      <c r="H157" s="46"/>
      <c r="I157" s="46"/>
      <c r="J157" s="46"/>
      <c r="K157" s="46"/>
      <c r="L157" s="46"/>
      <c r="M157" s="46"/>
      <c r="N157" s="46"/>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c r="CE157" s="30"/>
      <c r="CF157" s="30"/>
      <c r="CG157" s="30"/>
    </row>
    <row r="158" ht="15.75" customHeight="1">
      <c r="A158" s="45">
        <v>3.000000009635E12</v>
      </c>
      <c r="B158" s="46"/>
      <c r="C158" s="46"/>
      <c r="D158" s="46"/>
      <c r="E158" s="46"/>
      <c r="F158" s="46"/>
      <c r="G158" s="46"/>
      <c r="H158" s="46"/>
      <c r="I158" s="46"/>
      <c r="J158" s="46"/>
      <c r="K158" s="46"/>
      <c r="L158" s="46"/>
      <c r="M158" s="46"/>
      <c r="N158" s="46"/>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c r="CE158" s="30"/>
      <c r="CF158" s="30"/>
      <c r="CG158" s="30"/>
    </row>
    <row r="159" ht="15.75" customHeight="1">
      <c r="A159" s="45">
        <v>1.305306221807E12</v>
      </c>
      <c r="B159" s="46"/>
      <c r="C159" s="46"/>
      <c r="D159" s="46"/>
      <c r="E159" s="46"/>
      <c r="F159" s="46"/>
      <c r="G159" s="46"/>
      <c r="H159" s="46"/>
      <c r="I159" s="46"/>
      <c r="J159" s="46"/>
      <c r="K159" s="46"/>
      <c r="L159" s="46"/>
      <c r="M159" s="46"/>
      <c r="N159" s="46"/>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c r="CE159" s="30"/>
      <c r="CF159" s="30"/>
      <c r="CG159" s="30"/>
    </row>
    <row r="160" ht="15.75" customHeight="1">
      <c r="A160" s="45">
        <v>2.215063802609E12</v>
      </c>
      <c r="B160" s="46"/>
      <c r="C160" s="46"/>
      <c r="D160" s="46"/>
      <c r="E160" s="46"/>
      <c r="F160" s="46"/>
      <c r="G160" s="46"/>
      <c r="H160" s="46"/>
      <c r="I160" s="46"/>
      <c r="J160" s="46"/>
      <c r="K160" s="46"/>
      <c r="L160" s="46"/>
      <c r="M160" s="46"/>
      <c r="N160" s="46"/>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c r="CE160" s="30"/>
      <c r="CF160" s="30"/>
      <c r="CG160" s="30"/>
    </row>
    <row r="161" ht="15.75" customHeight="1">
      <c r="A161" s="81" t="s">
        <v>256</v>
      </c>
      <c r="B161" s="97"/>
      <c r="C161" s="97"/>
      <c r="D161" s="97"/>
      <c r="E161" s="97"/>
      <c r="F161" s="97"/>
      <c r="G161" s="97"/>
      <c r="H161" s="97"/>
      <c r="I161" s="97"/>
      <c r="J161" s="97"/>
      <c r="K161" s="97"/>
      <c r="L161" s="97"/>
      <c r="M161" s="97"/>
      <c r="N161" s="97"/>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c r="CE161" s="30"/>
      <c r="CF161" s="30"/>
      <c r="CG161" s="30"/>
    </row>
    <row r="162" ht="15.75" customHeight="1">
      <c r="A162" s="71" t="s">
        <v>195</v>
      </c>
      <c r="B162" s="98">
        <v>1.0</v>
      </c>
      <c r="C162" s="98">
        <v>2.0</v>
      </c>
      <c r="D162" s="98">
        <v>3.0</v>
      </c>
      <c r="E162" s="98">
        <v>4.0</v>
      </c>
      <c r="F162" s="98">
        <v>5.0</v>
      </c>
      <c r="G162" s="98">
        <v>6.0</v>
      </c>
      <c r="H162" s="98">
        <v>7.0</v>
      </c>
      <c r="I162" s="98">
        <v>8.0</v>
      </c>
      <c r="J162" s="98">
        <v>9.0</v>
      </c>
      <c r="K162" s="98">
        <v>10.0</v>
      </c>
      <c r="L162" s="98">
        <v>11.0</v>
      </c>
      <c r="M162" s="98">
        <v>12.0</v>
      </c>
      <c r="N162" s="95">
        <v>13.0</v>
      </c>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c r="CE162" s="30"/>
      <c r="CF162" s="30"/>
      <c r="CG162" s="30"/>
    </row>
    <row r="163" ht="15.75" customHeight="1">
      <c r="A163" s="76" t="s">
        <v>196</v>
      </c>
      <c r="B163" s="99" t="str">
        <f t="shared" ref="B163:N163" si="42">B155</f>
        <v>2</v>
      </c>
      <c r="C163" s="99" t="str">
        <f t="shared" si="42"/>
        <v>2</v>
      </c>
      <c r="D163" s="99" t="str">
        <f t="shared" si="42"/>
        <v>3</v>
      </c>
      <c r="E163" s="99" t="str">
        <f t="shared" si="42"/>
        <v>1</v>
      </c>
      <c r="F163" s="99" t="str">
        <f t="shared" si="42"/>
        <v>0</v>
      </c>
      <c r="G163" s="99" t="str">
        <f t="shared" si="42"/>
        <v>8</v>
      </c>
      <c r="H163" s="99" t="str">
        <f t="shared" si="42"/>
        <v>5</v>
      </c>
      <c r="I163" s="99" t="str">
        <f t="shared" si="42"/>
        <v>1</v>
      </c>
      <c r="J163" s="99" t="str">
        <f t="shared" si="42"/>
        <v>0</v>
      </c>
      <c r="K163" s="99" t="str">
        <f t="shared" si="42"/>
        <v>3</v>
      </c>
      <c r="L163" s="99" t="str">
        <f t="shared" si="42"/>
        <v>6</v>
      </c>
      <c r="M163" s="99" t="str">
        <f t="shared" si="42"/>
        <v>0</v>
      </c>
      <c r="N163" s="77" t="str">
        <f t="shared" si="42"/>
        <v>9</v>
      </c>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c r="CE163" s="30"/>
      <c r="CF163" s="30"/>
      <c r="CG163" s="30"/>
    </row>
    <row r="164" ht="15.75" customHeight="1">
      <c r="A164" s="85" t="s">
        <v>200</v>
      </c>
      <c r="B164" s="77">
        <v>1.0</v>
      </c>
      <c r="C164" s="77">
        <v>3.0</v>
      </c>
      <c r="D164" s="77">
        <v>1.0</v>
      </c>
      <c r="E164" s="77">
        <v>3.0</v>
      </c>
      <c r="F164" s="77">
        <v>1.0</v>
      </c>
      <c r="G164" s="77">
        <v>3.0</v>
      </c>
      <c r="H164" s="77">
        <v>1.0</v>
      </c>
      <c r="I164" s="77">
        <v>3.0</v>
      </c>
      <c r="J164" s="77">
        <v>1.0</v>
      </c>
      <c r="K164" s="77">
        <v>3.0</v>
      </c>
      <c r="L164" s="77">
        <v>1.0</v>
      </c>
      <c r="M164" s="77">
        <v>3.0</v>
      </c>
      <c r="N164" s="77"/>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c r="CE164" s="30"/>
      <c r="CF164" s="30"/>
      <c r="CG164" s="30"/>
    </row>
    <row r="165" ht="15.75" customHeight="1">
      <c r="A165" s="85" t="s">
        <v>201</v>
      </c>
      <c r="B165" s="77">
        <f t="shared" ref="B165:M165" si="43">B163*B164</f>
        <v>2</v>
      </c>
      <c r="C165" s="77">
        <f t="shared" si="43"/>
        <v>6</v>
      </c>
      <c r="D165" s="77">
        <f t="shared" si="43"/>
        <v>3</v>
      </c>
      <c r="E165" s="77">
        <f t="shared" si="43"/>
        <v>3</v>
      </c>
      <c r="F165" s="77">
        <f t="shared" si="43"/>
        <v>0</v>
      </c>
      <c r="G165" s="77">
        <f t="shared" si="43"/>
        <v>24</v>
      </c>
      <c r="H165" s="77">
        <f t="shared" si="43"/>
        <v>5</v>
      </c>
      <c r="I165" s="77">
        <f t="shared" si="43"/>
        <v>3</v>
      </c>
      <c r="J165" s="77">
        <f t="shared" si="43"/>
        <v>0</v>
      </c>
      <c r="K165" s="77">
        <f t="shared" si="43"/>
        <v>9</v>
      </c>
      <c r="L165" s="77">
        <f t="shared" si="43"/>
        <v>6</v>
      </c>
      <c r="M165" s="77">
        <f t="shared" si="43"/>
        <v>0</v>
      </c>
      <c r="N165" s="77"/>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c r="CE165" s="30"/>
      <c r="CF165" s="30"/>
      <c r="CG165" s="30"/>
    </row>
    <row r="166" ht="15.75" customHeight="1">
      <c r="A166" s="85" t="s">
        <v>203</v>
      </c>
      <c r="B166" s="83">
        <f>SUM(B165:M165)</f>
        <v>61</v>
      </c>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c r="CE166" s="30"/>
      <c r="CF166" s="30"/>
      <c r="CG166" s="30"/>
    </row>
    <row r="167" ht="15.75" customHeight="1">
      <c r="A167" s="85" t="s">
        <v>194</v>
      </c>
      <c r="B167" s="84" t="str">
        <f>RIGHT(B166,1)</f>
        <v>1</v>
      </c>
      <c r="C167" s="30"/>
      <c r="D167" s="31"/>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c r="CE167" s="30"/>
      <c r="CF167" s="30"/>
      <c r="CG167" s="30"/>
    </row>
    <row r="168" ht="15.75" customHeight="1">
      <c r="A168" s="85" t="s">
        <v>194</v>
      </c>
      <c r="B168" s="100">
        <f>IF(B167="0",0,10-B167)</f>
        <v>9</v>
      </c>
      <c r="C168" s="30"/>
      <c r="D168" s="30" t="s">
        <v>257</v>
      </c>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c r="CE168" s="30"/>
      <c r="CF168" s="30"/>
      <c r="CG168" s="30"/>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c r="CE169" s="30"/>
      <c r="CF169" s="30"/>
      <c r="CG169" s="30"/>
    </row>
    <row r="170" ht="5.2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row>
    <row r="171" ht="15.75" customHeight="1">
      <c r="A171" s="45">
        <v>6.020070956E9</v>
      </c>
      <c r="B171" s="63"/>
      <c r="C171" s="64" t="s">
        <v>190</v>
      </c>
      <c r="D171" s="65">
        <f>LEN(A171)</f>
        <v>10</v>
      </c>
      <c r="E171" s="63"/>
      <c r="F171" s="63"/>
      <c r="G171" s="63"/>
      <c r="H171" s="63"/>
      <c r="I171" s="63"/>
      <c r="J171" s="63"/>
      <c r="K171" s="63"/>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c r="CE171" s="30"/>
      <c r="CF171" s="30"/>
      <c r="CG171" s="30"/>
    </row>
    <row r="172" ht="15.75" customHeight="1">
      <c r="A172" s="34" t="s">
        <v>191</v>
      </c>
      <c r="B172" s="66" t="s">
        <v>105</v>
      </c>
      <c r="C172" s="67"/>
      <c r="D172" s="67"/>
      <c r="E172" s="67"/>
      <c r="F172" s="67"/>
      <c r="G172" s="67"/>
      <c r="H172" s="67"/>
      <c r="I172" s="67"/>
      <c r="J172" s="67"/>
      <c r="K172" s="101" t="s">
        <v>258</v>
      </c>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c r="CE172" s="30"/>
      <c r="CF172" s="30"/>
      <c r="CG172" s="30"/>
    </row>
    <row r="173" ht="15.75" customHeight="1">
      <c r="A173" s="69" t="s">
        <v>193</v>
      </c>
      <c r="B173" s="70"/>
      <c r="C173" s="70"/>
      <c r="D173" s="70"/>
      <c r="E173" s="70"/>
      <c r="F173" s="70"/>
      <c r="G173" s="70"/>
      <c r="H173" s="70"/>
      <c r="I173" s="70"/>
      <c r="J173" s="69"/>
      <c r="K173" s="94" t="s">
        <v>194</v>
      </c>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c r="CE173" s="30"/>
      <c r="CF173" s="30"/>
      <c r="CG173" s="30"/>
    </row>
    <row r="174" ht="15.75" customHeight="1">
      <c r="A174" s="71" t="s">
        <v>195</v>
      </c>
      <c r="B174" s="95">
        <v>1.0</v>
      </c>
      <c r="C174" s="95">
        <v>2.0</v>
      </c>
      <c r="D174" s="95">
        <v>3.0</v>
      </c>
      <c r="E174" s="95">
        <v>4.0</v>
      </c>
      <c r="F174" s="95">
        <v>5.0</v>
      </c>
      <c r="G174" s="95">
        <v>6.0</v>
      </c>
      <c r="H174" s="95">
        <v>7.0</v>
      </c>
      <c r="I174" s="95">
        <v>8.0</v>
      </c>
      <c r="J174" s="95">
        <v>9.0</v>
      </c>
      <c r="K174" s="96">
        <v>10.0</v>
      </c>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c r="CE174" s="30"/>
      <c r="CF174" s="30"/>
      <c r="CG174" s="30"/>
    </row>
    <row r="175" ht="15.75" customHeight="1">
      <c r="A175" s="102" t="s">
        <v>259</v>
      </c>
      <c r="B175" s="77" t="str">
        <f>MID(A171,B174,1)</f>
        <v>6</v>
      </c>
      <c r="C175" s="77" t="str">
        <f t="shared" ref="C175:K175" si="44">MID($A171,C174,1)</f>
        <v>0</v>
      </c>
      <c r="D175" s="77" t="str">
        <f t="shared" si="44"/>
        <v>2</v>
      </c>
      <c r="E175" s="77" t="str">
        <f t="shared" si="44"/>
        <v>0</v>
      </c>
      <c r="F175" s="77" t="str">
        <f t="shared" si="44"/>
        <v>0</v>
      </c>
      <c r="G175" s="77" t="str">
        <f t="shared" si="44"/>
        <v>7</v>
      </c>
      <c r="H175" s="77" t="str">
        <f t="shared" si="44"/>
        <v>0</v>
      </c>
      <c r="I175" s="77" t="str">
        <f t="shared" si="44"/>
        <v>9</v>
      </c>
      <c r="J175" s="77" t="str">
        <f t="shared" si="44"/>
        <v>5</v>
      </c>
      <c r="K175" s="78" t="str">
        <f t="shared" si="44"/>
        <v>6</v>
      </c>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c r="CE175" s="30"/>
      <c r="CF175" s="30"/>
      <c r="CG175" s="30"/>
    </row>
    <row r="176" ht="15.75" customHeight="1">
      <c r="A176" s="45">
        <v>5.710032664E9</v>
      </c>
      <c r="B176" s="46"/>
      <c r="C176" s="46"/>
      <c r="D176" s="46"/>
      <c r="E176" s="46"/>
      <c r="F176" s="46"/>
      <c r="G176" s="46"/>
      <c r="H176" s="46"/>
      <c r="I176" s="46"/>
      <c r="J176" s="46"/>
      <c r="K176" s="46"/>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c r="CE176" s="30"/>
      <c r="CF176" s="30"/>
      <c r="CG176" s="30"/>
    </row>
    <row r="177" ht="15.75" customHeight="1">
      <c r="A177" s="45">
        <v>6.020043417E9</v>
      </c>
      <c r="B177" s="46"/>
      <c r="C177" s="46"/>
      <c r="D177" s="46"/>
      <c r="E177" s="46"/>
      <c r="F177" s="46"/>
      <c r="G177" s="46"/>
      <c r="H177" s="46"/>
      <c r="I177" s="46"/>
      <c r="J177" s="46"/>
      <c r="K177" s="46"/>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c r="CE177" s="30"/>
      <c r="CF177" s="30"/>
      <c r="CG177" s="30"/>
    </row>
    <row r="178" ht="15.75" customHeight="1">
      <c r="A178" s="45">
        <v>6.290008256E9</v>
      </c>
      <c r="B178" s="46"/>
      <c r="C178" s="46"/>
      <c r="D178" s="46"/>
      <c r="E178" s="46"/>
      <c r="F178" s="46"/>
      <c r="G178" s="46"/>
      <c r="H178" s="46"/>
      <c r="I178" s="46"/>
      <c r="J178" s="46"/>
      <c r="K178" s="46"/>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c r="CE178" s="30"/>
      <c r="CF178" s="30"/>
      <c r="CG178" s="30"/>
    </row>
    <row r="179" ht="15.75" customHeight="1">
      <c r="A179" s="45">
        <v>6.130076489E9</v>
      </c>
      <c r="B179" s="46"/>
      <c r="C179" s="46"/>
      <c r="D179" s="46"/>
      <c r="E179" s="46"/>
      <c r="F179" s="46"/>
      <c r="G179" s="46"/>
      <c r="H179" s="46"/>
      <c r="I179" s="46"/>
      <c r="J179" s="46"/>
      <c r="K179" s="46"/>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c r="CE179" s="30"/>
      <c r="CF179" s="30"/>
      <c r="CG179" s="30"/>
    </row>
    <row r="180" ht="15.75" customHeight="1">
      <c r="A180" s="45">
        <v>6.020070956E9</v>
      </c>
      <c r="B180" s="46"/>
      <c r="C180" s="46"/>
      <c r="D180" s="46"/>
      <c r="E180" s="46"/>
      <c r="F180" s="46"/>
      <c r="G180" s="46"/>
      <c r="H180" s="46"/>
      <c r="I180" s="46"/>
      <c r="J180" s="46"/>
      <c r="K180" s="46"/>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c r="CE180" s="30"/>
      <c r="CF180" s="30"/>
      <c r="CG180" s="30"/>
    </row>
    <row r="181" ht="15.75" customHeight="1">
      <c r="A181" s="81" t="s">
        <v>260</v>
      </c>
      <c r="B181" s="97"/>
      <c r="C181" s="97"/>
      <c r="D181" s="97"/>
      <c r="E181" s="97"/>
      <c r="F181" s="97"/>
      <c r="G181" s="97"/>
      <c r="H181" s="97"/>
      <c r="I181" s="97"/>
      <c r="J181" s="97"/>
      <c r="K181" s="97"/>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c r="CE181" s="30"/>
      <c r="CF181" s="30"/>
      <c r="CG181" s="30"/>
    </row>
    <row r="182" ht="15.75" customHeight="1">
      <c r="A182" s="71" t="s">
        <v>195</v>
      </c>
      <c r="B182" s="98">
        <v>1.0</v>
      </c>
      <c r="C182" s="98">
        <v>2.0</v>
      </c>
      <c r="D182" s="98">
        <v>3.0</v>
      </c>
      <c r="E182" s="98">
        <v>4.0</v>
      </c>
      <c r="F182" s="98">
        <v>5.0</v>
      </c>
      <c r="G182" s="98">
        <v>6.0</v>
      </c>
      <c r="H182" s="98">
        <v>7.0</v>
      </c>
      <c r="I182" s="98">
        <v>8.0</v>
      </c>
      <c r="J182" s="98">
        <v>9.0</v>
      </c>
      <c r="K182" s="95">
        <v>10.0</v>
      </c>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c r="CE182" s="30"/>
      <c r="CF182" s="30"/>
      <c r="CG182" s="30"/>
    </row>
    <row r="183" ht="15.75" customHeight="1">
      <c r="A183" s="76" t="s">
        <v>196</v>
      </c>
      <c r="B183" s="99" t="str">
        <f t="shared" ref="B183:K183" si="45">B175</f>
        <v>6</v>
      </c>
      <c r="C183" s="99" t="str">
        <f t="shared" si="45"/>
        <v>0</v>
      </c>
      <c r="D183" s="99" t="str">
        <f t="shared" si="45"/>
        <v>2</v>
      </c>
      <c r="E183" s="99" t="str">
        <f t="shared" si="45"/>
        <v>0</v>
      </c>
      <c r="F183" s="99" t="str">
        <f t="shared" si="45"/>
        <v>0</v>
      </c>
      <c r="G183" s="99" t="str">
        <f t="shared" si="45"/>
        <v>7</v>
      </c>
      <c r="H183" s="99" t="str">
        <f t="shared" si="45"/>
        <v>0</v>
      </c>
      <c r="I183" s="99" t="str">
        <f t="shared" si="45"/>
        <v>9</v>
      </c>
      <c r="J183" s="99" t="str">
        <f t="shared" si="45"/>
        <v>5</v>
      </c>
      <c r="K183" s="77" t="str">
        <f t="shared" si="45"/>
        <v>6</v>
      </c>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c r="CE183" s="30"/>
      <c r="CF183" s="30"/>
      <c r="CG183" s="30"/>
    </row>
    <row r="184" ht="15.75" customHeight="1">
      <c r="A184" s="85" t="s">
        <v>200</v>
      </c>
      <c r="B184" s="77">
        <v>2.0</v>
      </c>
      <c r="C184" s="77">
        <v>1.0</v>
      </c>
      <c r="D184" s="77">
        <v>2.0</v>
      </c>
      <c r="E184" s="77">
        <v>1.0</v>
      </c>
      <c r="F184" s="77">
        <v>2.0</v>
      </c>
      <c r="G184" s="77">
        <v>1.0</v>
      </c>
      <c r="H184" s="77">
        <v>2.0</v>
      </c>
      <c r="I184" s="77">
        <v>1.0</v>
      </c>
      <c r="J184" s="77">
        <v>2.0</v>
      </c>
      <c r="K184" s="77"/>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c r="CE184" s="30"/>
      <c r="CF184" s="30"/>
      <c r="CG184" s="30"/>
    </row>
    <row r="185" ht="15.75" customHeight="1">
      <c r="A185" s="85" t="s">
        <v>201</v>
      </c>
      <c r="B185" s="77">
        <f t="shared" ref="B185:J185" si="46">B183*B184</f>
        <v>12</v>
      </c>
      <c r="C185" s="77">
        <f t="shared" si="46"/>
        <v>0</v>
      </c>
      <c r="D185" s="77">
        <f t="shared" si="46"/>
        <v>4</v>
      </c>
      <c r="E185" s="77">
        <f t="shared" si="46"/>
        <v>0</v>
      </c>
      <c r="F185" s="77">
        <f t="shared" si="46"/>
        <v>0</v>
      </c>
      <c r="G185" s="77">
        <f t="shared" si="46"/>
        <v>7</v>
      </c>
      <c r="H185" s="77">
        <f t="shared" si="46"/>
        <v>0</v>
      </c>
      <c r="I185" s="77">
        <f t="shared" si="46"/>
        <v>9</v>
      </c>
      <c r="J185" s="77">
        <f t="shared" si="46"/>
        <v>10</v>
      </c>
      <c r="K185" s="77"/>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c r="CE185" s="30"/>
      <c r="CF185" s="30"/>
      <c r="CG185" s="30"/>
    </row>
    <row r="186" ht="15.75" customHeight="1">
      <c r="A186" s="85" t="s">
        <v>261</v>
      </c>
      <c r="B186" s="77">
        <f t="shared" ref="B186:J186" si="47">IF(B185&lt;10,B185,LEFT(B185,1)+RIGHT(B185,1))</f>
        <v>3</v>
      </c>
      <c r="C186" s="77">
        <f t="shared" si="47"/>
        <v>0</v>
      </c>
      <c r="D186" s="77">
        <f t="shared" si="47"/>
        <v>4</v>
      </c>
      <c r="E186" s="77">
        <f t="shared" si="47"/>
        <v>0</v>
      </c>
      <c r="F186" s="77">
        <f t="shared" si="47"/>
        <v>0</v>
      </c>
      <c r="G186" s="77">
        <f t="shared" si="47"/>
        <v>7</v>
      </c>
      <c r="H186" s="77">
        <f t="shared" si="47"/>
        <v>0</v>
      </c>
      <c r="I186" s="77">
        <f t="shared" si="47"/>
        <v>9</v>
      </c>
      <c r="J186" s="77">
        <f t="shared" si="47"/>
        <v>1</v>
      </c>
      <c r="K186" s="77"/>
      <c r="L186" s="30"/>
      <c r="M186" s="30" t="s">
        <v>262</v>
      </c>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c r="CE186" s="30"/>
      <c r="CF186" s="30"/>
      <c r="CG186" s="30"/>
    </row>
    <row r="187" ht="15.75" customHeight="1">
      <c r="A187" s="85" t="s">
        <v>203</v>
      </c>
      <c r="B187" s="83">
        <f>SUM(B186:K186)</f>
        <v>24</v>
      </c>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c r="CE187" s="30"/>
      <c r="CF187" s="30"/>
      <c r="CG187" s="30"/>
    </row>
    <row r="188" ht="15.75" customHeight="1">
      <c r="A188" s="85" t="s">
        <v>263</v>
      </c>
      <c r="B188" s="84">
        <f>MOD(B187,10)</f>
        <v>4</v>
      </c>
      <c r="C188" s="30"/>
      <c r="D188" s="31"/>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c r="CE188" s="30"/>
      <c r="CF188" s="30"/>
      <c r="CG188" s="30"/>
    </row>
    <row r="189" ht="15.75" customHeight="1">
      <c r="A189" s="85" t="s">
        <v>264</v>
      </c>
      <c r="B189" s="100">
        <f>IF(B188=0,0,10-B188)</f>
        <v>6</v>
      </c>
      <c r="C189" s="30"/>
      <c r="D189" s="30" t="s">
        <v>265</v>
      </c>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c r="CE189" s="30"/>
      <c r="CF189" s="30"/>
      <c r="CG189" s="30"/>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c r="CE190" s="30"/>
      <c r="CF190" s="30"/>
      <c r="CG190" s="30"/>
    </row>
    <row r="191" ht="5.2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row>
    <row r="192" ht="15.75" customHeight="1">
      <c r="A192" s="30" t="s">
        <v>266</v>
      </c>
      <c r="B192" s="31"/>
      <c r="C192" s="31"/>
      <c r="D192" s="31"/>
      <c r="E192" s="31"/>
      <c r="F192" s="31"/>
      <c r="G192" s="31"/>
      <c r="H192" s="31"/>
      <c r="I192" s="31"/>
      <c r="J192" s="31"/>
      <c r="K192" s="31"/>
      <c r="L192" s="31"/>
      <c r="M192" s="31"/>
      <c r="N192" s="31"/>
      <c r="O192" s="32" t="s">
        <v>190</v>
      </c>
      <c r="P192" s="33">
        <f>LEN(A192)</f>
        <v>44</v>
      </c>
      <c r="Q192" s="31"/>
      <c r="R192" s="30"/>
      <c r="S192" s="30"/>
      <c r="T192" s="30"/>
      <c r="U192" s="30"/>
      <c r="V192" s="30"/>
      <c r="W192" s="30"/>
      <c r="X192" s="30"/>
      <c r="Y192" s="30"/>
      <c r="Z192" s="30"/>
      <c r="AA192" s="31"/>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c r="BX192" s="31"/>
      <c r="BY192" s="31"/>
      <c r="BZ192" s="31"/>
      <c r="CA192" s="31"/>
      <c r="CB192" s="31"/>
      <c r="CC192" s="31"/>
      <c r="CD192" s="31"/>
      <c r="CE192" s="31"/>
      <c r="CF192" s="31"/>
      <c r="CG192" s="31"/>
    </row>
    <row r="193" ht="15.75" customHeight="1">
      <c r="A193" s="34" t="s">
        <v>191</v>
      </c>
      <c r="B193" s="35" t="s">
        <v>117</v>
      </c>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89" t="s">
        <v>267</v>
      </c>
      <c r="AY193" s="30"/>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1"/>
      <c r="BZ193" s="31"/>
      <c r="CA193" s="31"/>
      <c r="CB193" s="31"/>
      <c r="CC193" s="31"/>
      <c r="CD193" s="31"/>
      <c r="CE193" s="31"/>
      <c r="CF193" s="31"/>
      <c r="CG193" s="31"/>
    </row>
    <row r="194" ht="15.75" customHeight="1">
      <c r="A194" s="37" t="s">
        <v>193</v>
      </c>
      <c r="B194" s="38"/>
      <c r="C194" s="38"/>
      <c r="D194" s="38"/>
      <c r="E194" s="38"/>
      <c r="F194" s="38"/>
      <c r="G194" s="38"/>
      <c r="H194" s="38"/>
      <c r="I194" s="38"/>
      <c r="J194" s="38"/>
      <c r="K194" s="38"/>
      <c r="L194" s="90"/>
      <c r="M194" s="38"/>
      <c r="N194" s="38"/>
      <c r="O194" s="90"/>
      <c r="P194" s="38"/>
      <c r="Q194" s="90"/>
      <c r="R194" s="38"/>
      <c r="S194" s="38"/>
      <c r="T194" s="38"/>
      <c r="U194" s="38"/>
      <c r="V194" s="38"/>
      <c r="W194" s="38"/>
      <c r="X194" s="38"/>
      <c r="Y194" s="38"/>
      <c r="Z194" s="38"/>
      <c r="AA194" s="38"/>
      <c r="AB194" s="38"/>
      <c r="AC194" s="38"/>
      <c r="AD194" s="38"/>
      <c r="AE194" s="38"/>
      <c r="AF194" s="37" t="s">
        <v>194</v>
      </c>
      <c r="AG194" s="38"/>
      <c r="AH194" s="38"/>
      <c r="AI194" s="38"/>
      <c r="AJ194" s="38"/>
      <c r="AK194" s="38"/>
      <c r="AL194" s="38"/>
      <c r="AM194" s="38"/>
      <c r="AN194" s="38"/>
      <c r="AO194" s="38"/>
      <c r="AP194" s="38"/>
      <c r="AQ194" s="38"/>
      <c r="AR194" s="38"/>
      <c r="AS194" s="38"/>
      <c r="AT194" s="38"/>
      <c r="AU194" s="38"/>
      <c r="AV194" s="38"/>
      <c r="AW194" s="38"/>
      <c r="AX194" s="38"/>
      <c r="AY194" s="30"/>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c r="BX194" s="31"/>
      <c r="BY194" s="31"/>
      <c r="BZ194" s="31"/>
      <c r="CA194" s="31"/>
      <c r="CB194" s="31"/>
      <c r="CC194" s="31"/>
      <c r="CD194" s="31"/>
      <c r="CE194" s="31"/>
      <c r="CF194" s="31"/>
      <c r="CG194" s="31"/>
    </row>
    <row r="195" ht="15.75" customHeight="1">
      <c r="A195" s="39" t="s">
        <v>195</v>
      </c>
      <c r="B195" s="40">
        <v>1.0</v>
      </c>
      <c r="C195" s="40">
        <v>2.0</v>
      </c>
      <c r="D195" s="40">
        <v>3.0</v>
      </c>
      <c r="E195" s="40">
        <v>4.0</v>
      </c>
      <c r="F195" s="40">
        <v>5.0</v>
      </c>
      <c r="G195" s="40">
        <v>6.0</v>
      </c>
      <c r="H195" s="40">
        <v>7.0</v>
      </c>
      <c r="I195" s="40">
        <v>8.0</v>
      </c>
      <c r="J195" s="40">
        <v>9.0</v>
      </c>
      <c r="K195" s="40">
        <v>10.0</v>
      </c>
      <c r="L195" s="40">
        <v>11.0</v>
      </c>
      <c r="M195" s="40">
        <v>12.0</v>
      </c>
      <c r="N195" s="40">
        <v>13.0</v>
      </c>
      <c r="O195" s="40">
        <v>14.0</v>
      </c>
      <c r="P195" s="40">
        <v>15.0</v>
      </c>
      <c r="Q195" s="40">
        <v>16.0</v>
      </c>
      <c r="R195" s="40">
        <v>17.0</v>
      </c>
      <c r="S195" s="40">
        <v>18.0</v>
      </c>
      <c r="T195" s="40">
        <v>19.0</v>
      </c>
      <c r="U195" s="40">
        <v>20.0</v>
      </c>
      <c r="V195" s="40">
        <v>21.0</v>
      </c>
      <c r="W195" s="40">
        <v>22.0</v>
      </c>
      <c r="X195" s="40">
        <v>23.0</v>
      </c>
      <c r="Y195" s="40">
        <v>24.0</v>
      </c>
      <c r="Z195" s="40">
        <v>25.0</v>
      </c>
      <c r="AA195" s="40">
        <v>26.0</v>
      </c>
      <c r="AB195" s="40">
        <v>27.0</v>
      </c>
      <c r="AC195" s="40">
        <v>28.0</v>
      </c>
      <c r="AD195" s="40">
        <v>29.0</v>
      </c>
      <c r="AE195" s="40">
        <v>30.0</v>
      </c>
      <c r="AF195" s="103">
        <v>31.0</v>
      </c>
      <c r="AG195" s="103">
        <v>32.0</v>
      </c>
      <c r="AH195" s="40">
        <v>33.0</v>
      </c>
      <c r="AI195" s="40">
        <v>34.0</v>
      </c>
      <c r="AJ195" s="40">
        <v>35.0</v>
      </c>
      <c r="AK195" s="40">
        <v>36.0</v>
      </c>
      <c r="AL195" s="40">
        <v>37.0</v>
      </c>
      <c r="AM195" s="40">
        <v>38.0</v>
      </c>
      <c r="AN195" s="40">
        <v>39.0</v>
      </c>
      <c r="AO195" s="40">
        <v>40.0</v>
      </c>
      <c r="AP195" s="40">
        <v>41.0</v>
      </c>
      <c r="AQ195" s="40">
        <v>42.0</v>
      </c>
      <c r="AR195" s="40">
        <v>43.0</v>
      </c>
      <c r="AS195" s="40">
        <v>44.0</v>
      </c>
      <c r="AT195" s="40">
        <v>45.0</v>
      </c>
      <c r="AU195" s="40">
        <v>46.0</v>
      </c>
      <c r="AV195" s="40">
        <v>47.0</v>
      </c>
      <c r="AW195" s="40">
        <v>48.0</v>
      </c>
      <c r="AX195" s="40">
        <v>49.0</v>
      </c>
      <c r="AY195" s="30"/>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c r="BX195" s="31"/>
      <c r="BY195" s="31"/>
      <c r="BZ195" s="31"/>
      <c r="CA195" s="31"/>
      <c r="CB195" s="31"/>
      <c r="CC195" s="31"/>
      <c r="CD195" s="31"/>
      <c r="CE195" s="31"/>
      <c r="CF195" s="31"/>
      <c r="CG195" s="31"/>
    </row>
    <row r="196" ht="15.75" customHeight="1">
      <c r="A196" s="42" t="s">
        <v>196</v>
      </c>
      <c r="B196" s="91" t="str">
        <f t="shared" ref="B196:AX196" si="48">MID($A192,B195,1)</f>
        <v>|</v>
      </c>
      <c r="C196" s="91" t="str">
        <f t="shared" si="48"/>
        <v>0</v>
      </c>
      <c r="D196" s="91" t="str">
        <f t="shared" si="48"/>
        <v>1</v>
      </c>
      <c r="E196" s="91" t="str">
        <f t="shared" si="48"/>
        <v>1</v>
      </c>
      <c r="F196" s="91" t="str">
        <f t="shared" si="48"/>
        <v>5</v>
      </c>
      <c r="G196" s="91" t="str">
        <f t="shared" si="48"/>
        <v>5</v>
      </c>
      <c r="H196" s="91" t="str">
        <f t="shared" si="48"/>
        <v>5</v>
      </c>
      <c r="I196" s="91" t="str">
        <f t="shared" si="48"/>
        <v>2</v>
      </c>
      <c r="J196" s="91" t="str">
        <f t="shared" si="48"/>
        <v>0</v>
      </c>
      <c r="K196" s="91" t="str">
        <f t="shared" si="48"/>
        <v>0</v>
      </c>
      <c r="L196" s="91" t="str">
        <f t="shared" si="48"/>
        <v>7</v>
      </c>
      <c r="M196" s="91" t="str">
        <f t="shared" si="48"/>
        <v>4</v>
      </c>
      <c r="N196" s="91" t="str">
        <f t="shared" si="48"/>
        <v>1</v>
      </c>
      <c r="O196" s="91" t="str">
        <f t="shared" si="48"/>
        <v>6</v>
      </c>
      <c r="P196" s="91" t="str">
        <f t="shared" si="48"/>
        <v>0</v>
      </c>
      <c r="Q196" s="91" t="str">
        <f t="shared" si="48"/>
        <v>1</v>
      </c>
      <c r="R196" s="91" t="str">
        <f t="shared" si="48"/>
        <v>3</v>
      </c>
      <c r="S196" s="91" t="str">
        <f t="shared" si="48"/>
        <v>6</v>
      </c>
      <c r="T196" s="91" t="str">
        <f t="shared" si="48"/>
        <v>8</v>
      </c>
      <c r="U196" s="91" t="str">
        <f t="shared" si="48"/>
        <v>2</v>
      </c>
      <c r="V196" s="91" t="str">
        <f t="shared" si="48"/>
        <v>0</v>
      </c>
      <c r="W196" s="91" t="str">
        <f t="shared" si="48"/>
        <v>6</v>
      </c>
      <c r="X196" s="91" t="str">
        <f t="shared" si="48"/>
        <v>2</v>
      </c>
      <c r="Y196" s="91" t="str">
        <f t="shared" si="48"/>
        <v>0</v>
      </c>
      <c r="Z196" s="91" t="str">
        <f t="shared" si="48"/>
        <v>3</v>
      </c>
      <c r="AA196" s="91" t="str">
        <f t="shared" si="48"/>
        <v>0</v>
      </c>
      <c r="AB196" s="91" t="str">
        <f t="shared" si="48"/>
        <v>7</v>
      </c>
      <c r="AC196" s="91" t="str">
        <f t="shared" si="48"/>
        <v>0</v>
      </c>
      <c r="AD196" s="91" t="str">
        <f t="shared" si="48"/>
        <v>0</v>
      </c>
      <c r="AE196" s="91" t="str">
        <f t="shared" si="48"/>
        <v>0</v>
      </c>
      <c r="AF196" s="92" t="str">
        <f t="shared" si="48"/>
        <v>3</v>
      </c>
      <c r="AG196" s="92" t="str">
        <f t="shared" si="48"/>
        <v>0</v>
      </c>
      <c r="AH196" s="91" t="str">
        <f t="shared" si="48"/>
        <v>0</v>
      </c>
      <c r="AI196" s="91" t="str">
        <f t="shared" si="48"/>
        <v>1</v>
      </c>
      <c r="AJ196" s="91" t="str">
        <f t="shared" si="48"/>
        <v>2</v>
      </c>
      <c r="AK196" s="91" t="str">
        <f t="shared" si="48"/>
        <v>6</v>
      </c>
      <c r="AL196" s="91" t="str">
        <f t="shared" si="48"/>
        <v>2</v>
      </c>
      <c r="AM196" s="91" t="str">
        <f t="shared" si="48"/>
        <v>0</v>
      </c>
      <c r="AN196" s="91" t="str">
        <f t="shared" si="48"/>
        <v>3</v>
      </c>
      <c r="AO196" s="91" t="str">
        <f t="shared" si="48"/>
        <v>0</v>
      </c>
      <c r="AP196" s="91" t="str">
        <f t="shared" si="48"/>
        <v>7</v>
      </c>
      <c r="AQ196" s="91" t="str">
        <f t="shared" si="48"/>
        <v>0</v>
      </c>
      <c r="AR196" s="91" t="str">
        <f t="shared" si="48"/>
        <v>0</v>
      </c>
      <c r="AS196" s="91" t="str">
        <f t="shared" si="48"/>
        <v>0</v>
      </c>
      <c r="AT196" s="91" t="str">
        <f t="shared" si="48"/>
        <v/>
      </c>
      <c r="AU196" s="91" t="str">
        <f t="shared" si="48"/>
        <v/>
      </c>
      <c r="AV196" s="91" t="str">
        <f t="shared" si="48"/>
        <v/>
      </c>
      <c r="AW196" s="91" t="str">
        <f t="shared" si="48"/>
        <v/>
      </c>
      <c r="AX196" s="91" t="str">
        <f t="shared" si="48"/>
        <v/>
      </c>
      <c r="AY196" s="30"/>
      <c r="AZ196" s="31"/>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row>
    <row r="197" ht="15.75" customHeight="1">
      <c r="A197" s="45" t="s">
        <v>268</v>
      </c>
      <c r="B197" s="46"/>
      <c r="C197" s="46"/>
      <c r="D197" s="46"/>
      <c r="E197" s="46"/>
      <c r="F197" s="46"/>
      <c r="G197" s="46"/>
      <c r="H197" s="46"/>
      <c r="I197" s="46"/>
      <c r="J197" s="46"/>
      <c r="K197" s="46"/>
      <c r="L197" s="46"/>
      <c r="M197" s="46"/>
      <c r="N197" s="46">
        <f t="shared" ref="N197:N200" si="49">LEN(A197)</f>
        <v>44</v>
      </c>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31"/>
      <c r="AT197" s="30"/>
      <c r="AU197" s="30"/>
      <c r="AV197" s="30"/>
      <c r="AW197" s="30"/>
      <c r="AX197" s="30"/>
      <c r="AY197" s="30"/>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1"/>
      <c r="BZ197" s="31"/>
      <c r="CA197" s="31"/>
      <c r="CB197" s="31"/>
      <c r="CC197" s="31"/>
      <c r="CD197" s="31"/>
      <c r="CE197" s="31"/>
      <c r="CF197" s="31"/>
      <c r="CG197" s="31"/>
    </row>
    <row r="198" ht="15.75" customHeight="1">
      <c r="A198" s="45" t="s">
        <v>269</v>
      </c>
      <c r="B198" s="46"/>
      <c r="C198" s="46"/>
      <c r="D198" s="46"/>
      <c r="E198" s="46"/>
      <c r="F198" s="46"/>
      <c r="G198" s="46"/>
      <c r="H198" s="46"/>
      <c r="I198" s="46"/>
      <c r="J198" s="46"/>
      <c r="K198" s="46"/>
      <c r="L198" s="46"/>
      <c r="M198" s="46"/>
      <c r="N198" s="46">
        <f t="shared" si="49"/>
        <v>44</v>
      </c>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31"/>
      <c r="AT198" s="30"/>
      <c r="AU198" s="30"/>
      <c r="AV198" s="30"/>
      <c r="AW198" s="30"/>
      <c r="AX198" s="30"/>
      <c r="AY198" s="30"/>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c r="BX198" s="31"/>
      <c r="BY198" s="31"/>
      <c r="BZ198" s="31"/>
      <c r="CA198" s="31"/>
      <c r="CB198" s="31"/>
      <c r="CC198" s="31"/>
      <c r="CD198" s="31"/>
      <c r="CE198" s="31"/>
      <c r="CF198" s="31"/>
      <c r="CG198" s="31"/>
    </row>
    <row r="199" ht="15.75" customHeight="1">
      <c r="A199" s="45" t="s">
        <v>270</v>
      </c>
      <c r="B199" s="46"/>
      <c r="C199" s="46"/>
      <c r="D199" s="46"/>
      <c r="E199" s="46"/>
      <c r="F199" s="46"/>
      <c r="G199" s="46"/>
      <c r="H199" s="46"/>
      <c r="I199" s="46"/>
      <c r="J199" s="46"/>
      <c r="K199" s="46"/>
      <c r="L199" s="46"/>
      <c r="M199" s="46"/>
      <c r="N199" s="46">
        <f t="shared" si="49"/>
        <v>49</v>
      </c>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31"/>
      <c r="AT199" s="30"/>
      <c r="AU199" s="30"/>
      <c r="AV199" s="30"/>
      <c r="AW199" s="30"/>
      <c r="AX199" s="30"/>
      <c r="AY199" s="30"/>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c r="BX199" s="31"/>
      <c r="BY199" s="31"/>
      <c r="BZ199" s="31"/>
      <c r="CA199" s="31"/>
      <c r="CB199" s="31"/>
      <c r="CC199" s="31"/>
      <c r="CD199" s="31"/>
      <c r="CE199" s="31"/>
      <c r="CF199" s="31"/>
      <c r="CG199" s="31"/>
    </row>
    <row r="200" ht="15.75" customHeight="1">
      <c r="A200" s="45" t="s">
        <v>271</v>
      </c>
      <c r="B200" s="46"/>
      <c r="C200" s="46"/>
      <c r="D200" s="46"/>
      <c r="E200" s="46"/>
      <c r="F200" s="46"/>
      <c r="G200" s="46"/>
      <c r="H200" s="46"/>
      <c r="I200" s="46"/>
      <c r="J200" s="46"/>
      <c r="K200" s="46"/>
      <c r="L200" s="46"/>
      <c r="M200" s="46"/>
      <c r="N200" s="46">
        <f t="shared" si="49"/>
        <v>49</v>
      </c>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31"/>
      <c r="AT200" s="30"/>
      <c r="AU200" s="30"/>
      <c r="AV200" s="30"/>
      <c r="AW200" s="30"/>
      <c r="AX200" s="30"/>
      <c r="AY200" s="30"/>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c r="BX200" s="31"/>
      <c r="BY200" s="31"/>
      <c r="BZ200" s="31"/>
      <c r="CA200" s="31"/>
      <c r="CB200" s="31"/>
      <c r="CC200" s="31"/>
      <c r="CD200" s="31"/>
      <c r="CE200" s="31"/>
      <c r="CF200" s="31"/>
      <c r="CG200" s="31"/>
    </row>
    <row r="201" ht="15.75" customHeight="1">
      <c r="A201" s="30"/>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31"/>
      <c r="AT201" s="30"/>
      <c r="AU201" s="30"/>
      <c r="AV201" s="30"/>
      <c r="AW201" s="30"/>
      <c r="AX201" s="30"/>
      <c r="AY201" s="30"/>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c r="BX201" s="31"/>
      <c r="BY201" s="31"/>
      <c r="BZ201" s="31"/>
      <c r="CA201" s="31"/>
      <c r="CB201" s="31"/>
      <c r="CC201" s="31"/>
      <c r="CD201" s="31"/>
      <c r="CE201" s="31"/>
      <c r="CF201" s="31"/>
      <c r="CG201" s="31"/>
    </row>
    <row r="202" ht="15.75" customHeight="1">
      <c r="A202" s="47" t="s">
        <v>272</v>
      </c>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30"/>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c r="BX202" s="31"/>
      <c r="BY202" s="31"/>
      <c r="BZ202" s="31"/>
      <c r="CA202" s="31"/>
      <c r="CB202" s="31"/>
      <c r="CC202" s="31"/>
      <c r="CD202" s="31"/>
      <c r="CE202" s="31"/>
      <c r="CF202" s="31"/>
      <c r="CG202" s="31"/>
    </row>
    <row r="203" ht="15.75" customHeight="1">
      <c r="A203" s="39" t="s">
        <v>195</v>
      </c>
      <c r="B203" s="40">
        <v>1.0</v>
      </c>
      <c r="C203" s="40">
        <v>2.0</v>
      </c>
      <c r="D203" s="40">
        <v>3.0</v>
      </c>
      <c r="E203" s="40">
        <v>4.0</v>
      </c>
      <c r="F203" s="40">
        <v>5.0</v>
      </c>
      <c r="G203" s="40">
        <v>6.0</v>
      </c>
      <c r="H203" s="40">
        <v>7.0</v>
      </c>
      <c r="I203" s="40">
        <v>8.0</v>
      </c>
      <c r="J203" s="40">
        <v>9.0</v>
      </c>
      <c r="K203" s="40">
        <v>10.0</v>
      </c>
      <c r="L203" s="40">
        <v>11.0</v>
      </c>
      <c r="M203" s="40">
        <v>12.0</v>
      </c>
      <c r="N203" s="40">
        <v>13.0</v>
      </c>
      <c r="O203" s="40">
        <v>14.0</v>
      </c>
      <c r="P203" s="40">
        <v>15.0</v>
      </c>
      <c r="Q203" s="40">
        <v>16.0</v>
      </c>
      <c r="R203" s="41">
        <v>17.0</v>
      </c>
      <c r="S203" s="41">
        <v>18.0</v>
      </c>
      <c r="T203" s="41">
        <v>19.0</v>
      </c>
      <c r="U203" s="41">
        <v>20.0</v>
      </c>
      <c r="V203" s="41">
        <v>21.0</v>
      </c>
      <c r="W203" s="41">
        <v>22.0</v>
      </c>
      <c r="X203" s="41">
        <v>23.0</v>
      </c>
      <c r="Y203" s="41">
        <v>24.0</v>
      </c>
      <c r="Z203" s="41">
        <v>25.0</v>
      </c>
      <c r="AA203" s="41">
        <v>26.0</v>
      </c>
      <c r="AB203" s="41">
        <v>27.0</v>
      </c>
      <c r="AC203" s="41">
        <v>28.0</v>
      </c>
      <c r="AD203" s="41">
        <v>29.0</v>
      </c>
      <c r="AE203" s="41">
        <v>30.0</v>
      </c>
      <c r="AF203" s="43">
        <v>31.0</v>
      </c>
      <c r="AG203" s="43">
        <v>32.0</v>
      </c>
      <c r="AH203" s="41">
        <v>33.0</v>
      </c>
      <c r="AI203" s="41">
        <v>34.0</v>
      </c>
      <c r="AJ203" s="41">
        <v>35.0</v>
      </c>
      <c r="AK203" s="41">
        <v>36.0</v>
      </c>
      <c r="AL203" s="41">
        <v>37.0</v>
      </c>
      <c r="AM203" s="41">
        <v>38.0</v>
      </c>
      <c r="AN203" s="41">
        <v>39.0</v>
      </c>
      <c r="AO203" s="41">
        <v>40.0</v>
      </c>
      <c r="AP203" s="41">
        <v>41.0</v>
      </c>
      <c r="AQ203" s="41">
        <v>42.0</v>
      </c>
      <c r="AR203" s="41">
        <v>43.0</v>
      </c>
      <c r="AS203" s="41">
        <v>44.0</v>
      </c>
      <c r="AT203" s="41">
        <v>45.0</v>
      </c>
      <c r="AU203" s="41">
        <v>46.0</v>
      </c>
      <c r="AV203" s="41">
        <v>47.0</v>
      </c>
      <c r="AW203" s="41">
        <v>48.0</v>
      </c>
      <c r="AX203" s="41">
        <v>49.0</v>
      </c>
      <c r="AY203" s="30"/>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c r="BX203" s="31"/>
      <c r="BY203" s="31"/>
      <c r="BZ203" s="31"/>
      <c r="CA203" s="31"/>
      <c r="CB203" s="31"/>
      <c r="CC203" s="31"/>
      <c r="CD203" s="31"/>
      <c r="CE203" s="31"/>
      <c r="CF203" s="31"/>
      <c r="CG203" s="31"/>
    </row>
    <row r="204" ht="15.75" customHeight="1">
      <c r="A204" s="42" t="s">
        <v>196</v>
      </c>
      <c r="B204" s="43" t="str">
        <f t="shared" ref="B204:AX204" si="50">B196</f>
        <v>|</v>
      </c>
      <c r="C204" s="43" t="str">
        <f t="shared" si="50"/>
        <v>0</v>
      </c>
      <c r="D204" s="43" t="str">
        <f t="shared" si="50"/>
        <v>1</v>
      </c>
      <c r="E204" s="43" t="str">
        <f t="shared" si="50"/>
        <v>1</v>
      </c>
      <c r="F204" s="43" t="str">
        <f t="shared" si="50"/>
        <v>5</v>
      </c>
      <c r="G204" s="43" t="str">
        <f t="shared" si="50"/>
        <v>5</v>
      </c>
      <c r="H204" s="43" t="str">
        <f t="shared" si="50"/>
        <v>5</v>
      </c>
      <c r="I204" s="43" t="str">
        <f t="shared" si="50"/>
        <v>2</v>
      </c>
      <c r="J204" s="43" t="str">
        <f t="shared" si="50"/>
        <v>0</v>
      </c>
      <c r="K204" s="43" t="str">
        <f t="shared" si="50"/>
        <v>0</v>
      </c>
      <c r="L204" s="43" t="str">
        <f t="shared" si="50"/>
        <v>7</v>
      </c>
      <c r="M204" s="43" t="str">
        <f t="shared" si="50"/>
        <v>4</v>
      </c>
      <c r="N204" s="43" t="str">
        <f t="shared" si="50"/>
        <v>1</v>
      </c>
      <c r="O204" s="43" t="str">
        <f t="shared" si="50"/>
        <v>6</v>
      </c>
      <c r="P204" s="43" t="str">
        <f t="shared" si="50"/>
        <v>0</v>
      </c>
      <c r="Q204" s="43" t="str">
        <f t="shared" si="50"/>
        <v>1</v>
      </c>
      <c r="R204" s="55" t="str">
        <f t="shared" si="50"/>
        <v>3</v>
      </c>
      <c r="S204" s="55" t="str">
        <f t="shared" si="50"/>
        <v>6</v>
      </c>
      <c r="T204" s="55" t="str">
        <f t="shared" si="50"/>
        <v>8</v>
      </c>
      <c r="U204" s="55" t="str">
        <f t="shared" si="50"/>
        <v>2</v>
      </c>
      <c r="V204" s="55" t="str">
        <f t="shared" si="50"/>
        <v>0</v>
      </c>
      <c r="W204" s="55" t="str">
        <f t="shared" si="50"/>
        <v>6</v>
      </c>
      <c r="X204" s="55" t="str">
        <f t="shared" si="50"/>
        <v>2</v>
      </c>
      <c r="Y204" s="55" t="str">
        <f t="shared" si="50"/>
        <v>0</v>
      </c>
      <c r="Z204" s="55" t="str">
        <f t="shared" si="50"/>
        <v>3</v>
      </c>
      <c r="AA204" s="55" t="str">
        <f t="shared" si="50"/>
        <v>0</v>
      </c>
      <c r="AB204" s="55" t="str">
        <f t="shared" si="50"/>
        <v>7</v>
      </c>
      <c r="AC204" s="55" t="str">
        <f t="shared" si="50"/>
        <v>0</v>
      </c>
      <c r="AD204" s="55" t="str">
        <f t="shared" si="50"/>
        <v>0</v>
      </c>
      <c r="AE204" s="55" t="str">
        <f t="shared" si="50"/>
        <v>0</v>
      </c>
      <c r="AF204" s="43" t="str">
        <f t="shared" si="50"/>
        <v>3</v>
      </c>
      <c r="AG204" s="43" t="str">
        <f t="shared" si="50"/>
        <v>0</v>
      </c>
      <c r="AH204" s="55" t="str">
        <f t="shared" si="50"/>
        <v>0</v>
      </c>
      <c r="AI204" s="55" t="str">
        <f t="shared" si="50"/>
        <v>1</v>
      </c>
      <c r="AJ204" s="55" t="str">
        <f t="shared" si="50"/>
        <v>2</v>
      </c>
      <c r="AK204" s="55" t="str">
        <f t="shared" si="50"/>
        <v>6</v>
      </c>
      <c r="AL204" s="55" t="str">
        <f t="shared" si="50"/>
        <v>2</v>
      </c>
      <c r="AM204" s="55" t="str">
        <f t="shared" si="50"/>
        <v>0</v>
      </c>
      <c r="AN204" s="55" t="str">
        <f t="shared" si="50"/>
        <v>3</v>
      </c>
      <c r="AO204" s="55" t="str">
        <f t="shared" si="50"/>
        <v>0</v>
      </c>
      <c r="AP204" s="55" t="str">
        <f t="shared" si="50"/>
        <v>7</v>
      </c>
      <c r="AQ204" s="55" t="str">
        <f t="shared" si="50"/>
        <v>0</v>
      </c>
      <c r="AR204" s="55" t="str">
        <f t="shared" si="50"/>
        <v>0</v>
      </c>
      <c r="AS204" s="55" t="str">
        <f t="shared" si="50"/>
        <v>0</v>
      </c>
      <c r="AT204" s="55" t="str">
        <f t="shared" si="50"/>
        <v/>
      </c>
      <c r="AU204" s="55" t="str">
        <f t="shared" si="50"/>
        <v/>
      </c>
      <c r="AV204" s="55" t="str">
        <f t="shared" si="50"/>
        <v/>
      </c>
      <c r="AW204" s="55" t="str">
        <f t="shared" si="50"/>
        <v/>
      </c>
      <c r="AX204" s="55" t="str">
        <f t="shared" si="50"/>
        <v/>
      </c>
      <c r="AY204" s="30"/>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c r="BX204" s="31"/>
      <c r="BY204" s="31"/>
      <c r="BZ204" s="31"/>
      <c r="CA204" s="31"/>
      <c r="CB204" s="31"/>
      <c r="CC204" s="31"/>
      <c r="CD204" s="31"/>
      <c r="CE204" s="31"/>
      <c r="CF204" s="31"/>
      <c r="CG204" s="31"/>
    </row>
    <row r="205" ht="15.75" customHeight="1">
      <c r="A205" s="52" t="s">
        <v>200</v>
      </c>
      <c r="B205" s="43"/>
      <c r="C205" s="43"/>
      <c r="D205" s="43"/>
      <c r="E205" s="43"/>
      <c r="F205" s="43"/>
      <c r="G205" s="43"/>
      <c r="H205" s="43"/>
      <c r="I205" s="43"/>
      <c r="J205" s="43"/>
      <c r="K205" s="43"/>
      <c r="L205" s="43"/>
      <c r="M205" s="43"/>
      <c r="N205" s="43"/>
      <c r="O205" s="43"/>
      <c r="P205" s="43"/>
      <c r="Q205" s="43"/>
      <c r="R205" s="43">
        <v>4.0</v>
      </c>
      <c r="S205" s="43">
        <v>3.0</v>
      </c>
      <c r="T205" s="43">
        <v>4.0</v>
      </c>
      <c r="U205" s="43">
        <v>4.0</v>
      </c>
      <c r="V205" s="43">
        <v>3.0</v>
      </c>
      <c r="W205" s="43">
        <v>4.0</v>
      </c>
      <c r="X205" s="43">
        <v>4.0</v>
      </c>
      <c r="Y205" s="43">
        <v>3.0</v>
      </c>
      <c r="Z205" s="43">
        <v>4.0</v>
      </c>
      <c r="AA205" s="43">
        <v>4.0</v>
      </c>
      <c r="AB205" s="43">
        <v>3.0</v>
      </c>
      <c r="AC205" s="43">
        <v>4.0</v>
      </c>
      <c r="AD205" s="43">
        <v>4.0</v>
      </c>
      <c r="AE205" s="43">
        <v>3.0</v>
      </c>
      <c r="AF205" s="43"/>
      <c r="AG205" s="43"/>
      <c r="AH205" s="43">
        <v>4.0</v>
      </c>
      <c r="AI205" s="43">
        <v>4.0</v>
      </c>
      <c r="AJ205" s="43">
        <v>3.0</v>
      </c>
      <c r="AK205" s="43">
        <v>4.0</v>
      </c>
      <c r="AL205" s="43">
        <v>4.0</v>
      </c>
      <c r="AM205" s="43">
        <v>3.0</v>
      </c>
      <c r="AN205" s="43">
        <v>4.0</v>
      </c>
      <c r="AO205" s="43">
        <v>4.0</v>
      </c>
      <c r="AP205" s="43">
        <v>3.0</v>
      </c>
      <c r="AQ205" s="43">
        <v>4.0</v>
      </c>
      <c r="AR205" s="43">
        <v>4.0</v>
      </c>
      <c r="AS205" s="43">
        <v>3.0</v>
      </c>
      <c r="AT205" s="43">
        <v>4.0</v>
      </c>
      <c r="AU205" s="43">
        <v>4.0</v>
      </c>
      <c r="AV205" s="43">
        <v>3.0</v>
      </c>
      <c r="AW205" s="43">
        <v>4.0</v>
      </c>
      <c r="AX205" s="43">
        <v>4.0</v>
      </c>
      <c r="AY205" s="30"/>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c r="BX205" s="31"/>
      <c r="BY205" s="31"/>
      <c r="BZ205" s="31"/>
      <c r="CA205" s="31"/>
      <c r="CB205" s="31"/>
      <c r="CC205" s="31"/>
      <c r="CD205" s="31"/>
      <c r="CE205" s="31"/>
      <c r="CF205" s="31"/>
      <c r="CG205" s="31"/>
    </row>
    <row r="206" ht="15.75" customHeight="1">
      <c r="A206" s="52" t="s">
        <v>201</v>
      </c>
      <c r="B206" s="43"/>
      <c r="C206" s="43"/>
      <c r="D206" s="43"/>
      <c r="E206" s="43"/>
      <c r="F206" s="43"/>
      <c r="G206" s="43"/>
      <c r="H206" s="43"/>
      <c r="I206" s="43"/>
      <c r="J206" s="43"/>
      <c r="K206" s="43"/>
      <c r="L206" s="43"/>
      <c r="M206" s="43"/>
      <c r="N206" s="43"/>
      <c r="O206" s="43"/>
      <c r="P206" s="43"/>
      <c r="Q206" s="43"/>
      <c r="R206" s="43">
        <f t="shared" ref="R206:AE206" si="51">R204*R205</f>
        <v>12</v>
      </c>
      <c r="S206" s="43">
        <f t="shared" si="51"/>
        <v>18</v>
      </c>
      <c r="T206" s="43">
        <f t="shared" si="51"/>
        <v>32</v>
      </c>
      <c r="U206" s="43">
        <f t="shared" si="51"/>
        <v>8</v>
      </c>
      <c r="V206" s="43">
        <f t="shared" si="51"/>
        <v>0</v>
      </c>
      <c r="W206" s="43">
        <f t="shared" si="51"/>
        <v>24</v>
      </c>
      <c r="X206" s="43">
        <f t="shared" si="51"/>
        <v>8</v>
      </c>
      <c r="Y206" s="43">
        <f t="shared" si="51"/>
        <v>0</v>
      </c>
      <c r="Z206" s="43">
        <f t="shared" si="51"/>
        <v>12</v>
      </c>
      <c r="AA206" s="43">
        <f t="shared" si="51"/>
        <v>0</v>
      </c>
      <c r="AB206" s="43">
        <f t="shared" si="51"/>
        <v>21</v>
      </c>
      <c r="AC206" s="43">
        <f t="shared" si="51"/>
        <v>0</v>
      </c>
      <c r="AD206" s="43">
        <f t="shared" si="51"/>
        <v>0</v>
      </c>
      <c r="AE206" s="43">
        <f t="shared" si="51"/>
        <v>0</v>
      </c>
      <c r="AF206" s="43"/>
      <c r="AG206" s="43"/>
      <c r="AH206" s="43">
        <f t="shared" ref="AH206:AX206" si="52">AH204*AH205</f>
        <v>0</v>
      </c>
      <c r="AI206" s="43">
        <f t="shared" si="52"/>
        <v>4</v>
      </c>
      <c r="AJ206" s="43">
        <f t="shared" si="52"/>
        <v>6</v>
      </c>
      <c r="AK206" s="43">
        <f t="shared" si="52"/>
        <v>24</v>
      </c>
      <c r="AL206" s="43">
        <f t="shared" si="52"/>
        <v>8</v>
      </c>
      <c r="AM206" s="43">
        <f t="shared" si="52"/>
        <v>0</v>
      </c>
      <c r="AN206" s="43">
        <f t="shared" si="52"/>
        <v>12</v>
      </c>
      <c r="AO206" s="43">
        <f t="shared" si="52"/>
        <v>0</v>
      </c>
      <c r="AP206" s="43">
        <f t="shared" si="52"/>
        <v>21</v>
      </c>
      <c r="AQ206" s="43">
        <f t="shared" si="52"/>
        <v>0</v>
      </c>
      <c r="AR206" s="43">
        <f t="shared" si="52"/>
        <v>0</v>
      </c>
      <c r="AS206" s="43">
        <f t="shared" si="52"/>
        <v>0</v>
      </c>
      <c r="AT206" s="43">
        <f t="shared" si="52"/>
        <v>0</v>
      </c>
      <c r="AU206" s="43">
        <f t="shared" si="52"/>
        <v>0</v>
      </c>
      <c r="AV206" s="43">
        <f t="shared" si="52"/>
        <v>0</v>
      </c>
      <c r="AW206" s="43">
        <f t="shared" si="52"/>
        <v>0</v>
      </c>
      <c r="AX206" s="43">
        <f t="shared" si="52"/>
        <v>0</v>
      </c>
      <c r="AY206" s="30"/>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c r="BX206" s="31"/>
      <c r="BY206" s="31"/>
      <c r="BZ206" s="31"/>
      <c r="CA206" s="31"/>
      <c r="CB206" s="31"/>
      <c r="CC206" s="31"/>
      <c r="CD206" s="31"/>
      <c r="CE206" s="31"/>
      <c r="CF206" s="31"/>
      <c r="CG206" s="31"/>
    </row>
    <row r="207" ht="15.75" customHeight="1">
      <c r="A207" s="85" t="s">
        <v>203</v>
      </c>
      <c r="B207" s="43">
        <f>SUM(B206:AR206)</f>
        <v>210</v>
      </c>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0"/>
      <c r="AY207" s="30"/>
      <c r="AZ207" s="31"/>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row>
    <row r="208" ht="15.75" customHeight="1">
      <c r="A208" s="52" t="s">
        <v>273</v>
      </c>
      <c r="B208" s="42">
        <f>B207*3</f>
        <v>630</v>
      </c>
      <c r="C208" s="31"/>
      <c r="D208" s="30"/>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0"/>
      <c r="AM208" s="30"/>
      <c r="AN208" s="30"/>
      <c r="AO208" s="30"/>
      <c r="AP208" s="30"/>
      <c r="AQ208" s="30"/>
      <c r="AR208" s="30"/>
      <c r="AS208" s="30"/>
      <c r="AT208" s="30"/>
      <c r="AU208" s="30"/>
      <c r="AV208" s="30"/>
      <c r="AW208" s="30"/>
      <c r="AX208" s="30"/>
      <c r="AY208" s="30"/>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c r="BX208" s="31"/>
      <c r="BY208" s="31"/>
      <c r="BZ208" s="31"/>
      <c r="CA208" s="31"/>
      <c r="CB208" s="31"/>
      <c r="CC208" s="31"/>
      <c r="CD208" s="31"/>
      <c r="CE208" s="31"/>
      <c r="CF208" s="31"/>
      <c r="CG208" s="31"/>
    </row>
    <row r="209" ht="15.75" customHeight="1">
      <c r="A209" s="52" t="s">
        <v>204</v>
      </c>
      <c r="B209" s="44" t="str">
        <f>TEXT(MOD(B208,100),"00")</f>
        <v>30</v>
      </c>
      <c r="C209" s="31"/>
      <c r="D209" s="30" t="s">
        <v>236</v>
      </c>
      <c r="E209" s="31"/>
      <c r="F209" s="31"/>
      <c r="G209" s="31"/>
      <c r="H209" s="31"/>
      <c r="I209" s="31"/>
      <c r="J209" s="31"/>
      <c r="K209" s="31"/>
      <c r="L209" s="31"/>
      <c r="M209" s="31"/>
      <c r="N209" s="31"/>
      <c r="O209" s="31"/>
      <c r="P209" s="31"/>
      <c r="Q209" s="31"/>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1"/>
      <c r="BZ209" s="31"/>
      <c r="CA209" s="31"/>
      <c r="CB209" s="31"/>
      <c r="CC209" s="31"/>
      <c r="CD209" s="31"/>
      <c r="CE209" s="31"/>
      <c r="CF209" s="31"/>
      <c r="CG209" s="31"/>
    </row>
    <row r="210" ht="15.75" customHeight="1">
      <c r="A210" s="30"/>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0"/>
      <c r="AK210" s="30"/>
      <c r="AL210" s="30"/>
      <c r="AM210" s="30"/>
      <c r="AN210" s="30"/>
      <c r="AO210" s="30"/>
      <c r="AP210" s="30"/>
      <c r="AQ210" s="30"/>
      <c r="AR210" s="30"/>
      <c r="AS210" s="30"/>
      <c r="AT210" s="30"/>
      <c r="AU210" s="30"/>
      <c r="AV210" s="30"/>
      <c r="AW210" s="30"/>
      <c r="AX210" s="30"/>
      <c r="AY210" s="30"/>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c r="BX210" s="31"/>
      <c r="BY210" s="31"/>
      <c r="BZ210" s="31"/>
      <c r="CA210" s="31"/>
      <c r="CB210" s="31"/>
      <c r="CC210" s="31"/>
      <c r="CD210" s="31"/>
      <c r="CE210" s="31"/>
      <c r="CF210" s="31"/>
      <c r="CG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1"/>
      <c r="BZ211" s="31"/>
      <c r="CA211" s="31"/>
      <c r="CB211" s="31"/>
      <c r="CC211" s="31"/>
      <c r="CD211" s="31"/>
      <c r="CE211" s="31"/>
      <c r="CF211" s="31"/>
      <c r="CG211" s="31"/>
    </row>
    <row r="212" ht="5.2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row>
    <row r="213" ht="15.75" customHeight="1">
      <c r="A213" s="45" t="s">
        <v>274</v>
      </c>
      <c r="B213" s="31"/>
      <c r="C213" s="32" t="s">
        <v>190</v>
      </c>
      <c r="D213" s="33">
        <f>LEN(A213)</f>
        <v>16</v>
      </c>
      <c r="E213" s="31"/>
      <c r="F213" s="31"/>
      <c r="G213" s="31"/>
      <c r="H213" s="31"/>
      <c r="I213" s="31"/>
      <c r="J213" s="31"/>
      <c r="K213" s="31"/>
      <c r="L213" s="31"/>
      <c r="M213" s="31"/>
      <c r="N213" s="31"/>
      <c r="O213" s="31"/>
      <c r="P213" s="31"/>
      <c r="Q213" s="31"/>
      <c r="R213" s="30"/>
      <c r="S213" s="30"/>
      <c r="T213" s="30"/>
      <c r="U213" s="30"/>
      <c r="V213" s="30"/>
      <c r="W213" s="30"/>
      <c r="X213" s="30"/>
      <c r="Y213" s="30"/>
      <c r="Z213" s="30"/>
      <c r="AA213" s="31"/>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1"/>
      <c r="BZ213" s="31"/>
      <c r="CA213" s="31"/>
      <c r="CB213" s="31"/>
      <c r="CC213" s="31"/>
      <c r="CD213" s="31"/>
      <c r="CE213" s="31"/>
      <c r="CF213" s="31"/>
      <c r="CG213" s="31"/>
    </row>
    <row r="214" ht="15.75" customHeight="1">
      <c r="A214" s="34" t="s">
        <v>191</v>
      </c>
      <c r="B214" s="35" t="s">
        <v>74</v>
      </c>
      <c r="C214" s="35"/>
      <c r="D214" s="35"/>
      <c r="E214" s="35"/>
      <c r="F214" s="35"/>
      <c r="G214" s="35"/>
      <c r="H214" s="35"/>
      <c r="I214" s="35"/>
      <c r="J214" s="35"/>
      <c r="K214" s="35"/>
      <c r="L214" s="35"/>
      <c r="M214" s="35"/>
      <c r="N214" s="35"/>
      <c r="O214" s="35"/>
      <c r="P214" s="35"/>
      <c r="Q214" s="89" t="s">
        <v>275</v>
      </c>
      <c r="R214" s="30"/>
      <c r="S214" s="30"/>
      <c r="T214" s="30"/>
      <c r="U214" s="30"/>
      <c r="V214" s="30"/>
      <c r="W214" s="33" t="s">
        <v>276</v>
      </c>
      <c r="X214" s="30"/>
      <c r="Y214" s="30"/>
      <c r="Z214" s="30"/>
      <c r="AA214" s="31"/>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1"/>
      <c r="BZ214" s="31"/>
      <c r="CA214" s="31"/>
      <c r="CB214" s="31"/>
      <c r="CC214" s="31"/>
      <c r="CD214" s="31"/>
      <c r="CE214" s="31"/>
      <c r="CF214" s="31"/>
      <c r="CG214" s="31"/>
    </row>
    <row r="215" ht="15.75" customHeight="1">
      <c r="A215" s="37" t="s">
        <v>193</v>
      </c>
      <c r="B215" s="38"/>
      <c r="C215" s="38"/>
      <c r="D215" s="38"/>
      <c r="E215" s="38"/>
      <c r="F215" s="38"/>
      <c r="G215" s="38"/>
      <c r="H215" s="38"/>
      <c r="I215" s="38"/>
      <c r="J215" s="38"/>
      <c r="K215" s="38"/>
      <c r="L215" s="90"/>
      <c r="M215" s="38"/>
      <c r="N215" s="38"/>
      <c r="O215" s="90"/>
      <c r="P215" s="38"/>
      <c r="Q215" s="90" t="s">
        <v>194</v>
      </c>
      <c r="R215" s="30"/>
      <c r="S215" s="30"/>
      <c r="T215" s="30"/>
      <c r="U215" s="30"/>
      <c r="V215" s="30"/>
      <c r="W215" s="32" t="s">
        <v>277</v>
      </c>
      <c r="X215" s="104" t="s">
        <v>200</v>
      </c>
      <c r="Y215" s="30"/>
      <c r="Z215" s="30"/>
      <c r="AA215" s="31"/>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1"/>
      <c r="BZ215" s="31"/>
      <c r="CA215" s="31"/>
      <c r="CB215" s="31"/>
      <c r="CC215" s="31"/>
      <c r="CD215" s="31"/>
      <c r="CE215" s="31"/>
      <c r="CF215" s="31"/>
      <c r="CG215" s="31"/>
    </row>
    <row r="216" ht="15.75" customHeight="1">
      <c r="A216" s="39" t="s">
        <v>195</v>
      </c>
      <c r="B216" s="40">
        <v>1.0</v>
      </c>
      <c r="C216" s="40">
        <v>2.0</v>
      </c>
      <c r="D216" s="40">
        <v>3.0</v>
      </c>
      <c r="E216" s="40">
        <v>4.0</v>
      </c>
      <c r="F216" s="40">
        <v>5.0</v>
      </c>
      <c r="G216" s="40">
        <v>6.0</v>
      </c>
      <c r="H216" s="40">
        <v>7.0</v>
      </c>
      <c r="I216" s="40">
        <v>8.0</v>
      </c>
      <c r="J216" s="40">
        <v>9.0</v>
      </c>
      <c r="K216" s="40">
        <v>10.0</v>
      </c>
      <c r="L216" s="40">
        <v>11.0</v>
      </c>
      <c r="M216" s="40">
        <v>12.0</v>
      </c>
      <c r="N216" s="40">
        <v>13.0</v>
      </c>
      <c r="O216" s="40">
        <v>14.0</v>
      </c>
      <c r="P216" s="40">
        <v>15.0</v>
      </c>
      <c r="Q216" s="41">
        <v>16.0</v>
      </c>
      <c r="R216" s="30"/>
      <c r="S216" s="30"/>
      <c r="T216" s="30"/>
      <c r="U216" s="30"/>
      <c r="V216" s="30"/>
      <c r="W216" s="105" t="s">
        <v>278</v>
      </c>
      <c r="X216" s="106">
        <v>0.0</v>
      </c>
      <c r="Y216" s="30"/>
      <c r="Z216" s="30"/>
      <c r="AA216" s="31"/>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1"/>
      <c r="BZ216" s="31"/>
      <c r="CA216" s="31"/>
      <c r="CB216" s="31"/>
      <c r="CC216" s="31"/>
      <c r="CD216" s="31"/>
      <c r="CE216" s="31"/>
      <c r="CF216" s="31"/>
      <c r="CG216" s="31"/>
    </row>
    <row r="217" ht="15.75" customHeight="1">
      <c r="A217" s="42" t="s">
        <v>196</v>
      </c>
      <c r="B217" s="91" t="str">
        <f t="shared" ref="B217:Q217" si="53">MID($A213,B216,1)</f>
        <v>1</v>
      </c>
      <c r="C217" s="91" t="str">
        <f t="shared" si="53"/>
        <v>2</v>
      </c>
      <c r="D217" s="91" t="str">
        <f t="shared" si="53"/>
        <v>7</v>
      </c>
      <c r="E217" s="91" t="str">
        <f t="shared" si="53"/>
        <v>7</v>
      </c>
      <c r="F217" s="91" t="str">
        <f t="shared" si="53"/>
        <v>5</v>
      </c>
      <c r="G217" s="91" t="str">
        <f t="shared" si="53"/>
        <v>0</v>
      </c>
      <c r="H217" s="91" t="str">
        <f t="shared" si="53"/>
        <v>0</v>
      </c>
      <c r="I217" s="91" t="str">
        <f t="shared" si="53"/>
        <v>1</v>
      </c>
      <c r="J217" s="91" t="str">
        <f t="shared" si="53"/>
        <v>7</v>
      </c>
      <c r="K217" s="91" t="str">
        <f t="shared" si="53"/>
        <v>9</v>
      </c>
      <c r="L217" s="91" t="str">
        <f t="shared" si="53"/>
        <v>6</v>
      </c>
      <c r="M217" s="91" t="str">
        <f t="shared" si="53"/>
        <v>2</v>
      </c>
      <c r="N217" s="91" t="str">
        <f t="shared" si="53"/>
        <v>9</v>
      </c>
      <c r="O217" s="91" t="str">
        <f t="shared" si="53"/>
        <v>0</v>
      </c>
      <c r="P217" s="91" t="str">
        <f t="shared" si="53"/>
        <v>0</v>
      </c>
      <c r="Q217" s="107" t="str">
        <f t="shared" si="53"/>
        <v>4</v>
      </c>
      <c r="R217" s="30"/>
      <c r="S217" s="30"/>
      <c r="T217" s="30"/>
      <c r="U217" s="30"/>
      <c r="V217" s="30"/>
      <c r="W217" s="105" t="s">
        <v>279</v>
      </c>
      <c r="X217" s="106">
        <v>2.0</v>
      </c>
      <c r="Y217" s="30"/>
      <c r="Z217" s="30"/>
      <c r="AA217" s="31"/>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row>
    <row r="218" ht="15.75" customHeight="1">
      <c r="A218" s="45" t="s">
        <v>280</v>
      </c>
      <c r="B218" s="46"/>
      <c r="C218" s="46"/>
      <c r="D218" s="46"/>
      <c r="E218" s="46"/>
      <c r="F218" s="46"/>
      <c r="G218" s="46"/>
      <c r="H218" s="46"/>
      <c r="I218" s="46"/>
      <c r="J218" s="46"/>
      <c r="K218" s="46"/>
      <c r="L218" s="46"/>
      <c r="M218" s="46"/>
      <c r="N218" s="46"/>
      <c r="O218" s="46"/>
      <c r="P218" s="46"/>
      <c r="Q218" s="46"/>
      <c r="R218" s="30"/>
      <c r="S218" s="30"/>
      <c r="T218" s="30"/>
      <c r="U218" s="30"/>
      <c r="V218" s="30"/>
      <c r="W218" s="105" t="s">
        <v>281</v>
      </c>
      <c r="X218" s="106">
        <v>4.0</v>
      </c>
      <c r="Y218" s="30"/>
      <c r="Z218" s="30"/>
      <c r="AA218" s="31"/>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1"/>
      <c r="BZ218" s="31"/>
      <c r="CA218" s="31"/>
      <c r="CB218" s="31"/>
      <c r="CC218" s="31"/>
      <c r="CD218" s="31"/>
      <c r="CE218" s="31"/>
      <c r="CF218" s="31"/>
      <c r="CG218" s="31"/>
    </row>
    <row r="219" ht="15.75" customHeight="1">
      <c r="A219" s="45" t="s">
        <v>282</v>
      </c>
      <c r="B219" s="30"/>
      <c r="C219" s="30"/>
      <c r="D219" s="30"/>
      <c r="E219" s="30"/>
      <c r="F219" s="30"/>
      <c r="G219" s="30"/>
      <c r="H219" s="30"/>
      <c r="I219" s="30"/>
      <c r="J219" s="30"/>
      <c r="K219" s="30"/>
      <c r="L219" s="30"/>
      <c r="M219" s="30"/>
      <c r="N219" s="30"/>
      <c r="O219" s="30"/>
      <c r="P219" s="30"/>
      <c r="Q219" s="30"/>
      <c r="R219" s="30"/>
      <c r="S219" s="30"/>
      <c r="T219" s="30"/>
      <c r="U219" s="30"/>
      <c r="V219" s="30"/>
      <c r="W219" s="105" t="s">
        <v>283</v>
      </c>
      <c r="X219" s="106">
        <v>6.0</v>
      </c>
      <c r="Y219" s="31"/>
      <c r="Z219" s="30"/>
      <c r="AA219" s="31"/>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1"/>
      <c r="BZ219" s="31"/>
      <c r="CA219" s="31"/>
      <c r="CB219" s="31"/>
      <c r="CC219" s="31"/>
      <c r="CD219" s="31"/>
      <c r="CE219" s="31"/>
      <c r="CF219" s="31"/>
      <c r="CG219" s="31"/>
    </row>
    <row r="220" ht="15.75" customHeight="1">
      <c r="A220" s="45" t="s">
        <v>274</v>
      </c>
      <c r="B220" s="30"/>
      <c r="C220" s="30"/>
      <c r="D220" s="30"/>
      <c r="E220" s="30"/>
      <c r="F220" s="30"/>
      <c r="G220" s="30"/>
      <c r="H220" s="30"/>
      <c r="I220" s="30"/>
      <c r="J220" s="30"/>
      <c r="K220" s="30"/>
      <c r="L220" s="30"/>
      <c r="M220" s="30"/>
      <c r="N220" s="30"/>
      <c r="O220" s="30"/>
      <c r="P220" s="30"/>
      <c r="Q220" s="30"/>
      <c r="R220" s="30"/>
      <c r="S220" s="30"/>
      <c r="T220" s="30"/>
      <c r="U220" s="30"/>
      <c r="V220" s="30"/>
      <c r="W220" s="105" t="s">
        <v>284</v>
      </c>
      <c r="X220" s="106">
        <v>8.0</v>
      </c>
      <c r="Y220" s="31"/>
      <c r="Z220" s="30"/>
      <c r="AA220" s="31"/>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row>
    <row r="221" ht="15.75" customHeight="1">
      <c r="A221" s="45" t="s">
        <v>285</v>
      </c>
      <c r="B221" s="30"/>
      <c r="C221" s="30"/>
      <c r="D221" s="30"/>
      <c r="E221" s="30"/>
      <c r="F221" s="30"/>
      <c r="G221" s="30"/>
      <c r="H221" s="30"/>
      <c r="I221" s="30"/>
      <c r="J221" s="30"/>
      <c r="K221" s="30"/>
      <c r="L221" s="30"/>
      <c r="M221" s="30"/>
      <c r="N221" s="30"/>
      <c r="O221" s="30"/>
      <c r="P221" s="30"/>
      <c r="Q221" s="30"/>
      <c r="R221" s="30"/>
      <c r="S221" s="30"/>
      <c r="T221" s="30"/>
      <c r="U221" s="30"/>
      <c r="V221" s="30"/>
      <c r="W221" s="105" t="s">
        <v>286</v>
      </c>
      <c r="X221" s="106">
        <v>1.0</v>
      </c>
      <c r="Y221" s="30"/>
      <c r="Z221" s="30"/>
      <c r="AA221" s="31"/>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1"/>
      <c r="BZ221" s="31"/>
      <c r="CA221" s="31"/>
      <c r="CB221" s="31"/>
      <c r="CC221" s="31"/>
      <c r="CD221" s="31"/>
      <c r="CE221" s="31"/>
      <c r="CF221" s="31"/>
      <c r="CG221" s="31"/>
    </row>
    <row r="222" ht="15.75" customHeight="1">
      <c r="A222" s="45" t="s">
        <v>274</v>
      </c>
      <c r="B222" s="31"/>
      <c r="C222" s="30"/>
      <c r="D222" s="30"/>
      <c r="E222" s="30"/>
      <c r="F222" s="30"/>
      <c r="G222" s="30"/>
      <c r="H222" s="30"/>
      <c r="I222" s="30"/>
      <c r="J222" s="30"/>
      <c r="K222" s="30"/>
      <c r="L222" s="30"/>
      <c r="M222" s="30"/>
      <c r="N222" s="30"/>
      <c r="O222" s="30"/>
      <c r="P222" s="30"/>
      <c r="Q222" s="30"/>
      <c r="R222" s="30"/>
      <c r="S222" s="30"/>
      <c r="T222" s="30"/>
      <c r="U222" s="30"/>
      <c r="V222" s="30"/>
      <c r="W222" s="105" t="s">
        <v>287</v>
      </c>
      <c r="X222" s="106">
        <v>3.0</v>
      </c>
      <c r="Y222" s="30"/>
      <c r="Z222" s="30"/>
      <c r="AA222" s="31"/>
      <c r="AB222" s="30"/>
      <c r="AC222" s="30"/>
      <c r="AD222" s="30"/>
      <c r="AE222" s="31"/>
      <c r="AF222" s="30"/>
      <c r="AG222" s="30"/>
      <c r="AH222" s="30"/>
      <c r="AI222" s="30"/>
      <c r="AJ222" s="30"/>
      <c r="AK222" s="30"/>
      <c r="AL222" s="30"/>
      <c r="AM222" s="30"/>
      <c r="AN222" s="30"/>
      <c r="AO222" s="30"/>
      <c r="AP222" s="30"/>
      <c r="AQ222" s="30"/>
      <c r="AR222" s="30"/>
      <c r="AS222" s="30"/>
      <c r="AT222" s="30"/>
      <c r="AU222" s="30"/>
      <c r="AV222" s="30"/>
      <c r="AW222" s="30"/>
      <c r="AX222" s="30"/>
      <c r="AY222" s="30"/>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1"/>
      <c r="BZ222" s="31"/>
      <c r="CA222" s="31"/>
      <c r="CB222" s="31"/>
      <c r="CC222" s="31"/>
      <c r="CD222" s="31"/>
      <c r="CE222" s="31"/>
      <c r="CF222" s="31"/>
      <c r="CG222" s="31"/>
    </row>
    <row r="223" ht="15.75" customHeight="1">
      <c r="A223" s="45" t="s">
        <v>288</v>
      </c>
      <c r="B223" s="31"/>
      <c r="C223" s="30"/>
      <c r="D223" s="30"/>
      <c r="E223" s="30"/>
      <c r="F223" s="30"/>
      <c r="G223" s="30"/>
      <c r="H223" s="30"/>
      <c r="I223" s="30"/>
      <c r="J223" s="30"/>
      <c r="K223" s="30"/>
      <c r="L223" s="30"/>
      <c r="M223" s="30"/>
      <c r="N223" s="30"/>
      <c r="O223" s="30"/>
      <c r="P223" s="30"/>
      <c r="Q223" s="30"/>
      <c r="R223" s="30"/>
      <c r="S223" s="30"/>
      <c r="T223" s="30"/>
      <c r="U223" s="30"/>
      <c r="V223" s="30"/>
      <c r="W223" s="105" t="s">
        <v>289</v>
      </c>
      <c r="X223" s="106">
        <v>5.0</v>
      </c>
      <c r="Y223" s="30"/>
      <c r="Z223" s="30"/>
      <c r="AA223" s="31"/>
      <c r="AB223" s="30"/>
      <c r="AC223" s="30"/>
      <c r="AD223" s="30"/>
      <c r="AE223" s="31"/>
      <c r="AF223" s="30"/>
      <c r="AG223" s="30"/>
      <c r="AH223" s="30"/>
      <c r="AI223" s="30"/>
      <c r="AJ223" s="30"/>
      <c r="AK223" s="30"/>
      <c r="AL223" s="30"/>
      <c r="AM223" s="30"/>
      <c r="AN223" s="30"/>
      <c r="AO223" s="30"/>
      <c r="AP223" s="30"/>
      <c r="AQ223" s="30"/>
      <c r="AR223" s="30"/>
      <c r="AS223" s="30"/>
      <c r="AT223" s="30"/>
      <c r="AU223" s="30"/>
      <c r="AV223" s="30"/>
      <c r="AW223" s="30"/>
      <c r="AX223" s="30"/>
      <c r="AY223" s="30"/>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1"/>
      <c r="BZ223" s="31"/>
      <c r="CA223" s="31"/>
      <c r="CB223" s="31"/>
      <c r="CC223" s="31"/>
      <c r="CD223" s="31"/>
      <c r="CE223" s="31"/>
      <c r="CF223" s="31"/>
      <c r="CG223" s="31"/>
    </row>
    <row r="224" ht="15.75" customHeight="1">
      <c r="A224" s="108" t="s">
        <v>290</v>
      </c>
      <c r="B224" s="30"/>
      <c r="C224" s="30"/>
      <c r="D224" s="30"/>
      <c r="E224" s="30"/>
      <c r="F224" s="30"/>
      <c r="G224" s="30"/>
      <c r="H224" s="30"/>
      <c r="I224" s="30"/>
      <c r="J224" s="30"/>
      <c r="K224" s="30"/>
      <c r="L224" s="30"/>
      <c r="M224" s="30"/>
      <c r="N224" s="30"/>
      <c r="O224" s="30"/>
      <c r="P224" s="30"/>
      <c r="Q224" s="30"/>
      <c r="R224" s="30"/>
      <c r="S224" s="30"/>
      <c r="T224" s="30"/>
      <c r="U224" s="30"/>
      <c r="V224" s="30"/>
      <c r="W224" s="105" t="s">
        <v>291</v>
      </c>
      <c r="X224" s="106">
        <v>7.0</v>
      </c>
      <c r="Y224" s="30"/>
      <c r="Z224" s="30"/>
      <c r="AA224" s="31"/>
      <c r="AB224" s="30"/>
      <c r="AC224" s="30"/>
      <c r="AD224" s="30"/>
      <c r="AE224" s="31"/>
      <c r="AF224" s="30"/>
      <c r="AG224" s="30"/>
      <c r="AH224" s="30"/>
      <c r="AI224" s="30"/>
      <c r="AJ224" s="30"/>
      <c r="AK224" s="30"/>
      <c r="AL224" s="30"/>
      <c r="AM224" s="30"/>
      <c r="AN224" s="30"/>
      <c r="AO224" s="30"/>
      <c r="AP224" s="30"/>
      <c r="AQ224" s="30"/>
      <c r="AR224" s="30"/>
      <c r="AS224" s="30"/>
      <c r="AT224" s="30"/>
      <c r="AU224" s="30"/>
      <c r="AV224" s="30"/>
      <c r="AW224" s="30"/>
      <c r="AX224" s="30"/>
      <c r="AY224" s="30"/>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1"/>
      <c r="BZ224" s="31"/>
      <c r="CA224" s="31"/>
      <c r="CB224" s="31"/>
      <c r="CC224" s="31"/>
      <c r="CD224" s="31"/>
      <c r="CE224" s="31"/>
      <c r="CF224" s="31"/>
      <c r="CG224" s="31"/>
    </row>
    <row r="225" ht="15.75" customHeight="1">
      <c r="A225" s="47" t="s">
        <v>272</v>
      </c>
      <c r="B225" s="49"/>
      <c r="C225" s="49"/>
      <c r="D225" s="49"/>
      <c r="E225" s="49"/>
      <c r="F225" s="49"/>
      <c r="G225" s="49"/>
      <c r="H225" s="49"/>
      <c r="I225" s="49"/>
      <c r="J225" s="49"/>
      <c r="K225" s="49"/>
      <c r="L225" s="49"/>
      <c r="M225" s="49"/>
      <c r="N225" s="49"/>
      <c r="O225" s="49"/>
      <c r="P225" s="49"/>
      <c r="Q225" s="49"/>
      <c r="R225" s="30"/>
      <c r="S225" s="31"/>
      <c r="T225" s="31"/>
      <c r="U225" s="31"/>
      <c r="V225" s="31"/>
      <c r="W225" s="105" t="s">
        <v>292</v>
      </c>
      <c r="X225" s="106">
        <v>9.0</v>
      </c>
      <c r="Y225" s="30"/>
      <c r="Z225" s="31"/>
      <c r="AA225" s="31"/>
      <c r="AB225" s="31"/>
      <c r="AC225" s="30"/>
      <c r="AD225" s="30"/>
      <c r="AE225" s="31"/>
      <c r="AF225" s="30"/>
      <c r="AG225" s="30"/>
      <c r="AH225" s="30"/>
      <c r="AI225" s="30"/>
      <c r="AJ225" s="30"/>
      <c r="AK225" s="31"/>
      <c r="AL225" s="31"/>
      <c r="AM225" s="31"/>
      <c r="AN225" s="30"/>
      <c r="AO225" s="30"/>
      <c r="AP225" s="30"/>
      <c r="AQ225" s="30"/>
      <c r="AR225" s="30"/>
      <c r="AS225" s="30"/>
      <c r="AT225" s="30"/>
      <c r="AU225" s="30"/>
      <c r="AV225" s="30"/>
      <c r="AW225" s="30"/>
      <c r="AX225" s="30"/>
      <c r="AY225" s="30"/>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1"/>
      <c r="BZ225" s="31"/>
      <c r="CA225" s="31"/>
      <c r="CB225" s="31"/>
      <c r="CC225" s="31"/>
      <c r="CD225" s="31"/>
      <c r="CE225" s="31"/>
      <c r="CF225" s="31"/>
      <c r="CG225" s="31"/>
    </row>
    <row r="226" ht="15.75" customHeight="1">
      <c r="A226" s="39" t="s">
        <v>195</v>
      </c>
      <c r="B226" s="41">
        <v>1.0</v>
      </c>
      <c r="C226" s="41">
        <v>2.0</v>
      </c>
      <c r="D226" s="41">
        <v>3.0</v>
      </c>
      <c r="E226" s="41">
        <v>4.0</v>
      </c>
      <c r="F226" s="41">
        <v>5.0</v>
      </c>
      <c r="G226" s="41">
        <v>6.0</v>
      </c>
      <c r="H226" s="41">
        <v>7.0</v>
      </c>
      <c r="I226" s="41">
        <v>8.0</v>
      </c>
      <c r="J226" s="41">
        <v>9.0</v>
      </c>
      <c r="K226" s="41">
        <v>10.0</v>
      </c>
      <c r="L226" s="41">
        <v>11.0</v>
      </c>
      <c r="M226" s="41">
        <v>12.0</v>
      </c>
      <c r="N226" s="41">
        <v>13.0</v>
      </c>
      <c r="O226" s="41">
        <v>14.0</v>
      </c>
      <c r="P226" s="41">
        <v>15.0</v>
      </c>
      <c r="Q226" s="40">
        <v>16.0</v>
      </c>
      <c r="R226" s="30"/>
      <c r="S226" s="31"/>
      <c r="T226" s="31"/>
      <c r="U226" s="31"/>
      <c r="V226" s="31"/>
      <c r="W226" s="31"/>
      <c r="X226" s="31"/>
      <c r="Y226" s="30"/>
      <c r="Z226" s="31"/>
      <c r="AA226" s="31"/>
      <c r="AB226" s="31"/>
      <c r="AC226" s="30"/>
      <c r="AD226" s="30"/>
      <c r="AE226" s="31"/>
      <c r="AF226" s="30"/>
      <c r="AG226" s="30"/>
      <c r="AH226" s="30"/>
      <c r="AI226" s="30"/>
      <c r="AJ226" s="30"/>
      <c r="AK226" s="30"/>
      <c r="AL226" s="30"/>
      <c r="AM226" s="30"/>
      <c r="AN226" s="30"/>
      <c r="AO226" s="30"/>
      <c r="AP226" s="30"/>
      <c r="AQ226" s="30"/>
      <c r="AR226" s="30"/>
      <c r="AS226" s="30"/>
      <c r="AT226" s="30"/>
      <c r="AU226" s="30"/>
      <c r="AV226" s="30"/>
      <c r="AW226" s="30"/>
      <c r="AX226" s="30"/>
      <c r="AY226" s="30"/>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row>
    <row r="227" ht="15.75" customHeight="1">
      <c r="A227" s="42" t="s">
        <v>196</v>
      </c>
      <c r="B227" s="51" t="str">
        <f t="shared" ref="B227:Q227" si="54">B217</f>
        <v>1</v>
      </c>
      <c r="C227" s="51" t="str">
        <f t="shared" si="54"/>
        <v>2</v>
      </c>
      <c r="D227" s="51" t="str">
        <f t="shared" si="54"/>
        <v>7</v>
      </c>
      <c r="E227" s="51" t="str">
        <f t="shared" si="54"/>
        <v>7</v>
      </c>
      <c r="F227" s="51" t="str">
        <f t="shared" si="54"/>
        <v>5</v>
      </c>
      <c r="G227" s="51" t="str">
        <f t="shared" si="54"/>
        <v>0</v>
      </c>
      <c r="H227" s="51" t="str">
        <f t="shared" si="54"/>
        <v>0</v>
      </c>
      <c r="I227" s="51" t="str">
        <f t="shared" si="54"/>
        <v>1</v>
      </c>
      <c r="J227" s="51" t="str">
        <f t="shared" si="54"/>
        <v>7</v>
      </c>
      <c r="K227" s="51" t="str">
        <f t="shared" si="54"/>
        <v>9</v>
      </c>
      <c r="L227" s="51" t="str">
        <f t="shared" si="54"/>
        <v>6</v>
      </c>
      <c r="M227" s="51" t="str">
        <f t="shared" si="54"/>
        <v>2</v>
      </c>
      <c r="N227" s="51" t="str">
        <f t="shared" si="54"/>
        <v>9</v>
      </c>
      <c r="O227" s="51" t="str">
        <f t="shared" si="54"/>
        <v>0</v>
      </c>
      <c r="P227" s="51" t="str">
        <f t="shared" si="54"/>
        <v>0</v>
      </c>
      <c r="Q227" s="43" t="str">
        <f t="shared" si="54"/>
        <v>4</v>
      </c>
      <c r="R227" s="30"/>
      <c r="S227" s="31"/>
      <c r="T227" s="30"/>
      <c r="U227" s="30"/>
      <c r="V227" s="30"/>
      <c r="W227" s="31"/>
      <c r="X227" s="31"/>
      <c r="Y227" s="31"/>
      <c r="Z227" s="30"/>
      <c r="AA227" s="31"/>
      <c r="AB227" s="30"/>
      <c r="AC227" s="30"/>
      <c r="AD227" s="30"/>
      <c r="AE227" s="31"/>
      <c r="AF227" s="30"/>
      <c r="AG227" s="30"/>
      <c r="AH227" s="30"/>
      <c r="AI227" s="30"/>
      <c r="AJ227" s="30"/>
      <c r="AK227" s="30"/>
      <c r="AL227" s="30"/>
      <c r="AM227" s="30"/>
      <c r="AN227" s="30"/>
      <c r="AO227" s="30"/>
      <c r="AP227" s="30"/>
      <c r="AQ227" s="30"/>
      <c r="AR227" s="30"/>
      <c r="AS227" s="30"/>
      <c r="AT227" s="30"/>
      <c r="AU227" s="30"/>
      <c r="AV227" s="30"/>
      <c r="AW227" s="30"/>
      <c r="AX227" s="30"/>
      <c r="AY227" s="30"/>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c r="CG227" s="31"/>
    </row>
    <row r="228" ht="15.75" customHeight="1">
      <c r="A228" s="52" t="s">
        <v>293</v>
      </c>
      <c r="B228" s="109">
        <f>VLOOKUP(B227,$W$216:$X$225,2,1)</f>
        <v>2</v>
      </c>
      <c r="C228" s="43" t="str">
        <f>C227</f>
        <v>2</v>
      </c>
      <c r="D228" s="109">
        <f>VLOOKUP(D227,$W$216:$X$225,2,1)</f>
        <v>5</v>
      </c>
      <c r="E228" s="43" t="str">
        <f>E227</f>
        <v>7</v>
      </c>
      <c r="F228" s="109">
        <f>VLOOKUP(F227,$W$216:$X$225,2,1)</f>
        <v>1</v>
      </c>
      <c r="G228" s="43" t="str">
        <f>G227</f>
        <v>0</v>
      </c>
      <c r="H228" s="109">
        <f>VLOOKUP(H227,$W$216:$X$225,2,1)</f>
        <v>0</v>
      </c>
      <c r="I228" s="43" t="str">
        <f>I227</f>
        <v>1</v>
      </c>
      <c r="J228" s="109">
        <f>VLOOKUP(J227,$W$216:$X$225,2,1)</f>
        <v>5</v>
      </c>
      <c r="K228" s="43" t="str">
        <f>K227</f>
        <v>9</v>
      </c>
      <c r="L228" s="109">
        <f>VLOOKUP(L227,$W$216:$X$225,2,1)</f>
        <v>3</v>
      </c>
      <c r="M228" s="43" t="str">
        <f>M227</f>
        <v>2</v>
      </c>
      <c r="N228" s="109">
        <f>VLOOKUP(N227,$W$216:$X$225,2,1)</f>
        <v>9</v>
      </c>
      <c r="O228" s="43" t="str">
        <f>O227</f>
        <v>0</v>
      </c>
      <c r="P228" s="109">
        <f>VLOOKUP(P227,$W$216:$X$225,2,1)</f>
        <v>0</v>
      </c>
      <c r="Q228" s="43"/>
      <c r="R228" s="30"/>
      <c r="S228" s="31"/>
      <c r="T228" s="30"/>
      <c r="U228" s="30"/>
      <c r="V228" s="30"/>
      <c r="W228" s="31"/>
      <c r="X228" s="31"/>
      <c r="Y228" s="31"/>
      <c r="Z228" s="30"/>
      <c r="AA228" s="31"/>
      <c r="AB228" s="30"/>
      <c r="AC228" s="31"/>
      <c r="AD228" s="31"/>
      <c r="AE228" s="31"/>
      <c r="AF228" s="31"/>
      <c r="AG228" s="31"/>
      <c r="AH228" s="31"/>
      <c r="AI228" s="30"/>
      <c r="AJ228" s="30"/>
      <c r="AK228" s="30"/>
      <c r="AL228" s="30"/>
      <c r="AM228" s="30"/>
      <c r="AN228" s="30"/>
      <c r="AO228" s="30"/>
      <c r="AP228" s="30"/>
      <c r="AQ228" s="30"/>
      <c r="AR228" s="30"/>
      <c r="AS228" s="30"/>
      <c r="AT228" s="30"/>
      <c r="AU228" s="30"/>
      <c r="AV228" s="30"/>
      <c r="AW228" s="30"/>
      <c r="AX228" s="30"/>
      <c r="AY228" s="30"/>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1"/>
      <c r="BZ228" s="31"/>
      <c r="CA228" s="31"/>
      <c r="CB228" s="31"/>
      <c r="CC228" s="31"/>
      <c r="CD228" s="31"/>
      <c r="CE228" s="31"/>
      <c r="CF228" s="31"/>
      <c r="CG228" s="31"/>
    </row>
    <row r="229" ht="15.75" customHeight="1">
      <c r="A229" s="85" t="s">
        <v>294</v>
      </c>
      <c r="B229" s="43">
        <f>B228+C228+D228+E228+F228+G228+H228+I228+J228+K228+L228+M228+N228+O228+P228</f>
        <v>46</v>
      </c>
      <c r="C229" s="46"/>
      <c r="D229" s="46">
        <f>B228+C228+D228</f>
        <v>9</v>
      </c>
      <c r="E229" s="46">
        <f t="shared" ref="E229:P229" si="55">E228+D229</f>
        <v>16</v>
      </c>
      <c r="F229" s="46">
        <f t="shared" si="55"/>
        <v>17</v>
      </c>
      <c r="G229" s="46">
        <f t="shared" si="55"/>
        <v>17</v>
      </c>
      <c r="H229" s="46">
        <f t="shared" si="55"/>
        <v>17</v>
      </c>
      <c r="I229" s="46">
        <f t="shared" si="55"/>
        <v>18</v>
      </c>
      <c r="J229" s="46">
        <f t="shared" si="55"/>
        <v>23</v>
      </c>
      <c r="K229" s="46">
        <f t="shared" si="55"/>
        <v>32</v>
      </c>
      <c r="L229" s="46">
        <f t="shared" si="55"/>
        <v>35</v>
      </c>
      <c r="M229" s="46">
        <f t="shared" si="55"/>
        <v>37</v>
      </c>
      <c r="N229" s="46">
        <f t="shared" si="55"/>
        <v>46</v>
      </c>
      <c r="O229" s="46">
        <f t="shared" si="55"/>
        <v>46</v>
      </c>
      <c r="P229" s="46">
        <f t="shared" si="55"/>
        <v>46</v>
      </c>
      <c r="Q229" s="46"/>
      <c r="R229" s="30"/>
      <c r="S229" s="31"/>
      <c r="T229" s="30"/>
      <c r="U229" s="30"/>
      <c r="V229" s="30"/>
      <c r="W229" s="31"/>
      <c r="X229" s="31"/>
      <c r="Y229" s="31"/>
      <c r="Z229" s="30"/>
      <c r="AA229" s="31"/>
      <c r="AB229" s="30"/>
      <c r="AC229" s="31"/>
      <c r="AD229" s="31"/>
      <c r="AE229" s="31"/>
      <c r="AF229" s="31"/>
      <c r="AG229" s="31"/>
      <c r="AH229" s="31"/>
      <c r="AI229" s="30"/>
      <c r="AJ229" s="30"/>
      <c r="AK229" s="30"/>
      <c r="AL229" s="30"/>
      <c r="AM229" s="30"/>
      <c r="AN229" s="30"/>
      <c r="AO229" s="30"/>
      <c r="AP229" s="30"/>
      <c r="AQ229" s="30"/>
      <c r="AR229" s="30"/>
      <c r="AS229" s="30"/>
      <c r="AT229" s="30"/>
      <c r="AU229" s="30"/>
      <c r="AV229" s="30"/>
      <c r="AW229" s="30"/>
      <c r="AX229" s="30"/>
      <c r="AY229" s="30"/>
      <c r="AZ229" s="31"/>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row>
    <row r="230" ht="15.75" customHeight="1">
      <c r="A230" s="52" t="s">
        <v>263</v>
      </c>
      <c r="B230" s="42">
        <f>MOD(B229,10)</f>
        <v>6</v>
      </c>
      <c r="C230" s="46"/>
      <c r="D230" s="46"/>
      <c r="E230" s="46"/>
      <c r="F230" s="46"/>
      <c r="G230" s="46"/>
      <c r="H230" s="46"/>
      <c r="I230" s="46"/>
      <c r="J230" s="46"/>
      <c r="K230" s="46"/>
      <c r="L230" s="46"/>
      <c r="M230" s="46"/>
      <c r="N230" s="46"/>
      <c r="O230" s="46"/>
      <c r="P230" s="46"/>
      <c r="Q230" s="46"/>
      <c r="R230" s="30"/>
      <c r="S230" s="30"/>
      <c r="T230" s="30"/>
      <c r="U230" s="30"/>
      <c r="V230" s="30"/>
      <c r="W230" s="31"/>
      <c r="X230" s="31"/>
      <c r="Y230" s="31"/>
      <c r="Z230" s="30"/>
      <c r="AA230" s="31"/>
      <c r="AB230" s="30"/>
      <c r="AC230" s="31"/>
      <c r="AD230" s="31"/>
      <c r="AE230" s="31"/>
      <c r="AF230" s="31"/>
      <c r="AG230" s="31"/>
      <c r="AH230" s="31"/>
      <c r="AI230" s="30"/>
      <c r="AJ230" s="30"/>
      <c r="AK230" s="30"/>
      <c r="AL230" s="30"/>
      <c r="AM230" s="30"/>
      <c r="AN230" s="30"/>
      <c r="AO230" s="30"/>
      <c r="AP230" s="30"/>
      <c r="AQ230" s="30"/>
      <c r="AR230" s="30"/>
      <c r="AS230" s="30"/>
      <c r="AT230" s="30"/>
      <c r="AU230" s="30"/>
      <c r="AV230" s="30"/>
      <c r="AW230" s="30"/>
      <c r="AX230" s="30"/>
      <c r="AY230" s="30"/>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1"/>
      <c r="BZ230" s="31"/>
      <c r="CA230" s="31"/>
      <c r="CB230" s="31"/>
      <c r="CC230" s="31"/>
      <c r="CD230" s="31"/>
      <c r="CE230" s="31"/>
      <c r="CF230" s="31"/>
      <c r="CG230" s="31"/>
    </row>
    <row r="231" ht="15.75" customHeight="1">
      <c r="A231" s="52" t="s">
        <v>264</v>
      </c>
      <c r="B231" s="44">
        <f>IF(B230=0,0,10-B230)</f>
        <v>4</v>
      </c>
      <c r="C231" s="31"/>
      <c r="D231" s="30" t="s">
        <v>265</v>
      </c>
      <c r="E231" s="31"/>
      <c r="F231" s="31"/>
      <c r="G231" s="31"/>
      <c r="H231" s="31"/>
      <c r="I231" s="31"/>
      <c r="J231" s="31"/>
      <c r="K231" s="31"/>
      <c r="L231" s="31"/>
      <c r="M231" s="31"/>
      <c r="N231" s="31"/>
      <c r="O231" s="31"/>
      <c r="P231" s="31"/>
      <c r="Q231" s="31"/>
      <c r="R231" s="30"/>
      <c r="S231" s="30"/>
      <c r="T231" s="30"/>
      <c r="U231" s="30"/>
      <c r="V231" s="30"/>
      <c r="W231" s="31"/>
      <c r="X231" s="31"/>
      <c r="Y231" s="31"/>
      <c r="Z231" s="30"/>
      <c r="AA231" s="31"/>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1"/>
      <c r="BZ231" s="31"/>
      <c r="CA231" s="31"/>
      <c r="CB231" s="31"/>
      <c r="CC231" s="31"/>
      <c r="CD231" s="31"/>
      <c r="CE231" s="31"/>
      <c r="CF231" s="31"/>
      <c r="CG231" s="31"/>
    </row>
    <row r="232" ht="15.75" customHeight="1">
      <c r="A232" s="30" t="s">
        <v>295</v>
      </c>
      <c r="B232" s="30">
        <f>LEN(A232)</f>
        <v>13</v>
      </c>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0"/>
      <c r="AK232" s="30"/>
      <c r="AL232" s="30"/>
      <c r="AM232" s="30"/>
      <c r="AN232" s="30"/>
      <c r="AO232" s="30"/>
      <c r="AP232" s="30"/>
      <c r="AQ232" s="30"/>
      <c r="AR232" s="30"/>
      <c r="AS232" s="30"/>
      <c r="AT232" s="30"/>
      <c r="AU232" s="30"/>
      <c r="AV232" s="30"/>
      <c r="AW232" s="30"/>
      <c r="AX232" s="30"/>
      <c r="AY232" s="30"/>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1"/>
      <c r="BZ232" s="31"/>
      <c r="CA232" s="31"/>
      <c r="CB232" s="31"/>
      <c r="CC232" s="31"/>
      <c r="CD232" s="31"/>
      <c r="CE232" s="31"/>
      <c r="CF232" s="31"/>
      <c r="CG232" s="31"/>
    </row>
    <row r="233" ht="15.75" customHeight="1">
      <c r="A233" s="30" t="str">
        <f>_xludf.CONCAT(A232,A221)</f>
        <v>#NAME?</v>
      </c>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1"/>
      <c r="BZ233" s="31"/>
      <c r="CA233" s="31"/>
      <c r="CB233" s="31"/>
      <c r="CC233" s="31"/>
      <c r="CD233" s="31"/>
      <c r="CE233" s="31"/>
      <c r="CF233" s="31"/>
      <c r="CG233" s="31"/>
    </row>
    <row r="234" ht="5.2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row>
    <row r="235" ht="15.75" customHeight="1">
      <c r="A235" s="30">
        <v>8.1290223261E10</v>
      </c>
      <c r="B235" s="32" t="s">
        <v>190</v>
      </c>
      <c r="C235" s="33">
        <f>LEN(A235)</f>
        <v>11</v>
      </c>
      <c r="D235" s="31"/>
      <c r="E235" s="31"/>
      <c r="F235" s="31"/>
      <c r="G235" s="31"/>
      <c r="H235" s="31"/>
      <c r="I235" s="31"/>
      <c r="J235" s="31"/>
      <c r="K235" s="31"/>
      <c r="L235" s="31"/>
      <c r="M235" s="30"/>
      <c r="N235" s="30"/>
      <c r="O235" s="30"/>
      <c r="P235" s="110" t="s">
        <v>296</v>
      </c>
      <c r="Q235" s="30"/>
      <c r="R235" s="30"/>
      <c r="S235" s="32"/>
      <c r="T235" s="32" t="s">
        <v>190</v>
      </c>
      <c r="U235" s="33">
        <f>LEN(P235)</f>
        <v>8</v>
      </c>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c r="CG235" s="31"/>
    </row>
    <row r="236" ht="15.75" customHeight="1">
      <c r="A236" s="34" t="s">
        <v>191</v>
      </c>
      <c r="B236" s="35" t="s">
        <v>83</v>
      </c>
      <c r="C236" s="35"/>
      <c r="D236" s="35"/>
      <c r="E236" s="35"/>
      <c r="F236" s="35"/>
      <c r="G236" s="35"/>
      <c r="H236" s="35"/>
      <c r="I236" s="35"/>
      <c r="J236" s="35"/>
      <c r="K236" s="35"/>
      <c r="L236" s="89" t="s">
        <v>297</v>
      </c>
      <c r="M236" s="30"/>
      <c r="N236" s="30"/>
      <c r="O236" s="30"/>
      <c r="P236" s="35" t="s">
        <v>83</v>
      </c>
      <c r="Q236" s="35"/>
      <c r="R236" s="35"/>
      <c r="S236" s="35"/>
      <c r="T236" s="35"/>
      <c r="U236" s="35"/>
      <c r="V236" s="35"/>
      <c r="W236" s="35"/>
      <c r="X236" s="35"/>
      <c r="Y236" s="35"/>
      <c r="Z236" s="35"/>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row>
    <row r="237" ht="15.75" customHeight="1">
      <c r="A237" s="37" t="s">
        <v>193</v>
      </c>
      <c r="B237" s="38"/>
      <c r="C237" s="38"/>
      <c r="D237" s="38"/>
      <c r="E237" s="38"/>
      <c r="F237" s="38"/>
      <c r="G237" s="38"/>
      <c r="H237" s="38"/>
      <c r="I237" s="38"/>
      <c r="J237" s="38"/>
      <c r="K237" s="38"/>
      <c r="L237" s="90" t="s">
        <v>194</v>
      </c>
      <c r="M237" s="30"/>
      <c r="N237" s="30"/>
      <c r="O237" s="30"/>
      <c r="P237" s="37" t="s">
        <v>193</v>
      </c>
      <c r="Q237" s="38"/>
      <c r="R237" s="38"/>
      <c r="S237" s="38"/>
      <c r="T237" s="38"/>
      <c r="U237" s="111"/>
      <c r="V237" s="38"/>
      <c r="W237" s="111" t="s">
        <v>194</v>
      </c>
      <c r="X237" s="38"/>
      <c r="Y237" s="38"/>
      <c r="Z237" s="9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1"/>
      <c r="BZ237" s="31"/>
      <c r="CA237" s="31"/>
      <c r="CB237" s="31"/>
      <c r="CC237" s="31"/>
      <c r="CD237" s="31"/>
      <c r="CE237" s="31"/>
      <c r="CF237" s="31"/>
      <c r="CG237" s="31"/>
    </row>
    <row r="238" ht="15.75" customHeight="1">
      <c r="A238" s="39" t="s">
        <v>195</v>
      </c>
      <c r="B238" s="40">
        <v>1.0</v>
      </c>
      <c r="C238" s="40">
        <v>2.0</v>
      </c>
      <c r="D238" s="40">
        <v>3.0</v>
      </c>
      <c r="E238" s="40">
        <v>4.0</v>
      </c>
      <c r="F238" s="40">
        <v>5.0</v>
      </c>
      <c r="G238" s="40">
        <v>6.0</v>
      </c>
      <c r="H238" s="40">
        <v>7.0</v>
      </c>
      <c r="I238" s="40">
        <v>8.0</v>
      </c>
      <c r="J238" s="40">
        <v>9.0</v>
      </c>
      <c r="K238" s="40">
        <v>10.0</v>
      </c>
      <c r="L238" s="41">
        <v>11.0</v>
      </c>
      <c r="M238" s="30"/>
      <c r="N238" s="30"/>
      <c r="O238" s="30"/>
      <c r="P238" s="40">
        <v>1.0</v>
      </c>
      <c r="Q238" s="40">
        <v>2.0</v>
      </c>
      <c r="R238" s="40">
        <v>3.0</v>
      </c>
      <c r="S238" s="40">
        <v>4.0</v>
      </c>
      <c r="T238" s="40">
        <v>5.0</v>
      </c>
      <c r="U238" s="40">
        <v>6.0</v>
      </c>
      <c r="V238" s="40">
        <v>7.0</v>
      </c>
      <c r="W238" s="41">
        <v>8.0</v>
      </c>
      <c r="X238" s="40">
        <v>9.0</v>
      </c>
      <c r="Y238" s="40">
        <v>10.0</v>
      </c>
      <c r="Z238" s="40">
        <v>11.0</v>
      </c>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1"/>
      <c r="BZ238" s="31"/>
      <c r="CA238" s="31"/>
      <c r="CB238" s="31"/>
      <c r="CC238" s="31"/>
      <c r="CD238" s="31"/>
      <c r="CE238" s="31"/>
      <c r="CF238" s="31"/>
      <c r="CG238" s="31"/>
    </row>
    <row r="239" ht="15.75" customHeight="1">
      <c r="A239" s="42" t="s">
        <v>196</v>
      </c>
      <c r="B239" s="42" t="str">
        <f t="shared" ref="B239:L239" si="56">MID($A235,B238,1)</f>
        <v>8</v>
      </c>
      <c r="C239" s="42" t="str">
        <f t="shared" si="56"/>
        <v>1</v>
      </c>
      <c r="D239" s="42" t="str">
        <f t="shared" si="56"/>
        <v>2</v>
      </c>
      <c r="E239" s="42" t="str">
        <f t="shared" si="56"/>
        <v>9</v>
      </c>
      <c r="F239" s="42" t="str">
        <f t="shared" si="56"/>
        <v>0</v>
      </c>
      <c r="G239" s="42" t="str">
        <f t="shared" si="56"/>
        <v>2</v>
      </c>
      <c r="H239" s="42" t="str">
        <f t="shared" si="56"/>
        <v>2</v>
      </c>
      <c r="I239" s="42" t="str">
        <f t="shared" si="56"/>
        <v>3</v>
      </c>
      <c r="J239" s="42" t="str">
        <f t="shared" si="56"/>
        <v>2</v>
      </c>
      <c r="K239" s="42" t="str">
        <f t="shared" si="56"/>
        <v>6</v>
      </c>
      <c r="L239" s="44" t="str">
        <f t="shared" si="56"/>
        <v>1</v>
      </c>
      <c r="M239" s="30"/>
      <c r="N239" s="30"/>
      <c r="O239" s="30"/>
      <c r="P239" s="42" t="str">
        <f t="shared" ref="P239:X239" si="57">MID($P235,P238,1)</f>
        <v>0</v>
      </c>
      <c r="Q239" s="42" t="str">
        <f t="shared" si="57"/>
        <v>4</v>
      </c>
      <c r="R239" s="42" t="str">
        <f t="shared" si="57"/>
        <v>5</v>
      </c>
      <c r="S239" s="42" t="str">
        <f t="shared" si="57"/>
        <v>8</v>
      </c>
      <c r="T239" s="42" t="str">
        <f t="shared" si="57"/>
        <v>8</v>
      </c>
      <c r="U239" s="42" t="str">
        <f t="shared" si="57"/>
        <v>3</v>
      </c>
      <c r="V239" s="42" t="str">
        <f t="shared" si="57"/>
        <v>7</v>
      </c>
      <c r="W239" s="44" t="str">
        <f t="shared" si="57"/>
        <v>5</v>
      </c>
      <c r="X239" s="42" t="str">
        <f t="shared" si="57"/>
        <v/>
      </c>
      <c r="Y239" s="42" t="str">
        <f>MID($Q235,Y238,1)</f>
        <v/>
      </c>
      <c r="Z239" s="42"/>
      <c r="AA239" s="30"/>
      <c r="AB239" s="30"/>
      <c r="AC239" s="31"/>
      <c r="AD239" s="31"/>
      <c r="AE239" s="31"/>
      <c r="AF239" s="31"/>
      <c r="AG239" s="31"/>
      <c r="AH239" s="31"/>
      <c r="AI239" s="31"/>
      <c r="AJ239" s="31"/>
      <c r="AK239" s="31"/>
      <c r="AL239" s="31"/>
      <c r="AM239" s="31"/>
      <c r="AN239" s="31"/>
      <c r="AO239" s="31"/>
      <c r="AP239" s="31"/>
      <c r="AQ239" s="31"/>
      <c r="AR239" s="31"/>
      <c r="AS239" s="30"/>
      <c r="AT239" s="30"/>
      <c r="AU239" s="30"/>
      <c r="AV239" s="30"/>
      <c r="AW239" s="30"/>
      <c r="AX239" s="30"/>
      <c r="AY239" s="30"/>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row>
    <row r="240" ht="15.75" customHeight="1">
      <c r="A240" s="112">
        <v>1.0017916663E10</v>
      </c>
      <c r="B240" s="113"/>
      <c r="C240" s="113"/>
      <c r="D240" s="113"/>
      <c r="E240" s="113"/>
      <c r="F240" s="113"/>
      <c r="G240" s="113"/>
      <c r="H240" s="113"/>
      <c r="I240" s="113"/>
      <c r="J240" s="113"/>
      <c r="K240" s="113"/>
      <c r="L240" s="113"/>
      <c r="M240" s="45"/>
      <c r="N240" s="45"/>
      <c r="O240" s="45"/>
      <c r="P240" s="108" t="s">
        <v>298</v>
      </c>
      <c r="Q240" s="113"/>
      <c r="R240" s="113"/>
      <c r="S240" s="113"/>
      <c r="T240" s="46"/>
      <c r="U240" s="46"/>
      <c r="V240" s="46"/>
      <c r="W240" s="46"/>
      <c r="X240" s="46"/>
      <c r="Y240" s="46"/>
      <c r="Z240" s="46"/>
      <c r="AA240" s="30"/>
      <c r="AB240" s="30"/>
      <c r="AC240" s="31"/>
      <c r="AD240" s="31"/>
      <c r="AE240" s="31"/>
      <c r="AF240" s="31"/>
      <c r="AG240" s="31"/>
      <c r="AH240" s="31"/>
      <c r="AI240" s="31"/>
      <c r="AJ240" s="31"/>
      <c r="AK240" s="31"/>
      <c r="AL240" s="31"/>
      <c r="AM240" s="31"/>
      <c r="AN240" s="31"/>
      <c r="AO240" s="31"/>
      <c r="AP240" s="31"/>
      <c r="AQ240" s="31"/>
      <c r="AR240" s="31"/>
      <c r="AS240" s="30"/>
      <c r="AT240" s="30"/>
      <c r="AU240" s="30"/>
      <c r="AV240" s="30"/>
      <c r="AW240" s="30"/>
      <c r="AX240" s="30"/>
      <c r="AY240" s="30"/>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1"/>
      <c r="BZ240" s="31"/>
      <c r="CA240" s="31"/>
      <c r="CB240" s="31"/>
      <c r="CC240" s="31"/>
      <c r="CD240" s="31"/>
      <c r="CE240" s="31"/>
      <c r="CF240" s="31"/>
      <c r="CG240" s="31"/>
    </row>
    <row r="241" ht="15.75" customHeight="1">
      <c r="A241" s="112">
        <v>1.0016492254E10</v>
      </c>
      <c r="B241" s="113"/>
      <c r="C241" s="113"/>
      <c r="D241" s="113"/>
      <c r="E241" s="113"/>
      <c r="F241" s="113"/>
      <c r="G241" s="113"/>
      <c r="H241" s="113"/>
      <c r="I241" s="113"/>
      <c r="J241" s="113"/>
      <c r="K241" s="113"/>
      <c r="L241" s="113"/>
      <c r="M241" s="45"/>
      <c r="N241" s="45"/>
      <c r="O241" s="45"/>
      <c r="P241" s="108" t="s">
        <v>299</v>
      </c>
      <c r="Q241" s="113"/>
      <c r="R241" s="113"/>
      <c r="S241" s="113"/>
      <c r="T241" s="46"/>
      <c r="U241" s="46"/>
      <c r="V241" s="46"/>
      <c r="W241" s="46"/>
      <c r="X241" s="46"/>
      <c r="Y241" s="46"/>
      <c r="Z241" s="46"/>
      <c r="AA241" s="30"/>
      <c r="AB241" s="30"/>
      <c r="AC241" s="31"/>
      <c r="AD241" s="31"/>
      <c r="AE241" s="31"/>
      <c r="AF241" s="31"/>
      <c r="AG241" s="31"/>
      <c r="AH241" s="31"/>
      <c r="AI241" s="31"/>
      <c r="AJ241" s="31"/>
      <c r="AK241" s="31"/>
      <c r="AL241" s="31"/>
      <c r="AM241" s="31"/>
      <c r="AN241" s="31"/>
      <c r="AO241" s="31"/>
      <c r="AP241" s="31"/>
      <c r="AQ241" s="31"/>
      <c r="AR241" s="31"/>
      <c r="AS241" s="30"/>
      <c r="AT241" s="30"/>
      <c r="AU241" s="30"/>
      <c r="AV241" s="30"/>
      <c r="AW241" s="30"/>
      <c r="AX241" s="30"/>
      <c r="AY241" s="30"/>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1"/>
      <c r="BZ241" s="31"/>
      <c r="CA241" s="31"/>
      <c r="CB241" s="31"/>
      <c r="CC241" s="31"/>
      <c r="CD241" s="31"/>
      <c r="CE241" s="31"/>
      <c r="CF241" s="31"/>
      <c r="CG241" s="31"/>
    </row>
    <row r="242" ht="15.75" customHeight="1">
      <c r="A242" s="45">
        <v>1.0017307874E10</v>
      </c>
      <c r="B242" s="113"/>
      <c r="C242" s="113"/>
      <c r="D242" s="45"/>
      <c r="E242" s="45"/>
      <c r="F242" s="113"/>
      <c r="G242" s="113"/>
      <c r="H242" s="113"/>
      <c r="I242" s="113"/>
      <c r="J242" s="113"/>
      <c r="K242" s="113"/>
      <c r="L242" s="113"/>
      <c r="M242" s="45"/>
      <c r="N242" s="45"/>
      <c r="O242" s="45"/>
      <c r="P242" s="108" t="s">
        <v>300</v>
      </c>
      <c r="Q242" s="113"/>
      <c r="R242" s="45"/>
      <c r="S242" s="45"/>
      <c r="T242" s="46"/>
      <c r="U242" s="46"/>
      <c r="V242" s="46"/>
      <c r="W242" s="46"/>
      <c r="X242" s="46"/>
      <c r="Y242" s="46"/>
      <c r="Z242" s="46"/>
      <c r="AA242" s="30"/>
      <c r="AB242" s="30"/>
      <c r="AC242" s="31"/>
      <c r="AD242" s="31"/>
      <c r="AE242" s="31"/>
      <c r="AF242" s="31"/>
      <c r="AG242" s="31"/>
      <c r="AH242" s="31"/>
      <c r="AI242" s="31"/>
      <c r="AJ242" s="31"/>
      <c r="AK242" s="31"/>
      <c r="AL242" s="31"/>
      <c r="AM242" s="31"/>
      <c r="AN242" s="31"/>
      <c r="AO242" s="31"/>
      <c r="AP242" s="31"/>
      <c r="AQ242" s="31"/>
      <c r="AR242" s="31"/>
      <c r="AS242" s="30"/>
      <c r="AT242" s="30"/>
      <c r="AU242" s="30"/>
      <c r="AV242" s="30"/>
      <c r="AW242" s="30"/>
      <c r="AX242" s="30"/>
      <c r="AY242" s="30"/>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1"/>
      <c r="BZ242" s="31"/>
      <c r="CA242" s="31"/>
      <c r="CB242" s="31"/>
      <c r="CC242" s="31"/>
      <c r="CD242" s="31"/>
      <c r="CE242" s="31"/>
      <c r="CF242" s="31"/>
      <c r="CG242" s="31"/>
    </row>
    <row r="243" ht="15.75" customHeight="1">
      <c r="A243" s="45">
        <v>1.0018139377E10</v>
      </c>
      <c r="B243" s="113"/>
      <c r="C243" s="113"/>
      <c r="D243" s="45"/>
      <c r="E243" s="45"/>
      <c r="F243" s="113"/>
      <c r="G243" s="113"/>
      <c r="H243" s="113"/>
      <c r="I243" s="113"/>
      <c r="J243" s="113"/>
      <c r="K243" s="113"/>
      <c r="L243" s="113"/>
      <c r="M243" s="45"/>
      <c r="N243" s="45"/>
      <c r="O243" s="45"/>
      <c r="P243" s="108" t="s">
        <v>301</v>
      </c>
      <c r="Q243" s="113"/>
      <c r="R243" s="45"/>
      <c r="S243" s="45"/>
      <c r="T243" s="46"/>
      <c r="U243" s="46"/>
      <c r="V243" s="46"/>
      <c r="W243" s="46"/>
      <c r="X243" s="46"/>
      <c r="Y243" s="46"/>
      <c r="Z243" s="46"/>
      <c r="AA243" s="30"/>
      <c r="AB243" s="30"/>
      <c r="AC243" s="31"/>
      <c r="AD243" s="31"/>
      <c r="AE243" s="31"/>
      <c r="AF243" s="31"/>
      <c r="AG243" s="31"/>
      <c r="AH243" s="31"/>
      <c r="AI243" s="31"/>
      <c r="AJ243" s="31"/>
      <c r="AK243" s="31"/>
      <c r="AL243" s="31"/>
      <c r="AM243" s="31"/>
      <c r="AN243" s="31"/>
      <c r="AO243" s="31"/>
      <c r="AP243" s="31"/>
      <c r="AQ243" s="31"/>
      <c r="AR243" s="31"/>
      <c r="AS243" s="30"/>
      <c r="AT243" s="30"/>
      <c r="AU243" s="30"/>
      <c r="AV243" s="30"/>
      <c r="AW243" s="30"/>
      <c r="AX243" s="30"/>
      <c r="AY243" s="30"/>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1"/>
      <c r="BZ243" s="31"/>
      <c r="CA243" s="31"/>
      <c r="CB243" s="31"/>
      <c r="CC243" s="31"/>
      <c r="CD243" s="31"/>
      <c r="CE243" s="31"/>
      <c r="CF243" s="31"/>
      <c r="CG243" s="31"/>
    </row>
    <row r="244" ht="15.75" customHeight="1">
      <c r="A244" s="45">
        <v>1.0004334559E10</v>
      </c>
      <c r="B244" s="113"/>
      <c r="C244" s="113"/>
      <c r="D244" s="45"/>
      <c r="E244" s="45"/>
      <c r="F244" s="113"/>
      <c r="G244" s="113"/>
      <c r="H244" s="113"/>
      <c r="I244" s="113"/>
      <c r="J244" s="113"/>
      <c r="K244" s="113"/>
      <c r="L244" s="113"/>
      <c r="M244" s="45"/>
      <c r="N244" s="45"/>
      <c r="O244" s="45"/>
      <c r="P244" s="108" t="s">
        <v>296</v>
      </c>
      <c r="Q244" s="113"/>
      <c r="R244" s="45"/>
      <c r="S244" s="45"/>
      <c r="T244" s="46"/>
      <c r="U244" s="46"/>
      <c r="V244" s="46"/>
      <c r="W244" s="46"/>
      <c r="X244" s="46"/>
      <c r="Y244" s="46"/>
      <c r="Z244" s="46"/>
      <c r="AA244" s="30"/>
      <c r="AB244" s="30"/>
      <c r="AC244" s="31"/>
      <c r="AD244" s="31"/>
      <c r="AE244" s="31"/>
      <c r="AF244" s="31"/>
      <c r="AG244" s="31"/>
      <c r="AH244" s="31"/>
      <c r="AI244" s="31"/>
      <c r="AJ244" s="31"/>
      <c r="AK244" s="31"/>
      <c r="AL244" s="31"/>
      <c r="AM244" s="31"/>
      <c r="AN244" s="31"/>
      <c r="AO244" s="31"/>
      <c r="AP244" s="31"/>
      <c r="AQ244" s="31"/>
      <c r="AR244" s="31"/>
      <c r="AS244" s="30"/>
      <c r="AT244" s="30"/>
      <c r="AU244" s="30"/>
      <c r="AV244" s="30"/>
      <c r="AW244" s="30"/>
      <c r="AX244" s="30"/>
      <c r="AY244" s="30"/>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1"/>
      <c r="BZ244" s="31"/>
      <c r="CA244" s="31"/>
      <c r="CB244" s="31"/>
      <c r="CC244" s="31"/>
      <c r="CD244" s="31"/>
      <c r="CE244" s="31"/>
      <c r="CF244" s="31"/>
      <c r="CG244" s="31"/>
    </row>
    <row r="245" ht="15.75" customHeight="1">
      <c r="A245" s="31"/>
      <c r="B245" s="46"/>
      <c r="C245" s="46"/>
      <c r="D245" s="31"/>
      <c r="E245" s="31"/>
      <c r="F245" s="46"/>
      <c r="G245" s="46"/>
      <c r="H245" s="46"/>
      <c r="I245" s="46"/>
      <c r="J245" s="46"/>
      <c r="K245" s="46"/>
      <c r="L245" s="46"/>
      <c r="M245" s="30"/>
      <c r="N245" s="30"/>
      <c r="O245" s="30"/>
      <c r="P245" s="46"/>
      <c r="Q245" s="46"/>
      <c r="R245" s="31"/>
      <c r="S245" s="31"/>
      <c r="T245" s="46"/>
      <c r="U245" s="46"/>
      <c r="V245" s="46"/>
      <c r="W245" s="46"/>
      <c r="X245" s="46"/>
      <c r="Y245" s="46"/>
      <c r="Z245" s="46"/>
      <c r="AA245" s="30"/>
      <c r="AB245" s="30"/>
      <c r="AC245" s="31"/>
      <c r="AD245" s="31"/>
      <c r="AE245" s="31"/>
      <c r="AF245" s="31"/>
      <c r="AG245" s="31"/>
      <c r="AH245" s="31"/>
      <c r="AI245" s="31"/>
      <c r="AJ245" s="31"/>
      <c r="AK245" s="31"/>
      <c r="AL245" s="31"/>
      <c r="AM245" s="31"/>
      <c r="AN245" s="31"/>
      <c r="AO245" s="31"/>
      <c r="AP245" s="31"/>
      <c r="AQ245" s="31"/>
      <c r="AR245" s="31"/>
      <c r="AS245" s="30"/>
      <c r="AT245" s="30"/>
      <c r="AU245" s="30"/>
      <c r="AV245" s="30"/>
      <c r="AW245" s="30"/>
      <c r="AX245" s="30"/>
      <c r="AY245" s="30"/>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1"/>
      <c r="BZ245" s="31"/>
      <c r="CA245" s="31"/>
      <c r="CB245" s="31"/>
      <c r="CC245" s="31"/>
      <c r="CD245" s="31"/>
      <c r="CE245" s="31"/>
      <c r="CF245" s="31"/>
      <c r="CG245" s="31"/>
    </row>
    <row r="246" ht="15.75" customHeight="1">
      <c r="A246" s="47" t="s">
        <v>302</v>
      </c>
      <c r="B246" s="48"/>
      <c r="C246" s="48"/>
      <c r="D246" s="48"/>
      <c r="E246" s="48"/>
      <c r="F246" s="48"/>
      <c r="G246" s="48"/>
      <c r="H246" s="48"/>
      <c r="I246" s="48"/>
      <c r="J246" s="48"/>
      <c r="K246" s="48"/>
      <c r="L246" s="48"/>
      <c r="M246" s="30"/>
      <c r="N246" s="30"/>
      <c r="O246" s="30"/>
      <c r="P246" s="47" t="s">
        <v>302</v>
      </c>
      <c r="Q246" s="48"/>
      <c r="R246" s="48"/>
      <c r="S246" s="48"/>
      <c r="T246" s="48"/>
      <c r="U246" s="48"/>
      <c r="V246" s="48"/>
      <c r="W246" s="48"/>
      <c r="X246" s="48"/>
      <c r="Y246" s="48"/>
      <c r="Z246" s="48"/>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1"/>
      <c r="BZ246" s="31"/>
      <c r="CA246" s="31"/>
      <c r="CB246" s="31"/>
      <c r="CC246" s="31"/>
      <c r="CD246" s="31"/>
      <c r="CE246" s="31"/>
      <c r="CF246" s="31"/>
      <c r="CG246" s="31"/>
    </row>
    <row r="247" ht="15.75" customHeight="1">
      <c r="A247" s="39" t="s">
        <v>195</v>
      </c>
      <c r="B247" s="41">
        <v>1.0</v>
      </c>
      <c r="C247" s="41">
        <v>2.0</v>
      </c>
      <c r="D247" s="41">
        <v>3.0</v>
      </c>
      <c r="E247" s="41">
        <v>4.0</v>
      </c>
      <c r="F247" s="41">
        <v>5.0</v>
      </c>
      <c r="G247" s="41">
        <v>6.0</v>
      </c>
      <c r="H247" s="41">
        <v>7.0</v>
      </c>
      <c r="I247" s="41">
        <v>8.0</v>
      </c>
      <c r="J247" s="41">
        <v>9.0</v>
      </c>
      <c r="K247" s="41">
        <v>10.0</v>
      </c>
      <c r="L247" s="40">
        <v>11.0</v>
      </c>
      <c r="M247" s="30"/>
      <c r="N247" s="30"/>
      <c r="O247" s="30"/>
      <c r="P247" s="41">
        <v>1.0</v>
      </c>
      <c r="Q247" s="41">
        <v>2.0</v>
      </c>
      <c r="R247" s="41">
        <v>3.0</v>
      </c>
      <c r="S247" s="41">
        <v>4.0</v>
      </c>
      <c r="T247" s="41">
        <v>1.0</v>
      </c>
      <c r="U247" s="41">
        <v>2.0</v>
      </c>
      <c r="V247" s="41">
        <v>1.0</v>
      </c>
      <c r="W247" s="40">
        <v>2.0</v>
      </c>
      <c r="X247" s="43">
        <v>9.0</v>
      </c>
      <c r="Y247" s="43">
        <v>10.0</v>
      </c>
      <c r="Z247" s="40">
        <v>11.0</v>
      </c>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1"/>
      <c r="BZ247" s="31"/>
      <c r="CA247" s="31"/>
      <c r="CB247" s="31"/>
      <c r="CC247" s="31"/>
      <c r="CD247" s="31"/>
      <c r="CE247" s="31"/>
      <c r="CF247" s="31"/>
      <c r="CG247" s="31"/>
    </row>
    <row r="248" ht="15.75" customHeight="1">
      <c r="A248" s="42" t="s">
        <v>196</v>
      </c>
      <c r="B248" s="51" t="str">
        <f t="shared" ref="B248:L248" si="58">B239</f>
        <v>8</v>
      </c>
      <c r="C248" s="51" t="str">
        <f t="shared" si="58"/>
        <v>1</v>
      </c>
      <c r="D248" s="51" t="str">
        <f t="shared" si="58"/>
        <v>2</v>
      </c>
      <c r="E248" s="51" t="str">
        <f t="shared" si="58"/>
        <v>9</v>
      </c>
      <c r="F248" s="51" t="str">
        <f t="shared" si="58"/>
        <v>0</v>
      </c>
      <c r="G248" s="51" t="str">
        <f t="shared" si="58"/>
        <v>2</v>
      </c>
      <c r="H248" s="51" t="str">
        <f t="shared" si="58"/>
        <v>2</v>
      </c>
      <c r="I248" s="51" t="str">
        <f t="shared" si="58"/>
        <v>3</v>
      </c>
      <c r="J248" s="51" t="str">
        <f t="shared" si="58"/>
        <v>2</v>
      </c>
      <c r="K248" s="51" t="str">
        <f t="shared" si="58"/>
        <v>6</v>
      </c>
      <c r="L248" s="43" t="str">
        <f t="shared" si="58"/>
        <v>1</v>
      </c>
      <c r="M248" s="30"/>
      <c r="N248" s="30"/>
      <c r="O248" s="30"/>
      <c r="P248" s="51" t="str">
        <f t="shared" ref="P248:W248" si="59">P239</f>
        <v>0</v>
      </c>
      <c r="Q248" s="51" t="str">
        <f t="shared" si="59"/>
        <v>4</v>
      </c>
      <c r="R248" s="51" t="str">
        <f t="shared" si="59"/>
        <v>5</v>
      </c>
      <c r="S248" s="51" t="str">
        <f t="shared" si="59"/>
        <v>8</v>
      </c>
      <c r="T248" s="51" t="str">
        <f t="shared" si="59"/>
        <v>8</v>
      </c>
      <c r="U248" s="51" t="str">
        <f t="shared" si="59"/>
        <v>3</v>
      </c>
      <c r="V248" s="51" t="str">
        <f t="shared" si="59"/>
        <v>7</v>
      </c>
      <c r="W248" s="43" t="str">
        <f t="shared" si="59"/>
        <v>5</v>
      </c>
      <c r="X248" s="42"/>
      <c r="Y248" s="42"/>
      <c r="Z248" s="42"/>
      <c r="AA248" s="30"/>
      <c r="AB248" s="31"/>
      <c r="AC248" s="31"/>
      <c r="AD248" s="31"/>
      <c r="AE248" s="31"/>
      <c r="AF248" s="30"/>
      <c r="AG248" s="30"/>
      <c r="AH248" s="30"/>
      <c r="AI248" s="30"/>
      <c r="AJ248" s="30"/>
      <c r="AK248" s="30"/>
      <c r="AL248" s="30"/>
      <c r="AM248" s="30"/>
      <c r="AN248" s="30"/>
      <c r="AO248" s="30"/>
      <c r="AP248" s="30"/>
      <c r="AQ248" s="30"/>
      <c r="AR248" s="30"/>
      <c r="AS248" s="30"/>
      <c r="AT248" s="30"/>
      <c r="AU248" s="30"/>
      <c r="AV248" s="30"/>
      <c r="AW248" s="30"/>
      <c r="AX248" s="30"/>
      <c r="AY248" s="30"/>
      <c r="AZ248" s="31"/>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row>
    <row r="249" ht="15.75" customHeight="1">
      <c r="A249" s="52" t="s">
        <v>200</v>
      </c>
      <c r="B249" s="43">
        <v>3.0</v>
      </c>
      <c r="C249" s="43">
        <v>1.0</v>
      </c>
      <c r="D249" s="43">
        <v>3.0</v>
      </c>
      <c r="E249" s="43">
        <v>1.0</v>
      </c>
      <c r="F249" s="43">
        <v>3.0</v>
      </c>
      <c r="G249" s="43">
        <v>1.0</v>
      </c>
      <c r="H249" s="43">
        <v>3.0</v>
      </c>
      <c r="I249" s="43">
        <v>1.0</v>
      </c>
      <c r="J249" s="43">
        <v>3.0</v>
      </c>
      <c r="K249" s="43">
        <v>1.0</v>
      </c>
      <c r="L249" s="43"/>
      <c r="M249" s="30"/>
      <c r="N249" s="30"/>
      <c r="O249" s="46"/>
      <c r="P249" s="43">
        <v>3.0</v>
      </c>
      <c r="Q249" s="43">
        <v>1.0</v>
      </c>
      <c r="R249" s="43">
        <v>3.0</v>
      </c>
      <c r="S249" s="43">
        <v>1.0</v>
      </c>
      <c r="T249" s="43">
        <v>3.0</v>
      </c>
      <c r="U249" s="43">
        <v>1.0</v>
      </c>
      <c r="V249" s="43">
        <v>3.0</v>
      </c>
      <c r="W249" s="43"/>
      <c r="X249" s="43"/>
      <c r="Y249" s="43"/>
      <c r="Z249" s="43"/>
      <c r="AA249" s="30"/>
      <c r="AB249" s="31"/>
      <c r="AC249" s="31"/>
      <c r="AD249" s="31"/>
      <c r="AE249" s="31"/>
      <c r="AF249" s="30"/>
      <c r="AG249" s="30"/>
      <c r="AH249" s="30"/>
      <c r="AI249" s="30"/>
      <c r="AJ249" s="30"/>
      <c r="AK249" s="30"/>
      <c r="AL249" s="30"/>
      <c r="AM249" s="30"/>
      <c r="AN249" s="30"/>
      <c r="AO249" s="30"/>
      <c r="AP249" s="30"/>
      <c r="AQ249" s="30"/>
      <c r="AR249" s="30"/>
      <c r="AS249" s="30"/>
      <c r="AT249" s="30"/>
      <c r="AU249" s="30"/>
      <c r="AV249" s="30"/>
      <c r="AW249" s="30"/>
      <c r="AX249" s="30"/>
      <c r="AY249" s="30"/>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1"/>
      <c r="BZ249" s="31"/>
      <c r="CA249" s="31"/>
      <c r="CB249" s="31"/>
      <c r="CC249" s="31"/>
      <c r="CD249" s="31"/>
      <c r="CE249" s="31"/>
      <c r="CF249" s="31"/>
      <c r="CG249" s="31"/>
    </row>
    <row r="250" ht="15.75" customHeight="1">
      <c r="A250" s="52" t="s">
        <v>201</v>
      </c>
      <c r="B250" s="43">
        <f t="shared" ref="B250:K250" si="60">B249*B248</f>
        <v>24</v>
      </c>
      <c r="C250" s="43">
        <f t="shared" si="60"/>
        <v>1</v>
      </c>
      <c r="D250" s="43">
        <f t="shared" si="60"/>
        <v>6</v>
      </c>
      <c r="E250" s="43">
        <f t="shared" si="60"/>
        <v>9</v>
      </c>
      <c r="F250" s="43">
        <f t="shared" si="60"/>
        <v>0</v>
      </c>
      <c r="G250" s="43">
        <f t="shared" si="60"/>
        <v>2</v>
      </c>
      <c r="H250" s="43">
        <f t="shared" si="60"/>
        <v>6</v>
      </c>
      <c r="I250" s="43">
        <f t="shared" si="60"/>
        <v>3</v>
      </c>
      <c r="J250" s="43">
        <f t="shared" si="60"/>
        <v>6</v>
      </c>
      <c r="K250" s="43">
        <f t="shared" si="60"/>
        <v>6</v>
      </c>
      <c r="L250" s="43"/>
      <c r="M250" s="30"/>
      <c r="N250" s="30"/>
      <c r="O250" s="30"/>
      <c r="P250" s="43">
        <f t="shared" ref="P250:V250" si="61">P249*P248</f>
        <v>0</v>
      </c>
      <c r="Q250" s="43">
        <f t="shared" si="61"/>
        <v>4</v>
      </c>
      <c r="R250" s="43">
        <f t="shared" si="61"/>
        <v>15</v>
      </c>
      <c r="S250" s="43">
        <f t="shared" si="61"/>
        <v>8</v>
      </c>
      <c r="T250" s="43">
        <f t="shared" si="61"/>
        <v>24</v>
      </c>
      <c r="U250" s="43">
        <f t="shared" si="61"/>
        <v>3</v>
      </c>
      <c r="V250" s="43">
        <f t="shared" si="61"/>
        <v>21</v>
      </c>
      <c r="W250" s="43"/>
      <c r="X250" s="43"/>
      <c r="Y250" s="43"/>
      <c r="Z250" s="43"/>
      <c r="AA250" s="30"/>
      <c r="AB250" s="31"/>
      <c r="AC250" s="31"/>
      <c r="AD250" s="31"/>
      <c r="AE250" s="31"/>
      <c r="AF250" s="30"/>
      <c r="AG250" s="30"/>
      <c r="AH250" s="30"/>
      <c r="AI250" s="30"/>
      <c r="AJ250" s="30"/>
      <c r="AK250" s="30"/>
      <c r="AL250" s="30"/>
      <c r="AM250" s="30"/>
      <c r="AN250" s="30"/>
      <c r="AO250" s="30"/>
      <c r="AP250" s="30"/>
      <c r="AQ250" s="30"/>
      <c r="AR250" s="30"/>
      <c r="AS250" s="30"/>
      <c r="AT250" s="30"/>
      <c r="AU250" s="30"/>
      <c r="AV250" s="30"/>
      <c r="AW250" s="30"/>
      <c r="AX250" s="30"/>
      <c r="AY250" s="30"/>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row>
    <row r="251" ht="15.75" customHeight="1">
      <c r="A251" s="52" t="s">
        <v>203</v>
      </c>
      <c r="B251" s="43">
        <f>SUM(B250:L250)</f>
        <v>63</v>
      </c>
      <c r="C251" s="46"/>
      <c r="D251" s="31"/>
      <c r="E251" s="31"/>
      <c r="F251" s="31"/>
      <c r="G251" s="31"/>
      <c r="H251" s="31"/>
      <c r="I251" s="31"/>
      <c r="J251" s="31"/>
      <c r="K251" s="31"/>
      <c r="L251" s="31"/>
      <c r="M251" s="31"/>
      <c r="N251" s="31"/>
      <c r="O251" s="31"/>
      <c r="P251" s="43">
        <f>SUM(P250:Z250)</f>
        <v>75</v>
      </c>
      <c r="Q251" s="46"/>
      <c r="R251" s="31"/>
      <c r="S251" s="31"/>
      <c r="T251" s="31"/>
      <c r="U251" s="31"/>
      <c r="V251" s="31"/>
      <c r="W251" s="31"/>
      <c r="X251" s="31"/>
      <c r="Y251" s="31"/>
      <c r="Z251" s="31"/>
      <c r="AA251" s="31"/>
      <c r="AB251" s="31"/>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1"/>
      <c r="BZ251" s="31"/>
      <c r="CA251" s="31"/>
      <c r="CB251" s="31"/>
      <c r="CC251" s="31"/>
      <c r="CD251" s="31"/>
      <c r="CE251" s="31"/>
      <c r="CF251" s="31"/>
      <c r="CG251" s="31"/>
    </row>
    <row r="252" ht="15.75" customHeight="1">
      <c r="A252" s="52" t="s">
        <v>263</v>
      </c>
      <c r="B252" s="42">
        <f>MOD(B251,10)</f>
        <v>3</v>
      </c>
      <c r="C252" s="46"/>
      <c r="D252" s="30"/>
      <c r="E252" s="31"/>
      <c r="F252" s="31"/>
      <c r="G252" s="31"/>
      <c r="H252" s="31"/>
      <c r="I252" s="31"/>
      <c r="J252" s="31"/>
      <c r="K252" s="31"/>
      <c r="L252" s="31"/>
      <c r="M252" s="31"/>
      <c r="N252" s="31"/>
      <c r="O252" s="31"/>
      <c r="P252" s="42">
        <f>MOD(P251,10)</f>
        <v>5</v>
      </c>
      <c r="Q252" s="46"/>
      <c r="R252" s="30"/>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1"/>
      <c r="BZ252" s="31"/>
      <c r="CA252" s="31"/>
      <c r="CB252" s="31"/>
      <c r="CC252" s="31"/>
      <c r="CD252" s="31"/>
      <c r="CE252" s="31"/>
      <c r="CF252" s="31"/>
      <c r="CG252" s="31"/>
    </row>
    <row r="253" ht="15.75" customHeight="1">
      <c r="A253" s="52" t="s">
        <v>264</v>
      </c>
      <c r="B253" s="44">
        <f>IF(B252=0,0,10-B252)</f>
        <v>7</v>
      </c>
      <c r="C253" s="46"/>
      <c r="D253" s="30" t="s">
        <v>265</v>
      </c>
      <c r="E253" s="31"/>
      <c r="F253" s="31"/>
      <c r="G253" s="31"/>
      <c r="H253" s="31"/>
      <c r="I253" s="31"/>
      <c r="J253" s="31"/>
      <c r="K253" s="31"/>
      <c r="L253" s="31"/>
      <c r="M253" s="31"/>
      <c r="N253" s="31"/>
      <c r="O253" s="31"/>
      <c r="P253" s="44">
        <f>IF(P252=0,0,10-P252)</f>
        <v>5</v>
      </c>
      <c r="Q253" s="46"/>
      <c r="R253" s="30" t="s">
        <v>265</v>
      </c>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1"/>
      <c r="BZ253" s="31"/>
      <c r="CA253" s="31"/>
      <c r="CB253" s="31"/>
      <c r="CC253" s="31"/>
      <c r="CD253" s="31"/>
      <c r="CE253" s="31"/>
      <c r="CF253" s="31"/>
      <c r="CG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1"/>
      <c r="BZ254" s="31"/>
      <c r="CA254" s="31"/>
      <c r="CB254" s="31"/>
      <c r="CC254" s="31"/>
      <c r="CD254" s="31"/>
      <c r="CE254" s="31"/>
      <c r="CF254" s="31"/>
      <c r="CG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1"/>
      <c r="BZ255" s="31"/>
      <c r="CA255" s="31"/>
      <c r="CB255" s="31"/>
      <c r="CC255" s="31"/>
      <c r="CD255" s="31"/>
      <c r="CE255" s="31"/>
      <c r="CF255" s="31"/>
      <c r="CG255" s="31"/>
    </row>
    <row r="256" ht="5.2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c r="BU256" s="54"/>
      <c r="BV256" s="54"/>
      <c r="BW256" s="54"/>
      <c r="BX256" s="54"/>
      <c r="BY256" s="54"/>
      <c r="BZ256" s="54"/>
      <c r="CA256" s="54"/>
      <c r="CB256" s="54"/>
      <c r="CC256" s="54"/>
      <c r="CD256" s="54"/>
      <c r="CE256" s="54"/>
      <c r="CF256" s="54"/>
      <c r="CG256" s="54"/>
    </row>
    <row r="257" ht="15.75" customHeight="1">
      <c r="A257" s="45" t="s">
        <v>303</v>
      </c>
      <c r="B257" s="31"/>
      <c r="C257" s="31"/>
      <c r="D257" s="31"/>
      <c r="E257" s="31"/>
      <c r="F257" s="31"/>
      <c r="G257" s="31"/>
      <c r="H257" s="31"/>
      <c r="I257" s="31"/>
      <c r="J257" s="31"/>
      <c r="K257" s="31"/>
      <c r="L257" s="31"/>
      <c r="M257" s="32" t="s">
        <v>190</v>
      </c>
      <c r="N257" s="33">
        <f>LEN(A257)</f>
        <v>45</v>
      </c>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1"/>
      <c r="BZ257" s="31"/>
      <c r="CA257" s="31"/>
      <c r="CB257" s="31"/>
      <c r="CC257" s="31"/>
      <c r="CD257" s="31"/>
      <c r="CE257" s="31"/>
      <c r="CF257" s="31"/>
      <c r="CG257" s="31"/>
    </row>
    <row r="258" ht="15.75" customHeight="1">
      <c r="A258" s="34" t="s">
        <v>191</v>
      </c>
      <c r="B258" s="35" t="s">
        <v>97</v>
      </c>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114"/>
      <c r="AT258" s="115" t="s">
        <v>304</v>
      </c>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1"/>
      <c r="BZ258" s="31"/>
      <c r="CA258" s="31"/>
      <c r="CB258" s="31"/>
      <c r="CC258" s="31"/>
      <c r="CD258" s="31"/>
      <c r="CE258" s="31"/>
      <c r="CF258" s="31"/>
      <c r="CG258" s="31"/>
    </row>
    <row r="259" ht="15.75" customHeight="1">
      <c r="A259" s="37" t="s">
        <v>193</v>
      </c>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7" t="s">
        <v>194</v>
      </c>
      <c r="AE259" s="38"/>
      <c r="AF259" s="37"/>
      <c r="AG259" s="38"/>
      <c r="AH259" s="116"/>
      <c r="AI259" s="38"/>
      <c r="AJ259" s="37"/>
      <c r="AK259" s="37"/>
      <c r="AL259" s="38"/>
      <c r="AM259" s="38"/>
      <c r="AN259" s="38"/>
      <c r="AO259" s="37"/>
      <c r="AP259" s="37"/>
      <c r="AQ259" s="38"/>
      <c r="AR259" s="38"/>
      <c r="AS259" s="70"/>
      <c r="AT259" s="70"/>
      <c r="AU259" s="31"/>
      <c r="AV259" s="31"/>
      <c r="AW259" s="30" t="s">
        <v>305</v>
      </c>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1"/>
      <c r="BZ259" s="31"/>
      <c r="CA259" s="31"/>
      <c r="CB259" s="31"/>
      <c r="CC259" s="31"/>
      <c r="CD259" s="31"/>
      <c r="CE259" s="31"/>
      <c r="CF259" s="31"/>
      <c r="CG259" s="31"/>
    </row>
    <row r="260" ht="15.75" customHeight="1">
      <c r="A260" s="39" t="s">
        <v>195</v>
      </c>
      <c r="B260" s="40">
        <v>1.0</v>
      </c>
      <c r="C260" s="40">
        <v>2.0</v>
      </c>
      <c r="D260" s="40">
        <v>3.0</v>
      </c>
      <c r="E260" s="40">
        <v>4.0</v>
      </c>
      <c r="F260" s="40">
        <v>5.0</v>
      </c>
      <c r="G260" s="40">
        <v>6.0</v>
      </c>
      <c r="H260" s="40">
        <v>7.0</v>
      </c>
      <c r="I260" s="40">
        <v>8.0</v>
      </c>
      <c r="J260" s="40">
        <v>9.0</v>
      </c>
      <c r="K260" s="40">
        <v>10.0</v>
      </c>
      <c r="L260" s="40">
        <v>11.0</v>
      </c>
      <c r="M260" s="40">
        <v>12.0</v>
      </c>
      <c r="N260" s="40">
        <v>13.0</v>
      </c>
      <c r="O260" s="40">
        <v>14.0</v>
      </c>
      <c r="P260" s="40">
        <v>15.0</v>
      </c>
      <c r="Q260" s="40">
        <v>16.0</v>
      </c>
      <c r="R260" s="40">
        <v>17.0</v>
      </c>
      <c r="S260" s="40">
        <v>18.0</v>
      </c>
      <c r="T260" s="40">
        <v>19.0</v>
      </c>
      <c r="U260" s="40">
        <v>20.0</v>
      </c>
      <c r="V260" s="40">
        <v>21.0</v>
      </c>
      <c r="W260" s="40">
        <v>22.0</v>
      </c>
      <c r="X260" s="40">
        <v>23.0</v>
      </c>
      <c r="Y260" s="40">
        <v>24.0</v>
      </c>
      <c r="Z260" s="40">
        <v>25.0</v>
      </c>
      <c r="AA260" s="40">
        <v>26.0</v>
      </c>
      <c r="AB260" s="40">
        <v>27.0</v>
      </c>
      <c r="AC260" s="40">
        <v>28.0</v>
      </c>
      <c r="AD260" s="41">
        <v>29.0</v>
      </c>
      <c r="AE260" s="41">
        <v>30.0</v>
      </c>
      <c r="AF260" s="40">
        <v>31.0</v>
      </c>
      <c r="AG260" s="40">
        <v>32.0</v>
      </c>
      <c r="AH260" s="40">
        <v>33.0</v>
      </c>
      <c r="AI260" s="40">
        <v>34.0</v>
      </c>
      <c r="AJ260" s="40">
        <v>35.0</v>
      </c>
      <c r="AK260" s="40">
        <v>36.0</v>
      </c>
      <c r="AL260" s="40">
        <v>37.0</v>
      </c>
      <c r="AM260" s="40">
        <v>38.0</v>
      </c>
      <c r="AN260" s="40">
        <v>39.0</v>
      </c>
      <c r="AO260" s="40">
        <v>40.0</v>
      </c>
      <c r="AP260" s="40">
        <v>41.0</v>
      </c>
      <c r="AQ260" s="40">
        <v>42.0</v>
      </c>
      <c r="AR260" s="40">
        <v>43.0</v>
      </c>
      <c r="AS260" s="40">
        <v>44.0</v>
      </c>
      <c r="AT260" s="40">
        <v>45.0</v>
      </c>
      <c r="AU260" s="31"/>
      <c r="AV260" s="31"/>
      <c r="AW260" s="30" t="s">
        <v>306</v>
      </c>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1"/>
      <c r="BZ260" s="31"/>
      <c r="CA260" s="31"/>
      <c r="CB260" s="31"/>
      <c r="CC260" s="31"/>
      <c r="CD260" s="31"/>
      <c r="CE260" s="31"/>
      <c r="CF260" s="31"/>
      <c r="CG260" s="31"/>
    </row>
    <row r="261" ht="15.75" customHeight="1">
      <c r="A261" s="42" t="s">
        <v>196</v>
      </c>
      <c r="B261" s="42" t="str">
        <f t="shared" ref="B261:AT261" si="62">MID($A257,B260,1)</f>
        <v>1</v>
      </c>
      <c r="C261" s="42" t="str">
        <f t="shared" si="62"/>
        <v>2</v>
      </c>
      <c r="D261" s="42" t="str">
        <f t="shared" si="62"/>
        <v>3</v>
      </c>
      <c r="E261" s="42" t="str">
        <f t="shared" si="62"/>
        <v>7</v>
      </c>
      <c r="F261" s="42" t="str">
        <f t="shared" si="62"/>
        <v>6</v>
      </c>
      <c r="G261" s="42" t="str">
        <f t="shared" si="62"/>
        <v>6</v>
      </c>
      <c r="H261" s="42" t="str">
        <f t="shared" si="62"/>
        <v>0</v>
      </c>
      <c r="I261" s="42" t="str">
        <f t="shared" si="62"/>
        <v>1</v>
      </c>
      <c r="J261" s="42" t="str">
        <f t="shared" si="62"/>
        <v>7</v>
      </c>
      <c r="K261" s="42" t="str">
        <f t="shared" si="62"/>
        <v>2</v>
      </c>
      <c r="L261" s="42" t="str">
        <f t="shared" si="62"/>
        <v>9</v>
      </c>
      <c r="M261" s="42" t="str">
        <f t="shared" si="62"/>
        <v>3</v>
      </c>
      <c r="N261" s="42" t="str">
        <f t="shared" si="62"/>
        <v>2</v>
      </c>
      <c r="O261" s="42" t="str">
        <f t="shared" si="62"/>
        <v>1</v>
      </c>
      <c r="P261" s="42" t="str">
        <f t="shared" si="62"/>
        <v>2</v>
      </c>
      <c r="Q261" s="42" t="str">
        <f t="shared" si="62"/>
        <v>3</v>
      </c>
      <c r="R261" s="42" t="str">
        <f t="shared" si="62"/>
        <v>7</v>
      </c>
      <c r="S261" s="42" t="str">
        <f t="shared" si="62"/>
        <v>0</v>
      </c>
      <c r="T261" s="42" t="str">
        <f t="shared" si="62"/>
        <v>0</v>
      </c>
      <c r="U261" s="42" t="str">
        <f t="shared" si="62"/>
        <v>9</v>
      </c>
      <c r="V261" s="42" t="str">
        <f t="shared" si="62"/>
        <v>7</v>
      </c>
      <c r="W261" s="42" t="str">
        <f t="shared" si="62"/>
        <v>0</v>
      </c>
      <c r="X261" s="42" t="str">
        <f t="shared" si="62"/>
        <v>0</v>
      </c>
      <c r="Y261" s="42" t="str">
        <f t="shared" si="62"/>
        <v>8</v>
      </c>
      <c r="Z261" s="42" t="str">
        <f t="shared" si="62"/>
        <v>1</v>
      </c>
      <c r="AA261" s="42" t="str">
        <f t="shared" si="62"/>
        <v>2</v>
      </c>
      <c r="AB261" s="42" t="str">
        <f t="shared" si="62"/>
        <v>3</v>
      </c>
      <c r="AC261" s="42" t="str">
        <f t="shared" si="62"/>
        <v>7</v>
      </c>
      <c r="AD261" s="44" t="str">
        <f t="shared" si="62"/>
        <v>2</v>
      </c>
      <c r="AE261" s="44" t="str">
        <f t="shared" si="62"/>
        <v>9</v>
      </c>
      <c r="AF261" s="42" t="str">
        <f t="shared" si="62"/>
        <v>2</v>
      </c>
      <c r="AG261" s="42" t="str">
        <f t="shared" si="62"/>
        <v>0</v>
      </c>
      <c r="AH261" s="42" t="str">
        <f t="shared" si="62"/>
        <v>1</v>
      </c>
      <c r="AI261" s="42" t="str">
        <f t="shared" si="62"/>
        <v>2</v>
      </c>
      <c r="AJ261" s="42" t="str">
        <f t="shared" si="62"/>
        <v>6</v>
      </c>
      <c r="AK261" s="42" t="str">
        <f t="shared" si="62"/>
        <v>6</v>
      </c>
      <c r="AL261" s="42" t="str">
        <f t="shared" si="62"/>
        <v>0</v>
      </c>
      <c r="AM261" s="42" t="str">
        <f t="shared" si="62"/>
        <v>0</v>
      </c>
      <c r="AN261" s="42" t="str">
        <f t="shared" si="62"/>
        <v>0</v>
      </c>
      <c r="AO261" s="42" t="str">
        <f t="shared" si="62"/>
        <v>0</v>
      </c>
      <c r="AP261" s="42" t="str">
        <f t="shared" si="62"/>
        <v>4</v>
      </c>
      <c r="AQ261" s="42" t="str">
        <f t="shared" si="62"/>
        <v>9</v>
      </c>
      <c r="AR261" s="42" t="str">
        <f t="shared" si="62"/>
        <v>5</v>
      </c>
      <c r="AS261" s="42" t="str">
        <f t="shared" si="62"/>
        <v>4</v>
      </c>
      <c r="AT261" s="42" t="str">
        <f t="shared" si="62"/>
        <v>1</v>
      </c>
      <c r="AU261" s="31"/>
      <c r="AV261" s="31"/>
      <c r="AW261" s="30" t="s">
        <v>307</v>
      </c>
      <c r="AX261" s="31"/>
      <c r="AY261" s="31"/>
      <c r="AZ261" s="31"/>
      <c r="BA261" s="31"/>
      <c r="BB261" s="31"/>
      <c r="BC261" s="31"/>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row>
    <row r="262" ht="15.75" customHeight="1">
      <c r="A262" s="45" t="s">
        <v>308</v>
      </c>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31"/>
      <c r="AV262" s="31"/>
      <c r="AW262" s="30" t="s">
        <v>309</v>
      </c>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1"/>
      <c r="BZ262" s="31"/>
      <c r="CA262" s="31"/>
      <c r="CB262" s="31"/>
      <c r="CC262" s="31"/>
      <c r="CD262" s="31"/>
      <c r="CE262" s="31"/>
      <c r="CF262" s="31"/>
      <c r="CG262" s="31"/>
    </row>
    <row r="263" ht="15.75" customHeight="1">
      <c r="A263" s="45" t="s">
        <v>310</v>
      </c>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31"/>
      <c r="AV263" s="31"/>
      <c r="AW263" s="30" t="s">
        <v>311</v>
      </c>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1"/>
      <c r="BZ263" s="31"/>
      <c r="CA263" s="31"/>
      <c r="CB263" s="31"/>
      <c r="CC263" s="31"/>
      <c r="CD263" s="31"/>
      <c r="CE263" s="31"/>
      <c r="CF263" s="31"/>
      <c r="CG263" s="31"/>
    </row>
    <row r="264" ht="15.75" customHeight="1">
      <c r="A264" s="45" t="s">
        <v>312</v>
      </c>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31"/>
      <c r="AV264" s="31"/>
      <c r="AW264" s="30"/>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row>
    <row r="265" ht="15.75" customHeight="1">
      <c r="A265" s="45" t="s">
        <v>313</v>
      </c>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1"/>
      <c r="BZ265" s="31"/>
      <c r="CA265" s="31"/>
      <c r="CB265" s="31"/>
      <c r="CC265" s="31"/>
      <c r="CD265" s="31"/>
      <c r="CE265" s="31"/>
      <c r="CF265" s="31"/>
      <c r="CG265" s="31"/>
    </row>
    <row r="266" ht="15.75" customHeight="1">
      <c r="A266" s="47" t="s">
        <v>314</v>
      </c>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31"/>
      <c r="AV266" s="31"/>
      <c r="AW266" s="30" t="s">
        <v>315</v>
      </c>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1"/>
      <c r="BZ266" s="31"/>
      <c r="CA266" s="31"/>
      <c r="CB266" s="31"/>
      <c r="CC266" s="31"/>
      <c r="CD266" s="31"/>
      <c r="CE266" s="31"/>
      <c r="CF266" s="31"/>
      <c r="CG266" s="31"/>
    </row>
    <row r="267" ht="15.75" customHeight="1">
      <c r="A267" s="39" t="s">
        <v>195</v>
      </c>
      <c r="B267" s="40">
        <v>1.0</v>
      </c>
      <c r="C267" s="40">
        <v>2.0</v>
      </c>
      <c r="D267" s="40">
        <v>3.0</v>
      </c>
      <c r="E267" s="40">
        <v>4.0</v>
      </c>
      <c r="F267" s="40">
        <v>5.0</v>
      </c>
      <c r="G267" s="40">
        <v>6.0</v>
      </c>
      <c r="H267" s="40">
        <v>7.0</v>
      </c>
      <c r="I267" s="40">
        <v>8.0</v>
      </c>
      <c r="J267" s="40">
        <v>9.0</v>
      </c>
      <c r="K267" s="40">
        <v>10.0</v>
      </c>
      <c r="L267" s="40">
        <v>11.0</v>
      </c>
      <c r="M267" s="40">
        <v>12.0</v>
      </c>
      <c r="N267" s="40">
        <v>13.0</v>
      </c>
      <c r="O267" s="43">
        <v>14.0</v>
      </c>
      <c r="P267" s="43">
        <v>15.0</v>
      </c>
      <c r="Q267" s="43">
        <v>16.0</v>
      </c>
      <c r="R267" s="43">
        <v>17.0</v>
      </c>
      <c r="S267" s="43">
        <v>18.0</v>
      </c>
      <c r="T267" s="43">
        <v>19.0</v>
      </c>
      <c r="U267" s="43">
        <v>20.0</v>
      </c>
      <c r="V267" s="43">
        <v>21.0</v>
      </c>
      <c r="W267" s="43">
        <v>22.0</v>
      </c>
      <c r="X267" s="43">
        <v>23.0</v>
      </c>
      <c r="Y267" s="43">
        <v>24.0</v>
      </c>
      <c r="Z267" s="43">
        <v>25.0</v>
      </c>
      <c r="AA267" s="43">
        <v>26.0</v>
      </c>
      <c r="AB267" s="43">
        <v>27.0</v>
      </c>
      <c r="AC267" s="43">
        <v>28.0</v>
      </c>
      <c r="AD267" s="43">
        <v>29.0</v>
      </c>
      <c r="AE267" s="43">
        <v>30.0</v>
      </c>
      <c r="AF267" s="40">
        <v>31.0</v>
      </c>
      <c r="AG267" s="40">
        <v>32.0</v>
      </c>
      <c r="AH267" s="40">
        <v>33.0</v>
      </c>
      <c r="AI267" s="40">
        <v>34.0</v>
      </c>
      <c r="AJ267" s="40">
        <v>35.0</v>
      </c>
      <c r="AK267" s="40">
        <v>36.0</v>
      </c>
      <c r="AL267" s="40">
        <v>37.0</v>
      </c>
      <c r="AM267" s="40">
        <v>38.0</v>
      </c>
      <c r="AN267" s="40">
        <v>39.0</v>
      </c>
      <c r="AO267" s="40">
        <v>40.0</v>
      </c>
      <c r="AP267" s="40">
        <v>41.0</v>
      </c>
      <c r="AQ267" s="40">
        <v>42.0</v>
      </c>
      <c r="AR267" s="40">
        <v>43.0</v>
      </c>
      <c r="AS267" s="40">
        <v>44.0</v>
      </c>
      <c r="AT267" s="40">
        <v>45.0</v>
      </c>
      <c r="AU267" s="31"/>
      <c r="AV267" s="31"/>
      <c r="AW267" s="30" t="s">
        <v>316</v>
      </c>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1"/>
      <c r="BZ267" s="31"/>
      <c r="CA267" s="31"/>
      <c r="CB267" s="31"/>
      <c r="CC267" s="31"/>
      <c r="CD267" s="31"/>
      <c r="CE267" s="31"/>
      <c r="CF267" s="31"/>
      <c r="CG267" s="31"/>
    </row>
    <row r="268" ht="15.75" customHeight="1">
      <c r="A268" s="42" t="s">
        <v>196</v>
      </c>
      <c r="B268" s="51" t="str">
        <f t="shared" ref="B268:AT268" si="63">B261</f>
        <v>1</v>
      </c>
      <c r="C268" s="51" t="str">
        <f t="shared" si="63"/>
        <v>2</v>
      </c>
      <c r="D268" s="51" t="str">
        <f t="shared" si="63"/>
        <v>3</v>
      </c>
      <c r="E268" s="51" t="str">
        <f t="shared" si="63"/>
        <v>7</v>
      </c>
      <c r="F268" s="51" t="str">
        <f t="shared" si="63"/>
        <v>6</v>
      </c>
      <c r="G268" s="51" t="str">
        <f t="shared" si="63"/>
        <v>6</v>
      </c>
      <c r="H268" s="51" t="str">
        <f t="shared" si="63"/>
        <v>0</v>
      </c>
      <c r="I268" s="51" t="str">
        <f t="shared" si="63"/>
        <v>1</v>
      </c>
      <c r="J268" s="51" t="str">
        <f t="shared" si="63"/>
        <v>7</v>
      </c>
      <c r="K268" s="51" t="str">
        <f t="shared" si="63"/>
        <v>2</v>
      </c>
      <c r="L268" s="51" t="str">
        <f t="shared" si="63"/>
        <v>9</v>
      </c>
      <c r="M268" s="51" t="str">
        <f t="shared" si="63"/>
        <v>3</v>
      </c>
      <c r="N268" s="51" t="str">
        <f t="shared" si="63"/>
        <v>2</v>
      </c>
      <c r="O268" s="43" t="str">
        <f t="shared" si="63"/>
        <v>1</v>
      </c>
      <c r="P268" s="43" t="str">
        <f t="shared" si="63"/>
        <v>2</v>
      </c>
      <c r="Q268" s="43" t="str">
        <f t="shared" si="63"/>
        <v>3</v>
      </c>
      <c r="R268" s="43" t="str">
        <f t="shared" si="63"/>
        <v>7</v>
      </c>
      <c r="S268" s="43" t="str">
        <f t="shared" si="63"/>
        <v>0</v>
      </c>
      <c r="T268" s="43" t="str">
        <f t="shared" si="63"/>
        <v>0</v>
      </c>
      <c r="U268" s="43" t="str">
        <f t="shared" si="63"/>
        <v>9</v>
      </c>
      <c r="V268" s="43" t="str">
        <f t="shared" si="63"/>
        <v>7</v>
      </c>
      <c r="W268" s="43" t="str">
        <f t="shared" si="63"/>
        <v>0</v>
      </c>
      <c r="X268" s="43" t="str">
        <f t="shared" si="63"/>
        <v>0</v>
      </c>
      <c r="Y268" s="43" t="str">
        <f t="shared" si="63"/>
        <v>8</v>
      </c>
      <c r="Z268" s="43" t="str">
        <f t="shared" si="63"/>
        <v>1</v>
      </c>
      <c r="AA268" s="43" t="str">
        <f t="shared" si="63"/>
        <v>2</v>
      </c>
      <c r="AB268" s="43" t="str">
        <f t="shared" si="63"/>
        <v>3</v>
      </c>
      <c r="AC268" s="43" t="str">
        <f t="shared" si="63"/>
        <v>7</v>
      </c>
      <c r="AD268" s="43" t="str">
        <f t="shared" si="63"/>
        <v>2</v>
      </c>
      <c r="AE268" s="43" t="str">
        <f t="shared" si="63"/>
        <v>9</v>
      </c>
      <c r="AF268" s="43" t="str">
        <f t="shared" si="63"/>
        <v>2</v>
      </c>
      <c r="AG268" s="43" t="str">
        <f t="shared" si="63"/>
        <v>0</v>
      </c>
      <c r="AH268" s="43" t="str">
        <f t="shared" si="63"/>
        <v>1</v>
      </c>
      <c r="AI268" s="43" t="str">
        <f t="shared" si="63"/>
        <v>2</v>
      </c>
      <c r="AJ268" s="43" t="str">
        <f t="shared" si="63"/>
        <v>6</v>
      </c>
      <c r="AK268" s="43" t="str">
        <f t="shared" si="63"/>
        <v>6</v>
      </c>
      <c r="AL268" s="43" t="str">
        <f t="shared" si="63"/>
        <v>0</v>
      </c>
      <c r="AM268" s="43" t="str">
        <f t="shared" si="63"/>
        <v>0</v>
      </c>
      <c r="AN268" s="43" t="str">
        <f t="shared" si="63"/>
        <v>0</v>
      </c>
      <c r="AO268" s="43" t="str">
        <f t="shared" si="63"/>
        <v>0</v>
      </c>
      <c r="AP268" s="43" t="str">
        <f t="shared" si="63"/>
        <v>4</v>
      </c>
      <c r="AQ268" s="43" t="str">
        <f t="shared" si="63"/>
        <v>9</v>
      </c>
      <c r="AR268" s="43" t="str">
        <f t="shared" si="63"/>
        <v>5</v>
      </c>
      <c r="AS268" s="43" t="str">
        <f t="shared" si="63"/>
        <v>4</v>
      </c>
      <c r="AT268" s="43" t="str">
        <f t="shared" si="63"/>
        <v>1</v>
      </c>
      <c r="AU268" s="31"/>
      <c r="AV268" s="31"/>
      <c r="AW268" s="30" t="s">
        <v>317</v>
      </c>
      <c r="AX268" s="31"/>
      <c r="AY268" s="31"/>
      <c r="AZ268" s="31"/>
      <c r="BA268" s="31"/>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row>
    <row r="269" ht="15.75" customHeight="1">
      <c r="A269" s="52" t="s">
        <v>200</v>
      </c>
      <c r="B269" s="50">
        <v>1.0</v>
      </c>
      <c r="C269" s="50">
        <v>2.0</v>
      </c>
      <c r="D269" s="50">
        <v>3.0</v>
      </c>
      <c r="E269" s="50">
        <v>5.0</v>
      </c>
      <c r="F269" s="50">
        <v>7.0</v>
      </c>
      <c r="G269" s="50">
        <v>11.0</v>
      </c>
      <c r="H269" s="50">
        <v>13.0</v>
      </c>
      <c r="I269" s="50">
        <v>17.0</v>
      </c>
      <c r="J269" s="50">
        <v>19.0</v>
      </c>
      <c r="K269" s="50">
        <v>23.0</v>
      </c>
      <c r="L269" s="50">
        <v>29.0</v>
      </c>
      <c r="M269" s="50">
        <v>31.0</v>
      </c>
      <c r="N269" s="50">
        <v>41.0</v>
      </c>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31"/>
      <c r="AV269" s="31"/>
      <c r="AW269" s="30" t="s">
        <v>318</v>
      </c>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1"/>
      <c r="BZ269" s="31"/>
      <c r="CA269" s="31"/>
      <c r="CB269" s="31"/>
      <c r="CC269" s="31"/>
      <c r="CD269" s="31"/>
      <c r="CE269" s="31"/>
      <c r="CF269" s="31"/>
      <c r="CG269" s="31"/>
    </row>
    <row r="270" ht="15.75" customHeight="1">
      <c r="A270" s="52" t="s">
        <v>201</v>
      </c>
      <c r="B270" s="50">
        <f t="shared" ref="B270:N270" si="64">B268*B269</f>
        <v>1</v>
      </c>
      <c r="C270" s="50">
        <f t="shared" si="64"/>
        <v>4</v>
      </c>
      <c r="D270" s="50">
        <f t="shared" si="64"/>
        <v>9</v>
      </c>
      <c r="E270" s="50">
        <f t="shared" si="64"/>
        <v>35</v>
      </c>
      <c r="F270" s="50">
        <f t="shared" si="64"/>
        <v>42</v>
      </c>
      <c r="G270" s="50">
        <f t="shared" si="64"/>
        <v>66</v>
      </c>
      <c r="H270" s="50">
        <f t="shared" si="64"/>
        <v>0</v>
      </c>
      <c r="I270" s="50">
        <f t="shared" si="64"/>
        <v>17</v>
      </c>
      <c r="J270" s="50">
        <f t="shared" si="64"/>
        <v>133</v>
      </c>
      <c r="K270" s="50">
        <f t="shared" si="64"/>
        <v>46</v>
      </c>
      <c r="L270" s="50">
        <f t="shared" si="64"/>
        <v>261</v>
      </c>
      <c r="M270" s="50">
        <f t="shared" si="64"/>
        <v>93</v>
      </c>
      <c r="N270" s="50">
        <f t="shared" si="64"/>
        <v>82</v>
      </c>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31"/>
      <c r="AV270" s="31"/>
      <c r="AW270" s="30" t="s">
        <v>319</v>
      </c>
      <c r="AX270" s="31"/>
      <c r="AY270" s="31"/>
      <c r="AZ270" s="33"/>
      <c r="BA270" s="33"/>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1"/>
      <c r="BZ270" s="31"/>
      <c r="CA270" s="31"/>
      <c r="CB270" s="31"/>
      <c r="CC270" s="31"/>
      <c r="CD270" s="31"/>
      <c r="CE270" s="31"/>
      <c r="CF270" s="31"/>
      <c r="CG270" s="31"/>
    </row>
    <row r="271" ht="15.75" customHeight="1">
      <c r="A271" s="31"/>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1"/>
      <c r="BZ271" s="31"/>
      <c r="CA271" s="31"/>
      <c r="CB271" s="31"/>
      <c r="CC271" s="31"/>
      <c r="CD271" s="31"/>
      <c r="CE271" s="31"/>
      <c r="CF271" s="31"/>
      <c r="CG271" s="31"/>
    </row>
    <row r="272" ht="15.75" customHeight="1">
      <c r="A272" s="47" t="s">
        <v>320</v>
      </c>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31"/>
      <c r="AV272" s="31"/>
      <c r="AW272" s="30" t="s">
        <v>321</v>
      </c>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1"/>
      <c r="BZ272" s="31"/>
      <c r="CA272" s="31"/>
      <c r="CB272" s="31"/>
      <c r="CC272" s="31"/>
      <c r="CD272" s="31"/>
      <c r="CE272" s="31"/>
      <c r="CF272" s="31"/>
      <c r="CG272" s="31"/>
    </row>
    <row r="273" ht="15.75" customHeight="1">
      <c r="A273" s="39" t="s">
        <v>195</v>
      </c>
      <c r="B273" s="43">
        <v>1.0</v>
      </c>
      <c r="C273" s="43">
        <v>2.0</v>
      </c>
      <c r="D273" s="43">
        <v>3.0</v>
      </c>
      <c r="E273" s="43">
        <v>4.0</v>
      </c>
      <c r="F273" s="43">
        <v>5.0</v>
      </c>
      <c r="G273" s="43">
        <v>6.0</v>
      </c>
      <c r="H273" s="43">
        <v>7.0</v>
      </c>
      <c r="I273" s="43">
        <v>8.0</v>
      </c>
      <c r="J273" s="43">
        <v>9.0</v>
      </c>
      <c r="K273" s="43">
        <v>10.0</v>
      </c>
      <c r="L273" s="43">
        <v>11.0</v>
      </c>
      <c r="M273" s="43">
        <v>12.0</v>
      </c>
      <c r="N273" s="43">
        <v>13.0</v>
      </c>
      <c r="O273" s="43">
        <v>14.0</v>
      </c>
      <c r="P273" s="43">
        <v>15.0</v>
      </c>
      <c r="Q273" s="43">
        <v>16.0</v>
      </c>
      <c r="R273" s="43">
        <v>17.0</v>
      </c>
      <c r="S273" s="43">
        <v>18.0</v>
      </c>
      <c r="T273" s="43">
        <v>19.0</v>
      </c>
      <c r="U273" s="43">
        <v>20.0</v>
      </c>
      <c r="V273" s="43">
        <v>21.0</v>
      </c>
      <c r="W273" s="43">
        <v>22.0</v>
      </c>
      <c r="X273" s="43">
        <v>23.0</v>
      </c>
      <c r="Y273" s="40">
        <v>24.0</v>
      </c>
      <c r="Z273" s="40">
        <v>25.0</v>
      </c>
      <c r="AA273" s="40">
        <v>26.0</v>
      </c>
      <c r="AB273" s="40">
        <v>27.0</v>
      </c>
      <c r="AC273" s="40">
        <v>28.0</v>
      </c>
      <c r="AD273" s="40">
        <v>29.0</v>
      </c>
      <c r="AE273" s="40">
        <v>30.0</v>
      </c>
      <c r="AF273" s="40">
        <v>31.0</v>
      </c>
      <c r="AG273" s="40">
        <v>32.0</v>
      </c>
      <c r="AH273" s="40">
        <v>33.0</v>
      </c>
      <c r="AI273" s="40">
        <v>34.0</v>
      </c>
      <c r="AJ273" s="40">
        <v>35.0</v>
      </c>
      <c r="AK273" s="40">
        <v>36.0</v>
      </c>
      <c r="AL273" s="40">
        <v>37.0</v>
      </c>
      <c r="AM273" s="40">
        <v>38.0</v>
      </c>
      <c r="AN273" s="40">
        <v>39.0</v>
      </c>
      <c r="AO273" s="40">
        <v>40.0</v>
      </c>
      <c r="AP273" s="40">
        <v>41.0</v>
      </c>
      <c r="AQ273" s="40">
        <v>42.0</v>
      </c>
      <c r="AR273" s="40">
        <v>43.0</v>
      </c>
      <c r="AS273" s="40">
        <v>44.0</v>
      </c>
      <c r="AT273" s="40">
        <v>45.0</v>
      </c>
      <c r="AU273" s="31"/>
      <c r="AV273" s="31"/>
      <c r="AW273" s="30" t="s">
        <v>322</v>
      </c>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1"/>
      <c r="BZ273" s="31"/>
      <c r="CA273" s="31"/>
      <c r="CB273" s="31"/>
      <c r="CC273" s="31"/>
      <c r="CD273" s="31"/>
      <c r="CE273" s="31"/>
      <c r="CF273" s="31"/>
      <c r="CG273" s="31"/>
    </row>
    <row r="274" ht="15.75" customHeight="1">
      <c r="A274" s="42" t="s">
        <v>196</v>
      </c>
      <c r="B274" s="43" t="str">
        <f t="shared" ref="B274:AT274" si="65">B261</f>
        <v>1</v>
      </c>
      <c r="C274" s="43" t="str">
        <f t="shared" si="65"/>
        <v>2</v>
      </c>
      <c r="D274" s="43" t="str">
        <f t="shared" si="65"/>
        <v>3</v>
      </c>
      <c r="E274" s="43" t="str">
        <f t="shared" si="65"/>
        <v>7</v>
      </c>
      <c r="F274" s="43" t="str">
        <f t="shared" si="65"/>
        <v>6</v>
      </c>
      <c r="G274" s="43" t="str">
        <f t="shared" si="65"/>
        <v>6</v>
      </c>
      <c r="H274" s="43" t="str">
        <f t="shared" si="65"/>
        <v>0</v>
      </c>
      <c r="I274" s="43" t="str">
        <f t="shared" si="65"/>
        <v>1</v>
      </c>
      <c r="J274" s="43" t="str">
        <f t="shared" si="65"/>
        <v>7</v>
      </c>
      <c r="K274" s="43" t="str">
        <f t="shared" si="65"/>
        <v>2</v>
      </c>
      <c r="L274" s="43" t="str">
        <f t="shared" si="65"/>
        <v>9</v>
      </c>
      <c r="M274" s="43" t="str">
        <f t="shared" si="65"/>
        <v>3</v>
      </c>
      <c r="N274" s="43" t="str">
        <f t="shared" si="65"/>
        <v>2</v>
      </c>
      <c r="O274" s="51" t="str">
        <f t="shared" si="65"/>
        <v>1</v>
      </c>
      <c r="P274" s="51" t="str">
        <f t="shared" si="65"/>
        <v>2</v>
      </c>
      <c r="Q274" s="51" t="str">
        <f t="shared" si="65"/>
        <v>3</v>
      </c>
      <c r="R274" s="51" t="str">
        <f t="shared" si="65"/>
        <v>7</v>
      </c>
      <c r="S274" s="51" t="str">
        <f t="shared" si="65"/>
        <v>0</v>
      </c>
      <c r="T274" s="51" t="str">
        <f t="shared" si="65"/>
        <v>0</v>
      </c>
      <c r="U274" s="51" t="str">
        <f t="shared" si="65"/>
        <v>9</v>
      </c>
      <c r="V274" s="51" t="str">
        <f t="shared" si="65"/>
        <v>7</v>
      </c>
      <c r="W274" s="51" t="str">
        <f t="shared" si="65"/>
        <v>0</v>
      </c>
      <c r="X274" s="51" t="str">
        <f t="shared" si="65"/>
        <v>0</v>
      </c>
      <c r="Y274" s="51" t="str">
        <f t="shared" si="65"/>
        <v>8</v>
      </c>
      <c r="Z274" s="43" t="str">
        <f t="shared" si="65"/>
        <v>1</v>
      </c>
      <c r="AA274" s="43" t="str">
        <f t="shared" si="65"/>
        <v>2</v>
      </c>
      <c r="AB274" s="43" t="str">
        <f t="shared" si="65"/>
        <v>3</v>
      </c>
      <c r="AC274" s="43" t="str">
        <f t="shared" si="65"/>
        <v>7</v>
      </c>
      <c r="AD274" s="43" t="str">
        <f t="shared" si="65"/>
        <v>2</v>
      </c>
      <c r="AE274" s="43" t="str">
        <f t="shared" si="65"/>
        <v>9</v>
      </c>
      <c r="AF274" s="43" t="str">
        <f t="shared" si="65"/>
        <v>2</v>
      </c>
      <c r="AG274" s="43" t="str">
        <f t="shared" si="65"/>
        <v>0</v>
      </c>
      <c r="AH274" s="43" t="str">
        <f t="shared" si="65"/>
        <v>1</v>
      </c>
      <c r="AI274" s="43" t="str">
        <f t="shared" si="65"/>
        <v>2</v>
      </c>
      <c r="AJ274" s="43" t="str">
        <f t="shared" si="65"/>
        <v>6</v>
      </c>
      <c r="AK274" s="43" t="str">
        <f t="shared" si="65"/>
        <v>6</v>
      </c>
      <c r="AL274" s="43" t="str">
        <f t="shared" si="65"/>
        <v>0</v>
      </c>
      <c r="AM274" s="43" t="str">
        <f t="shared" si="65"/>
        <v>0</v>
      </c>
      <c r="AN274" s="43" t="str">
        <f t="shared" si="65"/>
        <v>0</v>
      </c>
      <c r="AO274" s="43" t="str">
        <f t="shared" si="65"/>
        <v>0</v>
      </c>
      <c r="AP274" s="43" t="str">
        <f t="shared" si="65"/>
        <v>4</v>
      </c>
      <c r="AQ274" s="43" t="str">
        <f t="shared" si="65"/>
        <v>9</v>
      </c>
      <c r="AR274" s="43" t="str">
        <f t="shared" si="65"/>
        <v>5</v>
      </c>
      <c r="AS274" s="43" t="str">
        <f t="shared" si="65"/>
        <v>4</v>
      </c>
      <c r="AT274" s="43" t="str">
        <f t="shared" si="65"/>
        <v>1</v>
      </c>
      <c r="AU274" s="31"/>
      <c r="AV274" s="31"/>
      <c r="AW274" s="30" t="s">
        <v>323</v>
      </c>
      <c r="AX274" s="31"/>
      <c r="AY274" s="31"/>
      <c r="AZ274" s="31"/>
      <c r="BA274" s="31"/>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row>
    <row r="275" ht="15.75" customHeight="1">
      <c r="A275" s="52" t="s">
        <v>200</v>
      </c>
      <c r="B275" s="43"/>
      <c r="C275" s="43"/>
      <c r="D275" s="43"/>
      <c r="E275" s="43"/>
      <c r="F275" s="43"/>
      <c r="G275" s="43"/>
      <c r="H275" s="43"/>
      <c r="I275" s="43"/>
      <c r="J275" s="43"/>
      <c r="K275" s="43"/>
      <c r="L275" s="43"/>
      <c r="M275" s="43"/>
      <c r="N275" s="43"/>
      <c r="O275" s="50">
        <v>1.0</v>
      </c>
      <c r="P275" s="50">
        <v>2.0</v>
      </c>
      <c r="Q275" s="50">
        <v>3.0</v>
      </c>
      <c r="R275" s="50">
        <v>5.0</v>
      </c>
      <c r="S275" s="50">
        <v>7.0</v>
      </c>
      <c r="T275" s="50">
        <v>11.0</v>
      </c>
      <c r="U275" s="50">
        <v>13.0</v>
      </c>
      <c r="V275" s="50">
        <v>17.0</v>
      </c>
      <c r="W275" s="50">
        <v>19.0</v>
      </c>
      <c r="X275" s="50">
        <v>23.0</v>
      </c>
      <c r="Y275" s="50">
        <v>29.0</v>
      </c>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31"/>
      <c r="AV275" s="31"/>
      <c r="AW275" s="30" t="s">
        <v>324</v>
      </c>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1"/>
      <c r="BZ275" s="31"/>
      <c r="CA275" s="31"/>
      <c r="CB275" s="31"/>
      <c r="CC275" s="31"/>
      <c r="CD275" s="31"/>
      <c r="CE275" s="31"/>
      <c r="CF275" s="31"/>
      <c r="CG275" s="31"/>
    </row>
    <row r="276" ht="15.75" customHeight="1">
      <c r="A276" s="52" t="s">
        <v>201</v>
      </c>
      <c r="B276" s="43"/>
      <c r="C276" s="43"/>
      <c r="D276" s="43"/>
      <c r="E276" s="43"/>
      <c r="F276" s="43"/>
      <c r="G276" s="43"/>
      <c r="H276" s="43"/>
      <c r="I276" s="43"/>
      <c r="J276" s="43"/>
      <c r="K276" s="43"/>
      <c r="L276" s="43"/>
      <c r="M276" s="43"/>
      <c r="N276" s="43"/>
      <c r="O276" s="50">
        <f t="shared" ref="O276:Y276" si="66">O274*O275</f>
        <v>1</v>
      </c>
      <c r="P276" s="50">
        <f t="shared" si="66"/>
        <v>4</v>
      </c>
      <c r="Q276" s="50">
        <f t="shared" si="66"/>
        <v>9</v>
      </c>
      <c r="R276" s="50">
        <f t="shared" si="66"/>
        <v>35</v>
      </c>
      <c r="S276" s="50">
        <f t="shared" si="66"/>
        <v>0</v>
      </c>
      <c r="T276" s="50">
        <f t="shared" si="66"/>
        <v>0</v>
      </c>
      <c r="U276" s="50">
        <f t="shared" si="66"/>
        <v>117</v>
      </c>
      <c r="V276" s="50">
        <f t="shared" si="66"/>
        <v>119</v>
      </c>
      <c r="W276" s="50">
        <f t="shared" si="66"/>
        <v>0</v>
      </c>
      <c r="X276" s="50">
        <f t="shared" si="66"/>
        <v>0</v>
      </c>
      <c r="Y276" s="50">
        <f t="shared" si="66"/>
        <v>232</v>
      </c>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31"/>
      <c r="AV276" s="31"/>
      <c r="AW276" s="30" t="s">
        <v>325</v>
      </c>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1"/>
      <c r="BZ276" s="31"/>
      <c r="CA276" s="31"/>
      <c r="CB276" s="31"/>
      <c r="CC276" s="31"/>
      <c r="CD276" s="31"/>
      <c r="CE276" s="31"/>
      <c r="CF276" s="31"/>
      <c r="CG276" s="31"/>
    </row>
    <row r="277" ht="15.75" customHeight="1">
      <c r="A277" s="31"/>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1"/>
      <c r="BZ277" s="31"/>
      <c r="CA277" s="31"/>
      <c r="CB277" s="31"/>
      <c r="CC277" s="31"/>
      <c r="CD277" s="31"/>
      <c r="CE277" s="31"/>
      <c r="CF277" s="31"/>
      <c r="CG277" s="31"/>
    </row>
    <row r="278" ht="15.75" customHeight="1">
      <c r="A278" s="47" t="s">
        <v>326</v>
      </c>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31"/>
      <c r="AV278" s="31"/>
      <c r="AW278" s="30" t="s">
        <v>327</v>
      </c>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1"/>
      <c r="BZ278" s="31"/>
      <c r="CA278" s="31"/>
      <c r="CB278" s="31"/>
      <c r="CC278" s="31"/>
      <c r="CD278" s="31"/>
      <c r="CE278" s="31"/>
      <c r="CF278" s="31"/>
      <c r="CG278" s="31"/>
    </row>
    <row r="279" ht="15.75" customHeight="1">
      <c r="A279" s="39" t="s">
        <v>195</v>
      </c>
      <c r="B279" s="43">
        <v>1.0</v>
      </c>
      <c r="C279" s="43">
        <v>2.0</v>
      </c>
      <c r="D279" s="43">
        <v>3.0</v>
      </c>
      <c r="E279" s="43">
        <v>4.0</v>
      </c>
      <c r="F279" s="43">
        <v>5.0</v>
      </c>
      <c r="G279" s="43">
        <v>6.0</v>
      </c>
      <c r="H279" s="43">
        <v>7.0</v>
      </c>
      <c r="I279" s="43">
        <v>8.0</v>
      </c>
      <c r="J279" s="43">
        <v>9.0</v>
      </c>
      <c r="K279" s="43">
        <v>10.0</v>
      </c>
      <c r="L279" s="43">
        <v>11.0</v>
      </c>
      <c r="M279" s="43">
        <v>12.0</v>
      </c>
      <c r="N279" s="43">
        <v>13.0</v>
      </c>
      <c r="O279" s="43">
        <v>14.0</v>
      </c>
      <c r="P279" s="43">
        <v>15.0</v>
      </c>
      <c r="Q279" s="43">
        <v>16.0</v>
      </c>
      <c r="R279" s="43">
        <v>17.0</v>
      </c>
      <c r="S279" s="43">
        <v>18.0</v>
      </c>
      <c r="T279" s="43">
        <v>19.0</v>
      </c>
      <c r="U279" s="43">
        <v>20.0</v>
      </c>
      <c r="V279" s="43">
        <v>21.0</v>
      </c>
      <c r="W279" s="43">
        <v>22.0</v>
      </c>
      <c r="X279" s="43">
        <v>23.0</v>
      </c>
      <c r="Y279" s="40">
        <v>24.0</v>
      </c>
      <c r="Z279" s="40">
        <v>25.0</v>
      </c>
      <c r="AA279" s="40">
        <v>26.0</v>
      </c>
      <c r="AB279" s="40">
        <v>27.0</v>
      </c>
      <c r="AC279" s="40">
        <v>28.0</v>
      </c>
      <c r="AD279" s="40">
        <v>29.0</v>
      </c>
      <c r="AE279" s="40">
        <v>30.0</v>
      </c>
      <c r="AF279" s="40">
        <v>31.0</v>
      </c>
      <c r="AG279" s="40">
        <v>32.0</v>
      </c>
      <c r="AH279" s="40">
        <v>33.0</v>
      </c>
      <c r="AI279" s="40">
        <v>34.0</v>
      </c>
      <c r="AJ279" s="40">
        <v>35.0</v>
      </c>
      <c r="AK279" s="40">
        <v>36.0</v>
      </c>
      <c r="AL279" s="40">
        <v>37.0</v>
      </c>
      <c r="AM279" s="40">
        <v>38.0</v>
      </c>
      <c r="AN279" s="40">
        <v>39.0</v>
      </c>
      <c r="AO279" s="40">
        <v>40.0</v>
      </c>
      <c r="AP279" s="40">
        <v>41.0</v>
      </c>
      <c r="AQ279" s="40">
        <v>42.0</v>
      </c>
      <c r="AR279" s="40">
        <v>43.0</v>
      </c>
      <c r="AS279" s="40">
        <v>44.0</v>
      </c>
      <c r="AT279" s="40">
        <v>45.0</v>
      </c>
      <c r="AU279" s="31"/>
      <c r="AV279" s="31"/>
      <c r="AW279" s="30" t="s">
        <v>328</v>
      </c>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1"/>
      <c r="BZ279" s="31"/>
      <c r="CA279" s="31"/>
      <c r="CB279" s="31"/>
      <c r="CC279" s="31"/>
      <c r="CD279" s="31"/>
      <c r="CE279" s="31"/>
      <c r="CF279" s="31"/>
      <c r="CG279" s="31"/>
    </row>
    <row r="280" ht="15.75" customHeight="1">
      <c r="A280" s="42" t="s">
        <v>196</v>
      </c>
      <c r="B280" s="43" t="str">
        <f t="shared" ref="B280:AT280" si="67">B261</f>
        <v>1</v>
      </c>
      <c r="C280" s="43" t="str">
        <f t="shared" si="67"/>
        <v>2</v>
      </c>
      <c r="D280" s="43" t="str">
        <f t="shared" si="67"/>
        <v>3</v>
      </c>
      <c r="E280" s="43" t="str">
        <f t="shared" si="67"/>
        <v>7</v>
      </c>
      <c r="F280" s="43" t="str">
        <f t="shared" si="67"/>
        <v>6</v>
      </c>
      <c r="G280" s="43" t="str">
        <f t="shared" si="67"/>
        <v>6</v>
      </c>
      <c r="H280" s="43" t="str">
        <f t="shared" si="67"/>
        <v>0</v>
      </c>
      <c r="I280" s="43" t="str">
        <f t="shared" si="67"/>
        <v>1</v>
      </c>
      <c r="J280" s="43" t="str">
        <f t="shared" si="67"/>
        <v>7</v>
      </c>
      <c r="K280" s="43" t="str">
        <f t="shared" si="67"/>
        <v>2</v>
      </c>
      <c r="L280" s="43" t="str">
        <f t="shared" si="67"/>
        <v>9</v>
      </c>
      <c r="M280" s="43" t="str">
        <f t="shared" si="67"/>
        <v>3</v>
      </c>
      <c r="N280" s="43" t="str">
        <f t="shared" si="67"/>
        <v>2</v>
      </c>
      <c r="O280" s="43" t="str">
        <f t="shared" si="67"/>
        <v>1</v>
      </c>
      <c r="P280" s="43" t="str">
        <f t="shared" si="67"/>
        <v>2</v>
      </c>
      <c r="Q280" s="43" t="str">
        <f t="shared" si="67"/>
        <v>3</v>
      </c>
      <c r="R280" s="43" t="str">
        <f t="shared" si="67"/>
        <v>7</v>
      </c>
      <c r="S280" s="43" t="str">
        <f t="shared" si="67"/>
        <v>0</v>
      </c>
      <c r="T280" s="43" t="str">
        <f t="shared" si="67"/>
        <v>0</v>
      </c>
      <c r="U280" s="43" t="str">
        <f t="shared" si="67"/>
        <v>9</v>
      </c>
      <c r="V280" s="43" t="str">
        <f t="shared" si="67"/>
        <v>7</v>
      </c>
      <c r="W280" s="43" t="str">
        <f t="shared" si="67"/>
        <v>0</v>
      </c>
      <c r="X280" s="43" t="str">
        <f t="shared" si="67"/>
        <v>0</v>
      </c>
      <c r="Y280" s="43" t="str">
        <f t="shared" si="67"/>
        <v>8</v>
      </c>
      <c r="Z280" s="55" t="str">
        <f t="shared" si="67"/>
        <v>1</v>
      </c>
      <c r="AA280" s="55" t="str">
        <f t="shared" si="67"/>
        <v>2</v>
      </c>
      <c r="AB280" s="55" t="str">
        <f t="shared" si="67"/>
        <v>3</v>
      </c>
      <c r="AC280" s="55" t="str">
        <f t="shared" si="67"/>
        <v>7</v>
      </c>
      <c r="AD280" s="43" t="str">
        <f t="shared" si="67"/>
        <v>2</v>
      </c>
      <c r="AE280" s="43" t="str">
        <f t="shared" si="67"/>
        <v>9</v>
      </c>
      <c r="AF280" s="43" t="str">
        <f t="shared" si="67"/>
        <v>2</v>
      </c>
      <c r="AG280" s="43" t="str">
        <f t="shared" si="67"/>
        <v>0</v>
      </c>
      <c r="AH280" s="43" t="str">
        <f t="shared" si="67"/>
        <v>1</v>
      </c>
      <c r="AI280" s="43" t="str">
        <f t="shared" si="67"/>
        <v>2</v>
      </c>
      <c r="AJ280" s="43" t="str">
        <f t="shared" si="67"/>
        <v>6</v>
      </c>
      <c r="AK280" s="43" t="str">
        <f t="shared" si="67"/>
        <v>6</v>
      </c>
      <c r="AL280" s="43" t="str">
        <f t="shared" si="67"/>
        <v>0</v>
      </c>
      <c r="AM280" s="43" t="str">
        <f t="shared" si="67"/>
        <v>0</v>
      </c>
      <c r="AN280" s="43" t="str">
        <f t="shared" si="67"/>
        <v>0</v>
      </c>
      <c r="AO280" s="43" t="str">
        <f t="shared" si="67"/>
        <v>0</v>
      </c>
      <c r="AP280" s="43" t="str">
        <f t="shared" si="67"/>
        <v>4</v>
      </c>
      <c r="AQ280" s="43" t="str">
        <f t="shared" si="67"/>
        <v>9</v>
      </c>
      <c r="AR280" s="43" t="str">
        <f t="shared" si="67"/>
        <v>5</v>
      </c>
      <c r="AS280" s="43" t="str">
        <f t="shared" si="67"/>
        <v>4</v>
      </c>
      <c r="AT280" s="43" t="str">
        <f t="shared" si="67"/>
        <v>1</v>
      </c>
      <c r="AU280" s="31"/>
      <c r="AV280" s="31"/>
      <c r="AW280" s="30" t="s">
        <v>329</v>
      </c>
      <c r="AX280" s="31"/>
      <c r="AY280" s="31"/>
      <c r="AZ280" s="33"/>
      <c r="BA280" s="33"/>
      <c r="BB280" s="33"/>
      <c r="BC280" s="33"/>
      <c r="BD280" s="33"/>
      <c r="BE280" s="33"/>
      <c r="BF280" s="33"/>
      <c r="BG280" s="33"/>
      <c r="BH280" s="33"/>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row>
    <row r="281" ht="15.75" customHeight="1">
      <c r="A281" s="52" t="s">
        <v>200</v>
      </c>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50">
        <v>1.0</v>
      </c>
      <c r="AA281" s="50">
        <v>2.0</v>
      </c>
      <c r="AB281" s="50">
        <v>3.0</v>
      </c>
      <c r="AC281" s="50">
        <v>5.0</v>
      </c>
      <c r="AD281" s="43"/>
      <c r="AE281" s="43"/>
      <c r="AF281" s="43"/>
      <c r="AG281" s="43"/>
      <c r="AH281" s="43"/>
      <c r="AI281" s="43"/>
      <c r="AJ281" s="43"/>
      <c r="AK281" s="43"/>
      <c r="AL281" s="43"/>
      <c r="AM281" s="43"/>
      <c r="AN281" s="43"/>
      <c r="AO281" s="43"/>
      <c r="AP281" s="43"/>
      <c r="AQ281" s="43"/>
      <c r="AR281" s="43"/>
      <c r="AS281" s="43"/>
      <c r="AT281" s="43"/>
      <c r="AU281" s="31"/>
      <c r="AV281" s="31"/>
      <c r="AW281" s="30" t="s">
        <v>330</v>
      </c>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1"/>
      <c r="BZ281" s="31"/>
      <c r="CA281" s="31"/>
      <c r="CB281" s="31"/>
      <c r="CC281" s="31"/>
      <c r="CD281" s="31"/>
      <c r="CE281" s="31"/>
      <c r="CF281" s="31"/>
      <c r="CG281" s="31"/>
    </row>
    <row r="282" ht="15.75" customHeight="1">
      <c r="A282" s="52" t="s">
        <v>201</v>
      </c>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50">
        <f t="shared" ref="Z282:AC282" si="68">Z280*Z281</f>
        <v>1</v>
      </c>
      <c r="AA282" s="50">
        <f t="shared" si="68"/>
        <v>4</v>
      </c>
      <c r="AB282" s="50">
        <f t="shared" si="68"/>
        <v>9</v>
      </c>
      <c r="AC282" s="50">
        <f t="shared" si="68"/>
        <v>35</v>
      </c>
      <c r="AD282" s="43"/>
      <c r="AE282" s="43"/>
      <c r="AF282" s="43"/>
      <c r="AG282" s="43"/>
      <c r="AH282" s="43"/>
      <c r="AI282" s="43"/>
      <c r="AJ282" s="43"/>
      <c r="AK282" s="43"/>
      <c r="AL282" s="43"/>
      <c r="AM282" s="43"/>
      <c r="AN282" s="43"/>
      <c r="AO282" s="43"/>
      <c r="AP282" s="43"/>
      <c r="AQ282" s="43"/>
      <c r="AR282" s="43"/>
      <c r="AS282" s="43"/>
      <c r="AT282" s="43"/>
      <c r="AU282" s="31"/>
      <c r="AV282" s="31"/>
      <c r="AW282" s="30" t="s">
        <v>331</v>
      </c>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1"/>
      <c r="BZ282" s="31"/>
      <c r="CA282" s="31"/>
      <c r="CB282" s="31"/>
      <c r="CC282" s="31"/>
      <c r="CD282" s="31"/>
      <c r="CE282" s="31"/>
      <c r="CF282" s="31"/>
      <c r="CG282" s="31"/>
    </row>
    <row r="283" ht="15.75" customHeight="1">
      <c r="A283" s="117" t="str">
        <f>RIGHT(A257,9)</f>
        <v>000049541</v>
      </c>
      <c r="B283" s="118" t="str">
        <f>LEFT(TEXT(VALUE(A283)*100000000,"000000000"),9)</f>
        <v>495410000</v>
      </c>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1"/>
      <c r="BZ283" s="31"/>
      <c r="CA283" s="31"/>
      <c r="CB283" s="31"/>
      <c r="CC283" s="31"/>
      <c r="CD283" s="31"/>
      <c r="CE283" s="31"/>
      <c r="CF283" s="31"/>
      <c r="CG283" s="31"/>
    </row>
    <row r="284" ht="15.75" customHeight="1">
      <c r="A284" s="47" t="s">
        <v>332</v>
      </c>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row>
    <row r="285" ht="15.75" customHeight="1">
      <c r="A285" s="39" t="s">
        <v>195</v>
      </c>
      <c r="B285" s="43">
        <v>1.0</v>
      </c>
      <c r="C285" s="43">
        <v>2.0</v>
      </c>
      <c r="D285" s="43">
        <v>3.0</v>
      </c>
      <c r="E285" s="43">
        <v>4.0</v>
      </c>
      <c r="F285" s="43">
        <v>5.0</v>
      </c>
      <c r="G285" s="43">
        <v>6.0</v>
      </c>
      <c r="H285" s="43">
        <v>7.0</v>
      </c>
      <c r="I285" s="43">
        <v>8.0</v>
      </c>
      <c r="J285" s="43">
        <v>9.0</v>
      </c>
      <c r="K285" s="43">
        <v>10.0</v>
      </c>
      <c r="L285" s="43">
        <v>11.0</v>
      </c>
      <c r="M285" s="43">
        <v>12.0</v>
      </c>
      <c r="N285" s="43">
        <v>13.0</v>
      </c>
      <c r="O285" s="43">
        <v>14.0</v>
      </c>
      <c r="P285" s="43">
        <v>15.0</v>
      </c>
      <c r="Q285" s="43">
        <v>16.0</v>
      </c>
      <c r="R285" s="43">
        <v>17.0</v>
      </c>
      <c r="S285" s="43">
        <v>18.0</v>
      </c>
      <c r="T285" s="43">
        <v>19.0</v>
      </c>
      <c r="U285" s="43">
        <v>20.0</v>
      </c>
      <c r="V285" s="43">
        <v>21.0</v>
      </c>
      <c r="W285" s="43">
        <v>22.0</v>
      </c>
      <c r="X285" s="43">
        <v>23.0</v>
      </c>
      <c r="Y285" s="40">
        <v>24.0</v>
      </c>
      <c r="Z285" s="40">
        <v>25.0</v>
      </c>
      <c r="AA285" s="40">
        <v>26.0</v>
      </c>
      <c r="AB285" s="40">
        <v>27.0</v>
      </c>
      <c r="AC285" s="40">
        <v>28.0</v>
      </c>
      <c r="AD285" s="40">
        <v>29.0</v>
      </c>
      <c r="AE285" s="40">
        <v>30.0</v>
      </c>
      <c r="AF285" s="40">
        <v>31.0</v>
      </c>
      <c r="AG285" s="40">
        <v>32.0</v>
      </c>
      <c r="AH285" s="40">
        <v>33.0</v>
      </c>
      <c r="AI285" s="40">
        <v>34.0</v>
      </c>
      <c r="AJ285" s="40">
        <v>35.0</v>
      </c>
      <c r="AK285" s="40">
        <v>36.0</v>
      </c>
      <c r="AL285" s="40"/>
      <c r="AM285" s="40"/>
      <c r="AN285" s="40"/>
      <c r="AO285" s="40"/>
      <c r="AP285" s="40"/>
      <c r="AQ285" s="40"/>
      <c r="AR285" s="40"/>
      <c r="AS285" s="40"/>
      <c r="AT285" s="40"/>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c r="CG285" s="31"/>
    </row>
    <row r="286" ht="15.75" customHeight="1">
      <c r="A286" s="42" t="s">
        <v>196</v>
      </c>
      <c r="B286" s="43" t="str">
        <f t="shared" ref="B286:AK286" si="69">B261</f>
        <v>1</v>
      </c>
      <c r="C286" s="43" t="str">
        <f t="shared" si="69"/>
        <v>2</v>
      </c>
      <c r="D286" s="43" t="str">
        <f t="shared" si="69"/>
        <v>3</v>
      </c>
      <c r="E286" s="43" t="str">
        <f t="shared" si="69"/>
        <v>7</v>
      </c>
      <c r="F286" s="43" t="str">
        <f t="shared" si="69"/>
        <v>6</v>
      </c>
      <c r="G286" s="43" t="str">
        <f t="shared" si="69"/>
        <v>6</v>
      </c>
      <c r="H286" s="43" t="str">
        <f t="shared" si="69"/>
        <v>0</v>
      </c>
      <c r="I286" s="43" t="str">
        <f t="shared" si="69"/>
        <v>1</v>
      </c>
      <c r="J286" s="43" t="str">
        <f t="shared" si="69"/>
        <v>7</v>
      </c>
      <c r="K286" s="43" t="str">
        <f t="shared" si="69"/>
        <v>2</v>
      </c>
      <c r="L286" s="43" t="str">
        <f t="shared" si="69"/>
        <v>9</v>
      </c>
      <c r="M286" s="43" t="str">
        <f t="shared" si="69"/>
        <v>3</v>
      </c>
      <c r="N286" s="43" t="str">
        <f t="shared" si="69"/>
        <v>2</v>
      </c>
      <c r="O286" s="43" t="str">
        <f t="shared" si="69"/>
        <v>1</v>
      </c>
      <c r="P286" s="43" t="str">
        <f t="shared" si="69"/>
        <v>2</v>
      </c>
      <c r="Q286" s="43" t="str">
        <f t="shared" si="69"/>
        <v>3</v>
      </c>
      <c r="R286" s="43" t="str">
        <f t="shared" si="69"/>
        <v>7</v>
      </c>
      <c r="S286" s="43" t="str">
        <f t="shared" si="69"/>
        <v>0</v>
      </c>
      <c r="T286" s="43" t="str">
        <f t="shared" si="69"/>
        <v>0</v>
      </c>
      <c r="U286" s="43" t="str">
        <f t="shared" si="69"/>
        <v>9</v>
      </c>
      <c r="V286" s="43" t="str">
        <f t="shared" si="69"/>
        <v>7</v>
      </c>
      <c r="W286" s="43" t="str">
        <f t="shared" si="69"/>
        <v>0</v>
      </c>
      <c r="X286" s="43" t="str">
        <f t="shared" si="69"/>
        <v>0</v>
      </c>
      <c r="Y286" s="43" t="str">
        <f t="shared" si="69"/>
        <v>8</v>
      </c>
      <c r="Z286" s="43" t="str">
        <f t="shared" si="69"/>
        <v>1</v>
      </c>
      <c r="AA286" s="43" t="str">
        <f t="shared" si="69"/>
        <v>2</v>
      </c>
      <c r="AB286" s="43" t="str">
        <f t="shared" si="69"/>
        <v>3</v>
      </c>
      <c r="AC286" s="43" t="str">
        <f t="shared" si="69"/>
        <v>7</v>
      </c>
      <c r="AD286" s="43" t="str">
        <f t="shared" si="69"/>
        <v>2</v>
      </c>
      <c r="AE286" s="43" t="str">
        <f t="shared" si="69"/>
        <v>9</v>
      </c>
      <c r="AF286" s="43" t="str">
        <f t="shared" si="69"/>
        <v>2</v>
      </c>
      <c r="AG286" s="43" t="str">
        <f t="shared" si="69"/>
        <v>0</v>
      </c>
      <c r="AH286" s="43" t="str">
        <f t="shared" si="69"/>
        <v>1</v>
      </c>
      <c r="AI286" s="43" t="str">
        <f t="shared" si="69"/>
        <v>2</v>
      </c>
      <c r="AJ286" s="43" t="str">
        <f t="shared" si="69"/>
        <v>6</v>
      </c>
      <c r="AK286" s="43" t="str">
        <f t="shared" si="69"/>
        <v>6</v>
      </c>
      <c r="AL286" s="119" t="str">
        <f>MID($B283,1,1)</f>
        <v>4</v>
      </c>
      <c r="AM286" s="119" t="str">
        <f>MID($B283,2,1)</f>
        <v>9</v>
      </c>
      <c r="AN286" s="119" t="str">
        <f>MID($B283,3,1)</f>
        <v>5</v>
      </c>
      <c r="AO286" s="119" t="str">
        <f>MID($B283,4,1)</f>
        <v>4</v>
      </c>
      <c r="AP286" s="119" t="str">
        <f>MID($B283,5,1)</f>
        <v>1</v>
      </c>
      <c r="AQ286" s="119" t="str">
        <f>MID($B283,6,1)</f>
        <v>0</v>
      </c>
      <c r="AR286" s="119" t="str">
        <f>MID($B283,7,1)</f>
        <v>0</v>
      </c>
      <c r="AS286" s="119" t="str">
        <f>MID($B283,8,1)</f>
        <v>0</v>
      </c>
      <c r="AT286" s="119" t="str">
        <f>MID($B283,9,1)</f>
        <v>0</v>
      </c>
      <c r="AU286" s="31"/>
      <c r="AV286" s="31"/>
      <c r="AW286" s="31"/>
      <c r="AX286" s="31"/>
      <c r="AY286" s="31"/>
      <c r="AZ286" s="33"/>
      <c r="BA286" s="33"/>
      <c r="BB286" s="33"/>
      <c r="BC286" s="33"/>
      <c r="BD286" s="33"/>
      <c r="BE286" s="33"/>
      <c r="BF286" s="33"/>
      <c r="BG286" s="33"/>
      <c r="BH286" s="33"/>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row>
    <row r="287" ht="15.75" customHeight="1">
      <c r="A287" s="52" t="s">
        <v>200</v>
      </c>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50">
        <v>1.0</v>
      </c>
      <c r="AM287" s="50">
        <v>2.0</v>
      </c>
      <c r="AN287" s="50">
        <v>3.0</v>
      </c>
      <c r="AO287" s="50">
        <v>5.0</v>
      </c>
      <c r="AP287" s="50">
        <v>7.0</v>
      </c>
      <c r="AQ287" s="50">
        <v>11.0</v>
      </c>
      <c r="AR287" s="50">
        <v>13.0</v>
      </c>
      <c r="AS287" s="50">
        <v>17.0</v>
      </c>
      <c r="AT287" s="50">
        <v>19.0</v>
      </c>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1"/>
      <c r="BZ287" s="31"/>
      <c r="CA287" s="31"/>
      <c r="CB287" s="31"/>
      <c r="CC287" s="31"/>
      <c r="CD287" s="31"/>
      <c r="CE287" s="31"/>
      <c r="CF287" s="31"/>
      <c r="CG287" s="31"/>
    </row>
    <row r="288" ht="15.75" customHeight="1">
      <c r="A288" s="52" t="s">
        <v>201</v>
      </c>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50">
        <f t="shared" ref="AL288:AT288" si="70">AL286*AL287</f>
        <v>4</v>
      </c>
      <c r="AM288" s="50">
        <f t="shared" si="70"/>
        <v>18</v>
      </c>
      <c r="AN288" s="50">
        <f t="shared" si="70"/>
        <v>15</v>
      </c>
      <c r="AO288" s="50">
        <f t="shared" si="70"/>
        <v>20</v>
      </c>
      <c r="AP288" s="50">
        <f t="shared" si="70"/>
        <v>7</v>
      </c>
      <c r="AQ288" s="50">
        <f t="shared" si="70"/>
        <v>0</v>
      </c>
      <c r="AR288" s="50">
        <f t="shared" si="70"/>
        <v>0</v>
      </c>
      <c r="AS288" s="50">
        <f t="shared" si="70"/>
        <v>0</v>
      </c>
      <c r="AT288" s="50">
        <f t="shared" si="70"/>
        <v>0</v>
      </c>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1"/>
      <c r="BZ288" s="31"/>
      <c r="CA288" s="31"/>
      <c r="CB288" s="31"/>
      <c r="CC288" s="31"/>
      <c r="CD288" s="31"/>
      <c r="CE288" s="31"/>
      <c r="CF288" s="31"/>
      <c r="CG288" s="31"/>
    </row>
    <row r="289" ht="15.75" customHeight="1">
      <c r="A289" s="52" t="s">
        <v>203</v>
      </c>
      <c r="B289" s="43">
        <f>SUM(B270:AT270)+SUM(B276:AT276)+SUM(B282:AT282)+SUM(B288:AT288)</f>
        <v>1419</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1"/>
      <c r="BZ289" s="31"/>
      <c r="CA289" s="31"/>
      <c r="CB289" s="31"/>
      <c r="CC289" s="31"/>
      <c r="CD289" s="31"/>
      <c r="CE289" s="31"/>
      <c r="CF289" s="31"/>
      <c r="CG289" s="31"/>
    </row>
    <row r="290" ht="15.75" customHeight="1">
      <c r="A290" s="52" t="s">
        <v>294</v>
      </c>
      <c r="B290" s="43" t="str">
        <f>LEFT(B289,1)</f>
        <v>1</v>
      </c>
      <c r="C290" s="43" t="str">
        <f>MID(B289,2,1)</f>
        <v>4</v>
      </c>
      <c r="D290" s="43" t="str">
        <f>MID(B289,3,1)</f>
        <v>1</v>
      </c>
      <c r="E290" s="43" t="str">
        <f>MID(B289,4,1)</f>
        <v>9</v>
      </c>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1"/>
      <c r="BZ290" s="31"/>
      <c r="CA290" s="31"/>
      <c r="CB290" s="31"/>
      <c r="CC290" s="31"/>
      <c r="CD290" s="31"/>
      <c r="CE290" s="31"/>
      <c r="CF290" s="31"/>
      <c r="CG290" s="31"/>
    </row>
    <row r="291" ht="15.75" customHeight="1">
      <c r="A291" s="52" t="s">
        <v>333</v>
      </c>
      <c r="B291" s="120" t="str">
        <f>(_xludf.CONCAT(E290,B290)*B289)</f>
        <v>#NAME?</v>
      </c>
      <c r="C291" s="31"/>
      <c r="D291" s="30"/>
      <c r="E291" s="31"/>
      <c r="F291" s="31"/>
      <c r="G291" s="121"/>
      <c r="H291" s="12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1"/>
      <c r="BZ291" s="31"/>
      <c r="CA291" s="31"/>
      <c r="CB291" s="31"/>
      <c r="CC291" s="31"/>
      <c r="CD291" s="31"/>
      <c r="CE291" s="31"/>
      <c r="CF291" s="31"/>
      <c r="CG291" s="31"/>
    </row>
    <row r="292" ht="15.75" customHeight="1">
      <c r="A292" s="52" t="s">
        <v>333</v>
      </c>
      <c r="B292" s="43" t="str">
        <f>LEFT(B291,1)</f>
        <v>#NAME?</v>
      </c>
      <c r="C292" s="43" t="str">
        <f>MID(B291,2,1)</f>
        <v>#NAME?</v>
      </c>
      <c r="D292" s="43" t="str">
        <f>MID(B291,3,1)</f>
        <v>#NAME?</v>
      </c>
      <c r="E292" s="122" t="str">
        <f>MID(B291,4,1)</f>
        <v>#NAME?</v>
      </c>
      <c r="F292" s="44" t="str">
        <f>MID(B291,5,1)</f>
        <v>#NAME?</v>
      </c>
      <c r="G292" s="44" t="str">
        <f>MID(B291,6,1)</f>
        <v>#NAME?</v>
      </c>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1"/>
      <c r="BZ292" s="31"/>
      <c r="CA292" s="31"/>
      <c r="CB292" s="31"/>
      <c r="CC292" s="31"/>
      <c r="CD292" s="31"/>
      <c r="CE292" s="31"/>
      <c r="CF292" s="31"/>
      <c r="CG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1"/>
      <c r="BZ293" s="31"/>
      <c r="CA293" s="31"/>
      <c r="CB293" s="31"/>
      <c r="CC293" s="31"/>
      <c r="CD293" s="31"/>
      <c r="CE293" s="31"/>
      <c r="CF293" s="31"/>
      <c r="CG293" s="31"/>
    </row>
    <row r="294" ht="5.2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c r="BU294" s="54"/>
      <c r="BV294" s="54"/>
      <c r="BW294" s="54"/>
      <c r="BX294" s="54"/>
      <c r="BY294" s="54"/>
      <c r="BZ294" s="54"/>
      <c r="CA294" s="54"/>
      <c r="CB294" s="54"/>
      <c r="CC294" s="54"/>
      <c r="CD294" s="54"/>
      <c r="CE294" s="54"/>
      <c r="CF294" s="54"/>
      <c r="CG294" s="54"/>
    </row>
    <row r="295" ht="15.75" customHeight="1">
      <c r="A295" s="45" t="s">
        <v>334</v>
      </c>
      <c r="B295" s="31"/>
      <c r="C295" s="31"/>
      <c r="D295" s="31"/>
      <c r="E295" s="31"/>
      <c r="F295" s="31"/>
      <c r="G295" s="31"/>
      <c r="H295" s="31"/>
      <c r="I295" s="31"/>
      <c r="J295" s="32" t="s">
        <v>335</v>
      </c>
      <c r="K295" s="33">
        <f>LEN(A295)</f>
        <v>39</v>
      </c>
      <c r="L295" s="33"/>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1"/>
      <c r="BZ295" s="31"/>
      <c r="CA295" s="31"/>
      <c r="CB295" s="31"/>
      <c r="CC295" s="31"/>
      <c r="CD295" s="31"/>
      <c r="CE295" s="31"/>
      <c r="CF295" s="31"/>
      <c r="CG295" s="31"/>
    </row>
    <row r="296" ht="15.75" customHeight="1">
      <c r="A296" s="34" t="s">
        <v>191</v>
      </c>
      <c r="B296" s="35" t="s">
        <v>68</v>
      </c>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89" t="s">
        <v>336</v>
      </c>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1"/>
      <c r="BZ296" s="31"/>
      <c r="CA296" s="31"/>
      <c r="CB296" s="31"/>
      <c r="CC296" s="31"/>
      <c r="CD296" s="31"/>
      <c r="CE296" s="31"/>
      <c r="CF296" s="31"/>
      <c r="CG296" s="31"/>
    </row>
    <row r="297" ht="15.75" customHeight="1">
      <c r="A297" s="37" t="s">
        <v>193</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7" t="s">
        <v>194</v>
      </c>
      <c r="AG297" s="38"/>
      <c r="AH297" s="116"/>
      <c r="AI297" s="38"/>
      <c r="AJ297" s="37"/>
      <c r="AK297" s="37"/>
      <c r="AL297" s="38"/>
      <c r="AM297" s="38"/>
      <c r="AN297" s="38"/>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1"/>
      <c r="BZ297" s="31"/>
      <c r="CA297" s="31"/>
      <c r="CB297" s="31"/>
      <c r="CC297" s="31"/>
      <c r="CD297" s="31"/>
      <c r="CE297" s="31"/>
      <c r="CF297" s="31"/>
      <c r="CG297" s="31"/>
    </row>
    <row r="298" ht="15.75" customHeight="1">
      <c r="A298" s="39" t="s">
        <v>195</v>
      </c>
      <c r="B298" s="40">
        <v>1.0</v>
      </c>
      <c r="C298" s="40">
        <v>2.0</v>
      </c>
      <c r="D298" s="40">
        <v>3.0</v>
      </c>
      <c r="E298" s="40">
        <v>4.0</v>
      </c>
      <c r="F298" s="40">
        <v>5.0</v>
      </c>
      <c r="G298" s="40">
        <v>6.0</v>
      </c>
      <c r="H298" s="40">
        <v>7.0</v>
      </c>
      <c r="I298" s="40">
        <v>8.0</v>
      </c>
      <c r="J298" s="40">
        <v>9.0</v>
      </c>
      <c r="K298" s="40">
        <v>10.0</v>
      </c>
      <c r="L298" s="40">
        <v>11.0</v>
      </c>
      <c r="M298" s="40">
        <v>12.0</v>
      </c>
      <c r="N298" s="40">
        <v>13.0</v>
      </c>
      <c r="O298" s="40">
        <v>14.0</v>
      </c>
      <c r="P298" s="40">
        <v>15.0</v>
      </c>
      <c r="Q298" s="40">
        <v>16.0</v>
      </c>
      <c r="R298" s="40">
        <v>17.0</v>
      </c>
      <c r="S298" s="40">
        <v>18.0</v>
      </c>
      <c r="T298" s="40">
        <v>19.0</v>
      </c>
      <c r="U298" s="40">
        <v>20.0</v>
      </c>
      <c r="V298" s="40">
        <v>21.0</v>
      </c>
      <c r="W298" s="40">
        <v>22.0</v>
      </c>
      <c r="X298" s="40">
        <v>23.0</v>
      </c>
      <c r="Y298" s="40">
        <v>24.0</v>
      </c>
      <c r="Z298" s="40">
        <v>25.0</v>
      </c>
      <c r="AA298" s="40">
        <v>26.0</v>
      </c>
      <c r="AB298" s="40">
        <v>27.0</v>
      </c>
      <c r="AC298" s="40">
        <v>28.0</v>
      </c>
      <c r="AD298" s="40">
        <v>29.0</v>
      </c>
      <c r="AE298" s="40">
        <v>30.0</v>
      </c>
      <c r="AF298" s="103">
        <v>31.0</v>
      </c>
      <c r="AG298" s="103">
        <v>32.0</v>
      </c>
      <c r="AH298" s="40">
        <v>33.0</v>
      </c>
      <c r="AI298" s="40">
        <v>34.0</v>
      </c>
      <c r="AJ298" s="40">
        <v>35.0</v>
      </c>
      <c r="AK298" s="40">
        <v>36.0</v>
      </c>
      <c r="AL298" s="40">
        <v>37.0</v>
      </c>
      <c r="AM298" s="40">
        <v>38.0</v>
      </c>
      <c r="AN298" s="40">
        <v>39.0</v>
      </c>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1"/>
      <c r="BZ298" s="31"/>
      <c r="CA298" s="31"/>
      <c r="CB298" s="31"/>
      <c r="CC298" s="31"/>
      <c r="CD298" s="31"/>
      <c r="CE298" s="31"/>
      <c r="CF298" s="31"/>
      <c r="CG298" s="31"/>
    </row>
    <row r="299" ht="15.75" customHeight="1">
      <c r="A299" s="42" t="s">
        <v>196</v>
      </c>
      <c r="B299" s="42" t="str">
        <f t="shared" ref="B299:AN299" si="71">MID($A295,B298,1)</f>
        <v>|</v>
      </c>
      <c r="C299" s="42" t="str">
        <f t="shared" si="71"/>
        <v>3</v>
      </c>
      <c r="D299" s="42" t="str">
        <f t="shared" si="71"/>
        <v>1</v>
      </c>
      <c r="E299" s="42" t="str">
        <f t="shared" si="71"/>
        <v>0</v>
      </c>
      <c r="F299" s="42" t="str">
        <f t="shared" si="71"/>
        <v>4</v>
      </c>
      <c r="G299" s="42" t="str">
        <f t="shared" si="71"/>
        <v>0</v>
      </c>
      <c r="H299" s="42" t="str">
        <f t="shared" si="71"/>
        <v>0</v>
      </c>
      <c r="I299" s="42" t="str">
        <f t="shared" si="71"/>
        <v>0</v>
      </c>
      <c r="J299" s="42" t="str">
        <f t="shared" si="71"/>
        <v>9</v>
      </c>
      <c r="K299" s="42" t="str">
        <f t="shared" si="71"/>
        <v>2</v>
      </c>
      <c r="L299" s="42" t="str">
        <f t="shared" si="71"/>
        <v>1</v>
      </c>
      <c r="M299" s="42" t="str">
        <f t="shared" si="71"/>
        <v>0</v>
      </c>
      <c r="N299" s="42" t="str">
        <f t="shared" si="71"/>
        <v>3</v>
      </c>
      <c r="O299" s="42" t="str">
        <f t="shared" si="71"/>
        <v>0</v>
      </c>
      <c r="P299" s="42" t="str">
        <f t="shared" si="71"/>
        <v>0</v>
      </c>
      <c r="Q299" s="42" t="str">
        <f t="shared" si="71"/>
        <v>8</v>
      </c>
      <c r="R299" s="42" t="str">
        <f t="shared" si="71"/>
        <v>3</v>
      </c>
      <c r="S299" s="42" t="str">
        <f t="shared" si="71"/>
        <v>6</v>
      </c>
      <c r="T299" s="42" t="str">
        <f t="shared" si="71"/>
        <v>3</v>
      </c>
      <c r="U299" s="42" t="str">
        <f t="shared" si="71"/>
        <v>2</v>
      </c>
      <c r="V299" s="42" t="str">
        <f t="shared" si="71"/>
        <v>2</v>
      </c>
      <c r="W299" s="42" t="str">
        <f t="shared" si="71"/>
        <v>4</v>
      </c>
      <c r="X299" s="42" t="str">
        <f t="shared" si="71"/>
        <v>0</v>
      </c>
      <c r="Y299" s="42" t="str">
        <f t="shared" si="71"/>
        <v>5</v>
      </c>
      <c r="Z299" s="42" t="str">
        <f t="shared" si="71"/>
        <v>3</v>
      </c>
      <c r="AA299" s="42" t="str">
        <f t="shared" si="71"/>
        <v>1</v>
      </c>
      <c r="AB299" s="42" t="str">
        <f t="shared" si="71"/>
        <v>2</v>
      </c>
      <c r="AC299" s="42" t="str">
        <f t="shared" si="71"/>
        <v>0</v>
      </c>
      <c r="AD299" s="42" t="str">
        <f t="shared" si="71"/>
        <v>2</v>
      </c>
      <c r="AE299" s="42" t="str">
        <f t="shared" si="71"/>
        <v>3</v>
      </c>
      <c r="AF299" s="44" t="str">
        <f t="shared" si="71"/>
        <v>2</v>
      </c>
      <c r="AG299" s="44" t="str">
        <f t="shared" si="71"/>
        <v>2</v>
      </c>
      <c r="AH299" s="42" t="str">
        <f t="shared" si="71"/>
        <v>2</v>
      </c>
      <c r="AI299" s="42" t="str">
        <f t="shared" si="71"/>
        <v>7</v>
      </c>
      <c r="AJ299" s="42" t="str">
        <f t="shared" si="71"/>
        <v>8</v>
      </c>
      <c r="AK299" s="42" t="str">
        <f t="shared" si="71"/>
        <v>6</v>
      </c>
      <c r="AL299" s="42" t="str">
        <f t="shared" si="71"/>
        <v>4</v>
      </c>
      <c r="AM299" s="42" t="str">
        <f t="shared" si="71"/>
        <v>0</v>
      </c>
      <c r="AN299" s="42" t="str">
        <f t="shared" si="71"/>
        <v>0</v>
      </c>
      <c r="AO299" s="31"/>
      <c r="AP299" s="31"/>
      <c r="AQ299" s="31"/>
      <c r="AR299" s="31"/>
      <c r="AS299" s="31"/>
      <c r="AT299" s="31"/>
      <c r="AU299" s="31"/>
      <c r="AV299" s="31"/>
      <c r="AW299" s="31"/>
      <c r="AX299" s="31"/>
      <c r="AY299" s="31"/>
      <c r="AZ299" s="33"/>
      <c r="BA299" s="33"/>
      <c r="BB299" s="33"/>
      <c r="BC299" s="33"/>
      <c r="BD299" s="33"/>
      <c r="BE299" s="33"/>
      <c r="BF299" s="33"/>
      <c r="BG299" s="33"/>
      <c r="BH299" s="33"/>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row>
    <row r="300" ht="15.75" customHeight="1">
      <c r="A300" s="45" t="s">
        <v>334</v>
      </c>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58"/>
      <c r="AE300" s="46"/>
      <c r="AF300" s="46"/>
      <c r="AG300" s="46"/>
      <c r="AH300" s="46"/>
      <c r="AI300" s="46"/>
      <c r="AJ300" s="46"/>
      <c r="AK300" s="46"/>
      <c r="AL300" s="46"/>
      <c r="AM300" s="46"/>
      <c r="AN300" s="46"/>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1"/>
      <c r="BZ300" s="31"/>
      <c r="CA300" s="31"/>
      <c r="CB300" s="31"/>
      <c r="CC300" s="31"/>
      <c r="CD300" s="31"/>
      <c r="CE300" s="31"/>
      <c r="CF300" s="31"/>
      <c r="CG300" s="31"/>
    </row>
    <row r="301" ht="15.75" customHeight="1">
      <c r="A301" s="45" t="s">
        <v>337</v>
      </c>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58"/>
      <c r="AE301" s="46"/>
      <c r="AF301" s="46"/>
      <c r="AG301" s="46"/>
      <c r="AH301" s="46"/>
      <c r="AI301" s="46"/>
      <c r="AJ301" s="46"/>
      <c r="AK301" s="46"/>
      <c r="AL301" s="46"/>
      <c r="AM301" s="46"/>
      <c r="AN301" s="46"/>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1"/>
      <c r="BZ301" s="31"/>
      <c r="CA301" s="31"/>
      <c r="CB301" s="31"/>
      <c r="CC301" s="31"/>
      <c r="CD301" s="31"/>
      <c r="CE301" s="31"/>
      <c r="CF301" s="31"/>
      <c r="CG301" s="31"/>
    </row>
    <row r="302" ht="15.75" customHeight="1">
      <c r="A302" s="31"/>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1"/>
      <c r="BZ302" s="31"/>
      <c r="CA302" s="31"/>
      <c r="CB302" s="31"/>
      <c r="CC302" s="31"/>
      <c r="CD302" s="31"/>
      <c r="CE302" s="31"/>
      <c r="CF302" s="31"/>
      <c r="CG302" s="31"/>
    </row>
    <row r="303" ht="15.75" customHeight="1">
      <c r="A303" s="47" t="s">
        <v>199</v>
      </c>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1"/>
      <c r="BZ303" s="31"/>
      <c r="CA303" s="31"/>
      <c r="CB303" s="31"/>
      <c r="CC303" s="31"/>
      <c r="CD303" s="31"/>
      <c r="CE303" s="31"/>
      <c r="CF303" s="31"/>
      <c r="CG303" s="31"/>
    </row>
    <row r="304" ht="15.75" customHeight="1">
      <c r="A304" s="39" t="s">
        <v>195</v>
      </c>
      <c r="B304" s="40">
        <v>1.0</v>
      </c>
      <c r="C304" s="40">
        <v>2.0</v>
      </c>
      <c r="D304" s="40">
        <v>3.0</v>
      </c>
      <c r="E304" s="40">
        <v>4.0</v>
      </c>
      <c r="F304" s="40">
        <v>5.0</v>
      </c>
      <c r="G304" s="40">
        <v>6.0</v>
      </c>
      <c r="H304" s="40">
        <v>7.0</v>
      </c>
      <c r="I304" s="40">
        <v>8.0</v>
      </c>
      <c r="J304" s="40">
        <v>9.0</v>
      </c>
      <c r="K304" s="40">
        <v>10.0</v>
      </c>
      <c r="L304" s="40">
        <v>11.0</v>
      </c>
      <c r="M304" s="40">
        <v>12.0</v>
      </c>
      <c r="N304" s="40">
        <v>13.0</v>
      </c>
      <c r="O304" s="50">
        <v>14.0</v>
      </c>
      <c r="P304" s="50">
        <v>15.0</v>
      </c>
      <c r="Q304" s="50">
        <v>16.0</v>
      </c>
      <c r="R304" s="50">
        <v>17.0</v>
      </c>
      <c r="S304" s="50">
        <v>18.0</v>
      </c>
      <c r="T304" s="50">
        <v>19.0</v>
      </c>
      <c r="U304" s="50">
        <v>20.0</v>
      </c>
      <c r="V304" s="50">
        <v>21.0</v>
      </c>
      <c r="W304" s="50">
        <v>22.0</v>
      </c>
      <c r="X304" s="43">
        <v>23.0</v>
      </c>
      <c r="Y304" s="43">
        <v>24.0</v>
      </c>
      <c r="Z304" s="43">
        <v>25.0</v>
      </c>
      <c r="AA304" s="43">
        <v>26.0</v>
      </c>
      <c r="AB304" s="43">
        <v>27.0</v>
      </c>
      <c r="AC304" s="43">
        <v>28.0</v>
      </c>
      <c r="AD304" s="43">
        <v>29.0</v>
      </c>
      <c r="AE304" s="43">
        <v>30.0</v>
      </c>
      <c r="AF304" s="40">
        <v>31.0</v>
      </c>
      <c r="AG304" s="40">
        <v>32.0</v>
      </c>
      <c r="AH304" s="40">
        <v>33.0</v>
      </c>
      <c r="AI304" s="40">
        <v>34.0</v>
      </c>
      <c r="AJ304" s="40">
        <v>35.0</v>
      </c>
      <c r="AK304" s="40">
        <v>36.0</v>
      </c>
      <c r="AL304" s="40">
        <v>37.0</v>
      </c>
      <c r="AM304" s="40">
        <v>38.0</v>
      </c>
      <c r="AN304" s="40">
        <v>39.0</v>
      </c>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1"/>
      <c r="BZ304" s="31"/>
      <c r="CA304" s="31"/>
      <c r="CB304" s="31"/>
      <c r="CC304" s="31"/>
      <c r="CD304" s="31"/>
      <c r="CE304" s="31"/>
      <c r="CF304" s="31"/>
      <c r="CG304" s="31"/>
    </row>
    <row r="305" ht="15.75" customHeight="1">
      <c r="A305" s="42" t="s">
        <v>196</v>
      </c>
      <c r="B305" s="43" t="str">
        <f t="shared" ref="B305:AN305" si="72">B299</f>
        <v>|</v>
      </c>
      <c r="C305" s="43" t="str">
        <f t="shared" si="72"/>
        <v>3</v>
      </c>
      <c r="D305" s="43" t="str">
        <f t="shared" si="72"/>
        <v>1</v>
      </c>
      <c r="E305" s="43" t="str">
        <f t="shared" si="72"/>
        <v>0</v>
      </c>
      <c r="F305" s="43" t="str">
        <f t="shared" si="72"/>
        <v>4</v>
      </c>
      <c r="G305" s="43" t="str">
        <f t="shared" si="72"/>
        <v>0</v>
      </c>
      <c r="H305" s="43" t="str">
        <f t="shared" si="72"/>
        <v>0</v>
      </c>
      <c r="I305" s="43" t="str">
        <f t="shared" si="72"/>
        <v>0</v>
      </c>
      <c r="J305" s="43" t="str">
        <f t="shared" si="72"/>
        <v>9</v>
      </c>
      <c r="K305" s="43" t="str">
        <f t="shared" si="72"/>
        <v>2</v>
      </c>
      <c r="L305" s="43" t="str">
        <f t="shared" si="72"/>
        <v>1</v>
      </c>
      <c r="M305" s="43" t="str">
        <f t="shared" si="72"/>
        <v>0</v>
      </c>
      <c r="N305" s="43" t="str">
        <f t="shared" si="72"/>
        <v>3</v>
      </c>
      <c r="O305" s="51" t="str">
        <f t="shared" si="72"/>
        <v>0</v>
      </c>
      <c r="P305" s="51" t="str">
        <f t="shared" si="72"/>
        <v>0</v>
      </c>
      <c r="Q305" s="51" t="str">
        <f t="shared" si="72"/>
        <v>8</v>
      </c>
      <c r="R305" s="51" t="str">
        <f t="shared" si="72"/>
        <v>3</v>
      </c>
      <c r="S305" s="51" t="str">
        <f t="shared" si="72"/>
        <v>6</v>
      </c>
      <c r="T305" s="51" t="str">
        <f t="shared" si="72"/>
        <v>3</v>
      </c>
      <c r="U305" s="51" t="str">
        <f t="shared" si="72"/>
        <v>2</v>
      </c>
      <c r="V305" s="51" t="str">
        <f t="shared" si="72"/>
        <v>2</v>
      </c>
      <c r="W305" s="51" t="str">
        <f t="shared" si="72"/>
        <v>4</v>
      </c>
      <c r="X305" s="43" t="str">
        <f t="shared" si="72"/>
        <v>0</v>
      </c>
      <c r="Y305" s="43" t="str">
        <f t="shared" si="72"/>
        <v>5</v>
      </c>
      <c r="Z305" s="43" t="str">
        <f t="shared" si="72"/>
        <v>3</v>
      </c>
      <c r="AA305" s="43" t="str">
        <f t="shared" si="72"/>
        <v>1</v>
      </c>
      <c r="AB305" s="43" t="str">
        <f t="shared" si="72"/>
        <v>2</v>
      </c>
      <c r="AC305" s="43" t="str">
        <f t="shared" si="72"/>
        <v>0</v>
      </c>
      <c r="AD305" s="43" t="str">
        <f t="shared" si="72"/>
        <v>2</v>
      </c>
      <c r="AE305" s="43" t="str">
        <f t="shared" si="72"/>
        <v>3</v>
      </c>
      <c r="AF305" s="43" t="str">
        <f t="shared" si="72"/>
        <v>2</v>
      </c>
      <c r="AG305" s="43" t="str">
        <f t="shared" si="72"/>
        <v>2</v>
      </c>
      <c r="AH305" s="43" t="str">
        <f t="shared" si="72"/>
        <v>2</v>
      </c>
      <c r="AI305" s="43" t="str">
        <f t="shared" si="72"/>
        <v>7</v>
      </c>
      <c r="AJ305" s="43" t="str">
        <f t="shared" si="72"/>
        <v>8</v>
      </c>
      <c r="AK305" s="43" t="str">
        <f t="shared" si="72"/>
        <v>6</v>
      </c>
      <c r="AL305" s="43" t="str">
        <f t="shared" si="72"/>
        <v>4</v>
      </c>
      <c r="AM305" s="43" t="str">
        <f t="shared" si="72"/>
        <v>0</v>
      </c>
      <c r="AN305" s="43" t="str">
        <f t="shared" si="72"/>
        <v>0</v>
      </c>
      <c r="AO305" s="31"/>
      <c r="AP305" s="31"/>
      <c r="AQ305" s="31"/>
      <c r="AR305" s="31"/>
      <c r="AS305" s="31"/>
      <c r="AT305" s="31"/>
      <c r="AU305" s="31"/>
      <c r="AV305" s="31"/>
      <c r="AW305" s="31"/>
      <c r="AX305" s="31"/>
      <c r="AY305" s="31"/>
      <c r="AZ305" s="33"/>
      <c r="BA305" s="33"/>
      <c r="BB305" s="33"/>
      <c r="BC305" s="33"/>
      <c r="BD305" s="33"/>
      <c r="BE305" s="33"/>
      <c r="BF305" s="33"/>
      <c r="BG305" s="33"/>
      <c r="BH305" s="33"/>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row>
    <row r="306" ht="15.75" customHeight="1">
      <c r="A306" s="52" t="s">
        <v>200</v>
      </c>
      <c r="B306" s="43"/>
      <c r="C306" s="43"/>
      <c r="D306" s="43"/>
      <c r="E306" s="43"/>
      <c r="F306" s="43"/>
      <c r="G306" s="43"/>
      <c r="H306" s="43"/>
      <c r="I306" s="43"/>
      <c r="J306" s="43"/>
      <c r="K306" s="43"/>
      <c r="L306" s="43"/>
      <c r="M306" s="43"/>
      <c r="N306" s="43"/>
      <c r="O306" s="50">
        <v>3.0</v>
      </c>
      <c r="P306" s="50">
        <v>4.0</v>
      </c>
      <c r="Q306" s="50">
        <v>5.0</v>
      </c>
      <c r="R306" s="50">
        <v>3.0</v>
      </c>
      <c r="S306" s="50">
        <v>4.0</v>
      </c>
      <c r="T306" s="50">
        <v>5.0</v>
      </c>
      <c r="U306" s="50">
        <v>3.0</v>
      </c>
      <c r="V306" s="50">
        <v>4.0</v>
      </c>
      <c r="W306" s="50">
        <v>5.0</v>
      </c>
      <c r="X306" s="43"/>
      <c r="Y306" s="43"/>
      <c r="Z306" s="43"/>
      <c r="AA306" s="43"/>
      <c r="AB306" s="43"/>
      <c r="AC306" s="43"/>
      <c r="AD306" s="43"/>
      <c r="AE306" s="43"/>
      <c r="AF306" s="43"/>
      <c r="AG306" s="43"/>
      <c r="AH306" s="43"/>
      <c r="AI306" s="43"/>
      <c r="AJ306" s="43"/>
      <c r="AK306" s="43"/>
      <c r="AL306" s="43"/>
      <c r="AM306" s="43"/>
      <c r="AN306" s="43"/>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1"/>
      <c r="BZ306" s="31"/>
      <c r="CA306" s="31"/>
      <c r="CB306" s="31"/>
      <c r="CC306" s="31"/>
      <c r="CD306" s="31"/>
      <c r="CE306" s="31"/>
      <c r="CF306" s="31"/>
      <c r="CG306" s="31"/>
    </row>
    <row r="307" ht="15.75" customHeight="1">
      <c r="A307" s="52" t="s">
        <v>201</v>
      </c>
      <c r="B307" s="43"/>
      <c r="C307" s="43"/>
      <c r="D307" s="43"/>
      <c r="E307" s="43"/>
      <c r="F307" s="43"/>
      <c r="G307" s="43"/>
      <c r="H307" s="43"/>
      <c r="I307" s="43"/>
      <c r="J307" s="43"/>
      <c r="K307" s="43"/>
      <c r="L307" s="43"/>
      <c r="M307" s="43"/>
      <c r="N307" s="43"/>
      <c r="O307" s="50">
        <f t="shared" ref="O307:W307" si="73">O305*O306</f>
        <v>0</v>
      </c>
      <c r="P307" s="50">
        <f t="shared" si="73"/>
        <v>0</v>
      </c>
      <c r="Q307" s="50">
        <f t="shared" si="73"/>
        <v>40</v>
      </c>
      <c r="R307" s="50">
        <f t="shared" si="73"/>
        <v>9</v>
      </c>
      <c r="S307" s="50">
        <f t="shared" si="73"/>
        <v>24</v>
      </c>
      <c r="T307" s="50">
        <f t="shared" si="73"/>
        <v>15</v>
      </c>
      <c r="U307" s="50">
        <f t="shared" si="73"/>
        <v>6</v>
      </c>
      <c r="V307" s="50">
        <f t="shared" si="73"/>
        <v>8</v>
      </c>
      <c r="W307" s="50">
        <f t="shared" si="73"/>
        <v>20</v>
      </c>
      <c r="X307" s="43"/>
      <c r="Y307" s="43"/>
      <c r="Z307" s="43"/>
      <c r="AA307" s="43"/>
      <c r="AB307" s="43"/>
      <c r="AC307" s="43"/>
      <c r="AD307" s="43"/>
      <c r="AE307" s="43"/>
      <c r="AF307" s="43"/>
      <c r="AG307" s="43"/>
      <c r="AH307" s="43"/>
      <c r="AI307" s="43"/>
      <c r="AJ307" s="43"/>
      <c r="AK307" s="43"/>
      <c r="AL307" s="43"/>
      <c r="AM307" s="43"/>
      <c r="AN307" s="43"/>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1"/>
      <c r="BZ307" s="31"/>
      <c r="CA307" s="31"/>
      <c r="CB307" s="31"/>
      <c r="CC307" s="31"/>
      <c r="CD307" s="31"/>
      <c r="CE307" s="31"/>
      <c r="CF307" s="31"/>
      <c r="CG307" s="31"/>
    </row>
    <row r="308" ht="15.75" customHeight="1">
      <c r="A308" s="31"/>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1"/>
      <c r="BZ308" s="31"/>
      <c r="CA308" s="31"/>
      <c r="CB308" s="31"/>
      <c r="CC308" s="31"/>
      <c r="CD308" s="31"/>
      <c r="CE308" s="31"/>
      <c r="CF308" s="31"/>
      <c r="CG308" s="31"/>
    </row>
    <row r="309" ht="15.75" customHeight="1">
      <c r="A309" s="47" t="s">
        <v>202</v>
      </c>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row>
    <row r="310" ht="15.75" customHeight="1">
      <c r="A310" s="39" t="s">
        <v>195</v>
      </c>
      <c r="B310" s="43">
        <v>1.0</v>
      </c>
      <c r="C310" s="43">
        <v>2.0</v>
      </c>
      <c r="D310" s="43">
        <v>3.0</v>
      </c>
      <c r="E310" s="43">
        <v>4.0</v>
      </c>
      <c r="F310" s="43">
        <v>5.0</v>
      </c>
      <c r="G310" s="43">
        <v>6.0</v>
      </c>
      <c r="H310" s="43">
        <v>7.0</v>
      </c>
      <c r="I310" s="43">
        <v>8.0</v>
      </c>
      <c r="J310" s="43">
        <v>9.0</v>
      </c>
      <c r="K310" s="43">
        <v>10.0</v>
      </c>
      <c r="L310" s="43">
        <v>11.0</v>
      </c>
      <c r="M310" s="43">
        <v>12.0</v>
      </c>
      <c r="N310" s="43">
        <v>13.0</v>
      </c>
      <c r="O310" s="43">
        <v>14.0</v>
      </c>
      <c r="P310" s="43">
        <v>15.0</v>
      </c>
      <c r="Q310" s="43">
        <v>16.0</v>
      </c>
      <c r="R310" s="43">
        <v>17.0</v>
      </c>
      <c r="S310" s="43">
        <v>18.0</v>
      </c>
      <c r="T310" s="43">
        <v>19.0</v>
      </c>
      <c r="U310" s="43">
        <v>20.0</v>
      </c>
      <c r="V310" s="43">
        <v>21.0</v>
      </c>
      <c r="W310" s="43">
        <v>22.0</v>
      </c>
      <c r="X310" s="43">
        <v>23.0</v>
      </c>
      <c r="Y310" s="40">
        <v>24.0</v>
      </c>
      <c r="Z310" s="40">
        <v>25.0</v>
      </c>
      <c r="AA310" s="40">
        <v>26.0</v>
      </c>
      <c r="AB310" s="40">
        <v>27.0</v>
      </c>
      <c r="AC310" s="40">
        <v>28.0</v>
      </c>
      <c r="AD310" s="40">
        <v>29.0</v>
      </c>
      <c r="AE310" s="40">
        <v>30.0</v>
      </c>
      <c r="AF310" s="40">
        <v>31.0</v>
      </c>
      <c r="AG310" s="40">
        <v>32.0</v>
      </c>
      <c r="AH310" s="40">
        <v>33.0</v>
      </c>
      <c r="AI310" s="40">
        <v>34.0</v>
      </c>
      <c r="AJ310" s="40">
        <v>35.0</v>
      </c>
      <c r="AK310" s="40">
        <v>36.0</v>
      </c>
      <c r="AL310" s="40">
        <v>37.0</v>
      </c>
      <c r="AM310" s="40">
        <v>38.0</v>
      </c>
      <c r="AN310" s="40">
        <v>39.0</v>
      </c>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1"/>
      <c r="BZ310" s="31"/>
      <c r="CA310" s="31"/>
      <c r="CB310" s="31"/>
      <c r="CC310" s="31"/>
      <c r="CD310" s="31"/>
      <c r="CE310" s="31"/>
      <c r="CF310" s="31"/>
      <c r="CG310" s="31"/>
    </row>
    <row r="311" ht="15.75" customHeight="1">
      <c r="A311" s="42" t="s">
        <v>196</v>
      </c>
      <c r="B311" s="43" t="str">
        <f t="shared" ref="B311:AN311" si="74">B299</f>
        <v>|</v>
      </c>
      <c r="C311" s="43" t="str">
        <f t="shared" si="74"/>
        <v>3</v>
      </c>
      <c r="D311" s="43" t="str">
        <f t="shared" si="74"/>
        <v>1</v>
      </c>
      <c r="E311" s="43" t="str">
        <f t="shared" si="74"/>
        <v>0</v>
      </c>
      <c r="F311" s="43" t="str">
        <f t="shared" si="74"/>
        <v>4</v>
      </c>
      <c r="G311" s="43" t="str">
        <f t="shared" si="74"/>
        <v>0</v>
      </c>
      <c r="H311" s="43" t="str">
        <f t="shared" si="74"/>
        <v>0</v>
      </c>
      <c r="I311" s="43" t="str">
        <f t="shared" si="74"/>
        <v>0</v>
      </c>
      <c r="J311" s="43" t="str">
        <f t="shared" si="74"/>
        <v>9</v>
      </c>
      <c r="K311" s="43" t="str">
        <f t="shared" si="74"/>
        <v>2</v>
      </c>
      <c r="L311" s="43" t="str">
        <f t="shared" si="74"/>
        <v>1</v>
      </c>
      <c r="M311" s="43" t="str">
        <f t="shared" si="74"/>
        <v>0</v>
      </c>
      <c r="N311" s="43" t="str">
        <f t="shared" si="74"/>
        <v>3</v>
      </c>
      <c r="O311" s="43" t="str">
        <f t="shared" si="74"/>
        <v>0</v>
      </c>
      <c r="P311" s="43" t="str">
        <f t="shared" si="74"/>
        <v>0</v>
      </c>
      <c r="Q311" s="43" t="str">
        <f t="shared" si="74"/>
        <v>8</v>
      </c>
      <c r="R311" s="43" t="str">
        <f t="shared" si="74"/>
        <v>3</v>
      </c>
      <c r="S311" s="43" t="str">
        <f t="shared" si="74"/>
        <v>6</v>
      </c>
      <c r="T311" s="43" t="str">
        <f t="shared" si="74"/>
        <v>3</v>
      </c>
      <c r="U311" s="43" t="str">
        <f t="shared" si="74"/>
        <v>2</v>
      </c>
      <c r="V311" s="43" t="str">
        <f t="shared" si="74"/>
        <v>2</v>
      </c>
      <c r="W311" s="43" t="str">
        <f t="shared" si="74"/>
        <v>4</v>
      </c>
      <c r="X311" s="55" t="str">
        <f t="shared" si="74"/>
        <v>0</v>
      </c>
      <c r="Y311" s="55" t="str">
        <f t="shared" si="74"/>
        <v>5</v>
      </c>
      <c r="Z311" s="55" t="str">
        <f t="shared" si="74"/>
        <v>3</v>
      </c>
      <c r="AA311" s="55" t="str">
        <f t="shared" si="74"/>
        <v>1</v>
      </c>
      <c r="AB311" s="55" t="str">
        <f t="shared" si="74"/>
        <v>2</v>
      </c>
      <c r="AC311" s="55" t="str">
        <f t="shared" si="74"/>
        <v>0</v>
      </c>
      <c r="AD311" s="55" t="str">
        <f t="shared" si="74"/>
        <v>2</v>
      </c>
      <c r="AE311" s="55" t="str">
        <f t="shared" si="74"/>
        <v>3</v>
      </c>
      <c r="AF311" s="43" t="str">
        <f t="shared" si="74"/>
        <v>2</v>
      </c>
      <c r="AG311" s="43" t="str">
        <f t="shared" si="74"/>
        <v>2</v>
      </c>
      <c r="AH311" s="43" t="str">
        <f t="shared" si="74"/>
        <v>2</v>
      </c>
      <c r="AI311" s="43" t="str">
        <f t="shared" si="74"/>
        <v>7</v>
      </c>
      <c r="AJ311" s="43" t="str">
        <f t="shared" si="74"/>
        <v>8</v>
      </c>
      <c r="AK311" s="43" t="str">
        <f t="shared" si="74"/>
        <v>6</v>
      </c>
      <c r="AL311" s="43" t="str">
        <f t="shared" si="74"/>
        <v>4</v>
      </c>
      <c r="AM311" s="43" t="str">
        <f t="shared" si="74"/>
        <v>0</v>
      </c>
      <c r="AN311" s="43" t="str">
        <f t="shared" si="74"/>
        <v>0</v>
      </c>
      <c r="AO311" s="31"/>
      <c r="AP311" s="31"/>
      <c r="AQ311" s="31"/>
      <c r="AR311" s="31"/>
      <c r="AS311" s="31"/>
      <c r="AT311" s="31"/>
      <c r="AU311" s="31"/>
      <c r="AV311" s="31"/>
      <c r="AW311" s="31"/>
      <c r="AX311" s="31"/>
      <c r="AY311" s="31"/>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row>
    <row r="312" ht="15.75" customHeight="1">
      <c r="A312" s="52" t="s">
        <v>200</v>
      </c>
      <c r="B312" s="43"/>
      <c r="C312" s="43"/>
      <c r="D312" s="43"/>
      <c r="E312" s="43"/>
      <c r="F312" s="43"/>
      <c r="G312" s="43"/>
      <c r="H312" s="43"/>
      <c r="I312" s="43"/>
      <c r="J312" s="43"/>
      <c r="K312" s="43"/>
      <c r="L312" s="43"/>
      <c r="M312" s="43"/>
      <c r="N312" s="43"/>
      <c r="O312" s="43"/>
      <c r="P312" s="43"/>
      <c r="Q312" s="43"/>
      <c r="R312" s="43"/>
      <c r="S312" s="43"/>
      <c r="T312" s="43"/>
      <c r="U312" s="43"/>
      <c r="V312" s="43"/>
      <c r="W312" s="43"/>
      <c r="X312" s="50">
        <v>5.0</v>
      </c>
      <c r="Y312" s="50">
        <v>6.0</v>
      </c>
      <c r="Z312" s="50">
        <v>5.0</v>
      </c>
      <c r="AA312" s="50">
        <v>6.0</v>
      </c>
      <c r="AB312" s="50">
        <v>5.0</v>
      </c>
      <c r="AC312" s="50">
        <v>6.0</v>
      </c>
      <c r="AD312" s="50">
        <v>5.0</v>
      </c>
      <c r="AE312" s="50">
        <v>6.0</v>
      </c>
      <c r="AF312" s="43"/>
      <c r="AG312" s="43"/>
      <c r="AH312" s="43"/>
      <c r="AI312" s="43"/>
      <c r="AJ312" s="43"/>
      <c r="AK312" s="43"/>
      <c r="AL312" s="43"/>
      <c r="AM312" s="43"/>
      <c r="AN312" s="43"/>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1"/>
      <c r="BZ312" s="31"/>
      <c r="CA312" s="31"/>
      <c r="CB312" s="31"/>
      <c r="CC312" s="31"/>
      <c r="CD312" s="31"/>
      <c r="CE312" s="31"/>
      <c r="CF312" s="31"/>
      <c r="CG312" s="31"/>
    </row>
    <row r="313" ht="15.75" customHeight="1">
      <c r="A313" s="52" t="s">
        <v>201</v>
      </c>
      <c r="B313" s="43"/>
      <c r="C313" s="43"/>
      <c r="D313" s="43"/>
      <c r="E313" s="43"/>
      <c r="F313" s="43"/>
      <c r="G313" s="43"/>
      <c r="H313" s="43"/>
      <c r="I313" s="43"/>
      <c r="J313" s="43"/>
      <c r="K313" s="43"/>
      <c r="L313" s="43"/>
      <c r="M313" s="43"/>
      <c r="N313" s="43"/>
      <c r="O313" s="43"/>
      <c r="P313" s="43"/>
      <c r="Q313" s="43"/>
      <c r="R313" s="43"/>
      <c r="S313" s="43"/>
      <c r="T313" s="43"/>
      <c r="U313" s="43"/>
      <c r="V313" s="43"/>
      <c r="W313" s="43"/>
      <c r="X313" s="50">
        <f t="shared" ref="X313:AE313" si="75">X311*X312</f>
        <v>0</v>
      </c>
      <c r="Y313" s="50">
        <f t="shared" si="75"/>
        <v>30</v>
      </c>
      <c r="Z313" s="50">
        <f t="shared" si="75"/>
        <v>15</v>
      </c>
      <c r="AA313" s="50">
        <f t="shared" si="75"/>
        <v>6</v>
      </c>
      <c r="AB313" s="50">
        <f t="shared" si="75"/>
        <v>10</v>
      </c>
      <c r="AC313" s="50">
        <f t="shared" si="75"/>
        <v>0</v>
      </c>
      <c r="AD313" s="50">
        <f t="shared" si="75"/>
        <v>10</v>
      </c>
      <c r="AE313" s="50">
        <f t="shared" si="75"/>
        <v>18</v>
      </c>
      <c r="AF313" s="43"/>
      <c r="AG313" s="43"/>
      <c r="AH313" s="43"/>
      <c r="AI313" s="43"/>
      <c r="AJ313" s="43"/>
      <c r="AK313" s="43"/>
      <c r="AL313" s="43"/>
      <c r="AM313" s="43"/>
      <c r="AN313" s="43"/>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1"/>
      <c r="BZ313" s="31"/>
      <c r="CA313" s="31"/>
      <c r="CB313" s="31"/>
      <c r="CC313" s="31"/>
      <c r="CD313" s="31"/>
      <c r="CE313" s="31"/>
      <c r="CF313" s="31"/>
      <c r="CG313" s="31"/>
    </row>
    <row r="314" ht="15.75" customHeight="1">
      <c r="A314" s="31"/>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1"/>
      <c r="BZ314" s="31"/>
      <c r="CA314" s="31"/>
      <c r="CB314" s="31"/>
      <c r="CC314" s="31"/>
      <c r="CD314" s="31"/>
      <c r="CE314" s="31"/>
      <c r="CF314" s="31"/>
      <c r="CG314" s="31"/>
    </row>
    <row r="315" ht="15.75" customHeight="1">
      <c r="A315" s="47" t="s">
        <v>208</v>
      </c>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1"/>
      <c r="BZ315" s="31"/>
      <c r="CA315" s="31"/>
      <c r="CB315" s="31"/>
      <c r="CC315" s="31"/>
      <c r="CD315" s="31"/>
      <c r="CE315" s="31"/>
      <c r="CF315" s="31"/>
      <c r="CG315" s="31"/>
    </row>
    <row r="316" ht="15.75" customHeight="1">
      <c r="A316" s="39" t="s">
        <v>195</v>
      </c>
      <c r="B316" s="43">
        <v>1.0</v>
      </c>
      <c r="C316" s="43">
        <v>2.0</v>
      </c>
      <c r="D316" s="43">
        <v>3.0</v>
      </c>
      <c r="E316" s="43">
        <v>4.0</v>
      </c>
      <c r="F316" s="43">
        <v>5.0</v>
      </c>
      <c r="G316" s="43">
        <v>6.0</v>
      </c>
      <c r="H316" s="43">
        <v>7.0</v>
      </c>
      <c r="I316" s="43">
        <v>8.0</v>
      </c>
      <c r="J316" s="43">
        <v>9.0</v>
      </c>
      <c r="K316" s="43">
        <v>10.0</v>
      </c>
      <c r="L316" s="43">
        <v>11.0</v>
      </c>
      <c r="M316" s="43">
        <v>12.0</v>
      </c>
      <c r="N316" s="43">
        <v>13.0</v>
      </c>
      <c r="O316" s="43">
        <v>14.0</v>
      </c>
      <c r="P316" s="43">
        <v>15.0</v>
      </c>
      <c r="Q316" s="43">
        <v>16.0</v>
      </c>
      <c r="R316" s="43">
        <v>17.0</v>
      </c>
      <c r="S316" s="43">
        <v>18.0</v>
      </c>
      <c r="T316" s="43">
        <v>19.0</v>
      </c>
      <c r="U316" s="43">
        <v>20.0</v>
      </c>
      <c r="V316" s="43">
        <v>21.0</v>
      </c>
      <c r="W316" s="43">
        <v>22.0</v>
      </c>
      <c r="X316" s="43">
        <v>23.0</v>
      </c>
      <c r="Y316" s="40">
        <v>24.0</v>
      </c>
      <c r="Z316" s="40">
        <v>25.0</v>
      </c>
      <c r="AA316" s="40">
        <v>26.0</v>
      </c>
      <c r="AB316" s="40">
        <v>27.0</v>
      </c>
      <c r="AC316" s="40">
        <v>28.0</v>
      </c>
      <c r="AD316" s="40">
        <v>29.0</v>
      </c>
      <c r="AE316" s="40">
        <v>30.0</v>
      </c>
      <c r="AF316" s="40">
        <v>31.0</v>
      </c>
      <c r="AG316" s="40">
        <v>32.0</v>
      </c>
      <c r="AH316" s="40">
        <v>33.0</v>
      </c>
      <c r="AI316" s="40">
        <v>34.0</v>
      </c>
      <c r="AJ316" s="40">
        <v>35.0</v>
      </c>
      <c r="AK316" s="40">
        <v>36.0</v>
      </c>
      <c r="AL316" s="40">
        <v>37.0</v>
      </c>
      <c r="AM316" s="40">
        <v>38.0</v>
      </c>
      <c r="AN316" s="40">
        <v>39.0</v>
      </c>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1"/>
      <c r="BZ316" s="31"/>
      <c r="CA316" s="31"/>
      <c r="CB316" s="31"/>
      <c r="CC316" s="31"/>
      <c r="CD316" s="31"/>
      <c r="CE316" s="31"/>
      <c r="CF316" s="31"/>
      <c r="CG316" s="31"/>
    </row>
    <row r="317" ht="15.75" customHeight="1">
      <c r="A317" s="42" t="s">
        <v>196</v>
      </c>
      <c r="B317" s="43" t="str">
        <f t="shared" ref="B317:AN317" si="76">B299</f>
        <v>|</v>
      </c>
      <c r="C317" s="43" t="str">
        <f t="shared" si="76"/>
        <v>3</v>
      </c>
      <c r="D317" s="43" t="str">
        <f t="shared" si="76"/>
        <v>1</v>
      </c>
      <c r="E317" s="43" t="str">
        <f t="shared" si="76"/>
        <v>0</v>
      </c>
      <c r="F317" s="43" t="str">
        <f t="shared" si="76"/>
        <v>4</v>
      </c>
      <c r="G317" s="43" t="str">
        <f t="shared" si="76"/>
        <v>0</v>
      </c>
      <c r="H317" s="43" t="str">
        <f t="shared" si="76"/>
        <v>0</v>
      </c>
      <c r="I317" s="43" t="str">
        <f t="shared" si="76"/>
        <v>0</v>
      </c>
      <c r="J317" s="43" t="str">
        <f t="shared" si="76"/>
        <v>9</v>
      </c>
      <c r="K317" s="43" t="str">
        <f t="shared" si="76"/>
        <v>2</v>
      </c>
      <c r="L317" s="43" t="str">
        <f t="shared" si="76"/>
        <v>1</v>
      </c>
      <c r="M317" s="43" t="str">
        <f t="shared" si="76"/>
        <v>0</v>
      </c>
      <c r="N317" s="43" t="str">
        <f t="shared" si="76"/>
        <v>3</v>
      </c>
      <c r="O317" s="43" t="str">
        <f t="shared" si="76"/>
        <v>0</v>
      </c>
      <c r="P317" s="43" t="str">
        <f t="shared" si="76"/>
        <v>0</v>
      </c>
      <c r="Q317" s="43" t="str">
        <f t="shared" si="76"/>
        <v>8</v>
      </c>
      <c r="R317" s="43" t="str">
        <f t="shared" si="76"/>
        <v>3</v>
      </c>
      <c r="S317" s="43" t="str">
        <f t="shared" si="76"/>
        <v>6</v>
      </c>
      <c r="T317" s="43" t="str">
        <f t="shared" si="76"/>
        <v>3</v>
      </c>
      <c r="U317" s="43" t="str">
        <f t="shared" si="76"/>
        <v>2</v>
      </c>
      <c r="V317" s="43" t="str">
        <f t="shared" si="76"/>
        <v>2</v>
      </c>
      <c r="W317" s="43" t="str">
        <f t="shared" si="76"/>
        <v>4</v>
      </c>
      <c r="X317" s="43" t="str">
        <f t="shared" si="76"/>
        <v>0</v>
      </c>
      <c r="Y317" s="43" t="str">
        <f t="shared" si="76"/>
        <v>5</v>
      </c>
      <c r="Z317" s="43" t="str">
        <f t="shared" si="76"/>
        <v>3</v>
      </c>
      <c r="AA317" s="43" t="str">
        <f t="shared" si="76"/>
        <v>1</v>
      </c>
      <c r="AB317" s="43" t="str">
        <f t="shared" si="76"/>
        <v>2</v>
      </c>
      <c r="AC317" s="43" t="str">
        <f t="shared" si="76"/>
        <v>0</v>
      </c>
      <c r="AD317" s="43" t="str">
        <f t="shared" si="76"/>
        <v>2</v>
      </c>
      <c r="AE317" s="43" t="str">
        <f t="shared" si="76"/>
        <v>3</v>
      </c>
      <c r="AF317" s="43" t="str">
        <f t="shared" si="76"/>
        <v>2</v>
      </c>
      <c r="AG317" s="43" t="str">
        <f t="shared" si="76"/>
        <v>2</v>
      </c>
      <c r="AH317" s="55" t="str">
        <f t="shared" si="76"/>
        <v>2</v>
      </c>
      <c r="AI317" s="55" t="str">
        <f t="shared" si="76"/>
        <v>7</v>
      </c>
      <c r="AJ317" s="55" t="str">
        <f t="shared" si="76"/>
        <v>8</v>
      </c>
      <c r="AK317" s="55" t="str">
        <f t="shared" si="76"/>
        <v>6</v>
      </c>
      <c r="AL317" s="55" t="str">
        <f t="shared" si="76"/>
        <v>4</v>
      </c>
      <c r="AM317" s="55" t="str">
        <f t="shared" si="76"/>
        <v>0</v>
      </c>
      <c r="AN317" s="55" t="str">
        <f t="shared" si="76"/>
        <v>0</v>
      </c>
      <c r="AO317" s="31"/>
      <c r="AP317" s="31"/>
      <c r="AQ317" s="31"/>
      <c r="AR317" s="31"/>
      <c r="AS317" s="31"/>
      <c r="AT317" s="31"/>
      <c r="AU317" s="31"/>
      <c r="AV317" s="31"/>
      <c r="AW317" s="31"/>
      <c r="AX317" s="31"/>
      <c r="AY317" s="31"/>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row>
    <row r="318" ht="15.75" customHeight="1">
      <c r="A318" s="52" t="s">
        <v>200</v>
      </c>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50">
        <v>2.0</v>
      </c>
      <c r="AI318" s="50">
        <v>3.0</v>
      </c>
      <c r="AJ318" s="50">
        <v>4.0</v>
      </c>
      <c r="AK318" s="50">
        <v>5.0</v>
      </c>
      <c r="AL318" s="50">
        <v>6.0</v>
      </c>
      <c r="AM318" s="50">
        <v>7.0</v>
      </c>
      <c r="AN318" s="50">
        <v>8.0</v>
      </c>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1"/>
      <c r="BZ318" s="31"/>
      <c r="CA318" s="31"/>
      <c r="CB318" s="31"/>
      <c r="CC318" s="31"/>
      <c r="CD318" s="31"/>
      <c r="CE318" s="31"/>
      <c r="CF318" s="31"/>
      <c r="CG318" s="31"/>
    </row>
    <row r="319" ht="15.75" customHeight="1">
      <c r="A319" s="52" t="s">
        <v>201</v>
      </c>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50">
        <f t="shared" ref="AH319:AN319" si="77">AH317*AH318</f>
        <v>4</v>
      </c>
      <c r="AI319" s="50">
        <f t="shared" si="77"/>
        <v>21</v>
      </c>
      <c r="AJ319" s="50">
        <f t="shared" si="77"/>
        <v>32</v>
      </c>
      <c r="AK319" s="50">
        <f t="shared" si="77"/>
        <v>30</v>
      </c>
      <c r="AL319" s="50">
        <f t="shared" si="77"/>
        <v>24</v>
      </c>
      <c r="AM319" s="50">
        <f t="shared" si="77"/>
        <v>0</v>
      </c>
      <c r="AN319" s="50">
        <f t="shared" si="77"/>
        <v>0</v>
      </c>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1"/>
      <c r="BZ319" s="31"/>
      <c r="CA319" s="31"/>
      <c r="CB319" s="31"/>
      <c r="CC319" s="31"/>
      <c r="CD319" s="31"/>
      <c r="CE319" s="31"/>
      <c r="CF319" s="31"/>
      <c r="CG319" s="31"/>
    </row>
    <row r="320" ht="15.75" customHeight="1">
      <c r="A320" s="52" t="s">
        <v>203</v>
      </c>
      <c r="B320" s="52">
        <f>SUM(B307:AN307)+SUM(B319:AN319)+SUM(B313:AN313)</f>
        <v>322</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1"/>
      <c r="BZ320" s="31"/>
      <c r="CA320" s="31"/>
      <c r="CB320" s="31"/>
      <c r="CC320" s="31"/>
      <c r="CD320" s="31"/>
      <c r="CE320" s="31"/>
      <c r="CF320" s="31"/>
      <c r="CG320" s="31"/>
    </row>
    <row r="321" ht="15.75" customHeight="1">
      <c r="A321" s="52" t="s">
        <v>204</v>
      </c>
      <c r="B321" s="123" t="str">
        <f>TEXT(MOD(B320,100),"00")</f>
        <v>22</v>
      </c>
      <c r="C321" s="31"/>
      <c r="D321" s="30" t="s">
        <v>236</v>
      </c>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1"/>
      <c r="BZ321" s="31"/>
      <c r="CA321" s="31"/>
      <c r="CB321" s="31"/>
      <c r="CC321" s="31"/>
      <c r="CD321" s="31"/>
      <c r="CE321" s="31"/>
      <c r="CF321" s="31"/>
      <c r="CG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1"/>
      <c r="BZ322" s="31"/>
      <c r="CA322" s="31"/>
      <c r="CB322" s="31"/>
      <c r="CC322" s="31"/>
      <c r="CD322" s="31"/>
      <c r="CE322" s="31"/>
      <c r="CF322" s="31"/>
      <c r="CG322" s="31"/>
    </row>
    <row r="323" ht="5.2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54"/>
      <c r="BD323" s="54"/>
      <c r="BE323" s="54"/>
      <c r="BF323" s="54"/>
      <c r="BG323" s="54"/>
      <c r="BH323" s="54"/>
      <c r="BI323" s="54"/>
      <c r="BJ323" s="54"/>
      <c r="BK323" s="54"/>
      <c r="BL323" s="54"/>
      <c r="BM323" s="54"/>
      <c r="BN323" s="54"/>
      <c r="BO323" s="54"/>
      <c r="BP323" s="54"/>
      <c r="BQ323" s="54"/>
      <c r="BR323" s="54"/>
      <c r="BS323" s="54"/>
      <c r="BT323" s="54"/>
      <c r="BU323" s="54"/>
      <c r="BV323" s="54"/>
      <c r="BW323" s="54"/>
      <c r="BX323" s="54"/>
      <c r="BY323" s="54"/>
      <c r="BZ323" s="54"/>
      <c r="CA323" s="54"/>
      <c r="CB323" s="54"/>
      <c r="CC323" s="54"/>
      <c r="CD323" s="54"/>
      <c r="CE323" s="54"/>
      <c r="CF323" s="54"/>
      <c r="CG323" s="54"/>
    </row>
    <row r="324" ht="15.75" customHeight="1">
      <c r="A324" s="45" t="s">
        <v>338</v>
      </c>
      <c r="B324" s="31"/>
      <c r="C324" s="31"/>
      <c r="D324" s="31"/>
      <c r="E324" s="31"/>
      <c r="F324" s="31"/>
      <c r="G324" s="31"/>
      <c r="H324" s="31"/>
      <c r="I324" s="31"/>
      <c r="J324" s="31"/>
      <c r="K324" s="31"/>
      <c r="L324" s="31"/>
      <c r="M324" s="32" t="s">
        <v>190</v>
      </c>
      <c r="N324" s="33">
        <f>LEN(A324)</f>
        <v>41</v>
      </c>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1"/>
      <c r="BZ324" s="31"/>
      <c r="CA324" s="31"/>
      <c r="CB324" s="31"/>
      <c r="CC324" s="31"/>
      <c r="CD324" s="31"/>
      <c r="CE324" s="31"/>
      <c r="CF324" s="31"/>
      <c r="CG324" s="31"/>
    </row>
    <row r="325" ht="15.75" customHeight="1">
      <c r="A325" s="34" t="s">
        <v>191</v>
      </c>
      <c r="B325" s="35" t="s">
        <v>133</v>
      </c>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115"/>
      <c r="AO325" s="35"/>
      <c r="AP325" s="35"/>
      <c r="AQ325" s="35"/>
      <c r="AR325" s="115"/>
      <c r="AS325" s="35"/>
      <c r="AT325" s="89" t="s">
        <v>339</v>
      </c>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1"/>
      <c r="BZ325" s="31"/>
      <c r="CA325" s="31"/>
      <c r="CB325" s="31"/>
      <c r="CC325" s="31"/>
      <c r="CD325" s="31"/>
      <c r="CE325" s="31"/>
      <c r="CF325" s="31"/>
      <c r="CG325" s="31"/>
    </row>
    <row r="326" ht="15.75" customHeight="1">
      <c r="A326" s="37" t="s">
        <v>193</v>
      </c>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7" t="s">
        <v>194</v>
      </c>
      <c r="AA326" s="38"/>
      <c r="AB326" s="38"/>
      <c r="AC326" s="38"/>
      <c r="AD326" s="38"/>
      <c r="AE326" s="38"/>
      <c r="AF326" s="37"/>
      <c r="AG326" s="38"/>
      <c r="AH326" s="116"/>
      <c r="AI326" s="38"/>
      <c r="AJ326" s="37"/>
      <c r="AK326" s="37"/>
      <c r="AL326" s="38"/>
      <c r="AM326" s="38"/>
      <c r="AN326" s="38"/>
      <c r="AO326" s="37"/>
      <c r="AP326" s="38"/>
      <c r="AQ326" s="38"/>
      <c r="AR326" s="38"/>
      <c r="AS326" s="37"/>
      <c r="AT326" s="38"/>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1"/>
      <c r="BZ326" s="31"/>
      <c r="CA326" s="31"/>
      <c r="CB326" s="31"/>
      <c r="CC326" s="31"/>
      <c r="CD326" s="31"/>
      <c r="CE326" s="31"/>
      <c r="CF326" s="31"/>
      <c r="CG326" s="31"/>
    </row>
    <row r="327" ht="15.75" customHeight="1">
      <c r="A327" s="39" t="s">
        <v>195</v>
      </c>
      <c r="B327" s="40">
        <v>1.0</v>
      </c>
      <c r="C327" s="40">
        <v>2.0</v>
      </c>
      <c r="D327" s="40">
        <v>3.0</v>
      </c>
      <c r="E327" s="40">
        <v>4.0</v>
      </c>
      <c r="F327" s="40">
        <v>5.0</v>
      </c>
      <c r="G327" s="40">
        <v>6.0</v>
      </c>
      <c r="H327" s="40">
        <v>7.0</v>
      </c>
      <c r="I327" s="40">
        <v>8.0</v>
      </c>
      <c r="J327" s="40">
        <v>9.0</v>
      </c>
      <c r="K327" s="40">
        <v>10.0</v>
      </c>
      <c r="L327" s="40">
        <v>11.0</v>
      </c>
      <c r="M327" s="40">
        <v>12.0</v>
      </c>
      <c r="N327" s="40">
        <v>13.0</v>
      </c>
      <c r="O327" s="40">
        <v>14.0</v>
      </c>
      <c r="P327" s="40">
        <v>15.0</v>
      </c>
      <c r="Q327" s="40">
        <v>16.0</v>
      </c>
      <c r="R327" s="40">
        <v>17.0</v>
      </c>
      <c r="S327" s="40">
        <v>18.0</v>
      </c>
      <c r="T327" s="40">
        <v>19.0</v>
      </c>
      <c r="U327" s="40">
        <v>20.0</v>
      </c>
      <c r="V327" s="40">
        <v>21.0</v>
      </c>
      <c r="W327" s="40">
        <v>22.0</v>
      </c>
      <c r="X327" s="40">
        <v>23.0</v>
      </c>
      <c r="Y327" s="40">
        <v>24.0</v>
      </c>
      <c r="Z327" s="103">
        <v>25.0</v>
      </c>
      <c r="AA327" s="103">
        <v>26.0</v>
      </c>
      <c r="AB327" s="40">
        <v>27.0</v>
      </c>
      <c r="AC327" s="40">
        <v>28.0</v>
      </c>
      <c r="AD327" s="40">
        <v>29.0</v>
      </c>
      <c r="AE327" s="40">
        <v>30.0</v>
      </c>
      <c r="AF327" s="40">
        <v>31.0</v>
      </c>
      <c r="AG327" s="40">
        <v>32.0</v>
      </c>
      <c r="AH327" s="40">
        <v>33.0</v>
      </c>
      <c r="AI327" s="40">
        <v>34.0</v>
      </c>
      <c r="AJ327" s="40">
        <v>35.0</v>
      </c>
      <c r="AK327" s="40">
        <v>36.0</v>
      </c>
      <c r="AL327" s="40">
        <v>37.0</v>
      </c>
      <c r="AM327" s="40">
        <v>38.0</v>
      </c>
      <c r="AN327" s="40">
        <v>39.0</v>
      </c>
      <c r="AO327" s="40">
        <v>40.0</v>
      </c>
      <c r="AP327" s="40">
        <v>41.0</v>
      </c>
      <c r="AQ327" s="40">
        <v>42.0</v>
      </c>
      <c r="AR327" s="40">
        <v>43.0</v>
      </c>
      <c r="AS327" s="40">
        <v>44.0</v>
      </c>
      <c r="AT327" s="40">
        <v>45.0</v>
      </c>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1"/>
      <c r="BZ327" s="31"/>
      <c r="CA327" s="31"/>
      <c r="CB327" s="31"/>
      <c r="CC327" s="31"/>
      <c r="CD327" s="31"/>
      <c r="CE327" s="31"/>
      <c r="CF327" s="31"/>
      <c r="CG327" s="31"/>
    </row>
    <row r="328" ht="15.75" customHeight="1">
      <c r="A328" s="42" t="s">
        <v>196</v>
      </c>
      <c r="B328" s="42" t="str">
        <f t="shared" ref="B328:AT328" si="78">MID($A324,B327,1)</f>
        <v>|</v>
      </c>
      <c r="C328" s="42" t="str">
        <f t="shared" si="78"/>
        <v>0</v>
      </c>
      <c r="D328" s="42" t="str">
        <f t="shared" si="78"/>
        <v>9</v>
      </c>
      <c r="E328" s="42" t="str">
        <f t="shared" si="78"/>
        <v>9</v>
      </c>
      <c r="F328" s="42" t="str">
        <f t="shared" si="78"/>
        <v>4</v>
      </c>
      <c r="G328" s="42" t="str">
        <f t="shared" si="78"/>
        <v>0</v>
      </c>
      <c r="H328" s="42" t="str">
        <f t="shared" si="78"/>
        <v>0</v>
      </c>
      <c r="I328" s="42" t="str">
        <f t="shared" si="78"/>
        <v>0</v>
      </c>
      <c r="J328" s="42" t="str">
        <f t="shared" si="78"/>
        <v>1</v>
      </c>
      <c r="K328" s="42" t="str">
        <f t="shared" si="78"/>
        <v>6</v>
      </c>
      <c r="L328" s="42" t="str">
        <f t="shared" si="78"/>
        <v>3</v>
      </c>
      <c r="M328" s="42" t="str">
        <f t="shared" si="78"/>
        <v>4</v>
      </c>
      <c r="N328" s="42" t="str">
        <f t="shared" si="78"/>
        <v>1</v>
      </c>
      <c r="O328" s="42" t="str">
        <f t="shared" si="78"/>
        <v>0</v>
      </c>
      <c r="P328" s="42" t="str">
        <f t="shared" si="78"/>
        <v>2</v>
      </c>
      <c r="Q328" s="42" t="str">
        <f t="shared" si="78"/>
        <v>2</v>
      </c>
      <c r="R328" s="42" t="str">
        <f t="shared" si="78"/>
        <v>4</v>
      </c>
      <c r="S328" s="42" t="str">
        <f t="shared" si="78"/>
        <v>8</v>
      </c>
      <c r="T328" s="42" t="str">
        <f t="shared" si="78"/>
        <v>0</v>
      </c>
      <c r="U328" s="42" t="str">
        <f t="shared" si="78"/>
        <v>0</v>
      </c>
      <c r="V328" s="42" t="str">
        <f t="shared" si="78"/>
        <v>3</v>
      </c>
      <c r="W328" s="42" t="str">
        <f t="shared" si="78"/>
        <v>3</v>
      </c>
      <c r="X328" s="42" t="str">
        <f t="shared" si="78"/>
        <v>7</v>
      </c>
      <c r="Y328" s="42" t="str">
        <f t="shared" si="78"/>
        <v>3</v>
      </c>
      <c r="Z328" s="44" t="str">
        <f t="shared" si="78"/>
        <v>1</v>
      </c>
      <c r="AA328" s="44" t="str">
        <f t="shared" si="78"/>
        <v>5</v>
      </c>
      <c r="AB328" s="42" t="str">
        <f t="shared" si="78"/>
        <v>7</v>
      </c>
      <c r="AC328" s="42" t="str">
        <f t="shared" si="78"/>
        <v>6</v>
      </c>
      <c r="AD328" s="42" t="str">
        <f t="shared" si="78"/>
        <v>1</v>
      </c>
      <c r="AE328" s="42" t="str">
        <f t="shared" si="78"/>
        <v>2</v>
      </c>
      <c r="AF328" s="42" t="str">
        <f t="shared" si="78"/>
        <v>0</v>
      </c>
      <c r="AG328" s="42" t="str">
        <f t="shared" si="78"/>
        <v>1</v>
      </c>
      <c r="AH328" s="42" t="str">
        <f t="shared" si="78"/>
        <v>1</v>
      </c>
      <c r="AI328" s="42" t="str">
        <f t="shared" si="78"/>
        <v>2</v>
      </c>
      <c r="AJ328" s="42" t="str">
        <f t="shared" si="78"/>
        <v>0</v>
      </c>
      <c r="AK328" s="42" t="str">
        <f t="shared" si="78"/>
        <v>3</v>
      </c>
      <c r="AL328" s="42" t="str">
        <f t="shared" si="78"/>
        <v>6</v>
      </c>
      <c r="AM328" s="42" t="str">
        <f t="shared" si="78"/>
        <v>2</v>
      </c>
      <c r="AN328" s="42" t="str">
        <f t="shared" si="78"/>
        <v>0</v>
      </c>
      <c r="AO328" s="42" t="str">
        <f t="shared" si="78"/>
        <v>0</v>
      </c>
      <c r="AP328" s="42" t="str">
        <f t="shared" si="78"/>
        <v>0</v>
      </c>
      <c r="AQ328" s="42" t="str">
        <f t="shared" si="78"/>
        <v/>
      </c>
      <c r="AR328" s="42" t="str">
        <f t="shared" si="78"/>
        <v/>
      </c>
      <c r="AS328" s="42" t="str">
        <f t="shared" si="78"/>
        <v/>
      </c>
      <c r="AT328" s="42" t="str">
        <f t="shared" si="78"/>
        <v/>
      </c>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row>
    <row r="329" ht="15.75" customHeight="1">
      <c r="A329" s="45" t="s">
        <v>340</v>
      </c>
      <c r="B329" s="46"/>
      <c r="C329" s="46"/>
      <c r="D329" s="46"/>
      <c r="E329" s="46"/>
      <c r="F329" s="46"/>
      <c r="G329" s="46"/>
      <c r="H329" s="46"/>
      <c r="I329" s="46"/>
      <c r="J329" s="46"/>
      <c r="K329" s="46"/>
      <c r="L329" s="46"/>
      <c r="M329" s="46"/>
      <c r="N329" s="46"/>
      <c r="O329" s="46"/>
      <c r="P329" s="45" t="s">
        <v>338</v>
      </c>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1"/>
      <c r="BZ329" s="31"/>
      <c r="CA329" s="31"/>
      <c r="CB329" s="31"/>
      <c r="CC329" s="31"/>
      <c r="CD329" s="31"/>
      <c r="CE329" s="31"/>
      <c r="CF329" s="31"/>
      <c r="CG329" s="31"/>
    </row>
    <row r="330" ht="15.75" customHeight="1">
      <c r="A330" s="45" t="s">
        <v>341</v>
      </c>
      <c r="B330" s="46"/>
      <c r="C330" s="46"/>
      <c r="D330" s="46"/>
      <c r="E330" s="46"/>
      <c r="F330" s="46"/>
      <c r="G330" s="46"/>
      <c r="H330" s="46"/>
      <c r="I330" s="46"/>
      <c r="J330" s="46"/>
      <c r="K330" s="46"/>
      <c r="L330" s="46"/>
      <c r="M330" s="46"/>
      <c r="N330" s="46"/>
      <c r="O330" s="46"/>
      <c r="P330" s="45" t="s">
        <v>342</v>
      </c>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1"/>
      <c r="BZ330" s="31"/>
      <c r="CA330" s="31"/>
      <c r="CB330" s="31"/>
      <c r="CC330" s="31"/>
      <c r="CD330" s="31"/>
      <c r="CE330" s="31"/>
      <c r="CF330" s="31"/>
      <c r="CG330" s="31"/>
    </row>
    <row r="331" ht="15.75" customHeight="1">
      <c r="A331" s="45" t="s">
        <v>343</v>
      </c>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1"/>
      <c r="BZ331" s="31"/>
      <c r="CA331" s="31"/>
      <c r="CB331" s="31"/>
      <c r="CC331" s="31"/>
      <c r="CD331" s="31"/>
      <c r="CE331" s="31"/>
      <c r="CF331" s="31"/>
      <c r="CG331" s="31"/>
    </row>
    <row r="332" ht="15.75" customHeight="1">
      <c r="A332" s="47" t="s">
        <v>199</v>
      </c>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1"/>
      <c r="BZ332" s="31"/>
      <c r="CA332" s="31"/>
      <c r="CB332" s="31"/>
      <c r="CC332" s="31"/>
      <c r="CD332" s="31"/>
      <c r="CE332" s="31"/>
      <c r="CF332" s="31"/>
      <c r="CG332" s="31"/>
    </row>
    <row r="333" ht="15.75" customHeight="1">
      <c r="A333" s="39" t="s">
        <v>195</v>
      </c>
      <c r="B333" s="40">
        <v>1.0</v>
      </c>
      <c r="C333" s="40">
        <v>2.0</v>
      </c>
      <c r="D333" s="40">
        <v>3.0</v>
      </c>
      <c r="E333" s="40">
        <v>4.0</v>
      </c>
      <c r="F333" s="40">
        <v>5.0</v>
      </c>
      <c r="G333" s="40">
        <v>6.0</v>
      </c>
      <c r="H333" s="40">
        <v>7.0</v>
      </c>
      <c r="I333" s="40">
        <v>8.0</v>
      </c>
      <c r="J333" s="40">
        <v>9.0</v>
      </c>
      <c r="K333" s="40">
        <v>10.0</v>
      </c>
      <c r="L333" s="40">
        <v>11.0</v>
      </c>
      <c r="M333" s="40">
        <v>12.0</v>
      </c>
      <c r="N333" s="40">
        <v>13.0</v>
      </c>
      <c r="O333" s="40">
        <v>14.0</v>
      </c>
      <c r="P333" s="40">
        <v>15.0</v>
      </c>
      <c r="Q333" s="40">
        <v>16.0</v>
      </c>
      <c r="R333" s="50">
        <v>17.0</v>
      </c>
      <c r="S333" s="50">
        <v>18.0</v>
      </c>
      <c r="T333" s="50">
        <v>19.0</v>
      </c>
      <c r="U333" s="50">
        <v>20.0</v>
      </c>
      <c r="V333" s="50">
        <v>21.0</v>
      </c>
      <c r="W333" s="50">
        <v>22.0</v>
      </c>
      <c r="X333" s="50">
        <v>23.0</v>
      </c>
      <c r="Y333" s="50">
        <v>24.0</v>
      </c>
      <c r="Z333" s="43">
        <v>25.0</v>
      </c>
      <c r="AA333" s="43">
        <v>26.0</v>
      </c>
      <c r="AB333" s="43">
        <v>27.0</v>
      </c>
      <c r="AC333" s="43">
        <v>28.0</v>
      </c>
      <c r="AD333" s="43">
        <v>29.0</v>
      </c>
      <c r="AE333" s="43">
        <v>30.0</v>
      </c>
      <c r="AF333" s="40">
        <v>31.0</v>
      </c>
      <c r="AG333" s="40">
        <v>32.0</v>
      </c>
      <c r="AH333" s="40">
        <v>33.0</v>
      </c>
      <c r="AI333" s="40">
        <v>34.0</v>
      </c>
      <c r="AJ333" s="40">
        <v>35.0</v>
      </c>
      <c r="AK333" s="40">
        <v>36.0</v>
      </c>
      <c r="AL333" s="40">
        <v>37.0</v>
      </c>
      <c r="AM333" s="40">
        <v>38.0</v>
      </c>
      <c r="AN333" s="40">
        <v>39.0</v>
      </c>
      <c r="AO333" s="40">
        <v>40.0</v>
      </c>
      <c r="AP333" s="40">
        <v>41.0</v>
      </c>
      <c r="AQ333" s="40">
        <v>42.0</v>
      </c>
      <c r="AR333" s="40">
        <v>43.0</v>
      </c>
      <c r="AS333" s="40">
        <v>44.0</v>
      </c>
      <c r="AT333" s="40">
        <v>45.0</v>
      </c>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1"/>
      <c r="BZ333" s="31"/>
      <c r="CA333" s="31"/>
      <c r="CB333" s="31"/>
      <c r="CC333" s="31"/>
      <c r="CD333" s="31"/>
      <c r="CE333" s="31"/>
      <c r="CF333" s="31"/>
      <c r="CG333" s="31"/>
    </row>
    <row r="334" ht="15.75" customHeight="1">
      <c r="A334" s="42" t="s">
        <v>196</v>
      </c>
      <c r="B334" s="43" t="str">
        <f t="shared" ref="B334:AT334" si="79">B328</f>
        <v>|</v>
      </c>
      <c r="C334" s="43" t="str">
        <f t="shared" si="79"/>
        <v>0</v>
      </c>
      <c r="D334" s="43" t="str">
        <f t="shared" si="79"/>
        <v>9</v>
      </c>
      <c r="E334" s="43" t="str">
        <f t="shared" si="79"/>
        <v>9</v>
      </c>
      <c r="F334" s="43" t="str">
        <f t="shared" si="79"/>
        <v>4</v>
      </c>
      <c r="G334" s="43" t="str">
        <f t="shared" si="79"/>
        <v>0</v>
      </c>
      <c r="H334" s="43" t="str">
        <f t="shared" si="79"/>
        <v>0</v>
      </c>
      <c r="I334" s="43" t="str">
        <f t="shared" si="79"/>
        <v>0</v>
      </c>
      <c r="J334" s="43" t="str">
        <f t="shared" si="79"/>
        <v>1</v>
      </c>
      <c r="K334" s="43" t="str">
        <f t="shared" si="79"/>
        <v>6</v>
      </c>
      <c r="L334" s="43" t="str">
        <f t="shared" si="79"/>
        <v>3</v>
      </c>
      <c r="M334" s="43" t="str">
        <f t="shared" si="79"/>
        <v>4</v>
      </c>
      <c r="N334" s="43" t="str">
        <f t="shared" si="79"/>
        <v>1</v>
      </c>
      <c r="O334" s="43" t="str">
        <f t="shared" si="79"/>
        <v>0</v>
      </c>
      <c r="P334" s="43" t="str">
        <f t="shared" si="79"/>
        <v>2</v>
      </c>
      <c r="Q334" s="43" t="str">
        <f t="shared" si="79"/>
        <v>2</v>
      </c>
      <c r="R334" s="51" t="str">
        <f t="shared" si="79"/>
        <v>4</v>
      </c>
      <c r="S334" s="51" t="str">
        <f t="shared" si="79"/>
        <v>8</v>
      </c>
      <c r="T334" s="51" t="str">
        <f t="shared" si="79"/>
        <v>0</v>
      </c>
      <c r="U334" s="51" t="str">
        <f t="shared" si="79"/>
        <v>0</v>
      </c>
      <c r="V334" s="51" t="str">
        <f t="shared" si="79"/>
        <v>3</v>
      </c>
      <c r="W334" s="51" t="str">
        <f t="shared" si="79"/>
        <v>3</v>
      </c>
      <c r="X334" s="51" t="str">
        <f t="shared" si="79"/>
        <v>7</v>
      </c>
      <c r="Y334" s="51" t="str">
        <f t="shared" si="79"/>
        <v>3</v>
      </c>
      <c r="Z334" s="43" t="str">
        <f t="shared" si="79"/>
        <v>1</v>
      </c>
      <c r="AA334" s="43" t="str">
        <f t="shared" si="79"/>
        <v>5</v>
      </c>
      <c r="AB334" s="43" t="str">
        <f t="shared" si="79"/>
        <v>7</v>
      </c>
      <c r="AC334" s="43" t="str">
        <f t="shared" si="79"/>
        <v>6</v>
      </c>
      <c r="AD334" s="43" t="str">
        <f t="shared" si="79"/>
        <v>1</v>
      </c>
      <c r="AE334" s="43" t="str">
        <f t="shared" si="79"/>
        <v>2</v>
      </c>
      <c r="AF334" s="43" t="str">
        <f t="shared" si="79"/>
        <v>0</v>
      </c>
      <c r="AG334" s="43" t="str">
        <f t="shared" si="79"/>
        <v>1</v>
      </c>
      <c r="AH334" s="43" t="str">
        <f t="shared" si="79"/>
        <v>1</v>
      </c>
      <c r="AI334" s="43" t="str">
        <f t="shared" si="79"/>
        <v>2</v>
      </c>
      <c r="AJ334" s="43" t="str">
        <f t="shared" si="79"/>
        <v>0</v>
      </c>
      <c r="AK334" s="43" t="str">
        <f t="shared" si="79"/>
        <v>3</v>
      </c>
      <c r="AL334" s="43" t="str">
        <f t="shared" si="79"/>
        <v>6</v>
      </c>
      <c r="AM334" s="43" t="str">
        <f t="shared" si="79"/>
        <v>2</v>
      </c>
      <c r="AN334" s="43" t="str">
        <f t="shared" si="79"/>
        <v>0</v>
      </c>
      <c r="AO334" s="43" t="str">
        <f t="shared" si="79"/>
        <v>0</v>
      </c>
      <c r="AP334" s="43" t="str">
        <f t="shared" si="79"/>
        <v>0</v>
      </c>
      <c r="AQ334" s="43" t="str">
        <f t="shared" si="79"/>
        <v/>
      </c>
      <c r="AR334" s="43" t="str">
        <f t="shared" si="79"/>
        <v/>
      </c>
      <c r="AS334" s="43" t="str">
        <f t="shared" si="79"/>
        <v/>
      </c>
      <c r="AT334" s="43" t="str">
        <f t="shared" si="79"/>
        <v/>
      </c>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row>
    <row r="335" ht="15.75" customHeight="1">
      <c r="A335" s="52" t="s">
        <v>200</v>
      </c>
      <c r="B335" s="43"/>
      <c r="C335" s="43"/>
      <c r="D335" s="43"/>
      <c r="E335" s="43"/>
      <c r="F335" s="43"/>
      <c r="G335" s="43"/>
      <c r="H335" s="43"/>
      <c r="I335" s="43"/>
      <c r="J335" s="43"/>
      <c r="K335" s="43"/>
      <c r="L335" s="43"/>
      <c r="M335" s="43"/>
      <c r="N335" s="43"/>
      <c r="O335" s="43"/>
      <c r="P335" s="43"/>
      <c r="Q335" s="43"/>
      <c r="R335" s="50">
        <v>7.0</v>
      </c>
      <c r="S335" s="50">
        <v>8.0</v>
      </c>
      <c r="T335" s="50">
        <v>7.0</v>
      </c>
      <c r="U335" s="50">
        <v>8.0</v>
      </c>
      <c r="V335" s="50">
        <v>7.0</v>
      </c>
      <c r="W335" s="50">
        <v>8.0</v>
      </c>
      <c r="X335" s="50">
        <v>7.0</v>
      </c>
      <c r="Y335" s="50">
        <v>8.0</v>
      </c>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1"/>
      <c r="BZ335" s="31"/>
      <c r="CA335" s="31"/>
      <c r="CB335" s="31"/>
      <c r="CC335" s="31"/>
      <c r="CD335" s="31"/>
      <c r="CE335" s="31"/>
      <c r="CF335" s="31"/>
      <c r="CG335" s="31"/>
    </row>
    <row r="336" ht="15.75" customHeight="1">
      <c r="A336" s="52" t="s">
        <v>201</v>
      </c>
      <c r="B336" s="43"/>
      <c r="C336" s="43"/>
      <c r="D336" s="43"/>
      <c r="E336" s="43"/>
      <c r="F336" s="43"/>
      <c r="G336" s="43"/>
      <c r="H336" s="43"/>
      <c r="I336" s="43"/>
      <c r="J336" s="43"/>
      <c r="K336" s="43"/>
      <c r="L336" s="43"/>
      <c r="M336" s="43"/>
      <c r="N336" s="43"/>
      <c r="O336" s="43"/>
      <c r="P336" s="43"/>
      <c r="Q336" s="43"/>
      <c r="R336" s="50">
        <f t="shared" ref="R336:Y336" si="80">R334*R335</f>
        <v>28</v>
      </c>
      <c r="S336" s="50">
        <f t="shared" si="80"/>
        <v>64</v>
      </c>
      <c r="T336" s="50">
        <f t="shared" si="80"/>
        <v>0</v>
      </c>
      <c r="U336" s="50">
        <f t="shared" si="80"/>
        <v>0</v>
      </c>
      <c r="V336" s="50">
        <f t="shared" si="80"/>
        <v>21</v>
      </c>
      <c r="W336" s="50">
        <f t="shared" si="80"/>
        <v>24</v>
      </c>
      <c r="X336" s="50">
        <f t="shared" si="80"/>
        <v>49</v>
      </c>
      <c r="Y336" s="50">
        <f t="shared" si="80"/>
        <v>24</v>
      </c>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1"/>
      <c r="BZ336" s="31"/>
      <c r="CA336" s="31"/>
      <c r="CB336" s="31"/>
      <c r="CC336" s="31"/>
      <c r="CD336" s="31"/>
      <c r="CE336" s="31"/>
      <c r="CF336" s="31"/>
      <c r="CG336" s="31"/>
    </row>
    <row r="337" ht="15.75" customHeight="1">
      <c r="A337" s="31"/>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1"/>
      <c r="BZ337" s="31"/>
      <c r="CA337" s="31"/>
      <c r="CB337" s="31"/>
      <c r="CC337" s="31"/>
      <c r="CD337" s="31"/>
      <c r="CE337" s="31"/>
      <c r="CF337" s="31"/>
      <c r="CG337" s="31"/>
    </row>
    <row r="338" ht="15.75" customHeight="1">
      <c r="A338" s="47" t="s">
        <v>202</v>
      </c>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1"/>
      <c r="BZ338" s="31"/>
      <c r="CA338" s="31"/>
      <c r="CB338" s="31"/>
      <c r="CC338" s="31"/>
      <c r="CD338" s="31"/>
      <c r="CE338" s="31"/>
      <c r="CF338" s="31"/>
      <c r="CG338" s="31"/>
    </row>
    <row r="339" ht="15.75" customHeight="1">
      <c r="A339" s="39" t="s">
        <v>195</v>
      </c>
      <c r="B339" s="43">
        <v>1.0</v>
      </c>
      <c r="C339" s="43">
        <v>2.0</v>
      </c>
      <c r="D339" s="43">
        <v>3.0</v>
      </c>
      <c r="E339" s="43">
        <v>4.0</v>
      </c>
      <c r="F339" s="43">
        <v>5.0</v>
      </c>
      <c r="G339" s="43">
        <v>6.0</v>
      </c>
      <c r="H339" s="43">
        <v>7.0</v>
      </c>
      <c r="I339" s="43">
        <v>8.0</v>
      </c>
      <c r="J339" s="43">
        <v>9.0</v>
      </c>
      <c r="K339" s="43">
        <v>10.0</v>
      </c>
      <c r="L339" s="43">
        <v>11.0</v>
      </c>
      <c r="M339" s="43">
        <v>12.0</v>
      </c>
      <c r="N339" s="43">
        <v>13.0</v>
      </c>
      <c r="O339" s="43">
        <v>14.0</v>
      </c>
      <c r="P339" s="43">
        <v>15.0</v>
      </c>
      <c r="Q339" s="43">
        <v>16.0</v>
      </c>
      <c r="R339" s="43">
        <v>17.0</v>
      </c>
      <c r="S339" s="43">
        <v>18.0</v>
      </c>
      <c r="T339" s="43">
        <v>19.0</v>
      </c>
      <c r="U339" s="43">
        <v>20.0</v>
      </c>
      <c r="V339" s="43">
        <v>21.0</v>
      </c>
      <c r="W339" s="43">
        <v>22.0</v>
      </c>
      <c r="X339" s="43">
        <v>23.0</v>
      </c>
      <c r="Y339" s="40">
        <v>24.0</v>
      </c>
      <c r="Z339" s="40">
        <v>25.0</v>
      </c>
      <c r="AA339" s="40">
        <v>26.0</v>
      </c>
      <c r="AB339" s="40">
        <v>27.0</v>
      </c>
      <c r="AC339" s="40">
        <v>28.0</v>
      </c>
      <c r="AD339" s="40">
        <v>29.0</v>
      </c>
      <c r="AE339" s="40">
        <v>30.0</v>
      </c>
      <c r="AF339" s="40">
        <v>31.0</v>
      </c>
      <c r="AG339" s="40">
        <v>32.0</v>
      </c>
      <c r="AH339" s="40">
        <v>33.0</v>
      </c>
      <c r="AI339" s="40">
        <v>34.0</v>
      </c>
      <c r="AJ339" s="40">
        <v>35.0</v>
      </c>
      <c r="AK339" s="40">
        <v>36.0</v>
      </c>
      <c r="AL339" s="40">
        <v>37.0</v>
      </c>
      <c r="AM339" s="40">
        <v>38.0</v>
      </c>
      <c r="AN339" s="40">
        <v>39.0</v>
      </c>
      <c r="AO339" s="40">
        <v>40.0</v>
      </c>
      <c r="AP339" s="40">
        <v>41.0</v>
      </c>
      <c r="AQ339" s="40">
        <v>42.0</v>
      </c>
      <c r="AR339" s="40">
        <v>43.0</v>
      </c>
      <c r="AS339" s="40">
        <v>44.0</v>
      </c>
      <c r="AT339" s="40">
        <v>45.0</v>
      </c>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1"/>
      <c r="BZ339" s="31"/>
      <c r="CA339" s="31"/>
      <c r="CB339" s="31"/>
      <c r="CC339" s="31"/>
      <c r="CD339" s="31"/>
      <c r="CE339" s="31"/>
      <c r="CF339" s="31"/>
      <c r="CG339" s="31"/>
    </row>
    <row r="340" ht="15.75" customHeight="1">
      <c r="A340" s="42" t="s">
        <v>196</v>
      </c>
      <c r="B340" s="43" t="str">
        <f t="shared" ref="B340:AT340" si="81">B328</f>
        <v>|</v>
      </c>
      <c r="C340" s="43" t="str">
        <f t="shared" si="81"/>
        <v>0</v>
      </c>
      <c r="D340" s="43" t="str">
        <f t="shared" si="81"/>
        <v>9</v>
      </c>
      <c r="E340" s="43" t="str">
        <f t="shared" si="81"/>
        <v>9</v>
      </c>
      <c r="F340" s="43" t="str">
        <f t="shared" si="81"/>
        <v>4</v>
      </c>
      <c r="G340" s="43" t="str">
        <f t="shared" si="81"/>
        <v>0</v>
      </c>
      <c r="H340" s="43" t="str">
        <f t="shared" si="81"/>
        <v>0</v>
      </c>
      <c r="I340" s="43" t="str">
        <f t="shared" si="81"/>
        <v>0</v>
      </c>
      <c r="J340" s="43" t="str">
        <f t="shared" si="81"/>
        <v>1</v>
      </c>
      <c r="K340" s="43" t="str">
        <f t="shared" si="81"/>
        <v>6</v>
      </c>
      <c r="L340" s="43" t="str">
        <f t="shared" si="81"/>
        <v>3</v>
      </c>
      <c r="M340" s="43" t="str">
        <f t="shared" si="81"/>
        <v>4</v>
      </c>
      <c r="N340" s="43" t="str">
        <f t="shared" si="81"/>
        <v>1</v>
      </c>
      <c r="O340" s="43" t="str">
        <f t="shared" si="81"/>
        <v>0</v>
      </c>
      <c r="P340" s="43" t="str">
        <f t="shared" si="81"/>
        <v>2</v>
      </c>
      <c r="Q340" s="43" t="str">
        <f t="shared" si="81"/>
        <v>2</v>
      </c>
      <c r="R340" s="43" t="str">
        <f t="shared" si="81"/>
        <v>4</v>
      </c>
      <c r="S340" s="43" t="str">
        <f t="shared" si="81"/>
        <v>8</v>
      </c>
      <c r="T340" s="43" t="str">
        <f t="shared" si="81"/>
        <v>0</v>
      </c>
      <c r="U340" s="43" t="str">
        <f t="shared" si="81"/>
        <v>0</v>
      </c>
      <c r="V340" s="43" t="str">
        <f t="shared" si="81"/>
        <v>3</v>
      </c>
      <c r="W340" s="43" t="str">
        <f t="shared" si="81"/>
        <v>3</v>
      </c>
      <c r="X340" s="43" t="str">
        <f t="shared" si="81"/>
        <v>7</v>
      </c>
      <c r="Y340" s="43" t="str">
        <f t="shared" si="81"/>
        <v>3</v>
      </c>
      <c r="Z340" s="43" t="str">
        <f t="shared" si="81"/>
        <v>1</v>
      </c>
      <c r="AA340" s="43" t="str">
        <f t="shared" si="81"/>
        <v>5</v>
      </c>
      <c r="AB340" s="55" t="str">
        <f t="shared" si="81"/>
        <v>7</v>
      </c>
      <c r="AC340" s="55" t="str">
        <f t="shared" si="81"/>
        <v>6</v>
      </c>
      <c r="AD340" s="55" t="str">
        <f t="shared" si="81"/>
        <v>1</v>
      </c>
      <c r="AE340" s="55" t="str">
        <f t="shared" si="81"/>
        <v>2</v>
      </c>
      <c r="AF340" s="55" t="str">
        <f t="shared" si="81"/>
        <v>0</v>
      </c>
      <c r="AG340" s="55" t="str">
        <f t="shared" si="81"/>
        <v>1</v>
      </c>
      <c r="AH340" s="55" t="str">
        <f t="shared" si="81"/>
        <v>1</v>
      </c>
      <c r="AI340" s="55" t="str">
        <f t="shared" si="81"/>
        <v>2</v>
      </c>
      <c r="AJ340" s="55" t="str">
        <f t="shared" si="81"/>
        <v>0</v>
      </c>
      <c r="AK340" s="55" t="str">
        <f t="shared" si="81"/>
        <v>3</v>
      </c>
      <c r="AL340" s="43" t="str">
        <f t="shared" si="81"/>
        <v>6</v>
      </c>
      <c r="AM340" s="43" t="str">
        <f t="shared" si="81"/>
        <v>2</v>
      </c>
      <c r="AN340" s="43" t="str">
        <f t="shared" si="81"/>
        <v>0</v>
      </c>
      <c r="AO340" s="43" t="str">
        <f t="shared" si="81"/>
        <v>0</v>
      </c>
      <c r="AP340" s="43" t="str">
        <f t="shared" si="81"/>
        <v>0</v>
      </c>
      <c r="AQ340" s="43" t="str">
        <f t="shared" si="81"/>
        <v/>
      </c>
      <c r="AR340" s="43" t="str">
        <f t="shared" si="81"/>
        <v/>
      </c>
      <c r="AS340" s="43" t="str">
        <f t="shared" si="81"/>
        <v/>
      </c>
      <c r="AT340" s="43" t="str">
        <f t="shared" si="81"/>
        <v/>
      </c>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row>
    <row r="341" ht="15.75" customHeight="1">
      <c r="A341" s="52" t="s">
        <v>200</v>
      </c>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50">
        <v>7.0</v>
      </c>
      <c r="AC341" s="50">
        <v>8.0</v>
      </c>
      <c r="AD341" s="50">
        <v>7.0</v>
      </c>
      <c r="AE341" s="50">
        <v>8.0</v>
      </c>
      <c r="AF341" s="50">
        <v>7.0</v>
      </c>
      <c r="AG341" s="50">
        <v>8.0</v>
      </c>
      <c r="AH341" s="50">
        <v>7.0</v>
      </c>
      <c r="AI341" s="50">
        <v>8.0</v>
      </c>
      <c r="AJ341" s="50">
        <v>7.0</v>
      </c>
      <c r="AK341" s="50">
        <v>8.0</v>
      </c>
      <c r="AL341" s="43"/>
      <c r="AM341" s="43"/>
      <c r="AN341" s="43"/>
      <c r="AO341" s="43"/>
      <c r="AP341" s="43"/>
      <c r="AQ341" s="43"/>
      <c r="AR341" s="43"/>
      <c r="AS341" s="43"/>
      <c r="AT341" s="43"/>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1"/>
      <c r="BZ341" s="31"/>
      <c r="CA341" s="31"/>
      <c r="CB341" s="31"/>
      <c r="CC341" s="31"/>
      <c r="CD341" s="31"/>
      <c r="CE341" s="31"/>
      <c r="CF341" s="31"/>
      <c r="CG341" s="31"/>
    </row>
    <row r="342" ht="15.75" customHeight="1">
      <c r="A342" s="52" t="s">
        <v>201</v>
      </c>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50">
        <f t="shared" ref="AB342:AK342" si="82">AB340*AB341</f>
        <v>49</v>
      </c>
      <c r="AC342" s="50">
        <f t="shared" si="82"/>
        <v>48</v>
      </c>
      <c r="AD342" s="50">
        <f t="shared" si="82"/>
        <v>7</v>
      </c>
      <c r="AE342" s="50">
        <f t="shared" si="82"/>
        <v>16</v>
      </c>
      <c r="AF342" s="50">
        <f t="shared" si="82"/>
        <v>0</v>
      </c>
      <c r="AG342" s="50">
        <f t="shared" si="82"/>
        <v>8</v>
      </c>
      <c r="AH342" s="50">
        <f t="shared" si="82"/>
        <v>7</v>
      </c>
      <c r="AI342" s="50">
        <f t="shared" si="82"/>
        <v>16</v>
      </c>
      <c r="AJ342" s="50">
        <f t="shared" si="82"/>
        <v>0</v>
      </c>
      <c r="AK342" s="50">
        <f t="shared" si="82"/>
        <v>24</v>
      </c>
      <c r="AL342" s="43"/>
      <c r="AM342" s="43"/>
      <c r="AN342" s="43"/>
      <c r="AO342" s="43"/>
      <c r="AP342" s="43"/>
      <c r="AQ342" s="43"/>
      <c r="AR342" s="43"/>
      <c r="AS342" s="43"/>
      <c r="AT342" s="43"/>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c r="CG342" s="31"/>
    </row>
    <row r="343" ht="15.75" customHeight="1">
      <c r="A343" s="117">
        <f>VALUE(MID(A324,37,9))</f>
        <v>62000</v>
      </c>
      <c r="B343" s="118" t="str">
        <f>TEXT(A343,"0000000")</f>
        <v>0062000</v>
      </c>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c r="CG343" s="31"/>
    </row>
    <row r="344" ht="15.75" customHeight="1">
      <c r="A344" s="47" t="s">
        <v>220</v>
      </c>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c r="CG344" s="31"/>
    </row>
    <row r="345" ht="15.75" customHeight="1">
      <c r="A345" s="39" t="s">
        <v>195</v>
      </c>
      <c r="B345" s="43">
        <v>1.0</v>
      </c>
      <c r="C345" s="43">
        <v>2.0</v>
      </c>
      <c r="D345" s="43">
        <v>3.0</v>
      </c>
      <c r="E345" s="43">
        <v>4.0</v>
      </c>
      <c r="F345" s="43">
        <v>5.0</v>
      </c>
      <c r="G345" s="43">
        <v>6.0</v>
      </c>
      <c r="H345" s="43">
        <v>7.0</v>
      </c>
      <c r="I345" s="43">
        <v>8.0</v>
      </c>
      <c r="J345" s="43">
        <v>9.0</v>
      </c>
      <c r="K345" s="43">
        <v>10.0</v>
      </c>
      <c r="L345" s="43">
        <v>11.0</v>
      </c>
      <c r="M345" s="43">
        <v>12.0</v>
      </c>
      <c r="N345" s="43">
        <v>13.0</v>
      </c>
      <c r="O345" s="43">
        <v>14.0</v>
      </c>
      <c r="P345" s="43">
        <v>15.0</v>
      </c>
      <c r="Q345" s="43">
        <v>16.0</v>
      </c>
      <c r="R345" s="43">
        <v>17.0</v>
      </c>
      <c r="S345" s="43">
        <v>18.0</v>
      </c>
      <c r="T345" s="43">
        <v>19.0</v>
      </c>
      <c r="U345" s="43">
        <v>20.0</v>
      </c>
      <c r="V345" s="43">
        <v>21.0</v>
      </c>
      <c r="W345" s="43">
        <v>22.0</v>
      </c>
      <c r="X345" s="43">
        <v>23.0</v>
      </c>
      <c r="Y345" s="40">
        <v>24.0</v>
      </c>
      <c r="Z345" s="40">
        <v>25.0</v>
      </c>
      <c r="AA345" s="40">
        <v>26.0</v>
      </c>
      <c r="AB345" s="40">
        <v>27.0</v>
      </c>
      <c r="AC345" s="40">
        <v>28.0</v>
      </c>
      <c r="AD345" s="40">
        <v>29.0</v>
      </c>
      <c r="AE345" s="40">
        <v>30.0</v>
      </c>
      <c r="AF345" s="40">
        <v>31.0</v>
      </c>
      <c r="AG345" s="40">
        <v>32.0</v>
      </c>
      <c r="AH345" s="40">
        <v>33.0</v>
      </c>
      <c r="AI345" s="40">
        <v>34.0</v>
      </c>
      <c r="AJ345" s="40">
        <v>35.0</v>
      </c>
      <c r="AK345" s="40">
        <v>36.0</v>
      </c>
      <c r="AL345" s="40">
        <v>37.0</v>
      </c>
      <c r="AM345" s="40">
        <v>38.0</v>
      </c>
      <c r="AN345" s="40">
        <v>39.0</v>
      </c>
      <c r="AO345" s="40">
        <v>40.0</v>
      </c>
      <c r="AP345" s="40">
        <v>41.0</v>
      </c>
      <c r="AQ345" s="40">
        <v>42.0</v>
      </c>
      <c r="AR345" s="40">
        <v>43.0</v>
      </c>
      <c r="AS345" s="40">
        <v>44.0</v>
      </c>
      <c r="AT345" s="40">
        <v>45.0</v>
      </c>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1"/>
      <c r="BZ345" s="31"/>
      <c r="CA345" s="31"/>
      <c r="CB345" s="31"/>
      <c r="CC345" s="31"/>
      <c r="CD345" s="31"/>
      <c r="CE345" s="31"/>
      <c r="CF345" s="31"/>
      <c r="CG345" s="31"/>
    </row>
    <row r="346" ht="15.75" customHeight="1">
      <c r="A346" s="42" t="s">
        <v>196</v>
      </c>
      <c r="B346" s="43" t="str">
        <f t="shared" ref="B346:AJ346" si="83">B328</f>
        <v>|</v>
      </c>
      <c r="C346" s="43" t="str">
        <f t="shared" si="83"/>
        <v>0</v>
      </c>
      <c r="D346" s="43" t="str">
        <f t="shared" si="83"/>
        <v>9</v>
      </c>
      <c r="E346" s="43" t="str">
        <f t="shared" si="83"/>
        <v>9</v>
      </c>
      <c r="F346" s="43" t="str">
        <f t="shared" si="83"/>
        <v>4</v>
      </c>
      <c r="G346" s="43" t="str">
        <f t="shared" si="83"/>
        <v>0</v>
      </c>
      <c r="H346" s="43" t="str">
        <f t="shared" si="83"/>
        <v>0</v>
      </c>
      <c r="I346" s="43" t="str">
        <f t="shared" si="83"/>
        <v>0</v>
      </c>
      <c r="J346" s="43" t="str">
        <f t="shared" si="83"/>
        <v>1</v>
      </c>
      <c r="K346" s="43" t="str">
        <f t="shared" si="83"/>
        <v>6</v>
      </c>
      <c r="L346" s="43" t="str">
        <f t="shared" si="83"/>
        <v>3</v>
      </c>
      <c r="M346" s="43" t="str">
        <f t="shared" si="83"/>
        <v>4</v>
      </c>
      <c r="N346" s="43" t="str">
        <f t="shared" si="83"/>
        <v>1</v>
      </c>
      <c r="O346" s="43" t="str">
        <f t="shared" si="83"/>
        <v>0</v>
      </c>
      <c r="P346" s="43" t="str">
        <f t="shared" si="83"/>
        <v>2</v>
      </c>
      <c r="Q346" s="43" t="str">
        <f t="shared" si="83"/>
        <v>2</v>
      </c>
      <c r="R346" s="43" t="str">
        <f t="shared" si="83"/>
        <v>4</v>
      </c>
      <c r="S346" s="43" t="str">
        <f t="shared" si="83"/>
        <v>8</v>
      </c>
      <c r="T346" s="43" t="str">
        <f t="shared" si="83"/>
        <v>0</v>
      </c>
      <c r="U346" s="43" t="str">
        <f t="shared" si="83"/>
        <v>0</v>
      </c>
      <c r="V346" s="43" t="str">
        <f t="shared" si="83"/>
        <v>3</v>
      </c>
      <c r="W346" s="43" t="str">
        <f t="shared" si="83"/>
        <v>3</v>
      </c>
      <c r="X346" s="43" t="str">
        <f t="shared" si="83"/>
        <v>7</v>
      </c>
      <c r="Y346" s="43" t="str">
        <f t="shared" si="83"/>
        <v>3</v>
      </c>
      <c r="Z346" s="43" t="str">
        <f t="shared" si="83"/>
        <v>1</v>
      </c>
      <c r="AA346" s="43" t="str">
        <f t="shared" si="83"/>
        <v>5</v>
      </c>
      <c r="AB346" s="43" t="str">
        <f t="shared" si="83"/>
        <v>7</v>
      </c>
      <c r="AC346" s="43" t="str">
        <f t="shared" si="83"/>
        <v>6</v>
      </c>
      <c r="AD346" s="43" t="str">
        <f t="shared" si="83"/>
        <v>1</v>
      </c>
      <c r="AE346" s="43" t="str">
        <f t="shared" si="83"/>
        <v>2</v>
      </c>
      <c r="AF346" s="43" t="str">
        <f t="shared" si="83"/>
        <v>0</v>
      </c>
      <c r="AG346" s="43" t="str">
        <f t="shared" si="83"/>
        <v>1</v>
      </c>
      <c r="AH346" s="43" t="str">
        <f t="shared" si="83"/>
        <v>1</v>
      </c>
      <c r="AI346" s="43" t="str">
        <f t="shared" si="83"/>
        <v>2</v>
      </c>
      <c r="AJ346" s="43" t="str">
        <f t="shared" si="83"/>
        <v>0</v>
      </c>
      <c r="AK346" s="43">
        <f>IF($AK344&lt;7,0,AK328)</f>
        <v>0</v>
      </c>
      <c r="AL346" s="119" t="str">
        <f>MID($B343,1,1)</f>
        <v>0</v>
      </c>
      <c r="AM346" s="119" t="str">
        <f>MID($B343,2,1)</f>
        <v>0</v>
      </c>
      <c r="AN346" s="119" t="str">
        <f>MID($B343,3,1)</f>
        <v>6</v>
      </c>
      <c r="AO346" s="119" t="str">
        <f>MID($B343,4,1)</f>
        <v>2</v>
      </c>
      <c r="AP346" s="119" t="str">
        <f>MID($B343,5,1)</f>
        <v>0</v>
      </c>
      <c r="AQ346" s="119" t="str">
        <f>MID($B343,6,1)</f>
        <v>0</v>
      </c>
      <c r="AR346" s="119" t="str">
        <f>MID($B343,7,1)</f>
        <v>0</v>
      </c>
      <c r="AS346" s="43" t="str">
        <f t="shared" ref="AS346:AT346" si="84">AS328</f>
        <v/>
      </c>
      <c r="AT346" s="43" t="str">
        <f t="shared" si="84"/>
        <v/>
      </c>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row>
    <row r="347" ht="15.75" customHeight="1">
      <c r="A347" s="52" t="s">
        <v>200</v>
      </c>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50">
        <v>7.0</v>
      </c>
      <c r="AM347" s="50">
        <v>8.0</v>
      </c>
      <c r="AN347" s="50">
        <v>7.0</v>
      </c>
      <c r="AO347" s="50">
        <v>8.0</v>
      </c>
      <c r="AP347" s="50">
        <v>7.0</v>
      </c>
      <c r="AQ347" s="50">
        <v>8.0</v>
      </c>
      <c r="AR347" s="50">
        <v>7.0</v>
      </c>
      <c r="AS347" s="43"/>
      <c r="AT347" s="43"/>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1"/>
      <c r="BZ347" s="31"/>
      <c r="CA347" s="31"/>
      <c r="CB347" s="31"/>
      <c r="CC347" s="31"/>
      <c r="CD347" s="31"/>
      <c r="CE347" s="31"/>
      <c r="CF347" s="31"/>
      <c r="CG347" s="31"/>
    </row>
    <row r="348" ht="15.75" customHeight="1">
      <c r="A348" s="52" t="s">
        <v>201</v>
      </c>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50">
        <f t="shared" ref="AL348:AR348" si="85">AL346*AL347</f>
        <v>0</v>
      </c>
      <c r="AM348" s="50">
        <f t="shared" si="85"/>
        <v>0</v>
      </c>
      <c r="AN348" s="50">
        <f t="shared" si="85"/>
        <v>42</v>
      </c>
      <c r="AO348" s="50">
        <f t="shared" si="85"/>
        <v>16</v>
      </c>
      <c r="AP348" s="50">
        <f t="shared" si="85"/>
        <v>0</v>
      </c>
      <c r="AQ348" s="50">
        <f t="shared" si="85"/>
        <v>0</v>
      </c>
      <c r="AR348" s="50">
        <f t="shared" si="85"/>
        <v>0</v>
      </c>
      <c r="AS348" s="43"/>
      <c r="AT348" s="43"/>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1"/>
      <c r="BZ348" s="31"/>
      <c r="CA348" s="31"/>
      <c r="CB348" s="31"/>
      <c r="CC348" s="31"/>
      <c r="CD348" s="31"/>
      <c r="CE348" s="31"/>
      <c r="CF348" s="31"/>
      <c r="CG348" s="31"/>
    </row>
    <row r="349" ht="15.75" customHeight="1">
      <c r="A349" s="52" t="s">
        <v>344</v>
      </c>
      <c r="B349" s="52">
        <f>(SUM(B336:AT336)+SUM(B342:AT342)+SUM(B348:AT348))*5</f>
        <v>2215</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1"/>
      <c r="BZ349" s="31"/>
      <c r="CA349" s="31"/>
      <c r="CB349" s="31"/>
      <c r="CC349" s="31"/>
      <c r="CD349" s="31"/>
      <c r="CE349" s="31"/>
      <c r="CF349" s="31"/>
      <c r="CG349" s="31"/>
    </row>
    <row r="350" ht="15.75" customHeight="1">
      <c r="A350" s="52" t="s">
        <v>204</v>
      </c>
      <c r="B350" s="123" t="str">
        <f>TEXT(MOD(B349,100),"00")</f>
        <v>15</v>
      </c>
      <c r="C350" s="31"/>
      <c r="D350" s="30" t="s">
        <v>236</v>
      </c>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1"/>
      <c r="BZ350" s="31"/>
      <c r="CA350" s="31"/>
      <c r="CB350" s="31"/>
      <c r="CC350" s="31"/>
      <c r="CD350" s="31"/>
      <c r="CE350" s="31"/>
      <c r="CF350" s="31"/>
      <c r="CG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1"/>
      <c r="BZ351" s="31"/>
      <c r="CA351" s="31"/>
      <c r="CB351" s="31"/>
      <c r="CC351" s="31"/>
      <c r="CD351" s="31"/>
      <c r="CE351" s="31"/>
      <c r="CF351" s="31"/>
      <c r="CG351" s="31"/>
    </row>
    <row r="352" ht="5.2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c r="AL352" s="54"/>
      <c r="AM352" s="54"/>
      <c r="AN352" s="54"/>
      <c r="AO352" s="54"/>
      <c r="AP352" s="54"/>
      <c r="AQ352" s="54"/>
      <c r="AR352" s="54"/>
      <c r="AS352" s="54"/>
      <c r="AT352" s="54"/>
      <c r="AU352" s="54"/>
      <c r="AV352" s="54"/>
      <c r="AW352" s="54"/>
      <c r="AX352" s="54"/>
      <c r="AY352" s="54"/>
      <c r="AZ352" s="54"/>
      <c r="BA352" s="54"/>
      <c r="BB352" s="54"/>
      <c r="BC352" s="54"/>
      <c r="BD352" s="54"/>
      <c r="BE352" s="54"/>
      <c r="BF352" s="54"/>
      <c r="BG352" s="54"/>
      <c r="BH352" s="54"/>
      <c r="BI352" s="54"/>
      <c r="BJ352" s="54"/>
      <c r="BK352" s="54"/>
      <c r="BL352" s="54"/>
      <c r="BM352" s="54"/>
      <c r="BN352" s="54"/>
      <c r="BO352" s="54"/>
      <c r="BP352" s="54"/>
      <c r="BQ352" s="54"/>
      <c r="BR352" s="54"/>
      <c r="BS352" s="54"/>
      <c r="BT352" s="54"/>
      <c r="BU352" s="54"/>
      <c r="BV352" s="54"/>
      <c r="BW352" s="54"/>
      <c r="BX352" s="54"/>
      <c r="BY352" s="54"/>
      <c r="BZ352" s="54"/>
      <c r="CA352" s="54"/>
      <c r="CB352" s="54"/>
      <c r="CC352" s="54"/>
      <c r="CD352" s="54"/>
      <c r="CE352" s="54"/>
      <c r="CF352" s="54"/>
      <c r="CG352" s="54"/>
    </row>
    <row r="353" ht="15.75" customHeight="1">
      <c r="A353" s="45" t="s">
        <v>345</v>
      </c>
      <c r="B353" s="31"/>
      <c r="C353" s="31"/>
      <c r="D353" s="31"/>
      <c r="E353" s="31"/>
      <c r="F353" s="31"/>
      <c r="G353" s="31"/>
      <c r="H353" s="31"/>
      <c r="I353" s="31"/>
      <c r="J353" s="32" t="s">
        <v>190</v>
      </c>
      <c r="K353" s="124">
        <f>LEN(A353)</f>
        <v>37</v>
      </c>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45" t="s">
        <v>346</v>
      </c>
      <c r="AS353" s="31"/>
      <c r="AT353" s="31"/>
      <c r="AU353" s="31"/>
      <c r="AV353" s="31"/>
      <c r="AW353" s="31"/>
      <c r="AX353" s="31"/>
      <c r="AY353" s="31"/>
      <c r="AZ353" s="31"/>
      <c r="BA353" s="31"/>
      <c r="BB353" s="31"/>
      <c r="BC353" s="31"/>
      <c r="BD353" s="31"/>
      <c r="BE353" s="32" t="s">
        <v>190</v>
      </c>
      <c r="BF353" s="124">
        <f>LEN(AR353)</f>
        <v>38</v>
      </c>
      <c r="BG353" s="31"/>
      <c r="BH353" s="31"/>
      <c r="BI353" s="31"/>
      <c r="BJ353" s="31"/>
      <c r="BK353" s="31"/>
      <c r="BL353" s="31"/>
      <c r="BM353" s="31"/>
      <c r="BN353" s="31"/>
      <c r="BO353" s="31"/>
      <c r="BP353" s="31"/>
      <c r="BQ353" s="31"/>
      <c r="BR353" s="31"/>
      <c r="BS353" s="31"/>
      <c r="BT353" s="31"/>
      <c r="BU353" s="31"/>
      <c r="BV353" s="31"/>
      <c r="BW353" s="31"/>
      <c r="BX353" s="31"/>
      <c r="BY353" s="31"/>
      <c r="BZ353" s="31"/>
      <c r="CA353" s="31"/>
      <c r="CB353" s="31"/>
      <c r="CC353" s="31"/>
      <c r="CD353" s="31"/>
      <c r="CE353" s="31"/>
      <c r="CF353" s="31"/>
      <c r="CG353" s="31"/>
    </row>
    <row r="354" ht="15.75" customHeight="1">
      <c r="A354" s="34" t="s">
        <v>191</v>
      </c>
      <c r="B354" s="35" t="s">
        <v>111</v>
      </c>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89" t="s">
        <v>347</v>
      </c>
      <c r="AP354" s="31"/>
      <c r="AQ354" s="31"/>
      <c r="AR354" s="34"/>
      <c r="AS354" s="35" t="s">
        <v>111</v>
      </c>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89" t="s">
        <v>347</v>
      </c>
      <c r="CG354" s="125"/>
    </row>
    <row r="355" ht="15.75" customHeight="1">
      <c r="A355" s="37" t="s">
        <v>193</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7"/>
      <c r="AG355" s="38"/>
      <c r="AH355" s="116" t="s">
        <v>348</v>
      </c>
      <c r="AI355" s="38"/>
      <c r="AJ355" s="37" t="s">
        <v>194</v>
      </c>
      <c r="AK355" s="37"/>
      <c r="AL355" s="38"/>
      <c r="AM355" s="38"/>
      <c r="AN355" s="38"/>
      <c r="AO355" s="38"/>
      <c r="AP355" s="31"/>
      <c r="AQ355" s="31"/>
      <c r="AR355" s="37" t="s">
        <v>193</v>
      </c>
      <c r="AS355" s="38"/>
      <c r="AT355" s="38"/>
      <c r="AU355" s="38"/>
      <c r="AV355" s="38"/>
      <c r="AW355" s="38"/>
      <c r="AX355" s="38"/>
      <c r="AY355" s="38"/>
      <c r="AZ355" s="38"/>
      <c r="BA355" s="38"/>
      <c r="BB355" s="38"/>
      <c r="BC355" s="38"/>
      <c r="BD355" s="38"/>
      <c r="BE355" s="38"/>
      <c r="BF355" s="38"/>
      <c r="BG355" s="38"/>
      <c r="BH355" s="38"/>
      <c r="BI355" s="38"/>
      <c r="BJ355" s="38"/>
      <c r="BK355" s="38"/>
      <c r="BL355" s="38"/>
      <c r="BM355" s="38"/>
      <c r="BN355" s="38"/>
      <c r="BO355" s="38"/>
      <c r="BP355" s="38"/>
      <c r="BQ355" s="38"/>
      <c r="BR355" s="38"/>
      <c r="BS355" s="38"/>
      <c r="BT355" s="38"/>
      <c r="BU355" s="38"/>
      <c r="BV355" s="38"/>
      <c r="BW355" s="37"/>
      <c r="BX355" s="38"/>
      <c r="BY355" s="116" t="s">
        <v>348</v>
      </c>
      <c r="BZ355" s="38"/>
      <c r="CA355" s="37" t="s">
        <v>194</v>
      </c>
      <c r="CB355" s="37"/>
      <c r="CC355" s="38"/>
      <c r="CD355" s="38"/>
      <c r="CE355" s="38"/>
      <c r="CF355" s="38"/>
      <c r="CG355" s="38"/>
    </row>
    <row r="356" ht="15.75" customHeight="1">
      <c r="A356" s="39" t="s">
        <v>195</v>
      </c>
      <c r="B356" s="40">
        <v>1.0</v>
      </c>
      <c r="C356" s="40">
        <v>2.0</v>
      </c>
      <c r="D356" s="40">
        <v>3.0</v>
      </c>
      <c r="E356" s="40">
        <v>4.0</v>
      </c>
      <c r="F356" s="40">
        <v>5.0</v>
      </c>
      <c r="G356" s="40">
        <v>6.0</v>
      </c>
      <c r="H356" s="40">
        <v>7.0</v>
      </c>
      <c r="I356" s="40">
        <v>8.0</v>
      </c>
      <c r="J356" s="40">
        <v>9.0</v>
      </c>
      <c r="K356" s="40">
        <v>10.0</v>
      </c>
      <c r="L356" s="40">
        <v>11.0</v>
      </c>
      <c r="M356" s="40">
        <v>12.0</v>
      </c>
      <c r="N356" s="40">
        <v>13.0</v>
      </c>
      <c r="O356" s="40">
        <v>14.0</v>
      </c>
      <c r="P356" s="40">
        <v>15.0</v>
      </c>
      <c r="Q356" s="40">
        <v>16.0</v>
      </c>
      <c r="R356" s="40">
        <v>17.0</v>
      </c>
      <c r="S356" s="40">
        <v>18.0</v>
      </c>
      <c r="T356" s="40">
        <v>19.0</v>
      </c>
      <c r="U356" s="40">
        <v>20.0</v>
      </c>
      <c r="V356" s="40">
        <v>21.0</v>
      </c>
      <c r="W356" s="40">
        <v>22.0</v>
      </c>
      <c r="X356" s="40">
        <v>23.0</v>
      </c>
      <c r="Y356" s="40">
        <v>24.0</v>
      </c>
      <c r="Z356" s="40">
        <v>25.0</v>
      </c>
      <c r="AA356" s="40">
        <v>26.0</v>
      </c>
      <c r="AB356" s="40">
        <v>27.0</v>
      </c>
      <c r="AC356" s="40">
        <v>28.0</v>
      </c>
      <c r="AD356" s="40">
        <v>29.0</v>
      </c>
      <c r="AE356" s="40">
        <v>30.0</v>
      </c>
      <c r="AF356" s="43">
        <v>31.0</v>
      </c>
      <c r="AG356" s="43">
        <v>32.0</v>
      </c>
      <c r="AH356" s="40">
        <v>33.0</v>
      </c>
      <c r="AI356" s="40">
        <v>34.0</v>
      </c>
      <c r="AJ356" s="103">
        <v>35.0</v>
      </c>
      <c r="AK356" s="103">
        <v>36.0</v>
      </c>
      <c r="AL356" s="43">
        <v>37.0</v>
      </c>
      <c r="AM356" s="40">
        <v>38.0</v>
      </c>
      <c r="AN356" s="40">
        <v>39.0</v>
      </c>
      <c r="AO356" s="40">
        <v>40.0</v>
      </c>
      <c r="AP356" s="31"/>
      <c r="AQ356" s="31"/>
      <c r="AR356" s="39" t="s">
        <v>195</v>
      </c>
      <c r="AS356" s="40">
        <v>1.0</v>
      </c>
      <c r="AT356" s="40">
        <v>2.0</v>
      </c>
      <c r="AU356" s="40">
        <v>3.0</v>
      </c>
      <c r="AV356" s="40">
        <v>4.0</v>
      </c>
      <c r="AW356" s="40">
        <v>5.0</v>
      </c>
      <c r="AX356" s="40">
        <v>6.0</v>
      </c>
      <c r="AY356" s="40">
        <v>7.0</v>
      </c>
      <c r="AZ356" s="40">
        <v>8.0</v>
      </c>
      <c r="BA356" s="40">
        <v>9.0</v>
      </c>
      <c r="BB356" s="40">
        <v>10.0</v>
      </c>
      <c r="BC356" s="40">
        <v>11.0</v>
      </c>
      <c r="BD356" s="40">
        <v>12.0</v>
      </c>
      <c r="BE356" s="40">
        <v>13.0</v>
      </c>
      <c r="BF356" s="40">
        <v>14.0</v>
      </c>
      <c r="BG356" s="40">
        <v>15.0</v>
      </c>
      <c r="BH356" s="40">
        <v>16.0</v>
      </c>
      <c r="BI356" s="40">
        <v>17.0</v>
      </c>
      <c r="BJ356" s="40">
        <v>18.0</v>
      </c>
      <c r="BK356" s="40">
        <v>19.0</v>
      </c>
      <c r="BL356" s="40">
        <v>20.0</v>
      </c>
      <c r="BM356" s="40">
        <v>21.0</v>
      </c>
      <c r="BN356" s="40">
        <v>22.0</v>
      </c>
      <c r="BO356" s="40">
        <v>23.0</v>
      </c>
      <c r="BP356" s="40">
        <v>24.0</v>
      </c>
      <c r="BQ356" s="40">
        <v>25.0</v>
      </c>
      <c r="BR356" s="40">
        <v>26.0</v>
      </c>
      <c r="BS356" s="40">
        <v>27.0</v>
      </c>
      <c r="BT356" s="40">
        <v>28.0</v>
      </c>
      <c r="BU356" s="40">
        <v>29.0</v>
      </c>
      <c r="BV356" s="40">
        <v>30.0</v>
      </c>
      <c r="BW356" s="43">
        <v>31.0</v>
      </c>
      <c r="BX356" s="43">
        <v>32.0</v>
      </c>
      <c r="BY356" s="40">
        <v>33.0</v>
      </c>
      <c r="BZ356" s="40">
        <v>34.0</v>
      </c>
      <c r="CA356" s="40">
        <v>35.0</v>
      </c>
      <c r="CB356" s="103">
        <v>36.0</v>
      </c>
      <c r="CC356" s="103">
        <v>37.0</v>
      </c>
      <c r="CD356" s="40">
        <v>38.0</v>
      </c>
      <c r="CE356" s="40">
        <v>39.0</v>
      </c>
      <c r="CF356" s="40">
        <v>40.0</v>
      </c>
      <c r="CG356" s="126"/>
    </row>
    <row r="357" ht="15.75" customHeight="1">
      <c r="A357" s="42" t="s">
        <v>196</v>
      </c>
      <c r="B357" s="42" t="str">
        <f t="shared" ref="B357:AO357" si="86">MID($A353,B356,1)</f>
        <v>|</v>
      </c>
      <c r="C357" s="42" t="str">
        <f t="shared" si="86"/>
        <v>0</v>
      </c>
      <c r="D357" s="42" t="str">
        <f t="shared" si="86"/>
        <v>1</v>
      </c>
      <c r="E357" s="42" t="str">
        <f t="shared" si="86"/>
        <v>0</v>
      </c>
      <c r="F357" s="42" t="str">
        <f t="shared" si="86"/>
        <v>5</v>
      </c>
      <c r="G357" s="42" t="str">
        <f t="shared" si="86"/>
        <v>5</v>
      </c>
      <c r="H357" s="42" t="str">
        <f t="shared" si="86"/>
        <v>3</v>
      </c>
      <c r="I357" s="42" t="str">
        <f t="shared" si="86"/>
        <v>6</v>
      </c>
      <c r="J357" s="42" t="str">
        <f t="shared" si="86"/>
        <v>1</v>
      </c>
      <c r="K357" s="42" t="str">
        <f t="shared" si="86"/>
        <v>1</v>
      </c>
      <c r="L357" s="42" t="str">
        <f t="shared" si="86"/>
        <v>3</v>
      </c>
      <c r="M357" s="42" t="str">
        <f t="shared" si="86"/>
        <v>5</v>
      </c>
      <c r="N357" s="42" t="str">
        <f t="shared" si="86"/>
        <v>5</v>
      </c>
      <c r="O357" s="42" t="str">
        <f t="shared" si="86"/>
        <v>0</v>
      </c>
      <c r="P357" s="42" t="str">
        <f t="shared" si="86"/>
        <v>0</v>
      </c>
      <c r="Q357" s="42" t="str">
        <f t="shared" si="86"/>
        <v>4</v>
      </c>
      <c r="R357" s="42" t="str">
        <f t="shared" si="86"/>
        <v>6</v>
      </c>
      <c r="S357" s="42" t="str">
        <f t="shared" si="86"/>
        <v>5</v>
      </c>
      <c r="T357" s="42" t="str">
        <f t="shared" si="86"/>
        <v>3</v>
      </c>
      <c r="U357" s="42" t="str">
        <f t="shared" si="86"/>
        <v>3</v>
      </c>
      <c r="V357" s="42" t="str">
        <f t="shared" si="86"/>
        <v>2</v>
      </c>
      <c r="W357" s="42" t="str">
        <f t="shared" si="86"/>
        <v>4</v>
      </c>
      <c r="X357" s="42" t="str">
        <f t="shared" si="86"/>
        <v>5</v>
      </c>
      <c r="Y357" s="42" t="str">
        <f t="shared" si="86"/>
        <v>0</v>
      </c>
      <c r="Z357" s="42" t="str">
        <f t="shared" si="86"/>
        <v>8</v>
      </c>
      <c r="AA357" s="42" t="str">
        <f t="shared" si="86"/>
        <v>7</v>
      </c>
      <c r="AB357" s="42" t="str">
        <f t="shared" si="86"/>
        <v>6</v>
      </c>
      <c r="AC357" s="42" t="str">
        <f t="shared" si="86"/>
        <v>7</v>
      </c>
      <c r="AD357" s="42" t="str">
        <f t="shared" si="86"/>
        <v>7</v>
      </c>
      <c r="AE357" s="42" t="str">
        <f t="shared" si="86"/>
        <v>2</v>
      </c>
      <c r="AF357" s="42" t="str">
        <f t="shared" si="86"/>
        <v>8</v>
      </c>
      <c r="AG357" s="42" t="str">
        <f t="shared" si="86"/>
        <v>5</v>
      </c>
      <c r="AH357" s="127" t="str">
        <f t="shared" si="86"/>
        <v>1</v>
      </c>
      <c r="AI357" s="127" t="str">
        <f t="shared" si="86"/>
        <v>0</v>
      </c>
      <c r="AJ357" s="44" t="str">
        <f t="shared" si="86"/>
        <v>0</v>
      </c>
      <c r="AK357" s="44" t="str">
        <f t="shared" si="86"/>
        <v>0</v>
      </c>
      <c r="AL357" s="42" t="str">
        <f t="shared" si="86"/>
        <v>0</v>
      </c>
      <c r="AM357" s="42" t="str">
        <f t="shared" si="86"/>
        <v/>
      </c>
      <c r="AN357" s="42" t="str">
        <f t="shared" si="86"/>
        <v/>
      </c>
      <c r="AO357" s="42" t="str">
        <f t="shared" si="86"/>
        <v/>
      </c>
      <c r="AP357" s="31"/>
      <c r="AQ357" s="31"/>
      <c r="AR357" s="42"/>
      <c r="AS357" s="42" t="str">
        <f t="shared" ref="AS357:CF357" si="87">MID($AR353,AS356,1)</f>
        <v>|</v>
      </c>
      <c r="AT357" s="42" t="str">
        <f t="shared" si="87"/>
        <v>0</v>
      </c>
      <c r="AU357" s="42" t="str">
        <f t="shared" si="87"/>
        <v>1</v>
      </c>
      <c r="AV357" s="42" t="str">
        <f t="shared" si="87"/>
        <v>0</v>
      </c>
      <c r="AW357" s="42" t="str">
        <f t="shared" si="87"/>
        <v>5</v>
      </c>
      <c r="AX357" s="42" t="str">
        <f t="shared" si="87"/>
        <v>5</v>
      </c>
      <c r="AY357" s="42" t="str">
        <f t="shared" si="87"/>
        <v>3</v>
      </c>
      <c r="AZ357" s="42" t="str">
        <f t="shared" si="87"/>
        <v>6</v>
      </c>
      <c r="BA357" s="42" t="str">
        <f t="shared" si="87"/>
        <v>1</v>
      </c>
      <c r="BB357" s="42" t="str">
        <f t="shared" si="87"/>
        <v>1</v>
      </c>
      <c r="BC357" s="42" t="str">
        <f t="shared" si="87"/>
        <v>3</v>
      </c>
      <c r="BD357" s="42" t="str">
        <f t="shared" si="87"/>
        <v>5</v>
      </c>
      <c r="BE357" s="42" t="str">
        <f t="shared" si="87"/>
        <v>5</v>
      </c>
      <c r="BF357" s="42" t="str">
        <f t="shared" si="87"/>
        <v>0</v>
      </c>
      <c r="BG357" s="42" t="str">
        <f t="shared" si="87"/>
        <v>0</v>
      </c>
      <c r="BH357" s="42" t="str">
        <f t="shared" si="87"/>
        <v>4</v>
      </c>
      <c r="BI357" s="42" t="str">
        <f t="shared" si="87"/>
        <v>6</v>
      </c>
      <c r="BJ357" s="42" t="str">
        <f t="shared" si="87"/>
        <v>9</v>
      </c>
      <c r="BK357" s="42" t="str">
        <f t="shared" si="87"/>
        <v>0</v>
      </c>
      <c r="BL357" s="42" t="str">
        <f t="shared" si="87"/>
        <v>5</v>
      </c>
      <c r="BM357" s="42" t="str">
        <f t="shared" si="87"/>
        <v>5</v>
      </c>
      <c r="BN357" s="42" t="str">
        <f t="shared" si="87"/>
        <v>8</v>
      </c>
      <c r="BO357" s="42" t="str">
        <f t="shared" si="87"/>
        <v>2</v>
      </c>
      <c r="BP357" s="42" t="str">
        <f t="shared" si="87"/>
        <v>0</v>
      </c>
      <c r="BQ357" s="42" t="str">
        <f t="shared" si="87"/>
        <v>3</v>
      </c>
      <c r="BR357" s="42" t="str">
        <f t="shared" si="87"/>
        <v>1</v>
      </c>
      <c r="BS357" s="42" t="str">
        <f t="shared" si="87"/>
        <v>0</v>
      </c>
      <c r="BT357" s="42" t="str">
        <f t="shared" si="87"/>
        <v>2</v>
      </c>
      <c r="BU357" s="42" t="str">
        <f t="shared" si="87"/>
        <v>6</v>
      </c>
      <c r="BV357" s="42" t="str">
        <f t="shared" si="87"/>
        <v>2</v>
      </c>
      <c r="BW357" s="42" t="str">
        <f t="shared" si="87"/>
        <v>8</v>
      </c>
      <c r="BX357" s="42" t="str">
        <f t="shared" si="87"/>
        <v>5</v>
      </c>
      <c r="BY357" s="42" t="str">
        <f t="shared" si="87"/>
        <v>5</v>
      </c>
      <c r="BZ357" s="127" t="str">
        <f t="shared" si="87"/>
        <v>1</v>
      </c>
      <c r="CA357" s="127" t="str">
        <f t="shared" si="87"/>
        <v>0</v>
      </c>
      <c r="CB357" s="44" t="str">
        <f t="shared" si="87"/>
        <v>6</v>
      </c>
      <c r="CC357" s="44" t="str">
        <f t="shared" si="87"/>
        <v>8</v>
      </c>
      <c r="CD357" s="42" t="str">
        <f t="shared" si="87"/>
        <v>0</v>
      </c>
      <c r="CE357" s="42" t="str">
        <f t="shared" si="87"/>
        <v/>
      </c>
      <c r="CF357" s="42" t="str">
        <f t="shared" si="87"/>
        <v/>
      </c>
      <c r="CG357" s="124"/>
    </row>
    <row r="358" ht="15.75" customHeight="1">
      <c r="A358" s="45" t="s">
        <v>349</v>
      </c>
      <c r="B358" s="46"/>
      <c r="C358" s="46"/>
      <c r="D358" s="46"/>
      <c r="E358" s="46"/>
      <c r="F358" s="46"/>
      <c r="G358" s="46"/>
      <c r="H358" s="46"/>
      <c r="I358" s="46"/>
      <c r="J358" s="46"/>
      <c r="K358" s="46">
        <f t="shared" ref="K358:K361" si="88">LEN(A358)</f>
        <v>37</v>
      </c>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31"/>
      <c r="AQ358" s="31"/>
      <c r="AR358" s="45" t="s">
        <v>350</v>
      </c>
      <c r="AS358" s="46"/>
      <c r="AT358" s="46"/>
      <c r="AU358" s="46"/>
      <c r="AV358" s="46"/>
      <c r="AW358" s="46"/>
      <c r="AX358" s="46"/>
      <c r="AY358" s="46"/>
      <c r="AZ358" s="46"/>
      <c r="BA358" s="46"/>
      <c r="BB358" s="46"/>
      <c r="BC358" s="46"/>
      <c r="BD358" s="46"/>
      <c r="BE358" s="46"/>
      <c r="BF358" s="46">
        <f t="shared" ref="BF358:BF361" si="89">LEN(AR358)</f>
        <v>38</v>
      </c>
      <c r="BG358" s="46"/>
      <c r="BH358" s="46"/>
      <c r="BI358" s="46"/>
      <c r="BJ358" s="46"/>
      <c r="BK358" s="46"/>
      <c r="BL358" s="46"/>
      <c r="BM358" s="46"/>
      <c r="BN358" s="46"/>
      <c r="BO358" s="46"/>
      <c r="BP358" s="46"/>
      <c r="BQ358" s="46"/>
      <c r="BR358" s="46"/>
      <c r="BS358" s="46"/>
      <c r="BT358" s="46"/>
      <c r="BU358" s="46"/>
      <c r="BV358" s="46"/>
      <c r="BW358" s="46"/>
      <c r="BX358" s="46"/>
      <c r="BY358" s="46"/>
      <c r="BZ358" s="46"/>
      <c r="CA358" s="46"/>
      <c r="CB358" s="46"/>
      <c r="CC358" s="46"/>
      <c r="CD358" s="46"/>
      <c r="CE358" s="46"/>
      <c r="CF358" s="46"/>
      <c r="CG358" s="46"/>
    </row>
    <row r="359" ht="15.75" customHeight="1">
      <c r="A359" s="45" t="s">
        <v>351</v>
      </c>
      <c r="B359" s="46"/>
      <c r="C359" s="46"/>
      <c r="D359" s="46"/>
      <c r="E359" s="46"/>
      <c r="F359" s="46"/>
      <c r="G359" s="46"/>
      <c r="H359" s="46"/>
      <c r="I359" s="46"/>
      <c r="J359" s="46"/>
      <c r="K359" s="46">
        <f t="shared" si="88"/>
        <v>37</v>
      </c>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31"/>
      <c r="AQ359" s="31"/>
      <c r="AR359" s="45" t="s">
        <v>352</v>
      </c>
      <c r="AS359" s="46"/>
      <c r="AT359" s="46"/>
      <c r="AU359" s="46"/>
      <c r="AV359" s="46"/>
      <c r="AW359" s="46"/>
      <c r="AX359" s="46"/>
      <c r="AY359" s="46"/>
      <c r="AZ359" s="46"/>
      <c r="BA359" s="46"/>
      <c r="BB359" s="46"/>
      <c r="BC359" s="46"/>
      <c r="BD359" s="46"/>
      <c r="BE359" s="46"/>
      <c r="BF359" s="46">
        <f t="shared" si="89"/>
        <v>38</v>
      </c>
      <c r="BG359" s="46"/>
      <c r="BH359" s="46"/>
      <c r="BI359" s="46"/>
      <c r="BJ359" s="46"/>
      <c r="BK359" s="46"/>
      <c r="BL359" s="46"/>
      <c r="BM359" s="46"/>
      <c r="BN359" s="46"/>
      <c r="BO359" s="46"/>
      <c r="BP359" s="46"/>
      <c r="BQ359" s="46"/>
      <c r="BR359" s="46"/>
      <c r="BS359" s="46"/>
      <c r="BT359" s="46"/>
      <c r="BU359" s="46"/>
      <c r="BV359" s="46"/>
      <c r="BW359" s="46"/>
      <c r="BX359" s="46"/>
      <c r="BY359" s="46"/>
      <c r="BZ359" s="46"/>
      <c r="CA359" s="46"/>
      <c r="CB359" s="46"/>
      <c r="CC359" s="46"/>
      <c r="CD359" s="46"/>
      <c r="CE359" s="46"/>
      <c r="CF359" s="46"/>
      <c r="CG359" s="46"/>
    </row>
    <row r="360" ht="15.75" customHeight="1">
      <c r="A360" s="45" t="s">
        <v>353</v>
      </c>
      <c r="B360" s="46"/>
      <c r="C360" s="46"/>
      <c r="D360" s="46"/>
      <c r="E360" s="46"/>
      <c r="F360" s="46"/>
      <c r="G360" s="46"/>
      <c r="H360" s="46"/>
      <c r="I360" s="46"/>
      <c r="J360" s="46"/>
      <c r="K360" s="46">
        <f t="shared" si="88"/>
        <v>37</v>
      </c>
      <c r="L360" s="46"/>
      <c r="M360" s="46"/>
      <c r="N360" s="46"/>
      <c r="O360" s="46"/>
      <c r="P360" s="46"/>
      <c r="Q360" s="46"/>
      <c r="R360" s="61" t="s">
        <v>233</v>
      </c>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31"/>
      <c r="AQ360" s="31"/>
      <c r="AR360" s="45" t="s">
        <v>354</v>
      </c>
      <c r="AS360" s="46"/>
      <c r="AT360" s="46"/>
      <c r="AU360" s="46"/>
      <c r="AV360" s="46"/>
      <c r="AW360" s="46"/>
      <c r="AX360" s="46"/>
      <c r="AY360" s="46"/>
      <c r="AZ360" s="46"/>
      <c r="BA360" s="46"/>
      <c r="BB360" s="46"/>
      <c r="BC360" s="46"/>
      <c r="BD360" s="46"/>
      <c r="BE360" s="46"/>
      <c r="BF360" s="46">
        <f t="shared" si="89"/>
        <v>38</v>
      </c>
      <c r="BG360" s="46"/>
      <c r="BH360" s="46"/>
      <c r="BI360" s="61" t="s">
        <v>233</v>
      </c>
      <c r="BJ360" s="46"/>
      <c r="BK360" s="46"/>
      <c r="BL360" s="46"/>
      <c r="BM360" s="46"/>
      <c r="BN360" s="46"/>
      <c r="BO360" s="46"/>
      <c r="BP360" s="46"/>
      <c r="BQ360" s="46"/>
      <c r="BR360" s="46"/>
      <c r="BS360" s="46"/>
      <c r="BT360" s="46"/>
      <c r="BU360" s="46"/>
      <c r="BV360" s="46"/>
      <c r="BW360" s="46"/>
      <c r="BX360" s="46"/>
      <c r="BY360" s="46"/>
      <c r="BZ360" s="46"/>
      <c r="CA360" s="46"/>
      <c r="CB360" s="46"/>
      <c r="CC360" s="46"/>
      <c r="CD360" s="46"/>
      <c r="CE360" s="46"/>
      <c r="CF360" s="46"/>
      <c r="CG360" s="46"/>
    </row>
    <row r="361" ht="15.75" customHeight="1">
      <c r="A361" s="45" t="s">
        <v>355</v>
      </c>
      <c r="B361" s="46"/>
      <c r="C361" s="46"/>
      <c r="D361" s="46"/>
      <c r="E361" s="46"/>
      <c r="F361" s="46"/>
      <c r="G361" s="46"/>
      <c r="H361" s="46"/>
      <c r="I361" s="46"/>
      <c r="J361" s="46"/>
      <c r="K361" s="46">
        <f t="shared" si="88"/>
        <v>37</v>
      </c>
      <c r="L361" s="46"/>
      <c r="M361" s="46"/>
      <c r="N361" s="46"/>
      <c r="O361" s="46"/>
      <c r="P361" s="46"/>
      <c r="Q361" s="46"/>
      <c r="R361" s="62" t="s">
        <v>234</v>
      </c>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31"/>
      <c r="AQ361" s="31"/>
      <c r="AR361" s="45" t="s">
        <v>346</v>
      </c>
      <c r="AS361" s="46"/>
      <c r="AT361" s="46"/>
      <c r="AU361" s="46"/>
      <c r="AV361" s="46"/>
      <c r="AW361" s="46"/>
      <c r="AX361" s="46"/>
      <c r="AY361" s="46"/>
      <c r="AZ361" s="46"/>
      <c r="BA361" s="46"/>
      <c r="BB361" s="46"/>
      <c r="BC361" s="46"/>
      <c r="BD361" s="46"/>
      <c r="BE361" s="46"/>
      <c r="BF361" s="46">
        <f t="shared" si="89"/>
        <v>38</v>
      </c>
      <c r="BG361" s="46"/>
      <c r="BH361" s="46"/>
      <c r="BI361" s="62" t="s">
        <v>234</v>
      </c>
      <c r="BJ361" s="46"/>
      <c r="BK361" s="46"/>
      <c r="BL361" s="46"/>
      <c r="BM361" s="46"/>
      <c r="BN361" s="46"/>
      <c r="BO361" s="46"/>
      <c r="BP361" s="46"/>
      <c r="BQ361" s="46"/>
      <c r="BR361" s="46"/>
      <c r="BS361" s="46"/>
      <c r="BT361" s="46"/>
      <c r="BU361" s="46"/>
      <c r="BV361" s="46"/>
      <c r="BW361" s="46"/>
      <c r="BX361" s="46"/>
      <c r="BY361" s="46"/>
      <c r="BZ361" s="46"/>
      <c r="CA361" s="46"/>
      <c r="CB361" s="46"/>
      <c r="CC361" s="46"/>
      <c r="CD361" s="46"/>
      <c r="CE361" s="46"/>
      <c r="CF361" s="46"/>
      <c r="CG361" s="46"/>
    </row>
    <row r="362" ht="15.75" customHeight="1">
      <c r="A362" s="47" t="s">
        <v>199</v>
      </c>
      <c r="B362" s="48"/>
      <c r="C362" s="48"/>
      <c r="D362" s="48"/>
      <c r="E362" s="48"/>
      <c r="F362" s="48"/>
      <c r="G362" s="48"/>
      <c r="H362" s="48"/>
      <c r="I362" s="48"/>
      <c r="J362" s="48"/>
      <c r="K362" s="48"/>
      <c r="L362" s="48"/>
      <c r="M362" s="48"/>
      <c r="N362" s="48"/>
      <c r="O362" s="48"/>
      <c r="P362" s="48"/>
      <c r="Q362" s="48"/>
      <c r="R362" s="12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31"/>
      <c r="AQ362" s="31"/>
      <c r="AR362" s="47" t="s">
        <v>199</v>
      </c>
      <c r="AS362" s="48"/>
      <c r="AT362" s="48"/>
      <c r="AU362" s="48"/>
      <c r="AV362" s="48"/>
      <c r="AW362" s="48"/>
      <c r="AX362" s="48"/>
      <c r="AY362" s="48"/>
      <c r="AZ362" s="48"/>
      <c r="BA362" s="48"/>
      <c r="BB362" s="48"/>
      <c r="BC362" s="48"/>
      <c r="BD362" s="48"/>
      <c r="BE362" s="48"/>
      <c r="BF362" s="48"/>
      <c r="BG362" s="48"/>
      <c r="BH362" s="48"/>
      <c r="BI362" s="12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row>
    <row r="363" ht="15.75" customHeight="1">
      <c r="A363" s="39" t="s">
        <v>195</v>
      </c>
      <c r="B363" s="40">
        <v>1.0</v>
      </c>
      <c r="C363" s="40">
        <v>2.0</v>
      </c>
      <c r="D363" s="40">
        <v>3.0</v>
      </c>
      <c r="E363" s="40">
        <v>4.0</v>
      </c>
      <c r="F363" s="40">
        <v>5.0</v>
      </c>
      <c r="G363" s="40">
        <v>6.0</v>
      </c>
      <c r="H363" s="40">
        <v>7.0</v>
      </c>
      <c r="I363" s="40">
        <v>8.0</v>
      </c>
      <c r="J363" s="40">
        <v>9.0</v>
      </c>
      <c r="K363" s="40">
        <v>10.0</v>
      </c>
      <c r="L363" s="40">
        <v>11.0</v>
      </c>
      <c r="M363" s="40">
        <v>12.0</v>
      </c>
      <c r="N363" s="40">
        <v>13.0</v>
      </c>
      <c r="O363" s="40">
        <v>14.0</v>
      </c>
      <c r="P363" s="40">
        <v>15.0</v>
      </c>
      <c r="Q363" s="40">
        <v>16.0</v>
      </c>
      <c r="R363" s="50">
        <v>17.0</v>
      </c>
      <c r="S363" s="50">
        <v>18.0</v>
      </c>
      <c r="T363" s="50">
        <v>19.0</v>
      </c>
      <c r="U363" s="50">
        <v>20.0</v>
      </c>
      <c r="V363" s="50">
        <v>21.0</v>
      </c>
      <c r="W363" s="50">
        <v>22.0</v>
      </c>
      <c r="X363" s="50">
        <v>23.0</v>
      </c>
      <c r="Y363" s="43">
        <v>24.0</v>
      </c>
      <c r="Z363" s="43">
        <v>25.0</v>
      </c>
      <c r="AA363" s="43">
        <v>26.0</v>
      </c>
      <c r="AB363" s="43">
        <v>27.0</v>
      </c>
      <c r="AC363" s="43">
        <v>28.0</v>
      </c>
      <c r="AD363" s="43">
        <v>29.0</v>
      </c>
      <c r="AE363" s="43">
        <v>30.0</v>
      </c>
      <c r="AF363" s="40">
        <v>31.0</v>
      </c>
      <c r="AG363" s="40">
        <v>32.0</v>
      </c>
      <c r="AH363" s="40">
        <v>33.0</v>
      </c>
      <c r="AI363" s="40">
        <v>34.0</v>
      </c>
      <c r="AJ363" s="40">
        <v>35.0</v>
      </c>
      <c r="AK363" s="40">
        <v>36.0</v>
      </c>
      <c r="AL363" s="40">
        <v>37.0</v>
      </c>
      <c r="AM363" s="40">
        <v>38.0</v>
      </c>
      <c r="AN363" s="40">
        <v>39.0</v>
      </c>
      <c r="AO363" s="40">
        <v>40.0</v>
      </c>
      <c r="AP363" s="31"/>
      <c r="AQ363" s="31"/>
      <c r="AR363" s="39" t="s">
        <v>195</v>
      </c>
      <c r="AS363" s="40">
        <v>1.0</v>
      </c>
      <c r="AT363" s="40">
        <v>2.0</v>
      </c>
      <c r="AU363" s="40">
        <v>3.0</v>
      </c>
      <c r="AV363" s="40">
        <v>4.0</v>
      </c>
      <c r="AW363" s="40">
        <v>5.0</v>
      </c>
      <c r="AX363" s="40">
        <v>6.0</v>
      </c>
      <c r="AY363" s="40">
        <v>7.0</v>
      </c>
      <c r="AZ363" s="40">
        <v>8.0</v>
      </c>
      <c r="BA363" s="40">
        <v>9.0</v>
      </c>
      <c r="BB363" s="40">
        <v>10.0</v>
      </c>
      <c r="BC363" s="40">
        <v>11.0</v>
      </c>
      <c r="BD363" s="40">
        <v>12.0</v>
      </c>
      <c r="BE363" s="40">
        <v>13.0</v>
      </c>
      <c r="BF363" s="40">
        <v>14.0</v>
      </c>
      <c r="BG363" s="40">
        <v>15.0</v>
      </c>
      <c r="BH363" s="40">
        <v>16.0</v>
      </c>
      <c r="BI363" s="50">
        <v>17.0</v>
      </c>
      <c r="BJ363" s="50">
        <v>18.0</v>
      </c>
      <c r="BK363" s="50">
        <v>19.0</v>
      </c>
      <c r="BL363" s="50">
        <v>20.0</v>
      </c>
      <c r="BM363" s="50">
        <v>21.0</v>
      </c>
      <c r="BN363" s="50">
        <v>22.0</v>
      </c>
      <c r="BO363" s="50">
        <v>23.0</v>
      </c>
      <c r="BP363" s="43">
        <v>24.0</v>
      </c>
      <c r="BQ363" s="43">
        <v>25.0</v>
      </c>
      <c r="BR363" s="43">
        <v>26.0</v>
      </c>
      <c r="BS363" s="43">
        <v>27.0</v>
      </c>
      <c r="BT363" s="43">
        <v>28.0</v>
      </c>
      <c r="BU363" s="43">
        <v>29.0</v>
      </c>
      <c r="BV363" s="43">
        <v>30.0</v>
      </c>
      <c r="BW363" s="40">
        <v>31.0</v>
      </c>
      <c r="BX363" s="40">
        <v>32.0</v>
      </c>
      <c r="BY363" s="40">
        <v>33.0</v>
      </c>
      <c r="BZ363" s="40">
        <v>34.0</v>
      </c>
      <c r="CA363" s="40">
        <v>35.0</v>
      </c>
      <c r="CB363" s="40">
        <v>36.0</v>
      </c>
      <c r="CC363" s="40">
        <v>37.0</v>
      </c>
      <c r="CD363" s="40">
        <v>38.0</v>
      </c>
      <c r="CE363" s="40">
        <v>39.0</v>
      </c>
      <c r="CF363" s="40">
        <v>40.0</v>
      </c>
      <c r="CG363" s="126"/>
    </row>
    <row r="364" ht="15.75" customHeight="1">
      <c r="A364" s="42" t="s">
        <v>196</v>
      </c>
      <c r="B364" s="43" t="str">
        <f t="shared" ref="B364:AO364" si="90">B357</f>
        <v>|</v>
      </c>
      <c r="C364" s="43" t="str">
        <f t="shared" si="90"/>
        <v>0</v>
      </c>
      <c r="D364" s="43" t="str">
        <f t="shared" si="90"/>
        <v>1</v>
      </c>
      <c r="E364" s="43" t="str">
        <f t="shared" si="90"/>
        <v>0</v>
      </c>
      <c r="F364" s="43" t="str">
        <f t="shared" si="90"/>
        <v>5</v>
      </c>
      <c r="G364" s="43" t="str">
        <f t="shared" si="90"/>
        <v>5</v>
      </c>
      <c r="H364" s="43" t="str">
        <f t="shared" si="90"/>
        <v>3</v>
      </c>
      <c r="I364" s="43" t="str">
        <f t="shared" si="90"/>
        <v>6</v>
      </c>
      <c r="J364" s="43" t="str">
        <f t="shared" si="90"/>
        <v>1</v>
      </c>
      <c r="K364" s="43" t="str">
        <f t="shared" si="90"/>
        <v>1</v>
      </c>
      <c r="L364" s="43" t="str">
        <f t="shared" si="90"/>
        <v>3</v>
      </c>
      <c r="M364" s="43" t="str">
        <f t="shared" si="90"/>
        <v>5</v>
      </c>
      <c r="N364" s="43" t="str">
        <f t="shared" si="90"/>
        <v>5</v>
      </c>
      <c r="O364" s="43" t="str">
        <f t="shared" si="90"/>
        <v>0</v>
      </c>
      <c r="P364" s="43" t="str">
        <f t="shared" si="90"/>
        <v>0</v>
      </c>
      <c r="Q364" s="43" t="str">
        <f t="shared" si="90"/>
        <v>4</v>
      </c>
      <c r="R364" s="51" t="str">
        <f t="shared" si="90"/>
        <v>6</v>
      </c>
      <c r="S364" s="51" t="str">
        <f t="shared" si="90"/>
        <v>5</v>
      </c>
      <c r="T364" s="51" t="str">
        <f t="shared" si="90"/>
        <v>3</v>
      </c>
      <c r="U364" s="51" t="str">
        <f t="shared" si="90"/>
        <v>3</v>
      </c>
      <c r="V364" s="51" t="str">
        <f t="shared" si="90"/>
        <v>2</v>
      </c>
      <c r="W364" s="51" t="str">
        <f t="shared" si="90"/>
        <v>4</v>
      </c>
      <c r="X364" s="51" t="str">
        <f t="shared" si="90"/>
        <v>5</v>
      </c>
      <c r="Y364" s="43" t="str">
        <f t="shared" si="90"/>
        <v>0</v>
      </c>
      <c r="Z364" s="43" t="str">
        <f t="shared" si="90"/>
        <v>8</v>
      </c>
      <c r="AA364" s="43" t="str">
        <f t="shared" si="90"/>
        <v>7</v>
      </c>
      <c r="AB364" s="43" t="str">
        <f t="shared" si="90"/>
        <v>6</v>
      </c>
      <c r="AC364" s="43" t="str">
        <f t="shared" si="90"/>
        <v>7</v>
      </c>
      <c r="AD364" s="43" t="str">
        <f t="shared" si="90"/>
        <v>7</v>
      </c>
      <c r="AE364" s="43" t="str">
        <f t="shared" si="90"/>
        <v>2</v>
      </c>
      <c r="AF364" s="43" t="str">
        <f t="shared" si="90"/>
        <v>8</v>
      </c>
      <c r="AG364" s="43" t="str">
        <f t="shared" si="90"/>
        <v>5</v>
      </c>
      <c r="AH364" s="43" t="str">
        <f t="shared" si="90"/>
        <v>1</v>
      </c>
      <c r="AI364" s="43" t="str">
        <f t="shared" si="90"/>
        <v>0</v>
      </c>
      <c r="AJ364" s="43" t="str">
        <f t="shared" si="90"/>
        <v>0</v>
      </c>
      <c r="AK364" s="43" t="str">
        <f t="shared" si="90"/>
        <v>0</v>
      </c>
      <c r="AL364" s="43" t="str">
        <f t="shared" si="90"/>
        <v>0</v>
      </c>
      <c r="AM364" s="43" t="str">
        <f t="shared" si="90"/>
        <v/>
      </c>
      <c r="AN364" s="43" t="str">
        <f t="shared" si="90"/>
        <v/>
      </c>
      <c r="AO364" s="43" t="str">
        <f t="shared" si="90"/>
        <v/>
      </c>
      <c r="AP364" s="31"/>
      <c r="AQ364" s="31"/>
      <c r="AR364" s="42"/>
      <c r="AS364" s="43" t="str">
        <f t="shared" ref="AS364:CF364" si="91">AS357</f>
        <v>|</v>
      </c>
      <c r="AT364" s="43" t="str">
        <f t="shared" si="91"/>
        <v>0</v>
      </c>
      <c r="AU364" s="43" t="str">
        <f t="shared" si="91"/>
        <v>1</v>
      </c>
      <c r="AV364" s="43" t="str">
        <f t="shared" si="91"/>
        <v>0</v>
      </c>
      <c r="AW364" s="43" t="str">
        <f t="shared" si="91"/>
        <v>5</v>
      </c>
      <c r="AX364" s="43" t="str">
        <f t="shared" si="91"/>
        <v>5</v>
      </c>
      <c r="AY364" s="43" t="str">
        <f t="shared" si="91"/>
        <v>3</v>
      </c>
      <c r="AZ364" s="43" t="str">
        <f t="shared" si="91"/>
        <v>6</v>
      </c>
      <c r="BA364" s="43" t="str">
        <f t="shared" si="91"/>
        <v>1</v>
      </c>
      <c r="BB364" s="43" t="str">
        <f t="shared" si="91"/>
        <v>1</v>
      </c>
      <c r="BC364" s="43" t="str">
        <f t="shared" si="91"/>
        <v>3</v>
      </c>
      <c r="BD364" s="43" t="str">
        <f t="shared" si="91"/>
        <v>5</v>
      </c>
      <c r="BE364" s="43" t="str">
        <f t="shared" si="91"/>
        <v>5</v>
      </c>
      <c r="BF364" s="43" t="str">
        <f t="shared" si="91"/>
        <v>0</v>
      </c>
      <c r="BG364" s="43" t="str">
        <f t="shared" si="91"/>
        <v>0</v>
      </c>
      <c r="BH364" s="43" t="str">
        <f t="shared" si="91"/>
        <v>4</v>
      </c>
      <c r="BI364" s="51" t="str">
        <f t="shared" si="91"/>
        <v>6</v>
      </c>
      <c r="BJ364" s="51" t="str">
        <f t="shared" si="91"/>
        <v>9</v>
      </c>
      <c r="BK364" s="51" t="str">
        <f t="shared" si="91"/>
        <v>0</v>
      </c>
      <c r="BL364" s="51" t="str">
        <f t="shared" si="91"/>
        <v>5</v>
      </c>
      <c r="BM364" s="51" t="str">
        <f t="shared" si="91"/>
        <v>5</v>
      </c>
      <c r="BN364" s="51" t="str">
        <f t="shared" si="91"/>
        <v>8</v>
      </c>
      <c r="BO364" s="51" t="str">
        <f t="shared" si="91"/>
        <v>2</v>
      </c>
      <c r="BP364" s="43" t="str">
        <f t="shared" si="91"/>
        <v>0</v>
      </c>
      <c r="BQ364" s="43" t="str">
        <f t="shared" si="91"/>
        <v>3</v>
      </c>
      <c r="BR364" s="43" t="str">
        <f t="shared" si="91"/>
        <v>1</v>
      </c>
      <c r="BS364" s="43" t="str">
        <f t="shared" si="91"/>
        <v>0</v>
      </c>
      <c r="BT364" s="43" t="str">
        <f t="shared" si="91"/>
        <v>2</v>
      </c>
      <c r="BU364" s="43" t="str">
        <f t="shared" si="91"/>
        <v>6</v>
      </c>
      <c r="BV364" s="43" t="str">
        <f t="shared" si="91"/>
        <v>2</v>
      </c>
      <c r="BW364" s="43" t="str">
        <f t="shared" si="91"/>
        <v>8</v>
      </c>
      <c r="BX364" s="43" t="str">
        <f t="shared" si="91"/>
        <v>5</v>
      </c>
      <c r="BY364" s="43" t="str">
        <f t="shared" si="91"/>
        <v>5</v>
      </c>
      <c r="BZ364" s="43" t="str">
        <f t="shared" si="91"/>
        <v>1</v>
      </c>
      <c r="CA364" s="43" t="str">
        <f t="shared" si="91"/>
        <v>0</v>
      </c>
      <c r="CB364" s="43" t="str">
        <f t="shared" si="91"/>
        <v>6</v>
      </c>
      <c r="CC364" s="43" t="str">
        <f t="shared" si="91"/>
        <v>8</v>
      </c>
      <c r="CD364" s="43" t="str">
        <f t="shared" si="91"/>
        <v>0</v>
      </c>
      <c r="CE364" s="43" t="str">
        <f t="shared" si="91"/>
        <v/>
      </c>
      <c r="CF364" s="43" t="str">
        <f t="shared" si="91"/>
        <v/>
      </c>
      <c r="CG364" s="46"/>
    </row>
    <row r="365" ht="15.75" customHeight="1">
      <c r="A365" s="52" t="s">
        <v>200</v>
      </c>
      <c r="B365" s="43"/>
      <c r="C365" s="43"/>
      <c r="D365" s="43"/>
      <c r="E365" s="43"/>
      <c r="F365" s="43"/>
      <c r="G365" s="43"/>
      <c r="H365" s="43"/>
      <c r="I365" s="43"/>
      <c r="J365" s="43"/>
      <c r="K365" s="43"/>
      <c r="L365" s="43"/>
      <c r="M365" s="43"/>
      <c r="N365" s="43"/>
      <c r="O365" s="43"/>
      <c r="P365" s="43"/>
      <c r="Q365" s="43"/>
      <c r="R365" s="50">
        <v>8.0</v>
      </c>
      <c r="S365" s="50">
        <v>4.0</v>
      </c>
      <c r="T365" s="50">
        <v>8.0</v>
      </c>
      <c r="U365" s="50">
        <v>4.0</v>
      </c>
      <c r="V365" s="50">
        <v>8.0</v>
      </c>
      <c r="W365" s="50">
        <v>4.0</v>
      </c>
      <c r="X365" s="50">
        <v>8.0</v>
      </c>
      <c r="Y365" s="43"/>
      <c r="Z365" s="43"/>
      <c r="AA365" s="43"/>
      <c r="AB365" s="43"/>
      <c r="AC365" s="43"/>
      <c r="AD365" s="43"/>
      <c r="AE365" s="43"/>
      <c r="AF365" s="43"/>
      <c r="AG365" s="43"/>
      <c r="AH365" s="43"/>
      <c r="AI365" s="43"/>
      <c r="AJ365" s="43"/>
      <c r="AK365" s="43"/>
      <c r="AL365" s="43"/>
      <c r="AM365" s="43"/>
      <c r="AN365" s="43"/>
      <c r="AO365" s="43"/>
      <c r="AP365" s="31"/>
      <c r="AQ365" s="31"/>
      <c r="AR365" s="52" t="s">
        <v>200</v>
      </c>
      <c r="AS365" s="43"/>
      <c r="AT365" s="43"/>
      <c r="AU365" s="43"/>
      <c r="AV365" s="43"/>
      <c r="AW365" s="43"/>
      <c r="AX365" s="43"/>
      <c r="AY365" s="43"/>
      <c r="AZ365" s="43"/>
      <c r="BA365" s="43"/>
      <c r="BB365" s="43"/>
      <c r="BC365" s="43"/>
      <c r="BD365" s="43"/>
      <c r="BE365" s="43"/>
      <c r="BF365" s="43"/>
      <c r="BG365" s="43"/>
      <c r="BH365" s="43"/>
      <c r="BI365" s="50">
        <v>8.0</v>
      </c>
      <c r="BJ365" s="50">
        <v>4.0</v>
      </c>
      <c r="BK365" s="50">
        <v>8.0</v>
      </c>
      <c r="BL365" s="50">
        <v>4.0</v>
      </c>
      <c r="BM365" s="50">
        <v>8.0</v>
      </c>
      <c r="BN365" s="50">
        <v>4.0</v>
      </c>
      <c r="BO365" s="50">
        <v>8.0</v>
      </c>
      <c r="BP365" s="43"/>
      <c r="BQ365" s="43"/>
      <c r="BR365" s="43"/>
      <c r="BS365" s="43"/>
      <c r="BT365" s="43"/>
      <c r="BU365" s="43"/>
      <c r="BV365" s="43"/>
      <c r="BW365" s="43"/>
      <c r="BX365" s="43"/>
      <c r="BY365" s="43"/>
      <c r="BZ365" s="43"/>
      <c r="CA365" s="43"/>
      <c r="CB365" s="43"/>
      <c r="CC365" s="43"/>
      <c r="CD365" s="43"/>
      <c r="CE365" s="43"/>
      <c r="CF365" s="43"/>
      <c r="CG365" s="46"/>
    </row>
    <row r="366" ht="15.75" customHeight="1">
      <c r="A366" s="52" t="s">
        <v>201</v>
      </c>
      <c r="B366" s="43"/>
      <c r="C366" s="43"/>
      <c r="D366" s="43"/>
      <c r="E366" s="43"/>
      <c r="F366" s="43"/>
      <c r="G366" s="43"/>
      <c r="H366" s="43"/>
      <c r="I366" s="43"/>
      <c r="J366" s="43"/>
      <c r="K366" s="43"/>
      <c r="L366" s="43"/>
      <c r="M366" s="43"/>
      <c r="N366" s="43"/>
      <c r="O366" s="43"/>
      <c r="P366" s="43"/>
      <c r="Q366" s="43"/>
      <c r="R366" s="50">
        <f t="shared" ref="R366:X366" si="92">R364*R365</f>
        <v>48</v>
      </c>
      <c r="S366" s="50">
        <f t="shared" si="92"/>
        <v>20</v>
      </c>
      <c r="T366" s="50">
        <f t="shared" si="92"/>
        <v>24</v>
      </c>
      <c r="U366" s="50">
        <f t="shared" si="92"/>
        <v>12</v>
      </c>
      <c r="V366" s="50">
        <f t="shared" si="92"/>
        <v>16</v>
      </c>
      <c r="W366" s="50">
        <f t="shared" si="92"/>
        <v>16</v>
      </c>
      <c r="X366" s="50">
        <f t="shared" si="92"/>
        <v>40</v>
      </c>
      <c r="Y366" s="43"/>
      <c r="Z366" s="43"/>
      <c r="AA366" s="43"/>
      <c r="AB366" s="43"/>
      <c r="AC366" s="43"/>
      <c r="AD366" s="43"/>
      <c r="AE366" s="43"/>
      <c r="AF366" s="43"/>
      <c r="AG366" s="43"/>
      <c r="AH366" s="43"/>
      <c r="AI366" s="43"/>
      <c r="AJ366" s="43"/>
      <c r="AK366" s="43"/>
      <c r="AL366" s="43"/>
      <c r="AM366" s="43"/>
      <c r="AN366" s="43"/>
      <c r="AO366" s="43"/>
      <c r="AP366" s="31"/>
      <c r="AQ366" s="31"/>
      <c r="AR366" s="52" t="s">
        <v>201</v>
      </c>
      <c r="AS366" s="43"/>
      <c r="AT366" s="43"/>
      <c r="AU366" s="43"/>
      <c r="AV366" s="43"/>
      <c r="AW366" s="43"/>
      <c r="AX366" s="43"/>
      <c r="AY366" s="43"/>
      <c r="AZ366" s="43"/>
      <c r="BA366" s="43"/>
      <c r="BB366" s="43"/>
      <c r="BC366" s="43"/>
      <c r="BD366" s="43"/>
      <c r="BE366" s="43"/>
      <c r="BF366" s="43"/>
      <c r="BG366" s="43"/>
      <c r="BH366" s="43"/>
      <c r="BI366" s="50">
        <f t="shared" ref="BI366:BO366" si="93">BI364*BI365</f>
        <v>48</v>
      </c>
      <c r="BJ366" s="50">
        <f t="shared" si="93"/>
        <v>36</v>
      </c>
      <c r="BK366" s="50">
        <f t="shared" si="93"/>
        <v>0</v>
      </c>
      <c r="BL366" s="50">
        <f t="shared" si="93"/>
        <v>20</v>
      </c>
      <c r="BM366" s="50">
        <f t="shared" si="93"/>
        <v>40</v>
      </c>
      <c r="BN366" s="50">
        <f t="shared" si="93"/>
        <v>32</v>
      </c>
      <c r="BO366" s="50">
        <f t="shared" si="93"/>
        <v>16</v>
      </c>
      <c r="BP366" s="43"/>
      <c r="BQ366" s="43"/>
      <c r="BR366" s="43"/>
      <c r="BS366" s="43"/>
      <c r="BT366" s="43"/>
      <c r="BU366" s="43"/>
      <c r="BV366" s="43"/>
      <c r="BW366" s="43"/>
      <c r="BX366" s="43"/>
      <c r="BY366" s="43"/>
      <c r="BZ366" s="43"/>
      <c r="CA366" s="43"/>
      <c r="CB366" s="43"/>
      <c r="CC366" s="43"/>
      <c r="CD366" s="43"/>
      <c r="CE366" s="43"/>
      <c r="CF366" s="43"/>
      <c r="CG366" s="46"/>
    </row>
    <row r="367" ht="15.75" customHeight="1">
      <c r="A367" s="31"/>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31"/>
      <c r="AQ367" s="31"/>
      <c r="AR367" s="31"/>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c r="BU367" s="46"/>
      <c r="BV367" s="46"/>
      <c r="BW367" s="46"/>
      <c r="BX367" s="46"/>
      <c r="BY367" s="46"/>
      <c r="BZ367" s="46"/>
      <c r="CA367" s="46"/>
      <c r="CB367" s="46"/>
      <c r="CC367" s="46"/>
      <c r="CD367" s="46"/>
      <c r="CE367" s="46"/>
      <c r="CF367" s="46"/>
      <c r="CG367" s="46"/>
    </row>
    <row r="368" ht="15.75" customHeight="1">
      <c r="A368" s="47" t="s">
        <v>202</v>
      </c>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31"/>
      <c r="AQ368" s="31"/>
      <c r="AR368" s="47" t="s">
        <v>202</v>
      </c>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row>
    <row r="369" ht="15.75" customHeight="1">
      <c r="A369" s="39" t="s">
        <v>195</v>
      </c>
      <c r="B369" s="43">
        <v>1.0</v>
      </c>
      <c r="C369" s="43">
        <v>2.0</v>
      </c>
      <c r="D369" s="43">
        <v>3.0</v>
      </c>
      <c r="E369" s="43">
        <v>4.0</v>
      </c>
      <c r="F369" s="43">
        <v>5.0</v>
      </c>
      <c r="G369" s="43">
        <v>6.0</v>
      </c>
      <c r="H369" s="43">
        <v>7.0</v>
      </c>
      <c r="I369" s="43">
        <v>8.0</v>
      </c>
      <c r="J369" s="43">
        <v>9.0</v>
      </c>
      <c r="K369" s="43">
        <v>10.0</v>
      </c>
      <c r="L369" s="43">
        <v>11.0</v>
      </c>
      <c r="M369" s="43">
        <v>12.0</v>
      </c>
      <c r="N369" s="43">
        <v>13.0</v>
      </c>
      <c r="O369" s="43">
        <v>14.0</v>
      </c>
      <c r="P369" s="43">
        <v>15.0</v>
      </c>
      <c r="Q369" s="43">
        <v>16.0</v>
      </c>
      <c r="R369" s="43">
        <v>17.0</v>
      </c>
      <c r="S369" s="43">
        <v>18.0</v>
      </c>
      <c r="T369" s="43">
        <v>19.0</v>
      </c>
      <c r="U369" s="43">
        <v>20.0</v>
      </c>
      <c r="V369" s="43">
        <v>21.0</v>
      </c>
      <c r="W369" s="43">
        <v>22.0</v>
      </c>
      <c r="X369" s="43">
        <v>23.0</v>
      </c>
      <c r="Y369" s="40">
        <v>24.0</v>
      </c>
      <c r="Z369" s="40">
        <v>25.0</v>
      </c>
      <c r="AA369" s="40">
        <v>26.0</v>
      </c>
      <c r="AB369" s="40">
        <v>27.0</v>
      </c>
      <c r="AC369" s="40">
        <v>28.0</v>
      </c>
      <c r="AD369" s="40">
        <v>29.0</v>
      </c>
      <c r="AE369" s="40">
        <v>30.0</v>
      </c>
      <c r="AF369" s="40">
        <v>31.0</v>
      </c>
      <c r="AG369" s="40">
        <v>32.0</v>
      </c>
      <c r="AH369" s="40">
        <v>33.0</v>
      </c>
      <c r="AI369" s="40">
        <v>34.0</v>
      </c>
      <c r="AJ369" s="40">
        <v>35.0</v>
      </c>
      <c r="AK369" s="40">
        <v>36.0</v>
      </c>
      <c r="AL369" s="40">
        <v>37.0</v>
      </c>
      <c r="AM369" s="40">
        <v>38.0</v>
      </c>
      <c r="AN369" s="40">
        <v>39.0</v>
      </c>
      <c r="AO369" s="40">
        <v>40.0</v>
      </c>
      <c r="AP369" s="31"/>
      <c r="AQ369" s="31"/>
      <c r="AR369" s="39" t="s">
        <v>195</v>
      </c>
      <c r="AS369" s="43">
        <v>1.0</v>
      </c>
      <c r="AT369" s="43">
        <v>2.0</v>
      </c>
      <c r="AU369" s="43">
        <v>3.0</v>
      </c>
      <c r="AV369" s="43">
        <v>4.0</v>
      </c>
      <c r="AW369" s="43">
        <v>5.0</v>
      </c>
      <c r="AX369" s="43">
        <v>6.0</v>
      </c>
      <c r="AY369" s="43">
        <v>7.0</v>
      </c>
      <c r="AZ369" s="43">
        <v>8.0</v>
      </c>
      <c r="BA369" s="43">
        <v>9.0</v>
      </c>
      <c r="BB369" s="43">
        <v>10.0</v>
      </c>
      <c r="BC369" s="43">
        <v>11.0</v>
      </c>
      <c r="BD369" s="43">
        <v>12.0</v>
      </c>
      <c r="BE369" s="43">
        <v>13.0</v>
      </c>
      <c r="BF369" s="43">
        <v>14.0</v>
      </c>
      <c r="BG369" s="43">
        <v>15.0</v>
      </c>
      <c r="BH369" s="43">
        <v>16.0</v>
      </c>
      <c r="BI369" s="43">
        <v>17.0</v>
      </c>
      <c r="BJ369" s="43">
        <v>18.0</v>
      </c>
      <c r="BK369" s="43">
        <v>19.0</v>
      </c>
      <c r="BL369" s="43">
        <v>20.0</v>
      </c>
      <c r="BM369" s="43">
        <v>21.0</v>
      </c>
      <c r="BN369" s="43">
        <v>22.0</v>
      </c>
      <c r="BO369" s="43">
        <v>23.0</v>
      </c>
      <c r="BP369" s="40">
        <v>24.0</v>
      </c>
      <c r="BQ369" s="40">
        <v>25.0</v>
      </c>
      <c r="BR369" s="40">
        <v>26.0</v>
      </c>
      <c r="BS369" s="40">
        <v>27.0</v>
      </c>
      <c r="BT369" s="40">
        <v>28.0</v>
      </c>
      <c r="BU369" s="40">
        <v>29.0</v>
      </c>
      <c r="BV369" s="40">
        <v>30.0</v>
      </c>
      <c r="BW369" s="40">
        <v>31.0</v>
      </c>
      <c r="BX369" s="40">
        <v>32.0</v>
      </c>
      <c r="BY369" s="40">
        <v>33.0</v>
      </c>
      <c r="BZ369" s="40">
        <v>34.0</v>
      </c>
      <c r="CA369" s="40">
        <v>35.0</v>
      </c>
      <c r="CB369" s="40">
        <v>36.0</v>
      </c>
      <c r="CC369" s="40">
        <v>37.0</v>
      </c>
      <c r="CD369" s="40">
        <v>38.0</v>
      </c>
      <c r="CE369" s="40">
        <v>39.0</v>
      </c>
      <c r="CF369" s="40">
        <v>40.0</v>
      </c>
      <c r="CG369" s="126"/>
    </row>
    <row r="370" ht="15.75" customHeight="1">
      <c r="A370" s="42" t="s">
        <v>196</v>
      </c>
      <c r="B370" s="43" t="str">
        <f t="shared" ref="B370:AO370" si="94">B357</f>
        <v>|</v>
      </c>
      <c r="C370" s="43" t="str">
        <f t="shared" si="94"/>
        <v>0</v>
      </c>
      <c r="D370" s="43" t="str">
        <f t="shared" si="94"/>
        <v>1</v>
      </c>
      <c r="E370" s="43" t="str">
        <f t="shared" si="94"/>
        <v>0</v>
      </c>
      <c r="F370" s="43" t="str">
        <f t="shared" si="94"/>
        <v>5</v>
      </c>
      <c r="G370" s="43" t="str">
        <f t="shared" si="94"/>
        <v>5</v>
      </c>
      <c r="H370" s="43" t="str">
        <f t="shared" si="94"/>
        <v>3</v>
      </c>
      <c r="I370" s="43" t="str">
        <f t="shared" si="94"/>
        <v>6</v>
      </c>
      <c r="J370" s="43" t="str">
        <f t="shared" si="94"/>
        <v>1</v>
      </c>
      <c r="K370" s="43" t="str">
        <f t="shared" si="94"/>
        <v>1</v>
      </c>
      <c r="L370" s="43" t="str">
        <f t="shared" si="94"/>
        <v>3</v>
      </c>
      <c r="M370" s="43" t="str">
        <f t="shared" si="94"/>
        <v>5</v>
      </c>
      <c r="N370" s="43" t="str">
        <f t="shared" si="94"/>
        <v>5</v>
      </c>
      <c r="O370" s="43" t="str">
        <f t="shared" si="94"/>
        <v>0</v>
      </c>
      <c r="P370" s="43" t="str">
        <f t="shared" si="94"/>
        <v>0</v>
      </c>
      <c r="Q370" s="43" t="str">
        <f t="shared" si="94"/>
        <v>4</v>
      </c>
      <c r="R370" s="43" t="str">
        <f t="shared" si="94"/>
        <v>6</v>
      </c>
      <c r="S370" s="43" t="str">
        <f t="shared" si="94"/>
        <v>5</v>
      </c>
      <c r="T370" s="43" t="str">
        <f t="shared" si="94"/>
        <v>3</v>
      </c>
      <c r="U370" s="43" t="str">
        <f t="shared" si="94"/>
        <v>3</v>
      </c>
      <c r="V370" s="43" t="str">
        <f t="shared" si="94"/>
        <v>2</v>
      </c>
      <c r="W370" s="43" t="str">
        <f t="shared" si="94"/>
        <v>4</v>
      </c>
      <c r="X370" s="43" t="str">
        <f t="shared" si="94"/>
        <v>5</v>
      </c>
      <c r="Y370" s="51" t="str">
        <f t="shared" si="94"/>
        <v>0</v>
      </c>
      <c r="Z370" s="51" t="str">
        <f t="shared" si="94"/>
        <v>8</v>
      </c>
      <c r="AA370" s="51" t="str">
        <f t="shared" si="94"/>
        <v>7</v>
      </c>
      <c r="AB370" s="51" t="str">
        <f t="shared" si="94"/>
        <v>6</v>
      </c>
      <c r="AC370" s="51" t="str">
        <f t="shared" si="94"/>
        <v>7</v>
      </c>
      <c r="AD370" s="51" t="str">
        <f t="shared" si="94"/>
        <v>7</v>
      </c>
      <c r="AE370" s="51" t="str">
        <f t="shared" si="94"/>
        <v>2</v>
      </c>
      <c r="AF370" s="51" t="str">
        <f t="shared" si="94"/>
        <v>8</v>
      </c>
      <c r="AG370" s="51" t="str">
        <f t="shared" si="94"/>
        <v>5</v>
      </c>
      <c r="AH370" s="51" t="str">
        <f t="shared" si="94"/>
        <v>1</v>
      </c>
      <c r="AI370" s="51" t="str">
        <f t="shared" si="94"/>
        <v>0</v>
      </c>
      <c r="AJ370" s="43" t="str">
        <f t="shared" si="94"/>
        <v>0</v>
      </c>
      <c r="AK370" s="43" t="str">
        <f t="shared" si="94"/>
        <v>0</v>
      </c>
      <c r="AL370" s="43" t="str">
        <f t="shared" si="94"/>
        <v>0</v>
      </c>
      <c r="AM370" s="43" t="str">
        <f t="shared" si="94"/>
        <v/>
      </c>
      <c r="AN370" s="43" t="str">
        <f t="shared" si="94"/>
        <v/>
      </c>
      <c r="AO370" s="43" t="str">
        <f t="shared" si="94"/>
        <v/>
      </c>
      <c r="AP370" s="31"/>
      <c r="AQ370" s="31"/>
      <c r="AR370" s="42"/>
      <c r="AS370" s="43" t="str">
        <f t="shared" ref="AS370:CF370" si="95">AS357</f>
        <v>|</v>
      </c>
      <c r="AT370" s="43" t="str">
        <f t="shared" si="95"/>
        <v>0</v>
      </c>
      <c r="AU370" s="43" t="str">
        <f t="shared" si="95"/>
        <v>1</v>
      </c>
      <c r="AV370" s="43" t="str">
        <f t="shared" si="95"/>
        <v>0</v>
      </c>
      <c r="AW370" s="43" t="str">
        <f t="shared" si="95"/>
        <v>5</v>
      </c>
      <c r="AX370" s="43" t="str">
        <f t="shared" si="95"/>
        <v>5</v>
      </c>
      <c r="AY370" s="43" t="str">
        <f t="shared" si="95"/>
        <v>3</v>
      </c>
      <c r="AZ370" s="43" t="str">
        <f t="shared" si="95"/>
        <v>6</v>
      </c>
      <c r="BA370" s="43" t="str">
        <f t="shared" si="95"/>
        <v>1</v>
      </c>
      <c r="BB370" s="43" t="str">
        <f t="shared" si="95"/>
        <v>1</v>
      </c>
      <c r="BC370" s="43" t="str">
        <f t="shared" si="95"/>
        <v>3</v>
      </c>
      <c r="BD370" s="43" t="str">
        <f t="shared" si="95"/>
        <v>5</v>
      </c>
      <c r="BE370" s="43" t="str">
        <f t="shared" si="95"/>
        <v>5</v>
      </c>
      <c r="BF370" s="43" t="str">
        <f t="shared" si="95"/>
        <v>0</v>
      </c>
      <c r="BG370" s="43" t="str">
        <f t="shared" si="95"/>
        <v>0</v>
      </c>
      <c r="BH370" s="43" t="str">
        <f t="shared" si="95"/>
        <v>4</v>
      </c>
      <c r="BI370" s="43" t="str">
        <f t="shared" si="95"/>
        <v>6</v>
      </c>
      <c r="BJ370" s="43" t="str">
        <f t="shared" si="95"/>
        <v>9</v>
      </c>
      <c r="BK370" s="43" t="str">
        <f t="shared" si="95"/>
        <v>0</v>
      </c>
      <c r="BL370" s="43" t="str">
        <f t="shared" si="95"/>
        <v>5</v>
      </c>
      <c r="BM370" s="43" t="str">
        <f t="shared" si="95"/>
        <v>5</v>
      </c>
      <c r="BN370" s="43" t="str">
        <f t="shared" si="95"/>
        <v>8</v>
      </c>
      <c r="BO370" s="43" t="str">
        <f t="shared" si="95"/>
        <v>2</v>
      </c>
      <c r="BP370" s="51" t="str">
        <f t="shared" si="95"/>
        <v>0</v>
      </c>
      <c r="BQ370" s="51" t="str">
        <f t="shared" si="95"/>
        <v>3</v>
      </c>
      <c r="BR370" s="51" t="str">
        <f t="shared" si="95"/>
        <v>1</v>
      </c>
      <c r="BS370" s="51" t="str">
        <f t="shared" si="95"/>
        <v>0</v>
      </c>
      <c r="BT370" s="51" t="str">
        <f t="shared" si="95"/>
        <v>2</v>
      </c>
      <c r="BU370" s="51" t="str">
        <f t="shared" si="95"/>
        <v>6</v>
      </c>
      <c r="BV370" s="51" t="str">
        <f t="shared" si="95"/>
        <v>2</v>
      </c>
      <c r="BW370" s="51" t="str">
        <f t="shared" si="95"/>
        <v>8</v>
      </c>
      <c r="BX370" s="51" t="str">
        <f t="shared" si="95"/>
        <v>5</v>
      </c>
      <c r="BY370" s="51" t="str">
        <f t="shared" si="95"/>
        <v>5</v>
      </c>
      <c r="BZ370" s="51" t="str">
        <f t="shared" si="95"/>
        <v>1</v>
      </c>
      <c r="CA370" s="51" t="str">
        <f t="shared" si="95"/>
        <v>0</v>
      </c>
      <c r="CB370" s="43" t="str">
        <f t="shared" si="95"/>
        <v>6</v>
      </c>
      <c r="CC370" s="43" t="str">
        <f t="shared" si="95"/>
        <v>8</v>
      </c>
      <c r="CD370" s="43" t="str">
        <f t="shared" si="95"/>
        <v>0</v>
      </c>
      <c r="CE370" s="43" t="str">
        <f t="shared" si="95"/>
        <v/>
      </c>
      <c r="CF370" s="43" t="str">
        <f t="shared" si="95"/>
        <v/>
      </c>
      <c r="CG370" s="46"/>
    </row>
    <row r="371" ht="15.75" customHeight="1">
      <c r="A371" s="52" t="s">
        <v>200</v>
      </c>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50">
        <v>4.0</v>
      </c>
      <c r="Z371" s="50">
        <v>8.0</v>
      </c>
      <c r="AA371" s="50">
        <v>4.0</v>
      </c>
      <c r="AB371" s="50">
        <v>8.0</v>
      </c>
      <c r="AC371" s="50">
        <v>4.0</v>
      </c>
      <c r="AD371" s="50">
        <v>8.0</v>
      </c>
      <c r="AE371" s="50">
        <v>4.0</v>
      </c>
      <c r="AF371" s="50">
        <v>8.0</v>
      </c>
      <c r="AG371" s="50">
        <v>4.0</v>
      </c>
      <c r="AH371" s="50">
        <v>8.0</v>
      </c>
      <c r="AI371" s="50">
        <v>4.0</v>
      </c>
      <c r="AJ371" s="43"/>
      <c r="AK371" s="43"/>
      <c r="AL371" s="43"/>
      <c r="AM371" s="43"/>
      <c r="AN371" s="43"/>
      <c r="AO371" s="43"/>
      <c r="AP371" s="31"/>
      <c r="AQ371" s="31"/>
      <c r="AR371" s="52" t="s">
        <v>200</v>
      </c>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c r="BO371" s="43"/>
      <c r="BP371" s="50">
        <v>8.0</v>
      </c>
      <c r="BQ371" s="50">
        <v>4.0</v>
      </c>
      <c r="BR371" s="50">
        <v>8.0</v>
      </c>
      <c r="BS371" s="50">
        <v>4.0</v>
      </c>
      <c r="BT371" s="50">
        <v>8.0</v>
      </c>
      <c r="BU371" s="50">
        <v>4.0</v>
      </c>
      <c r="BV371" s="50">
        <v>8.0</v>
      </c>
      <c r="BW371" s="50">
        <v>4.0</v>
      </c>
      <c r="BX371" s="50">
        <v>8.0</v>
      </c>
      <c r="BY371" s="50">
        <v>4.0</v>
      </c>
      <c r="BZ371" s="50">
        <v>8.0</v>
      </c>
      <c r="CA371" s="50">
        <v>4.0</v>
      </c>
      <c r="CB371" s="43"/>
      <c r="CC371" s="43"/>
      <c r="CD371" s="43"/>
      <c r="CE371" s="43"/>
      <c r="CF371" s="43"/>
      <c r="CG371" s="46"/>
    </row>
    <row r="372" ht="15.75" customHeight="1">
      <c r="A372" s="52" t="s">
        <v>201</v>
      </c>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50">
        <f t="shared" ref="Y372:AI372" si="96">Y370*Y371</f>
        <v>0</v>
      </c>
      <c r="Z372" s="50">
        <f t="shared" si="96"/>
        <v>64</v>
      </c>
      <c r="AA372" s="50">
        <f t="shared" si="96"/>
        <v>28</v>
      </c>
      <c r="AB372" s="50">
        <f t="shared" si="96"/>
        <v>48</v>
      </c>
      <c r="AC372" s="50">
        <f t="shared" si="96"/>
        <v>28</v>
      </c>
      <c r="AD372" s="50">
        <f t="shared" si="96"/>
        <v>56</v>
      </c>
      <c r="AE372" s="50">
        <f t="shared" si="96"/>
        <v>8</v>
      </c>
      <c r="AF372" s="50">
        <f t="shared" si="96"/>
        <v>64</v>
      </c>
      <c r="AG372" s="50">
        <f t="shared" si="96"/>
        <v>20</v>
      </c>
      <c r="AH372" s="50">
        <f t="shared" si="96"/>
        <v>8</v>
      </c>
      <c r="AI372" s="50">
        <f t="shared" si="96"/>
        <v>0</v>
      </c>
      <c r="AJ372" s="43"/>
      <c r="AK372" s="43"/>
      <c r="AL372" s="43"/>
      <c r="AM372" s="43"/>
      <c r="AN372" s="43"/>
      <c r="AO372" s="43"/>
      <c r="AP372" s="31"/>
      <c r="AQ372" s="31"/>
      <c r="AR372" s="52" t="s">
        <v>201</v>
      </c>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c r="BO372" s="43"/>
      <c r="BP372" s="50">
        <f t="shared" ref="BP372:CA372" si="97">BP370*BP371</f>
        <v>0</v>
      </c>
      <c r="BQ372" s="50">
        <f t="shared" si="97"/>
        <v>12</v>
      </c>
      <c r="BR372" s="50">
        <f t="shared" si="97"/>
        <v>8</v>
      </c>
      <c r="BS372" s="50">
        <f t="shared" si="97"/>
        <v>0</v>
      </c>
      <c r="BT372" s="50">
        <f t="shared" si="97"/>
        <v>16</v>
      </c>
      <c r="BU372" s="50">
        <f t="shared" si="97"/>
        <v>24</v>
      </c>
      <c r="BV372" s="50">
        <f t="shared" si="97"/>
        <v>16</v>
      </c>
      <c r="BW372" s="50">
        <f t="shared" si="97"/>
        <v>32</v>
      </c>
      <c r="BX372" s="50">
        <f t="shared" si="97"/>
        <v>40</v>
      </c>
      <c r="BY372" s="50">
        <f t="shared" si="97"/>
        <v>20</v>
      </c>
      <c r="BZ372" s="50">
        <f t="shared" si="97"/>
        <v>8</v>
      </c>
      <c r="CA372" s="50">
        <f t="shared" si="97"/>
        <v>0</v>
      </c>
      <c r="CB372" s="43"/>
      <c r="CC372" s="43"/>
      <c r="CD372" s="43"/>
      <c r="CE372" s="43"/>
      <c r="CF372" s="43"/>
      <c r="CG372" s="46"/>
    </row>
    <row r="373" ht="15.75" customHeight="1">
      <c r="A373" s="52" t="s">
        <v>356</v>
      </c>
      <c r="B373" s="52">
        <f>SUM(B366:AO366)+SUM(B372:AO372)</f>
        <v>500</v>
      </c>
      <c r="C373" s="31"/>
      <c r="D373" s="31"/>
      <c r="E373" s="31"/>
      <c r="F373" s="31"/>
      <c r="G373" s="31"/>
      <c r="H373" s="31"/>
      <c r="I373" s="31"/>
      <c r="J373" s="31"/>
      <c r="K373" s="31"/>
      <c r="L373" s="31"/>
      <c r="M373" s="31"/>
      <c r="N373" s="31"/>
      <c r="O373" s="31"/>
      <c r="P373" s="31"/>
      <c r="Q373" s="31"/>
      <c r="R373" s="31"/>
      <c r="S373" s="31"/>
      <c r="T373" s="31"/>
      <c r="U373" s="31"/>
      <c r="V373" s="31"/>
      <c r="W373" s="31"/>
      <c r="X373" s="31"/>
      <c r="Y373" s="61" t="s">
        <v>235</v>
      </c>
      <c r="Z373" s="31"/>
      <c r="AA373" s="31"/>
      <c r="AB373" s="31"/>
      <c r="AC373" s="31"/>
      <c r="AD373" s="31"/>
      <c r="AE373" s="31"/>
      <c r="AF373" s="31"/>
      <c r="AG373" s="31"/>
      <c r="AH373" s="31"/>
      <c r="AI373" s="31"/>
      <c r="AJ373" s="31"/>
      <c r="AK373" s="31"/>
      <c r="AL373" s="31"/>
      <c r="AM373" s="31"/>
      <c r="AN373" s="31"/>
      <c r="AO373" s="31"/>
      <c r="AP373" s="31"/>
      <c r="AQ373" s="31"/>
      <c r="AR373" s="52" t="s">
        <v>356</v>
      </c>
      <c r="AS373" s="52">
        <f>SUM(AS366:CF366)+SUM(AS372:CF372)</f>
        <v>368</v>
      </c>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61" t="s">
        <v>235</v>
      </c>
      <c r="BQ373" s="31"/>
      <c r="BR373" s="31"/>
      <c r="BS373" s="31"/>
      <c r="BT373" s="31"/>
      <c r="BU373" s="31"/>
      <c r="BV373" s="31"/>
      <c r="BW373" s="31"/>
      <c r="BX373" s="31"/>
      <c r="BY373" s="31"/>
      <c r="BZ373" s="31"/>
      <c r="CA373" s="31"/>
      <c r="CB373" s="31"/>
      <c r="CC373" s="31"/>
      <c r="CD373" s="31"/>
      <c r="CE373" s="31"/>
      <c r="CF373" s="31"/>
      <c r="CG373" s="31"/>
    </row>
    <row r="374" ht="15.75" customHeight="1">
      <c r="A374" s="52" t="s">
        <v>204</v>
      </c>
      <c r="B374" s="123" t="str">
        <f>TEXT(MOD(B373,100),"00")</f>
        <v>00</v>
      </c>
      <c r="C374" s="31"/>
      <c r="D374" s="30" t="s">
        <v>236</v>
      </c>
      <c r="E374" s="31"/>
      <c r="F374" s="31"/>
      <c r="G374" s="31"/>
      <c r="H374" s="31"/>
      <c r="I374" s="31"/>
      <c r="J374" s="31"/>
      <c r="K374" s="31"/>
      <c r="L374" s="31"/>
      <c r="M374" s="31"/>
      <c r="N374" s="31"/>
      <c r="O374" s="31"/>
      <c r="P374" s="31"/>
      <c r="Q374" s="31"/>
      <c r="R374" s="31"/>
      <c r="S374" s="31"/>
      <c r="T374" s="31"/>
      <c r="U374" s="31"/>
      <c r="V374" s="31"/>
      <c r="W374" s="31"/>
      <c r="X374" s="31"/>
      <c r="Y374" s="62" t="s">
        <v>237</v>
      </c>
      <c r="Z374" s="31"/>
      <c r="AA374" s="31"/>
      <c r="AB374" s="31"/>
      <c r="AC374" s="31"/>
      <c r="AD374" s="31"/>
      <c r="AE374" s="31"/>
      <c r="AF374" s="31"/>
      <c r="AG374" s="31"/>
      <c r="AH374" s="31"/>
      <c r="AI374" s="31"/>
      <c r="AJ374" s="31"/>
      <c r="AK374" s="31"/>
      <c r="AL374" s="31"/>
      <c r="AM374" s="31"/>
      <c r="AN374" s="31"/>
      <c r="AO374" s="31"/>
      <c r="AP374" s="31"/>
      <c r="AQ374" s="31"/>
      <c r="AR374" s="52" t="s">
        <v>204</v>
      </c>
      <c r="AS374" s="123" t="str">
        <f>TEXT(MOD(AS373,100),"00")</f>
        <v>68</v>
      </c>
      <c r="AT374" s="31"/>
      <c r="AU374" s="30" t="s">
        <v>236</v>
      </c>
      <c r="AV374" s="31"/>
      <c r="AW374" s="31"/>
      <c r="AX374" s="31"/>
      <c r="AY374" s="31"/>
      <c r="AZ374" s="31"/>
      <c r="BA374" s="31"/>
      <c r="BB374" s="31"/>
      <c r="BC374" s="31"/>
      <c r="BD374" s="31"/>
      <c r="BE374" s="31"/>
      <c r="BF374" s="31"/>
      <c r="BG374" s="31"/>
      <c r="BH374" s="31"/>
      <c r="BI374" s="31"/>
      <c r="BJ374" s="31"/>
      <c r="BK374" s="31"/>
      <c r="BL374" s="31"/>
      <c r="BM374" s="31"/>
      <c r="BN374" s="31"/>
      <c r="BO374" s="31"/>
      <c r="BP374" s="62" t="s">
        <v>237</v>
      </c>
      <c r="BQ374" s="31"/>
      <c r="BR374" s="31"/>
      <c r="BS374" s="31"/>
      <c r="BT374" s="31"/>
      <c r="BU374" s="31"/>
      <c r="BV374" s="31"/>
      <c r="BW374" s="31"/>
      <c r="BX374" s="31"/>
      <c r="BY374" s="31"/>
      <c r="BZ374" s="31"/>
      <c r="CA374" s="31"/>
      <c r="CB374" s="31"/>
      <c r="CC374" s="31"/>
      <c r="CD374" s="31"/>
      <c r="CE374" s="31"/>
      <c r="CF374" s="31"/>
      <c r="CG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c r="BW375" s="31"/>
      <c r="BX375" s="31"/>
      <c r="BY375" s="31"/>
      <c r="BZ375" s="31"/>
      <c r="CA375" s="31"/>
      <c r="CB375" s="31"/>
      <c r="CC375" s="31"/>
      <c r="CD375" s="31"/>
      <c r="CE375" s="31"/>
      <c r="CF375" s="31"/>
      <c r="CG375" s="31"/>
    </row>
    <row r="376" ht="5.2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c r="AZ376" s="54"/>
      <c r="BA376" s="54"/>
      <c r="BB376" s="54"/>
      <c r="BC376" s="54"/>
      <c r="BD376" s="54"/>
      <c r="BE376" s="54"/>
      <c r="BF376" s="54"/>
      <c r="BG376" s="54"/>
      <c r="BH376" s="54"/>
      <c r="BI376" s="54"/>
      <c r="BJ376" s="54"/>
      <c r="BK376" s="54"/>
      <c r="BL376" s="54"/>
      <c r="BM376" s="54"/>
      <c r="BN376" s="54"/>
      <c r="BO376" s="54"/>
      <c r="BP376" s="54"/>
      <c r="BQ376" s="54"/>
      <c r="BR376" s="54"/>
      <c r="BS376" s="54"/>
      <c r="BT376" s="54"/>
      <c r="BU376" s="54"/>
      <c r="BV376" s="54"/>
      <c r="BW376" s="54"/>
      <c r="BX376" s="54"/>
      <c r="BY376" s="54"/>
      <c r="BZ376" s="54"/>
      <c r="CA376" s="54"/>
      <c r="CB376" s="54"/>
      <c r="CC376" s="54"/>
      <c r="CD376" s="54"/>
      <c r="CE376" s="54"/>
      <c r="CF376" s="54"/>
      <c r="CG376" s="54"/>
    </row>
    <row r="377" ht="15.75" customHeight="1">
      <c r="A377" s="110" t="s">
        <v>357</v>
      </c>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c r="BW377" s="31"/>
      <c r="BX377" s="31"/>
      <c r="BY377" s="31"/>
      <c r="BZ377" s="31"/>
      <c r="CA377" s="31"/>
      <c r="CB377" s="31"/>
      <c r="CC377" s="31"/>
      <c r="CD377" s="31"/>
      <c r="CE377" s="31"/>
      <c r="CF377" s="31"/>
      <c r="CG377" s="31"/>
    </row>
    <row r="378" ht="15.75" customHeight="1">
      <c r="A378" s="34" t="s">
        <v>191</v>
      </c>
      <c r="B378" s="35" t="s">
        <v>100</v>
      </c>
      <c r="C378" s="114"/>
      <c r="D378" s="114"/>
      <c r="E378" s="114"/>
      <c r="F378" s="114"/>
      <c r="G378" s="114"/>
      <c r="H378" s="114"/>
      <c r="I378" s="114"/>
      <c r="J378" s="114"/>
      <c r="K378" s="114"/>
      <c r="L378" s="114"/>
      <c r="M378" s="114"/>
      <c r="N378" s="114"/>
      <c r="O378" s="114"/>
      <c r="P378" s="89" t="s">
        <v>358</v>
      </c>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c r="CE378" s="30"/>
      <c r="CF378" s="30"/>
      <c r="CG378" s="30"/>
    </row>
    <row r="379" ht="15.75" customHeight="1">
      <c r="A379" s="69" t="s">
        <v>193</v>
      </c>
      <c r="B379" s="70"/>
      <c r="C379" s="70"/>
      <c r="D379" s="70"/>
      <c r="E379" s="70"/>
      <c r="F379" s="70"/>
      <c r="G379" s="70"/>
      <c r="H379" s="70"/>
      <c r="I379" s="70"/>
      <c r="J379" s="70"/>
      <c r="K379" s="70"/>
      <c r="L379" s="70"/>
      <c r="M379" s="70"/>
      <c r="N379" s="70"/>
      <c r="O379" s="70"/>
      <c r="P379" s="70"/>
      <c r="Q379" s="30"/>
      <c r="R379" s="30"/>
      <c r="S379" s="30"/>
      <c r="T379" s="30"/>
      <c r="U379" s="30"/>
      <c r="V379" s="30" t="s">
        <v>359</v>
      </c>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c r="CE379" s="30"/>
      <c r="CF379" s="30"/>
      <c r="CG379" s="30"/>
    </row>
    <row r="380" ht="15.75" customHeight="1">
      <c r="A380" s="71" t="s">
        <v>195</v>
      </c>
      <c r="B380" s="72">
        <v>1.0</v>
      </c>
      <c r="C380" s="72">
        <v>2.0</v>
      </c>
      <c r="D380" s="72">
        <v>3.0</v>
      </c>
      <c r="E380" s="72">
        <v>4.0</v>
      </c>
      <c r="F380" s="72">
        <v>5.0</v>
      </c>
      <c r="G380" s="72">
        <v>6.0</v>
      </c>
      <c r="H380" s="72">
        <v>7.0</v>
      </c>
      <c r="I380" s="72">
        <v>8.0</v>
      </c>
      <c r="J380" s="72">
        <v>9.0</v>
      </c>
      <c r="K380" s="72">
        <v>10.0</v>
      </c>
      <c r="L380" s="129">
        <v>11.0</v>
      </c>
      <c r="M380" s="129">
        <v>12.0</v>
      </c>
      <c r="N380" s="129">
        <v>13.0</v>
      </c>
      <c r="O380" s="129">
        <v>14.0</v>
      </c>
      <c r="P380" s="72">
        <v>15.0</v>
      </c>
      <c r="Q380" s="30"/>
      <c r="R380" s="30"/>
      <c r="S380" s="30"/>
      <c r="T380" s="30"/>
      <c r="U380" s="30"/>
      <c r="V380" s="30" t="s">
        <v>360</v>
      </c>
      <c r="W380" s="108" t="s">
        <v>361</v>
      </c>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c r="CE380" s="30"/>
      <c r="CF380" s="30"/>
      <c r="CG380" s="30"/>
    </row>
    <row r="381" ht="15.75" customHeight="1">
      <c r="A381" s="76" t="s">
        <v>359</v>
      </c>
      <c r="B381" s="77" t="str">
        <f t="shared" ref="B381:P381" si="98">MID($A377,B380,1)</f>
        <v>2</v>
      </c>
      <c r="C381" s="77" t="str">
        <f t="shared" si="98"/>
        <v>5</v>
      </c>
      <c r="D381" s="77" t="str">
        <f t="shared" si="98"/>
        <v>3</v>
      </c>
      <c r="E381" s="77" t="str">
        <f t="shared" si="98"/>
        <v>9</v>
      </c>
      <c r="F381" s="77" t="str">
        <f t="shared" si="98"/>
        <v>7</v>
      </c>
      <c r="G381" s="77" t="str">
        <f t="shared" si="98"/>
        <v>6</v>
      </c>
      <c r="H381" s="77" t="str">
        <f t="shared" si="98"/>
        <v>1</v>
      </c>
      <c r="I381" s="77" t="str">
        <f t="shared" si="98"/>
        <v>7</v>
      </c>
      <c r="J381" s="77" t="str">
        <f t="shared" si="98"/>
        <v>7</v>
      </c>
      <c r="K381" s="77" t="str">
        <f t="shared" si="98"/>
        <v>8</v>
      </c>
      <c r="L381" s="88" t="str">
        <f t="shared" si="98"/>
        <v>5</v>
      </c>
      <c r="M381" s="88" t="str">
        <f t="shared" si="98"/>
        <v>6</v>
      </c>
      <c r="N381" s="88" t="str">
        <f t="shared" si="98"/>
        <v>0</v>
      </c>
      <c r="O381" s="88" t="str">
        <f t="shared" si="98"/>
        <v>1</v>
      </c>
      <c r="P381" s="77" t="str">
        <f t="shared" si="98"/>
        <v>2</v>
      </c>
      <c r="Q381" s="30"/>
      <c r="R381" s="30"/>
      <c r="S381" s="30"/>
      <c r="T381" s="30"/>
      <c r="U381" s="30"/>
      <c r="V381" s="30" t="s">
        <v>362</v>
      </c>
      <c r="W381" s="108" t="s">
        <v>363</v>
      </c>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c r="CE381" s="30"/>
      <c r="CF381" s="30"/>
      <c r="CG381" s="30"/>
    </row>
    <row r="382" ht="15.75" customHeight="1">
      <c r="A382" s="31"/>
      <c r="B382" s="30"/>
      <c r="C382" s="30"/>
      <c r="D382" s="30"/>
      <c r="E382" s="30"/>
      <c r="F382" s="30"/>
      <c r="G382" s="30"/>
      <c r="H382" s="30"/>
      <c r="I382" s="30"/>
      <c r="J382" s="30"/>
      <c r="K382" s="30"/>
      <c r="L382" s="30"/>
      <c r="M382" s="30"/>
      <c r="N382" s="30"/>
      <c r="O382" s="30"/>
      <c r="P382" s="30"/>
      <c r="Q382" s="30"/>
      <c r="R382" s="30"/>
      <c r="S382" s="30"/>
      <c r="T382" s="30"/>
      <c r="U382" s="30"/>
      <c r="V382" s="30" t="s">
        <v>364</v>
      </c>
      <c r="W382" s="108" t="s">
        <v>357</v>
      </c>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c r="CE382" s="30"/>
      <c r="CF382" s="30"/>
      <c r="CG382" s="30"/>
    </row>
    <row r="383" ht="15.75" customHeight="1">
      <c r="A383" s="31"/>
      <c r="B383" s="30"/>
      <c r="C383" s="30"/>
      <c r="D383" s="30"/>
      <c r="E383" s="30"/>
      <c r="F383" s="30"/>
      <c r="G383" s="30"/>
      <c r="H383" s="30"/>
      <c r="I383" s="30"/>
      <c r="J383" s="30"/>
      <c r="K383" s="30"/>
      <c r="L383" s="30"/>
      <c r="M383" s="30"/>
      <c r="N383" s="30"/>
      <c r="O383" s="30"/>
      <c r="P383" s="30"/>
      <c r="Q383" s="30"/>
      <c r="R383" s="30"/>
      <c r="S383" s="30"/>
      <c r="T383" s="30"/>
      <c r="U383" s="30"/>
      <c r="V383" s="30"/>
      <c r="W383" s="45"/>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c r="CE383" s="30"/>
      <c r="CF383" s="30"/>
      <c r="CG383" s="30"/>
    </row>
    <row r="384" ht="15.75" customHeight="1">
      <c r="A384" s="110" t="s">
        <v>365</v>
      </c>
      <c r="B384" s="30"/>
      <c r="C384" s="30"/>
      <c r="D384" s="30"/>
      <c r="E384" s="30"/>
      <c r="F384" s="30"/>
      <c r="G384" s="30"/>
      <c r="H384" s="30"/>
      <c r="I384" s="30"/>
      <c r="J384" s="30"/>
      <c r="K384" s="30"/>
      <c r="L384" s="30"/>
      <c r="M384" s="30"/>
      <c r="N384" s="30"/>
      <c r="O384" s="30"/>
      <c r="P384" s="30"/>
      <c r="Q384" s="30"/>
      <c r="R384" s="30"/>
      <c r="S384" s="30"/>
      <c r="T384" s="30"/>
      <c r="U384" s="30"/>
      <c r="V384" s="30"/>
      <c r="W384" s="45"/>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c r="CE384" s="30"/>
      <c r="CF384" s="30"/>
      <c r="CG384" s="30"/>
    </row>
    <row r="385" ht="15.75" customHeight="1">
      <c r="A385" s="81" t="s">
        <v>366</v>
      </c>
      <c r="B385" s="97"/>
      <c r="C385" s="97"/>
      <c r="D385" s="97"/>
      <c r="E385" s="97"/>
      <c r="F385" s="97"/>
      <c r="G385" s="97"/>
      <c r="H385" s="97"/>
      <c r="I385" s="97"/>
      <c r="J385" s="97"/>
      <c r="K385" s="97"/>
      <c r="L385" s="97"/>
      <c r="M385" s="97"/>
      <c r="N385" s="97"/>
      <c r="O385" s="46"/>
      <c r="P385" s="46"/>
      <c r="Q385" s="30"/>
      <c r="R385" s="30"/>
      <c r="S385" s="30"/>
      <c r="T385" s="30"/>
      <c r="U385" s="30"/>
      <c r="V385" s="30" t="s">
        <v>367</v>
      </c>
      <c r="W385" s="45"/>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c r="CE385" s="30"/>
      <c r="CF385" s="30"/>
      <c r="CG385" s="30"/>
    </row>
    <row r="386" ht="15.75" customHeight="1">
      <c r="A386" s="71" t="s">
        <v>195</v>
      </c>
      <c r="B386" s="95">
        <v>1.0</v>
      </c>
      <c r="C386" s="95">
        <v>2.0</v>
      </c>
      <c r="D386" s="95">
        <v>3.0</v>
      </c>
      <c r="E386" s="95">
        <v>4.0</v>
      </c>
      <c r="F386" s="95">
        <v>5.0</v>
      </c>
      <c r="G386" s="95">
        <v>6.0</v>
      </c>
      <c r="H386" s="95">
        <v>7.0</v>
      </c>
      <c r="I386" s="95">
        <v>8.0</v>
      </c>
      <c r="J386" s="95">
        <v>9.0</v>
      </c>
      <c r="K386" s="95">
        <v>10.0</v>
      </c>
      <c r="L386" s="95">
        <v>11.0</v>
      </c>
      <c r="M386" s="95">
        <v>12.0</v>
      </c>
      <c r="N386" s="95">
        <v>13.0</v>
      </c>
      <c r="O386" s="46"/>
      <c r="P386" s="46"/>
      <c r="Q386" s="30"/>
      <c r="R386" s="30"/>
      <c r="S386" s="30"/>
      <c r="T386" s="30"/>
      <c r="U386" s="30"/>
      <c r="V386" s="30" t="s">
        <v>360</v>
      </c>
      <c r="W386" s="108" t="s">
        <v>368</v>
      </c>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c r="CE386" s="30"/>
      <c r="CF386" s="30"/>
      <c r="CG386" s="30"/>
    </row>
    <row r="387" ht="15.75" customHeight="1">
      <c r="A387" s="76" t="s">
        <v>369</v>
      </c>
      <c r="B387" s="87" t="str">
        <f t="shared" ref="B387:N387" si="99">MID($A384,B386,1)</f>
        <v>3</v>
      </c>
      <c r="C387" s="87" t="str">
        <f t="shared" si="99"/>
        <v>5</v>
      </c>
      <c r="D387" s="87" t="str">
        <f t="shared" si="99"/>
        <v>8</v>
      </c>
      <c r="E387" s="87" t="str">
        <f t="shared" si="99"/>
        <v>0</v>
      </c>
      <c r="F387" s="87" t="str">
        <f t="shared" si="99"/>
        <v>4</v>
      </c>
      <c r="G387" s="87" t="str">
        <f t="shared" si="99"/>
        <v>0</v>
      </c>
      <c r="H387" s="87" t="str">
        <f t="shared" si="99"/>
        <v>0</v>
      </c>
      <c r="I387" s="87" t="str">
        <f t="shared" si="99"/>
        <v>0</v>
      </c>
      <c r="J387" s="87" t="str">
        <f t="shared" si="99"/>
        <v>2</v>
      </c>
      <c r="K387" s="87" t="str">
        <f t="shared" si="99"/>
        <v>1</v>
      </c>
      <c r="L387" s="87" t="str">
        <f t="shared" si="99"/>
        <v>4</v>
      </c>
      <c r="M387" s="87" t="str">
        <f t="shared" si="99"/>
        <v>7</v>
      </c>
      <c r="N387" s="87" t="str">
        <f t="shared" si="99"/>
        <v>1</v>
      </c>
      <c r="O387" s="46"/>
      <c r="P387" s="46"/>
      <c r="Q387" s="30"/>
      <c r="R387" s="30"/>
      <c r="S387" s="30"/>
      <c r="T387" s="30"/>
      <c r="U387" s="30"/>
      <c r="V387" s="30" t="s">
        <v>362</v>
      </c>
      <c r="W387" s="108" t="s">
        <v>370</v>
      </c>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c r="CE387" s="30"/>
      <c r="CF387" s="30"/>
      <c r="CG387" s="30"/>
    </row>
    <row r="388" ht="15.75" customHeight="1">
      <c r="A388" s="85" t="s">
        <v>371</v>
      </c>
      <c r="B388" s="79">
        <v>13.0</v>
      </c>
      <c r="C388" s="130"/>
      <c r="D388" s="79">
        <v>11.0</v>
      </c>
      <c r="E388" s="130"/>
      <c r="F388" s="79">
        <v>7.0</v>
      </c>
      <c r="G388" s="130"/>
      <c r="H388" s="79">
        <v>5.0</v>
      </c>
      <c r="I388" s="130"/>
      <c r="J388" s="79">
        <v>3.0</v>
      </c>
      <c r="K388" s="130"/>
      <c r="L388" s="79">
        <v>1.0</v>
      </c>
      <c r="M388" s="131"/>
      <c r="N388" s="130"/>
      <c r="O388" s="46"/>
      <c r="P388" s="46"/>
      <c r="Q388" s="33" t="s">
        <v>372</v>
      </c>
      <c r="R388" s="33"/>
      <c r="S388" s="30"/>
      <c r="T388" s="30"/>
      <c r="U388" s="30"/>
      <c r="V388" s="30" t="s">
        <v>364</v>
      </c>
      <c r="W388" s="108" t="s">
        <v>365</v>
      </c>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c r="CE388" s="30"/>
      <c r="CF388" s="30"/>
      <c r="CG388" s="30"/>
    </row>
    <row r="389" ht="15.75" customHeight="1">
      <c r="A389" s="85" t="s">
        <v>201</v>
      </c>
      <c r="B389" s="79" t="str">
        <f>VALUE(_xludf.CONCAT(B387,C387))*B388</f>
        <v>#NAME?</v>
      </c>
      <c r="C389" s="130"/>
      <c r="D389" s="79" t="str">
        <f>VALUE(_xludf.CONCAT(D387,E387))*D388</f>
        <v>#NAME?</v>
      </c>
      <c r="E389" s="130"/>
      <c r="F389" s="79" t="str">
        <f>VALUE(_xludf.CONCAT(F387,G387))*F388</f>
        <v>#NAME?</v>
      </c>
      <c r="G389" s="130"/>
      <c r="H389" s="79" t="str">
        <f>VALUE(_xludf.CONCAT(H387,I387))*H388</f>
        <v>#NAME?</v>
      </c>
      <c r="I389" s="130"/>
      <c r="J389" s="79" t="str">
        <f>VALUE(_xludf.CONCAT(J387,K387))*J388</f>
        <v>#NAME?</v>
      </c>
      <c r="K389" s="130"/>
      <c r="L389" s="79">
        <f>VALUE(CONCATENATE(L387,M387,N387))*L388</f>
        <v>471</v>
      </c>
      <c r="M389" s="131"/>
      <c r="N389" s="130"/>
      <c r="O389" s="46"/>
      <c r="P389" s="46"/>
      <c r="Q389" s="132" t="str">
        <f>SUM(B389:P389)</f>
        <v>#NAME?</v>
      </c>
      <c r="S389" s="30"/>
      <c r="T389" s="30"/>
      <c r="U389" s="30"/>
      <c r="V389" s="30"/>
      <c r="W389" s="45"/>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c r="CE389" s="30"/>
      <c r="CF389" s="30"/>
      <c r="CG389" s="30"/>
    </row>
    <row r="390" ht="15.75" customHeight="1">
      <c r="A390" s="133">
        <v>834.0</v>
      </c>
      <c r="B390" s="46"/>
      <c r="C390" s="46"/>
      <c r="D390" s="46"/>
      <c r="E390" s="46"/>
      <c r="F390" s="46"/>
      <c r="G390" s="46"/>
      <c r="H390" s="46"/>
      <c r="I390" s="46"/>
      <c r="J390" s="46"/>
      <c r="K390" s="46"/>
      <c r="L390" s="46"/>
      <c r="M390" s="46"/>
      <c r="N390" s="46"/>
      <c r="O390" s="46"/>
      <c r="P390" s="46"/>
      <c r="Q390" s="33"/>
      <c r="R390" s="33"/>
      <c r="S390" s="30"/>
      <c r="T390" s="30"/>
      <c r="U390" s="30"/>
      <c r="V390" s="30"/>
      <c r="W390" s="45"/>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c r="CE390" s="30"/>
      <c r="CF390" s="30"/>
      <c r="CG390" s="30"/>
    </row>
    <row r="391" ht="15.75" customHeight="1">
      <c r="A391" s="81" t="s">
        <v>373</v>
      </c>
      <c r="B391" s="97"/>
      <c r="C391" s="97"/>
      <c r="D391" s="97"/>
      <c r="E391" s="97"/>
      <c r="F391" s="97"/>
      <c r="G391" s="97"/>
      <c r="H391" s="97"/>
      <c r="I391" s="97"/>
      <c r="J391" s="97"/>
      <c r="K391" s="97"/>
      <c r="L391" s="97"/>
      <c r="M391" s="97"/>
      <c r="N391" s="97"/>
      <c r="O391" s="46"/>
      <c r="P391" s="46"/>
      <c r="Q391" s="33"/>
      <c r="R391" s="33"/>
      <c r="S391" s="30"/>
      <c r="T391" s="30"/>
      <c r="U391" s="30"/>
      <c r="V391" s="30" t="s">
        <v>374</v>
      </c>
      <c r="W391" s="45"/>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c r="CE391" s="30"/>
      <c r="CF391" s="30"/>
      <c r="CG391" s="30"/>
    </row>
    <row r="392" ht="15.75" customHeight="1">
      <c r="A392" s="71" t="s">
        <v>195</v>
      </c>
      <c r="B392" s="95">
        <v>1.0</v>
      </c>
      <c r="C392" s="95">
        <v>2.0</v>
      </c>
      <c r="D392" s="95">
        <v>3.0</v>
      </c>
      <c r="E392" s="95">
        <v>4.0</v>
      </c>
      <c r="F392" s="95">
        <v>5.0</v>
      </c>
      <c r="G392" s="95">
        <v>6.0</v>
      </c>
      <c r="H392" s="95">
        <v>7.0</v>
      </c>
      <c r="I392" s="95">
        <v>8.0</v>
      </c>
      <c r="J392" s="95">
        <v>9.0</v>
      </c>
      <c r="K392" s="95">
        <v>10.0</v>
      </c>
      <c r="L392" s="95">
        <v>11.0</v>
      </c>
      <c r="M392" s="95">
        <v>12.0</v>
      </c>
      <c r="N392" s="95">
        <v>13.0</v>
      </c>
      <c r="O392" s="46"/>
      <c r="P392" s="46"/>
      <c r="Q392" s="33"/>
      <c r="R392" s="33"/>
      <c r="S392" s="30"/>
      <c r="T392" s="30"/>
      <c r="U392" s="30"/>
      <c r="V392" s="30" t="s">
        <v>360</v>
      </c>
      <c r="W392" s="134" t="s">
        <v>375</v>
      </c>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c r="CE392" s="30"/>
      <c r="CF392" s="30"/>
      <c r="CG392" s="30"/>
    </row>
    <row r="393" ht="15.75" customHeight="1">
      <c r="A393" s="76" t="s">
        <v>376</v>
      </c>
      <c r="B393" s="77">
        <f>IF(ISERROR(MID($A390,LEN($A390)-13,1)),0,MID($A390,LEN($A390)-13,1))</f>
        <v>0</v>
      </c>
      <c r="C393" s="77">
        <f>IF(ISERROR(MID($A390,LEN($A390)-12,1)),0,MID($A390,LEN($A390)-12,1))</f>
        <v>0</v>
      </c>
      <c r="D393" s="77">
        <f>IF(ISERROR(MID($A390,LEN($A390)-11,1)),0,MID($A390,LEN($A390)-11,1))</f>
        <v>0</v>
      </c>
      <c r="E393" s="77">
        <f>IF(ISERROR(MID($A390,LEN($A390)-10,1)),0,MID($A390,LEN($A390)-10,1))</f>
        <v>0</v>
      </c>
      <c r="F393" s="77">
        <f>IF(ISERROR(MID($A390,LEN($A390)-9,1)),0,MID($A390,LEN($A390)-9,1))</f>
        <v>0</v>
      </c>
      <c r="G393" s="77">
        <f>IF(ISERROR(MID($A390,LEN($A390)-8,1)),0,MID($A390,LEN($A390)-8,1))</f>
        <v>0</v>
      </c>
      <c r="H393" s="77">
        <f>IF(ISERROR(MID($A390,LEN($A390)-7,1)),0,MID($A390,LEN($A390)-7,1))</f>
        <v>0</v>
      </c>
      <c r="I393" s="77">
        <f>IF(ISERROR(MID($A390,LEN($A390)-6,1)),0,MID($A390,LEN($A390)-6,1))</f>
        <v>0</v>
      </c>
      <c r="J393" s="77" t="str">
        <f>IF(ISERROR(MID($A390,LEN($A390)-5,1)),0,MID($A390,LEN($A390)-5,1))</f>
        <v>8</v>
      </c>
      <c r="K393" s="77" t="str">
        <f>IF(ISERROR(MID($A390,LEN($A390)-4,1)),0,MID($A390,LEN($A390)-4,1))</f>
        <v>3</v>
      </c>
      <c r="L393" s="77" t="str">
        <f>MID($A390,LEN($A390)-3,1)</f>
        <v>4</v>
      </c>
      <c r="M393" s="77" t="str">
        <f>IF(ISERROR(MID($A390,LEN($A390)-1,1)),0,MID($A390,LEN($A390)-1,1))</f>
        <v>0</v>
      </c>
      <c r="N393" s="77" t="str">
        <f>IF(ISERROR(MID($A390,LEN($A390),1)),0,MID($A390,LEN($A390),1))</f>
        <v>0</v>
      </c>
      <c r="O393" s="46"/>
      <c r="P393" s="46"/>
      <c r="Q393" s="33"/>
      <c r="R393" s="33"/>
      <c r="S393" s="30"/>
      <c r="T393" s="30"/>
      <c r="U393" s="30"/>
      <c r="V393" s="30" t="s">
        <v>362</v>
      </c>
      <c r="W393" s="134" t="s">
        <v>377</v>
      </c>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c r="CE393" s="30"/>
      <c r="CF393" s="30"/>
      <c r="CG393" s="30"/>
    </row>
    <row r="394" ht="15.75" customHeight="1">
      <c r="A394" s="85" t="s">
        <v>371</v>
      </c>
      <c r="B394" s="77">
        <v>113.0</v>
      </c>
      <c r="C394" s="77">
        <v>111.0</v>
      </c>
      <c r="D394" s="77">
        <v>107.0</v>
      </c>
      <c r="E394" s="77">
        <v>103.0</v>
      </c>
      <c r="F394" s="77">
        <v>101.0</v>
      </c>
      <c r="G394" s="77">
        <v>97.0</v>
      </c>
      <c r="H394" s="77">
        <v>89.0</v>
      </c>
      <c r="I394" s="77">
        <v>83.0</v>
      </c>
      <c r="J394" s="77">
        <v>79.0</v>
      </c>
      <c r="K394" s="77">
        <v>73.0</v>
      </c>
      <c r="L394" s="77">
        <v>71.0</v>
      </c>
      <c r="M394" s="77">
        <v>67.0</v>
      </c>
      <c r="N394" s="77">
        <v>61.0</v>
      </c>
      <c r="O394" s="46"/>
      <c r="P394" s="46"/>
      <c r="Q394" s="33" t="s">
        <v>372</v>
      </c>
      <c r="R394" s="33"/>
      <c r="S394" s="30"/>
      <c r="T394" s="30"/>
      <c r="U394" s="30"/>
      <c r="V394" s="30" t="s">
        <v>364</v>
      </c>
      <c r="W394" s="134" t="s">
        <v>378</v>
      </c>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c r="CE394" s="30"/>
      <c r="CF394" s="30"/>
      <c r="CG394" s="30"/>
    </row>
    <row r="395" ht="15.75" customHeight="1">
      <c r="A395" s="85" t="s">
        <v>201</v>
      </c>
      <c r="B395" s="77">
        <f t="shared" ref="B395:N395" si="100">B394*B393</f>
        <v>0</v>
      </c>
      <c r="C395" s="77">
        <f t="shared" si="100"/>
        <v>0</v>
      </c>
      <c r="D395" s="77">
        <f t="shared" si="100"/>
        <v>0</v>
      </c>
      <c r="E395" s="77">
        <f t="shared" si="100"/>
        <v>0</v>
      </c>
      <c r="F395" s="77">
        <f t="shared" si="100"/>
        <v>0</v>
      </c>
      <c r="G395" s="77">
        <f t="shared" si="100"/>
        <v>0</v>
      </c>
      <c r="H395" s="77">
        <f t="shared" si="100"/>
        <v>0</v>
      </c>
      <c r="I395" s="77">
        <f t="shared" si="100"/>
        <v>0</v>
      </c>
      <c r="J395" s="77">
        <f t="shared" si="100"/>
        <v>632</v>
      </c>
      <c r="K395" s="77">
        <f t="shared" si="100"/>
        <v>219</v>
      </c>
      <c r="L395" s="77">
        <f t="shared" si="100"/>
        <v>284</v>
      </c>
      <c r="M395" s="77">
        <f t="shared" si="100"/>
        <v>0</v>
      </c>
      <c r="N395" s="77">
        <f t="shared" si="100"/>
        <v>0</v>
      </c>
      <c r="O395" s="46"/>
      <c r="P395" s="46"/>
      <c r="Q395" s="132">
        <f>SUM(B395:P395)</f>
        <v>1135</v>
      </c>
      <c r="S395" s="30"/>
      <c r="T395" s="30"/>
      <c r="U395" s="30"/>
      <c r="V395" s="30"/>
      <c r="W395" s="134"/>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c r="CE395" s="30"/>
      <c r="CF395" s="30"/>
      <c r="CG395" s="30"/>
    </row>
    <row r="396" ht="15.75" customHeight="1">
      <c r="A396" s="30"/>
      <c r="B396" s="46"/>
      <c r="C396" s="46"/>
      <c r="D396" s="46"/>
      <c r="E396" s="46"/>
      <c r="F396" s="46"/>
      <c r="G396" s="46"/>
      <c r="H396" s="46"/>
      <c r="I396" s="46"/>
      <c r="J396" s="46"/>
      <c r="K396" s="46"/>
      <c r="L396" s="46"/>
      <c r="M396" s="46"/>
      <c r="N396" s="46"/>
      <c r="O396" s="46"/>
      <c r="P396" s="46"/>
      <c r="Q396" s="33"/>
      <c r="R396" s="33"/>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c r="CE396" s="30"/>
      <c r="CF396" s="30"/>
      <c r="CG396" s="30"/>
    </row>
    <row r="397" ht="15.75" customHeight="1">
      <c r="A397" s="30"/>
      <c r="B397" s="46"/>
      <c r="C397" s="46"/>
      <c r="D397" s="46"/>
      <c r="E397" s="46"/>
      <c r="F397" s="46"/>
      <c r="G397" s="46"/>
      <c r="H397" s="46"/>
      <c r="I397" s="46"/>
      <c r="J397" s="46"/>
      <c r="K397" s="46"/>
      <c r="L397" s="46"/>
      <c r="M397" s="46"/>
      <c r="N397" s="46"/>
      <c r="O397" s="46"/>
      <c r="P397" s="46"/>
      <c r="Q397" s="33"/>
      <c r="R397" s="33"/>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c r="CE397" s="30"/>
      <c r="CF397" s="30"/>
      <c r="CG397" s="30"/>
    </row>
    <row r="398" ht="15.75" customHeight="1">
      <c r="A398" s="81" t="s">
        <v>379</v>
      </c>
      <c r="B398" s="97"/>
      <c r="C398" s="97"/>
      <c r="D398" s="97"/>
      <c r="E398" s="97"/>
      <c r="F398" s="97"/>
      <c r="G398" s="97"/>
      <c r="H398" s="97"/>
      <c r="I398" s="97"/>
      <c r="J398" s="97"/>
      <c r="K398" s="97"/>
      <c r="L398" s="97"/>
      <c r="M398" s="97"/>
      <c r="N398" s="97"/>
      <c r="O398" s="97"/>
      <c r="P398" s="97"/>
      <c r="Q398" s="33"/>
      <c r="R398" s="33"/>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c r="CE398" s="30"/>
      <c r="CF398" s="30"/>
      <c r="CG398" s="30"/>
    </row>
    <row r="399" ht="15.75" customHeight="1">
      <c r="A399" s="71" t="s">
        <v>195</v>
      </c>
      <c r="B399" s="95">
        <v>1.0</v>
      </c>
      <c r="C399" s="95">
        <v>2.0</v>
      </c>
      <c r="D399" s="95">
        <v>3.0</v>
      </c>
      <c r="E399" s="95">
        <v>4.0</v>
      </c>
      <c r="F399" s="95">
        <v>5.0</v>
      </c>
      <c r="G399" s="95">
        <v>6.0</v>
      </c>
      <c r="H399" s="95">
        <v>7.0</v>
      </c>
      <c r="I399" s="95">
        <v>8.0</v>
      </c>
      <c r="J399" s="95">
        <v>9.0</v>
      </c>
      <c r="K399" s="95">
        <v>10.0</v>
      </c>
      <c r="L399" s="95">
        <v>11.0</v>
      </c>
      <c r="M399" s="95">
        <v>12.0</v>
      </c>
      <c r="N399" s="95">
        <v>13.0</v>
      </c>
      <c r="O399" s="95">
        <v>14.0</v>
      </c>
      <c r="P399" s="95">
        <v>15.0</v>
      </c>
      <c r="Q399" s="33"/>
      <c r="R399" s="33"/>
      <c r="S399" s="30"/>
      <c r="T399" s="30"/>
      <c r="U399" s="30"/>
      <c r="V399" s="31"/>
      <c r="W399" s="31"/>
      <c r="X399" s="31"/>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c r="CE399" s="30"/>
      <c r="CF399" s="30"/>
      <c r="CG399" s="30"/>
    </row>
    <row r="400" ht="15.75" customHeight="1">
      <c r="A400" s="76" t="s">
        <v>359</v>
      </c>
      <c r="B400" s="77" t="str">
        <f t="shared" ref="B400:P400" si="101">B381</f>
        <v>2</v>
      </c>
      <c r="C400" s="77" t="str">
        <f t="shared" si="101"/>
        <v>5</v>
      </c>
      <c r="D400" s="77" t="str">
        <f t="shared" si="101"/>
        <v>3</v>
      </c>
      <c r="E400" s="77" t="str">
        <f t="shared" si="101"/>
        <v>9</v>
      </c>
      <c r="F400" s="77" t="str">
        <f t="shared" si="101"/>
        <v>7</v>
      </c>
      <c r="G400" s="77" t="str">
        <f t="shared" si="101"/>
        <v>6</v>
      </c>
      <c r="H400" s="77" t="str">
        <f t="shared" si="101"/>
        <v>1</v>
      </c>
      <c r="I400" s="77" t="str">
        <f t="shared" si="101"/>
        <v>7</v>
      </c>
      <c r="J400" s="77" t="str">
        <f t="shared" si="101"/>
        <v>7</v>
      </c>
      <c r="K400" s="77" t="str">
        <f t="shared" si="101"/>
        <v>8</v>
      </c>
      <c r="L400" s="135" t="str">
        <f t="shared" si="101"/>
        <v>5</v>
      </c>
      <c r="M400" s="135" t="str">
        <f t="shared" si="101"/>
        <v>6</v>
      </c>
      <c r="N400" s="135" t="str">
        <f t="shared" si="101"/>
        <v>0</v>
      </c>
      <c r="O400" s="135" t="str">
        <f t="shared" si="101"/>
        <v>1</v>
      </c>
      <c r="P400" s="77" t="str">
        <f t="shared" si="101"/>
        <v>2</v>
      </c>
      <c r="Q400" s="33"/>
      <c r="R400" s="33"/>
      <c r="S400" s="30"/>
      <c r="T400" s="30"/>
      <c r="U400" s="30"/>
      <c r="V400" s="31"/>
      <c r="W400" s="31"/>
      <c r="X400" s="31"/>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c r="CE400" s="30"/>
      <c r="CF400" s="30"/>
      <c r="CG400" s="30"/>
    </row>
    <row r="401" ht="15.75" customHeight="1">
      <c r="A401" s="85" t="s">
        <v>371</v>
      </c>
      <c r="B401" s="77">
        <v>17.0</v>
      </c>
      <c r="C401" s="77">
        <v>19.0</v>
      </c>
      <c r="D401" s="77">
        <v>23.0</v>
      </c>
      <c r="E401" s="77">
        <v>29.0</v>
      </c>
      <c r="F401" s="77">
        <v>31.0</v>
      </c>
      <c r="G401" s="77">
        <v>37.0</v>
      </c>
      <c r="H401" s="77">
        <v>41.0</v>
      </c>
      <c r="I401" s="77">
        <v>43.0</v>
      </c>
      <c r="J401" s="77">
        <v>53.0</v>
      </c>
      <c r="K401" s="77">
        <v>59.0</v>
      </c>
      <c r="L401" s="135">
        <v>0.0</v>
      </c>
      <c r="M401" s="135">
        <v>0.0</v>
      </c>
      <c r="N401" s="135">
        <v>0.0</v>
      </c>
      <c r="O401" s="135">
        <v>0.0</v>
      </c>
      <c r="P401" s="77">
        <v>117.0</v>
      </c>
      <c r="Q401" s="33" t="s">
        <v>372</v>
      </c>
      <c r="R401" s="33"/>
      <c r="S401" s="30"/>
      <c r="T401" s="30"/>
      <c r="U401" s="30"/>
      <c r="V401" s="31"/>
      <c r="W401" s="31"/>
      <c r="X401" s="31"/>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c r="CE401" s="30"/>
      <c r="CF401" s="30"/>
      <c r="CG401" s="30"/>
    </row>
    <row r="402" ht="15.75" customHeight="1">
      <c r="A402" s="85" t="s">
        <v>201</v>
      </c>
      <c r="B402" s="77">
        <f t="shared" ref="B402:P402" si="102">B401*B400</f>
        <v>34</v>
      </c>
      <c r="C402" s="77">
        <f t="shared" si="102"/>
        <v>95</v>
      </c>
      <c r="D402" s="77">
        <f t="shared" si="102"/>
        <v>69</v>
      </c>
      <c r="E402" s="77">
        <f t="shared" si="102"/>
        <v>261</v>
      </c>
      <c r="F402" s="77">
        <f t="shared" si="102"/>
        <v>217</v>
      </c>
      <c r="G402" s="77">
        <f t="shared" si="102"/>
        <v>222</v>
      </c>
      <c r="H402" s="77">
        <f t="shared" si="102"/>
        <v>41</v>
      </c>
      <c r="I402" s="77">
        <f t="shared" si="102"/>
        <v>301</v>
      </c>
      <c r="J402" s="77">
        <f t="shared" si="102"/>
        <v>371</v>
      </c>
      <c r="K402" s="77">
        <f t="shared" si="102"/>
        <v>472</v>
      </c>
      <c r="L402" s="135">
        <f t="shared" si="102"/>
        <v>0</v>
      </c>
      <c r="M402" s="135">
        <f t="shared" si="102"/>
        <v>0</v>
      </c>
      <c r="N402" s="135">
        <f t="shared" si="102"/>
        <v>0</v>
      </c>
      <c r="O402" s="135">
        <f t="shared" si="102"/>
        <v>0</v>
      </c>
      <c r="P402" s="77">
        <f t="shared" si="102"/>
        <v>234</v>
      </c>
      <c r="Q402" s="132">
        <f>SUM(B402:P402)</f>
        <v>2317</v>
      </c>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c r="CE402" s="30"/>
      <c r="CF402" s="30"/>
      <c r="CG402" s="30"/>
    </row>
    <row r="403" ht="15.75" customHeight="1">
      <c r="A403" s="85" t="s">
        <v>203</v>
      </c>
      <c r="B403" s="77" t="str">
        <f>Q402+Q395+Q389</f>
        <v>#NAME?</v>
      </c>
      <c r="C403" s="46"/>
      <c r="D403" s="46"/>
      <c r="E403" s="46"/>
      <c r="F403" s="46"/>
      <c r="G403" s="46"/>
      <c r="H403" s="46"/>
      <c r="I403" s="46"/>
      <c r="J403" s="46"/>
      <c r="K403" s="46"/>
      <c r="L403" s="46"/>
      <c r="M403" s="46"/>
      <c r="N403" s="46"/>
      <c r="O403" s="46"/>
      <c r="P403" s="46"/>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c r="CE403" s="30"/>
      <c r="CF403" s="30"/>
      <c r="CG403" s="30"/>
    </row>
    <row r="404" ht="15.75" customHeight="1">
      <c r="A404" s="85" t="s">
        <v>380</v>
      </c>
      <c r="B404" s="88" t="str">
        <f>MOD(B403,10000)</f>
        <v>#NAME?</v>
      </c>
      <c r="C404" s="46"/>
      <c r="D404" s="46"/>
      <c r="E404" s="46"/>
      <c r="F404" s="46"/>
      <c r="G404" s="46"/>
      <c r="H404" s="46"/>
      <c r="I404" s="46"/>
      <c r="J404" s="46"/>
      <c r="K404" s="46"/>
      <c r="L404" s="46"/>
      <c r="M404" s="46"/>
      <c r="N404" s="46"/>
      <c r="O404" s="46"/>
      <c r="P404" s="46"/>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c r="CE404" s="30"/>
      <c r="CF404" s="30"/>
      <c r="CG404" s="30"/>
    </row>
    <row r="405" ht="15.75" customHeight="1">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c r="CE405" s="30"/>
      <c r="CF405" s="30"/>
      <c r="CG405" s="30"/>
    </row>
    <row r="406" ht="5.2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c r="BA406" s="54"/>
      <c r="BB406" s="54"/>
      <c r="BC406" s="54"/>
      <c r="BD406" s="54"/>
      <c r="BE406" s="54"/>
      <c r="BF406" s="54"/>
      <c r="BG406" s="54"/>
      <c r="BH406" s="54"/>
      <c r="BI406" s="54"/>
      <c r="BJ406" s="54"/>
      <c r="BK406" s="54"/>
      <c r="BL406" s="54"/>
      <c r="BM406" s="54"/>
      <c r="BN406" s="54"/>
      <c r="BO406" s="54"/>
      <c r="BP406" s="54"/>
      <c r="BQ406" s="54"/>
      <c r="BR406" s="54"/>
      <c r="BS406" s="54"/>
      <c r="BT406" s="54"/>
      <c r="BU406" s="54"/>
      <c r="BV406" s="54"/>
      <c r="BW406" s="54"/>
      <c r="BX406" s="54"/>
      <c r="BY406" s="54"/>
      <c r="BZ406" s="54"/>
      <c r="CA406" s="54"/>
      <c r="CB406" s="54"/>
      <c r="CC406" s="54"/>
      <c r="CD406" s="54"/>
      <c r="CE406" s="54"/>
      <c r="CF406" s="54"/>
      <c r="CG406" s="54"/>
    </row>
    <row r="407" ht="15.75" customHeight="1">
      <c r="A407" s="121" t="s">
        <v>381</v>
      </c>
      <c r="B407" s="30"/>
      <c r="C407" s="31"/>
      <c r="D407" s="30">
        <f>LEN(A407)</f>
        <v>17</v>
      </c>
      <c r="E407" s="30" t="s">
        <v>277</v>
      </c>
      <c r="F407" s="31"/>
      <c r="G407" s="31"/>
      <c r="H407" s="31"/>
      <c r="I407" s="31"/>
      <c r="J407" s="31"/>
      <c r="K407" s="31"/>
      <c r="L407" s="31"/>
      <c r="M407" s="31"/>
      <c r="N407" s="31"/>
      <c r="O407" s="31"/>
      <c r="P407" s="31"/>
      <c r="Q407" s="31"/>
      <c r="R407" s="31"/>
      <c r="S407" s="31"/>
      <c r="T407" s="31"/>
      <c r="U407" s="136" t="s">
        <v>382</v>
      </c>
      <c r="V407" s="31"/>
      <c r="W407" s="31"/>
      <c r="X407" s="31"/>
      <c r="Y407" s="31"/>
      <c r="Z407" s="31"/>
      <c r="AA407" s="30">
        <f>LEN(U407)</f>
        <v>15</v>
      </c>
      <c r="AB407" s="30" t="s">
        <v>277</v>
      </c>
      <c r="AC407" s="31"/>
      <c r="AD407" s="31"/>
      <c r="AE407" s="30"/>
      <c r="AF407" s="31"/>
      <c r="AG407" s="31"/>
      <c r="AH407" s="31"/>
      <c r="AI407" s="31"/>
      <c r="AJ407" s="31"/>
      <c r="AK407" s="31"/>
      <c r="AL407" s="31"/>
      <c r="AM407" s="31"/>
      <c r="AN407" s="136" t="s">
        <v>383</v>
      </c>
      <c r="AO407" s="31"/>
      <c r="AP407" s="31"/>
      <c r="AQ407" s="31"/>
      <c r="AR407" s="31"/>
      <c r="AS407" s="31"/>
      <c r="AT407" s="30">
        <f>LEN(AN407)</f>
        <v>16</v>
      </c>
      <c r="AU407" s="30" t="s">
        <v>277</v>
      </c>
      <c r="AV407" s="31"/>
      <c r="AW407" s="31"/>
      <c r="AX407" s="30"/>
      <c r="AY407" s="31"/>
      <c r="AZ407" s="31"/>
      <c r="BA407" s="31"/>
      <c r="BB407" s="31"/>
      <c r="BC407" s="31"/>
      <c r="BD407" s="31"/>
      <c r="BE407" s="31"/>
      <c r="BF407" s="31"/>
      <c r="BG407" s="136" t="s">
        <v>384</v>
      </c>
      <c r="BH407" s="31"/>
      <c r="BI407" s="31"/>
      <c r="BJ407" s="31"/>
      <c r="BK407" s="31"/>
      <c r="BL407" s="31"/>
      <c r="BM407" s="30">
        <f>LEN(BG407)</f>
        <v>10</v>
      </c>
      <c r="BN407" s="30" t="s">
        <v>277</v>
      </c>
      <c r="BO407" s="31"/>
      <c r="BP407" s="31"/>
      <c r="BQ407" s="30"/>
      <c r="BR407" s="31"/>
      <c r="BS407" s="31"/>
      <c r="BT407" s="31"/>
      <c r="BU407" s="31"/>
      <c r="BV407" s="31"/>
      <c r="BW407" s="31"/>
      <c r="BX407" s="31"/>
      <c r="BY407" s="31"/>
      <c r="BZ407" s="31"/>
      <c r="CA407" s="31"/>
      <c r="CB407" s="31"/>
      <c r="CC407" s="31"/>
      <c r="CD407" s="31"/>
      <c r="CE407" s="31"/>
      <c r="CF407" s="31"/>
      <c r="CG407" s="31"/>
    </row>
    <row r="408" ht="15.75" customHeight="1">
      <c r="A408" s="34" t="s">
        <v>191</v>
      </c>
      <c r="B408" s="35" t="s">
        <v>102</v>
      </c>
      <c r="C408" s="35"/>
      <c r="D408" s="35"/>
      <c r="E408" s="35"/>
      <c r="F408" s="35"/>
      <c r="G408" s="35"/>
      <c r="H408" s="35"/>
      <c r="I408" s="35"/>
      <c r="J408" s="35"/>
      <c r="K408" s="35"/>
      <c r="L408" s="35"/>
      <c r="M408" s="115"/>
      <c r="N408" s="35"/>
      <c r="O408" s="35"/>
      <c r="P408" s="35"/>
      <c r="Q408" s="35"/>
      <c r="R408" s="89" t="s">
        <v>385</v>
      </c>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c r="BS408" s="31"/>
      <c r="BT408" s="31"/>
      <c r="BU408" s="31"/>
      <c r="BV408" s="31"/>
      <c r="BW408" s="31"/>
      <c r="BX408" s="31"/>
      <c r="BY408" s="31"/>
      <c r="BZ408" s="31"/>
      <c r="CA408" s="31"/>
      <c r="CB408" s="31"/>
      <c r="CC408" s="31"/>
      <c r="CD408" s="31"/>
      <c r="CE408" s="31"/>
      <c r="CF408" s="31"/>
      <c r="CG408" s="31"/>
    </row>
    <row r="409" ht="15.75" customHeight="1">
      <c r="A409" s="37" t="s">
        <v>193</v>
      </c>
      <c r="B409" s="38"/>
      <c r="C409" s="38"/>
      <c r="D409" s="38"/>
      <c r="E409" s="38"/>
      <c r="F409" s="38"/>
      <c r="G409" s="38"/>
      <c r="H409" s="38"/>
      <c r="I409" s="38"/>
      <c r="J409" s="38"/>
      <c r="K409" s="38"/>
      <c r="L409" s="38"/>
      <c r="M409" s="90"/>
      <c r="N409" s="38"/>
      <c r="O409" s="38"/>
      <c r="P409" s="38"/>
      <c r="Q409" s="38"/>
      <c r="R409" s="38"/>
      <c r="S409" s="31"/>
      <c r="T409" s="31"/>
      <c r="U409" s="37" t="s">
        <v>193</v>
      </c>
      <c r="V409" s="38"/>
      <c r="W409" s="38"/>
      <c r="X409" s="38"/>
      <c r="Y409" s="38"/>
      <c r="Z409" s="38"/>
      <c r="AA409" s="38"/>
      <c r="AB409" s="38"/>
      <c r="AC409" s="38"/>
      <c r="AD409" s="38"/>
      <c r="AE409" s="38"/>
      <c r="AF409" s="90"/>
      <c r="AG409" s="38"/>
      <c r="AH409" s="38"/>
      <c r="AI409" s="38"/>
      <c r="AJ409" s="38"/>
      <c r="AK409" s="38"/>
      <c r="AL409" s="31"/>
      <c r="AM409" s="31"/>
      <c r="AN409" s="37" t="s">
        <v>193</v>
      </c>
      <c r="AO409" s="38"/>
      <c r="AP409" s="38"/>
      <c r="AQ409" s="38"/>
      <c r="AR409" s="38"/>
      <c r="AS409" s="38"/>
      <c r="AT409" s="38"/>
      <c r="AU409" s="38"/>
      <c r="AV409" s="38"/>
      <c r="AW409" s="38"/>
      <c r="AX409" s="38"/>
      <c r="AY409" s="90"/>
      <c r="AZ409" s="38"/>
      <c r="BA409" s="38"/>
      <c r="BB409" s="38"/>
      <c r="BC409" s="38"/>
      <c r="BD409" s="38"/>
      <c r="BE409" s="31"/>
      <c r="BF409" s="31"/>
      <c r="BG409" s="37" t="s">
        <v>193</v>
      </c>
      <c r="BH409" s="38"/>
      <c r="BI409" s="38"/>
      <c r="BJ409" s="38"/>
      <c r="BK409" s="38"/>
      <c r="BL409" s="38"/>
      <c r="BM409" s="38"/>
      <c r="BN409" s="38"/>
      <c r="BO409" s="38"/>
      <c r="BP409" s="38"/>
      <c r="BQ409" s="38"/>
      <c r="BR409" s="90"/>
      <c r="BS409" s="38"/>
      <c r="BT409" s="38"/>
      <c r="BU409" s="38"/>
      <c r="BV409" s="38"/>
      <c r="BW409" s="38"/>
      <c r="BX409" s="38"/>
      <c r="BY409" s="38"/>
      <c r="BZ409" s="38"/>
      <c r="CA409" s="38"/>
      <c r="CB409" s="38"/>
      <c r="CC409" s="38"/>
      <c r="CD409" s="38"/>
      <c r="CE409" s="38"/>
      <c r="CF409" s="38"/>
      <c r="CG409" s="38"/>
    </row>
    <row r="410" ht="15.75" customHeight="1">
      <c r="A410" s="39" t="s">
        <v>195</v>
      </c>
      <c r="B410" s="40">
        <v>1.0</v>
      </c>
      <c r="C410" s="40">
        <v>2.0</v>
      </c>
      <c r="D410" s="40">
        <v>3.0</v>
      </c>
      <c r="E410" s="40">
        <v>4.0</v>
      </c>
      <c r="F410" s="40">
        <v>5.0</v>
      </c>
      <c r="G410" s="40">
        <v>6.0</v>
      </c>
      <c r="H410" s="40">
        <v>7.0</v>
      </c>
      <c r="I410" s="40">
        <v>8.0</v>
      </c>
      <c r="J410" s="40">
        <v>9.0</v>
      </c>
      <c r="K410" s="40">
        <v>10.0</v>
      </c>
      <c r="L410" s="40">
        <v>11.0</v>
      </c>
      <c r="M410" s="40">
        <v>12.0</v>
      </c>
      <c r="N410" s="40">
        <v>13.0</v>
      </c>
      <c r="O410" s="40">
        <v>14.0</v>
      </c>
      <c r="P410" s="40">
        <v>15.0</v>
      </c>
      <c r="Q410" s="41">
        <v>16.0</v>
      </c>
      <c r="R410" s="137">
        <v>17.0</v>
      </c>
      <c r="S410" s="138"/>
      <c r="T410" s="138"/>
      <c r="U410" s="40">
        <v>1.0</v>
      </c>
      <c r="V410" s="40">
        <v>2.0</v>
      </c>
      <c r="W410" s="40">
        <v>3.0</v>
      </c>
      <c r="X410" s="40">
        <v>4.0</v>
      </c>
      <c r="Y410" s="40">
        <v>5.0</v>
      </c>
      <c r="Z410" s="40">
        <v>6.0</v>
      </c>
      <c r="AA410" s="40">
        <v>7.0</v>
      </c>
      <c r="AB410" s="40">
        <v>8.0</v>
      </c>
      <c r="AC410" s="40">
        <v>9.0</v>
      </c>
      <c r="AD410" s="40">
        <v>10.0</v>
      </c>
      <c r="AE410" s="40">
        <v>11.0</v>
      </c>
      <c r="AF410" s="40">
        <v>12.0</v>
      </c>
      <c r="AG410" s="40">
        <v>13.0</v>
      </c>
      <c r="AH410" s="137">
        <v>14.0</v>
      </c>
      <c r="AI410" s="137">
        <v>15.0</v>
      </c>
      <c r="AJ410" s="40">
        <v>16.0</v>
      </c>
      <c r="AK410" s="40">
        <v>17.0</v>
      </c>
      <c r="AL410" s="138"/>
      <c r="AM410" s="138"/>
      <c r="AN410" s="40">
        <v>1.0</v>
      </c>
      <c r="AO410" s="40">
        <v>2.0</v>
      </c>
      <c r="AP410" s="40">
        <v>3.0</v>
      </c>
      <c r="AQ410" s="40">
        <v>4.0</v>
      </c>
      <c r="AR410" s="40">
        <v>5.0</v>
      </c>
      <c r="AS410" s="40">
        <v>6.0</v>
      </c>
      <c r="AT410" s="40">
        <v>7.0</v>
      </c>
      <c r="AU410" s="40">
        <v>8.0</v>
      </c>
      <c r="AV410" s="40">
        <v>9.0</v>
      </c>
      <c r="AW410" s="40">
        <v>10.0</v>
      </c>
      <c r="AX410" s="40">
        <v>11.0</v>
      </c>
      <c r="AY410" s="40">
        <v>12.0</v>
      </c>
      <c r="AZ410" s="40">
        <v>13.0</v>
      </c>
      <c r="BA410" s="40">
        <v>14.0</v>
      </c>
      <c r="BB410" s="41">
        <v>15.0</v>
      </c>
      <c r="BC410" s="137">
        <v>16.0</v>
      </c>
      <c r="BD410" s="40">
        <v>17.0</v>
      </c>
      <c r="BE410" s="31"/>
      <c r="BF410" s="31"/>
      <c r="BG410" s="40">
        <v>1.0</v>
      </c>
      <c r="BH410" s="40">
        <v>2.0</v>
      </c>
      <c r="BI410" s="40">
        <v>3.0</v>
      </c>
      <c r="BJ410" s="40">
        <v>4.0</v>
      </c>
      <c r="BK410" s="40">
        <v>5.0</v>
      </c>
      <c r="BL410" s="40">
        <v>6.0</v>
      </c>
      <c r="BM410" s="40">
        <v>7.0</v>
      </c>
      <c r="BN410" s="40">
        <v>8.0</v>
      </c>
      <c r="BO410" s="41">
        <v>9.0</v>
      </c>
      <c r="BP410" s="137">
        <v>10.0</v>
      </c>
      <c r="BQ410" s="40">
        <v>11.0</v>
      </c>
      <c r="BR410" s="40">
        <v>12.0</v>
      </c>
      <c r="BS410" s="40">
        <v>13.0</v>
      </c>
      <c r="BT410" s="40">
        <v>14.0</v>
      </c>
      <c r="BU410" s="40">
        <v>15.0</v>
      </c>
      <c r="BV410" s="40">
        <v>16.0</v>
      </c>
      <c r="BW410" s="40">
        <v>17.0</v>
      </c>
      <c r="BX410" s="126"/>
      <c r="BY410" s="126"/>
      <c r="BZ410" s="126"/>
      <c r="CA410" s="126"/>
      <c r="CB410" s="126"/>
      <c r="CC410" s="126"/>
      <c r="CD410" s="126"/>
      <c r="CE410" s="126"/>
      <c r="CF410" s="126"/>
      <c r="CG410" s="126"/>
    </row>
    <row r="411" ht="15.75" customHeight="1">
      <c r="A411" s="42" t="s">
        <v>196</v>
      </c>
      <c r="B411" s="43" t="str">
        <f t="shared" ref="B411:R411" si="103">MID($A407,B410,1)</f>
        <v>9</v>
      </c>
      <c r="C411" s="43" t="str">
        <f t="shared" si="103"/>
        <v>9</v>
      </c>
      <c r="D411" s="43" t="str">
        <f t="shared" si="103"/>
        <v>0</v>
      </c>
      <c r="E411" s="43" t="str">
        <f t="shared" si="103"/>
        <v>1</v>
      </c>
      <c r="F411" s="43" t="str">
        <f t="shared" si="103"/>
        <v>0</v>
      </c>
      <c r="G411" s="43" t="str">
        <f t="shared" si="103"/>
        <v>3</v>
      </c>
      <c r="H411" s="43" t="str">
        <f t="shared" si="103"/>
        <v>1</v>
      </c>
      <c r="I411" s="43" t="str">
        <f t="shared" si="103"/>
        <v>0</v>
      </c>
      <c r="J411" s="43" t="str">
        <f t="shared" si="103"/>
        <v>6</v>
      </c>
      <c r="K411" s="43" t="str">
        <f t="shared" si="103"/>
        <v>5</v>
      </c>
      <c r="L411" s="43" t="str">
        <f t="shared" si="103"/>
        <v>0</v>
      </c>
      <c r="M411" s="43" t="str">
        <f t="shared" si="103"/>
        <v>0</v>
      </c>
      <c r="N411" s="43" t="str">
        <f t="shared" si="103"/>
        <v>0</v>
      </c>
      <c r="O411" s="43" t="str">
        <f t="shared" si="103"/>
        <v>7</v>
      </c>
      <c r="P411" s="43" t="str">
        <f t="shared" si="103"/>
        <v>1</v>
      </c>
      <c r="Q411" s="44" t="str">
        <f t="shared" si="103"/>
        <v>2</v>
      </c>
      <c r="R411" s="139" t="str">
        <f t="shared" si="103"/>
        <v>7</v>
      </c>
      <c r="S411" s="138"/>
      <c r="T411" s="138"/>
      <c r="U411" s="43" t="str">
        <f t="shared" ref="U411:AK411" si="104">MID($U407,U410,1)</f>
        <v>0</v>
      </c>
      <c r="V411" s="43" t="str">
        <f t="shared" si="104"/>
        <v>1</v>
      </c>
      <c r="W411" s="43" t="str">
        <f t="shared" si="104"/>
        <v>0</v>
      </c>
      <c r="X411" s="43" t="str">
        <f t="shared" si="104"/>
        <v>1</v>
      </c>
      <c r="Y411" s="43" t="str">
        <f t="shared" si="104"/>
        <v>0</v>
      </c>
      <c r="Z411" s="43" t="str">
        <f t="shared" si="104"/>
        <v>2</v>
      </c>
      <c r="AA411" s="43" t="str">
        <f t="shared" si="104"/>
        <v>6</v>
      </c>
      <c r="AB411" s="43" t="str">
        <f t="shared" si="104"/>
        <v>5</v>
      </c>
      <c r="AC411" s="43" t="str">
        <f t="shared" si="104"/>
        <v>0</v>
      </c>
      <c r="AD411" s="43" t="str">
        <f t="shared" si="104"/>
        <v>0</v>
      </c>
      <c r="AE411" s="43" t="str">
        <f t="shared" si="104"/>
        <v>0</v>
      </c>
      <c r="AF411" s="43" t="str">
        <f t="shared" si="104"/>
        <v>1</v>
      </c>
      <c r="AG411" s="43" t="str">
        <f t="shared" si="104"/>
        <v>4</v>
      </c>
      <c r="AH411" s="139" t="str">
        <f t="shared" si="104"/>
        <v>6</v>
      </c>
      <c r="AI411" s="139" t="str">
        <f t="shared" si="104"/>
        <v>8</v>
      </c>
      <c r="AJ411" s="43" t="str">
        <f t="shared" si="104"/>
        <v/>
      </c>
      <c r="AK411" s="43" t="str">
        <f t="shared" si="104"/>
        <v/>
      </c>
      <c r="AL411" s="138"/>
      <c r="AM411" s="138"/>
      <c r="AN411" s="43" t="str">
        <f t="shared" ref="AN411:BC411" si="105">MID($AN407,AN410,1)</f>
        <v>0</v>
      </c>
      <c r="AO411" s="43" t="str">
        <f t="shared" si="105"/>
        <v>5</v>
      </c>
      <c r="AP411" s="43" t="str">
        <f t="shared" si="105"/>
        <v>5</v>
      </c>
      <c r="AQ411" s="43" t="str">
        <f t="shared" si="105"/>
        <v>0</v>
      </c>
      <c r="AR411" s="43" t="str">
        <f t="shared" si="105"/>
        <v>4</v>
      </c>
      <c r="AS411" s="43" t="str">
        <f t="shared" si="105"/>
        <v>0</v>
      </c>
      <c r="AT411" s="43" t="str">
        <f t="shared" si="105"/>
        <v>0</v>
      </c>
      <c r="AU411" s="43" t="str">
        <f t="shared" si="105"/>
        <v>4</v>
      </c>
      <c r="AV411" s="43" t="str">
        <f t="shared" si="105"/>
        <v>7</v>
      </c>
      <c r="AW411" s="43" t="str">
        <f t="shared" si="105"/>
        <v>0</v>
      </c>
      <c r="AX411" s="43" t="str">
        <f t="shared" si="105"/>
        <v>0</v>
      </c>
      <c r="AY411" s="43" t="str">
        <f t="shared" si="105"/>
        <v>1</v>
      </c>
      <c r="AZ411" s="43" t="str">
        <f t="shared" si="105"/>
        <v>2</v>
      </c>
      <c r="BA411" s="43" t="str">
        <f t="shared" si="105"/>
        <v>7</v>
      </c>
      <c r="BB411" s="44" t="str">
        <f t="shared" si="105"/>
        <v>2</v>
      </c>
      <c r="BC411" s="44" t="str">
        <f t="shared" si="105"/>
        <v>8</v>
      </c>
      <c r="BD411" s="43" t="str">
        <f>MID($U407,BD410,1)</f>
        <v/>
      </c>
      <c r="BE411" s="31"/>
      <c r="BF411" s="31"/>
      <c r="BG411" s="43" t="str">
        <f t="shared" ref="BG411:BP411" si="106">MID($BG407,BG410,1)</f>
        <v>0</v>
      </c>
      <c r="BH411" s="43" t="str">
        <f t="shared" si="106"/>
        <v>2</v>
      </c>
      <c r="BI411" s="43" t="str">
        <f t="shared" si="106"/>
        <v>4</v>
      </c>
      <c r="BJ411" s="43" t="str">
        <f t="shared" si="106"/>
        <v>5</v>
      </c>
      <c r="BK411" s="43" t="str">
        <f t="shared" si="106"/>
        <v>1</v>
      </c>
      <c r="BL411" s="43" t="str">
        <f t="shared" si="106"/>
        <v>6</v>
      </c>
      <c r="BM411" s="43" t="str">
        <f t="shared" si="106"/>
        <v>4</v>
      </c>
      <c r="BN411" s="43" t="str">
        <f t="shared" si="106"/>
        <v>0</v>
      </c>
      <c r="BO411" s="44" t="str">
        <f t="shared" si="106"/>
        <v>8</v>
      </c>
      <c r="BP411" s="44" t="str">
        <f t="shared" si="106"/>
        <v>2</v>
      </c>
      <c r="BQ411" s="43"/>
      <c r="BR411" s="43"/>
      <c r="BS411" s="43"/>
      <c r="BT411" s="43"/>
      <c r="BU411" s="43"/>
      <c r="BV411" s="43"/>
      <c r="BW411" s="43" t="str">
        <f>MID($U407,BW410,1)</f>
        <v/>
      </c>
      <c r="BX411" s="46"/>
      <c r="BY411" s="46"/>
      <c r="BZ411" s="46"/>
      <c r="CA411" s="46"/>
      <c r="CB411" s="46"/>
      <c r="CC411" s="46"/>
      <c r="CD411" s="46"/>
      <c r="CE411" s="46"/>
      <c r="CF411" s="46"/>
      <c r="CG411" s="46"/>
    </row>
    <row r="412" ht="15.75" customHeight="1">
      <c r="A412" s="140" t="s">
        <v>381</v>
      </c>
      <c r="B412" s="46"/>
      <c r="C412" s="46"/>
      <c r="D412" s="46"/>
      <c r="E412" s="46"/>
      <c r="F412" s="46"/>
      <c r="G412" s="46"/>
      <c r="H412" s="121"/>
      <c r="I412" s="46"/>
      <c r="J412" s="46"/>
      <c r="K412" s="46"/>
      <c r="L412" s="46"/>
      <c r="M412" s="121"/>
      <c r="N412" s="46"/>
      <c r="O412" s="46"/>
      <c r="P412" s="46"/>
      <c r="Q412" s="46"/>
      <c r="R412" s="46"/>
      <c r="S412" s="31"/>
      <c r="T412" s="31"/>
      <c r="U412" s="141" t="s">
        <v>386</v>
      </c>
      <c r="V412" s="46"/>
      <c r="W412" s="46"/>
      <c r="X412" s="46"/>
      <c r="Y412" s="46"/>
      <c r="Z412" s="46"/>
      <c r="AA412" s="46"/>
      <c r="AB412" s="121"/>
      <c r="AC412" s="46"/>
      <c r="AD412" s="46"/>
      <c r="AE412" s="46"/>
      <c r="AF412" s="46"/>
      <c r="AG412" s="121"/>
      <c r="AH412" s="46"/>
      <c r="AI412" s="46"/>
      <c r="AJ412" s="46"/>
      <c r="AK412" s="46"/>
      <c r="AL412" s="31"/>
      <c r="AM412" s="31"/>
      <c r="AN412" s="140" t="s">
        <v>387</v>
      </c>
      <c r="AO412" s="46"/>
      <c r="AP412" s="46"/>
      <c r="AQ412" s="46"/>
      <c r="AR412" s="46"/>
      <c r="AS412" s="46"/>
      <c r="AT412" s="46"/>
      <c r="AU412" s="46"/>
      <c r="AV412" s="46"/>
      <c r="AW412" s="46"/>
      <c r="AX412" s="46"/>
      <c r="AY412" s="46"/>
      <c r="AZ412" s="46"/>
      <c r="BA412" s="46"/>
      <c r="BB412" s="46"/>
      <c r="BC412" s="46"/>
      <c r="BD412" s="46"/>
      <c r="BE412" s="31"/>
      <c r="BF412" s="31"/>
      <c r="BG412" s="141" t="s">
        <v>388</v>
      </c>
      <c r="BH412" s="46"/>
      <c r="BI412" s="46"/>
      <c r="BJ412" s="46"/>
      <c r="BK412" s="46"/>
      <c r="BL412" s="46"/>
      <c r="BM412" s="46"/>
      <c r="BN412" s="46"/>
      <c r="BO412" s="46"/>
      <c r="BP412" s="46"/>
      <c r="BQ412" s="46"/>
      <c r="BR412" s="46"/>
      <c r="BS412" s="46"/>
      <c r="BT412" s="46"/>
      <c r="BU412" s="46"/>
      <c r="BV412" s="46"/>
      <c r="BW412" s="46"/>
      <c r="BX412" s="46"/>
      <c r="BY412" s="46"/>
      <c r="BZ412" s="46"/>
      <c r="CA412" s="46"/>
      <c r="CB412" s="46"/>
      <c r="CC412" s="46"/>
      <c r="CD412" s="46"/>
      <c r="CE412" s="46"/>
      <c r="CF412" s="46"/>
      <c r="CG412" s="46"/>
    </row>
    <row r="413" ht="15.75" customHeight="1">
      <c r="A413" s="140" t="s">
        <v>389</v>
      </c>
      <c r="B413" s="46"/>
      <c r="C413" s="46"/>
      <c r="D413" s="46"/>
      <c r="E413" s="46"/>
      <c r="F413" s="46"/>
      <c r="G413" s="46"/>
      <c r="H413" s="121"/>
      <c r="I413" s="46"/>
      <c r="J413" s="46"/>
      <c r="K413" s="46"/>
      <c r="L413" s="46"/>
      <c r="M413" s="121"/>
      <c r="N413" s="46"/>
      <c r="O413" s="46"/>
      <c r="P413" s="46"/>
      <c r="Q413" s="46"/>
      <c r="R413" s="46"/>
      <c r="S413" s="31"/>
      <c r="T413" s="31"/>
      <c r="U413" s="141" t="s">
        <v>390</v>
      </c>
      <c r="V413" s="46"/>
      <c r="W413" s="46"/>
      <c r="X413" s="46"/>
      <c r="Y413" s="46"/>
      <c r="Z413" s="46"/>
      <c r="AA413" s="46"/>
      <c r="AB413" s="121"/>
      <c r="AC413" s="46"/>
      <c r="AD413" s="46"/>
      <c r="AE413" s="46"/>
      <c r="AF413" s="46"/>
      <c r="AG413" s="121"/>
      <c r="AH413" s="46"/>
      <c r="AI413" s="46"/>
      <c r="AJ413" s="46"/>
      <c r="AK413" s="46"/>
      <c r="AL413" s="31"/>
      <c r="AM413" s="31"/>
      <c r="AN413" s="141" t="s">
        <v>391</v>
      </c>
      <c r="AO413" s="46"/>
      <c r="AP413" s="46"/>
      <c r="AQ413" s="46"/>
      <c r="AR413" s="46"/>
      <c r="AS413" s="46"/>
      <c r="AT413" s="46"/>
      <c r="AU413" s="46"/>
      <c r="AV413" s="46"/>
      <c r="AW413" s="46"/>
      <c r="AX413" s="46"/>
      <c r="AY413" s="46"/>
      <c r="AZ413" s="46"/>
      <c r="BA413" s="46"/>
      <c r="BB413" s="46"/>
      <c r="BC413" s="46"/>
      <c r="BD413" s="46"/>
      <c r="BE413" s="31"/>
      <c r="BF413" s="31"/>
      <c r="BG413" s="141" t="s">
        <v>392</v>
      </c>
      <c r="BH413" s="46"/>
      <c r="BI413" s="46"/>
      <c r="BJ413" s="46"/>
      <c r="BK413" s="46"/>
      <c r="BL413" s="46"/>
      <c r="BM413" s="46"/>
      <c r="BN413" s="46"/>
      <c r="BO413" s="46"/>
      <c r="BP413" s="46"/>
      <c r="BQ413" s="46"/>
      <c r="BR413" s="46"/>
      <c r="BS413" s="46"/>
      <c r="BT413" s="46"/>
      <c r="BU413" s="46"/>
      <c r="BV413" s="46"/>
      <c r="BW413" s="46"/>
      <c r="BX413" s="46"/>
      <c r="BY413" s="46"/>
      <c r="BZ413" s="46"/>
      <c r="CA413" s="46"/>
      <c r="CB413" s="46"/>
      <c r="CC413" s="46"/>
      <c r="CD413" s="46"/>
      <c r="CE413" s="46"/>
      <c r="CF413" s="46"/>
      <c r="CG413" s="46"/>
    </row>
    <row r="414" ht="15.75" customHeight="1">
      <c r="A414" s="140" t="s">
        <v>393</v>
      </c>
      <c r="B414" s="46"/>
      <c r="C414" s="46"/>
      <c r="D414" s="46"/>
      <c r="E414" s="46"/>
      <c r="F414" s="46"/>
      <c r="G414" s="46"/>
      <c r="H414" s="121"/>
      <c r="I414" s="46"/>
      <c r="J414" s="46"/>
      <c r="K414" s="46"/>
      <c r="L414" s="46"/>
      <c r="M414" s="121"/>
      <c r="N414" s="46"/>
      <c r="O414" s="46"/>
      <c r="P414" s="46"/>
      <c r="Q414" s="46"/>
      <c r="R414" s="46"/>
      <c r="S414" s="31"/>
      <c r="T414" s="31"/>
      <c r="U414" s="141" t="s">
        <v>382</v>
      </c>
      <c r="V414" s="46"/>
      <c r="W414" s="46"/>
      <c r="X414" s="46"/>
      <c r="Y414" s="46"/>
      <c r="Z414" s="46"/>
      <c r="AA414" s="46"/>
      <c r="AB414" s="121"/>
      <c r="AC414" s="46"/>
      <c r="AD414" s="46"/>
      <c r="AE414" s="46"/>
      <c r="AF414" s="46"/>
      <c r="AG414" s="121"/>
      <c r="AH414" s="46"/>
      <c r="AI414" s="46"/>
      <c r="AJ414" s="46"/>
      <c r="AK414" s="46"/>
      <c r="AL414" s="31"/>
      <c r="AM414" s="31"/>
      <c r="AN414" s="141" t="s">
        <v>383</v>
      </c>
      <c r="AO414" s="46"/>
      <c r="AP414" s="46"/>
      <c r="AQ414" s="46"/>
      <c r="AR414" s="46"/>
      <c r="AS414" s="46"/>
      <c r="AT414" s="46"/>
      <c r="AU414" s="46"/>
      <c r="AV414" s="46"/>
      <c r="AW414" s="46"/>
      <c r="AX414" s="46"/>
      <c r="AY414" s="46"/>
      <c r="AZ414" s="46"/>
      <c r="BA414" s="46"/>
      <c r="BB414" s="46"/>
      <c r="BC414" s="46"/>
      <c r="BD414" s="46"/>
      <c r="BE414" s="31"/>
      <c r="BF414" s="31"/>
      <c r="BG414" s="141" t="s">
        <v>384</v>
      </c>
      <c r="BH414" s="46"/>
      <c r="BI414" s="46"/>
      <c r="BJ414" s="46"/>
      <c r="BK414" s="46"/>
      <c r="BL414" s="46"/>
      <c r="BM414" s="46"/>
      <c r="BN414" s="46"/>
      <c r="BO414" s="46"/>
      <c r="BP414" s="46"/>
      <c r="BQ414" s="46"/>
      <c r="BR414" s="46"/>
      <c r="BS414" s="46"/>
      <c r="BT414" s="46"/>
      <c r="BU414" s="46"/>
      <c r="BV414" s="46"/>
      <c r="BW414" s="46"/>
      <c r="BX414" s="46"/>
      <c r="BY414" s="46"/>
      <c r="BZ414" s="46"/>
      <c r="CA414" s="46"/>
      <c r="CB414" s="46"/>
      <c r="CC414" s="46"/>
      <c r="CD414" s="46"/>
      <c r="CE414" s="46"/>
      <c r="CF414" s="46"/>
      <c r="CG414" s="46"/>
    </row>
    <row r="415" ht="15.75" customHeight="1">
      <c r="A415" s="47" t="s">
        <v>394</v>
      </c>
      <c r="B415" s="48"/>
      <c r="C415" s="48"/>
      <c r="D415" s="48"/>
      <c r="E415" s="48"/>
      <c r="F415" s="48"/>
      <c r="G415" s="48"/>
      <c r="H415" s="48"/>
      <c r="I415" s="48"/>
      <c r="J415" s="48"/>
      <c r="K415" s="48"/>
      <c r="L415" s="48"/>
      <c r="M415" s="48"/>
      <c r="N415" s="48"/>
      <c r="O415" s="48"/>
      <c r="P415" s="48"/>
      <c r="Q415" s="48"/>
      <c r="R415" s="48"/>
      <c r="S415" s="31"/>
      <c r="T415" s="31"/>
      <c r="U415" s="47" t="s">
        <v>394</v>
      </c>
      <c r="V415" s="48"/>
      <c r="W415" s="48"/>
      <c r="X415" s="48"/>
      <c r="Y415" s="48"/>
      <c r="Z415" s="48"/>
      <c r="AA415" s="48"/>
      <c r="AB415" s="48"/>
      <c r="AC415" s="48"/>
      <c r="AD415" s="48"/>
      <c r="AE415" s="48"/>
      <c r="AF415" s="48"/>
      <c r="AG415" s="48"/>
      <c r="AH415" s="48"/>
      <c r="AI415" s="48"/>
      <c r="AJ415" s="48"/>
      <c r="AK415" s="48"/>
      <c r="AL415" s="31"/>
      <c r="AM415" s="31"/>
      <c r="AN415" s="47" t="s">
        <v>394</v>
      </c>
      <c r="AO415" s="48"/>
      <c r="AP415" s="48"/>
      <c r="AQ415" s="48"/>
      <c r="AR415" s="48"/>
      <c r="AS415" s="48"/>
      <c r="AT415" s="48"/>
      <c r="AU415" s="48"/>
      <c r="AV415" s="48"/>
      <c r="AW415" s="48"/>
      <c r="AX415" s="48"/>
      <c r="AY415" s="48"/>
      <c r="AZ415" s="48"/>
      <c r="BA415" s="48"/>
      <c r="BB415" s="48"/>
      <c r="BC415" s="48"/>
      <c r="BD415" s="48"/>
      <c r="BE415" s="31"/>
      <c r="BF415" s="31"/>
      <c r="BG415" s="47" t="s">
        <v>394</v>
      </c>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row>
    <row r="416" ht="15.75" customHeight="1">
      <c r="A416" s="39" t="s">
        <v>195</v>
      </c>
      <c r="B416" s="96">
        <v>1.0</v>
      </c>
      <c r="C416" s="96">
        <v>2.0</v>
      </c>
      <c r="D416" s="96">
        <v>3.0</v>
      </c>
      <c r="E416" s="96">
        <v>4.0</v>
      </c>
      <c r="F416" s="96">
        <v>5.0</v>
      </c>
      <c r="G416" s="96">
        <v>6.0</v>
      </c>
      <c r="H416" s="96">
        <v>7.0</v>
      </c>
      <c r="I416" s="96">
        <v>8.0</v>
      </c>
      <c r="J416" s="96">
        <v>9.0</v>
      </c>
      <c r="K416" s="96">
        <v>10.0</v>
      </c>
      <c r="L416" s="96">
        <v>11.0</v>
      </c>
      <c r="M416" s="96">
        <v>12.0</v>
      </c>
      <c r="N416" s="96">
        <v>13.0</v>
      </c>
      <c r="O416" s="96">
        <v>14.0</v>
      </c>
      <c r="P416" s="96">
        <v>15.0</v>
      </c>
      <c r="Q416" s="40">
        <v>16.0</v>
      </c>
      <c r="R416" s="40">
        <v>17.0</v>
      </c>
      <c r="S416" s="31"/>
      <c r="T416" s="31"/>
      <c r="U416" s="96">
        <v>1.0</v>
      </c>
      <c r="V416" s="96">
        <v>2.0</v>
      </c>
      <c r="W416" s="96">
        <v>3.0</v>
      </c>
      <c r="X416" s="96">
        <v>4.0</v>
      </c>
      <c r="Y416" s="96">
        <v>5.0</v>
      </c>
      <c r="Z416" s="96">
        <v>6.0</v>
      </c>
      <c r="AA416" s="96">
        <v>7.0</v>
      </c>
      <c r="AB416" s="96">
        <v>8.0</v>
      </c>
      <c r="AC416" s="96">
        <v>9.0</v>
      </c>
      <c r="AD416" s="96">
        <v>10.0</v>
      </c>
      <c r="AE416" s="96">
        <v>11.0</v>
      </c>
      <c r="AF416" s="96">
        <v>12.0</v>
      </c>
      <c r="AG416" s="96">
        <v>13.0</v>
      </c>
      <c r="AH416" s="40">
        <v>14.0</v>
      </c>
      <c r="AI416" s="40">
        <v>15.0</v>
      </c>
      <c r="AJ416" s="40">
        <v>16.0</v>
      </c>
      <c r="AK416" s="40">
        <v>17.0</v>
      </c>
      <c r="AL416" s="31"/>
      <c r="AM416" s="31"/>
      <c r="AN416" s="96">
        <v>1.0</v>
      </c>
      <c r="AO416" s="96">
        <v>2.0</v>
      </c>
      <c r="AP416" s="96">
        <v>3.0</v>
      </c>
      <c r="AQ416" s="96">
        <v>4.0</v>
      </c>
      <c r="AR416" s="96">
        <v>5.0</v>
      </c>
      <c r="AS416" s="96">
        <v>6.0</v>
      </c>
      <c r="AT416" s="96">
        <v>7.0</v>
      </c>
      <c r="AU416" s="96">
        <v>8.0</v>
      </c>
      <c r="AV416" s="96">
        <v>9.0</v>
      </c>
      <c r="AW416" s="96">
        <v>10.0</v>
      </c>
      <c r="AX416" s="96">
        <v>11.0</v>
      </c>
      <c r="AY416" s="96">
        <v>12.0</v>
      </c>
      <c r="AZ416" s="96">
        <v>13.0</v>
      </c>
      <c r="BA416" s="96">
        <v>14.0</v>
      </c>
      <c r="BB416" s="40">
        <v>15.0</v>
      </c>
      <c r="BC416" s="40">
        <v>16.0</v>
      </c>
      <c r="BD416" s="40">
        <v>17.0</v>
      </c>
      <c r="BE416" s="31"/>
      <c r="BF416" s="31"/>
      <c r="BG416" s="96">
        <v>1.0</v>
      </c>
      <c r="BH416" s="96">
        <v>2.0</v>
      </c>
      <c r="BI416" s="96">
        <v>3.0</v>
      </c>
      <c r="BJ416" s="96">
        <v>4.0</v>
      </c>
      <c r="BK416" s="96">
        <v>5.0</v>
      </c>
      <c r="BL416" s="96">
        <v>6.0</v>
      </c>
      <c r="BM416" s="96">
        <v>7.0</v>
      </c>
      <c r="BN416" s="96">
        <v>8.0</v>
      </c>
      <c r="BO416" s="40">
        <v>9.0</v>
      </c>
      <c r="BP416" s="40">
        <v>10.0</v>
      </c>
      <c r="BQ416" s="40">
        <v>11.0</v>
      </c>
      <c r="BR416" s="40">
        <v>12.0</v>
      </c>
      <c r="BS416" s="40">
        <v>13.0</v>
      </c>
      <c r="BT416" s="40">
        <v>14.0</v>
      </c>
      <c r="BU416" s="40">
        <v>15.0</v>
      </c>
      <c r="BV416" s="40">
        <v>16.0</v>
      </c>
      <c r="BW416" s="40">
        <v>17.0</v>
      </c>
      <c r="BX416" s="126"/>
      <c r="BY416" s="126"/>
      <c r="BZ416" s="126"/>
      <c r="CA416" s="126"/>
      <c r="CB416" s="126"/>
      <c r="CC416" s="126"/>
      <c r="CD416" s="126"/>
      <c r="CE416" s="126"/>
      <c r="CF416" s="126"/>
      <c r="CG416" s="126"/>
    </row>
    <row r="417" ht="15.75" customHeight="1">
      <c r="A417" s="42" t="s">
        <v>196</v>
      </c>
      <c r="B417" s="51" t="str">
        <f t="shared" ref="B417:R417" si="107">B411</f>
        <v>9</v>
      </c>
      <c r="C417" s="51" t="str">
        <f t="shared" si="107"/>
        <v>9</v>
      </c>
      <c r="D417" s="51" t="str">
        <f t="shared" si="107"/>
        <v>0</v>
      </c>
      <c r="E417" s="51" t="str">
        <f t="shared" si="107"/>
        <v>1</v>
      </c>
      <c r="F417" s="51" t="str">
        <f t="shared" si="107"/>
        <v>0</v>
      </c>
      <c r="G417" s="51" t="str">
        <f t="shared" si="107"/>
        <v>3</v>
      </c>
      <c r="H417" s="51" t="str">
        <f t="shared" si="107"/>
        <v>1</v>
      </c>
      <c r="I417" s="51" t="str">
        <f t="shared" si="107"/>
        <v>0</v>
      </c>
      <c r="J417" s="51" t="str">
        <f t="shared" si="107"/>
        <v>6</v>
      </c>
      <c r="K417" s="51" t="str">
        <f t="shared" si="107"/>
        <v>5</v>
      </c>
      <c r="L417" s="51" t="str">
        <f t="shared" si="107"/>
        <v>0</v>
      </c>
      <c r="M417" s="51" t="str">
        <f t="shared" si="107"/>
        <v>0</v>
      </c>
      <c r="N417" s="51" t="str">
        <f t="shared" si="107"/>
        <v>0</v>
      </c>
      <c r="O417" s="51" t="str">
        <f t="shared" si="107"/>
        <v>7</v>
      </c>
      <c r="P417" s="51" t="str">
        <f t="shared" si="107"/>
        <v>1</v>
      </c>
      <c r="Q417" s="43" t="str">
        <f t="shared" si="107"/>
        <v>2</v>
      </c>
      <c r="R417" s="43" t="str">
        <f t="shared" si="107"/>
        <v>7</v>
      </c>
      <c r="S417" s="31"/>
      <c r="T417" s="31"/>
      <c r="U417" s="51" t="str">
        <f t="shared" ref="U417:AK417" si="108">U411</f>
        <v>0</v>
      </c>
      <c r="V417" s="51" t="str">
        <f t="shared" si="108"/>
        <v>1</v>
      </c>
      <c r="W417" s="51" t="str">
        <f t="shared" si="108"/>
        <v>0</v>
      </c>
      <c r="X417" s="51" t="str">
        <f t="shared" si="108"/>
        <v>1</v>
      </c>
      <c r="Y417" s="51" t="str">
        <f t="shared" si="108"/>
        <v>0</v>
      </c>
      <c r="Z417" s="51" t="str">
        <f t="shared" si="108"/>
        <v>2</v>
      </c>
      <c r="AA417" s="51" t="str">
        <f t="shared" si="108"/>
        <v>6</v>
      </c>
      <c r="AB417" s="51" t="str">
        <f t="shared" si="108"/>
        <v>5</v>
      </c>
      <c r="AC417" s="51" t="str">
        <f t="shared" si="108"/>
        <v>0</v>
      </c>
      <c r="AD417" s="51" t="str">
        <f t="shared" si="108"/>
        <v>0</v>
      </c>
      <c r="AE417" s="51" t="str">
        <f t="shared" si="108"/>
        <v>0</v>
      </c>
      <c r="AF417" s="51" t="str">
        <f t="shared" si="108"/>
        <v>1</v>
      </c>
      <c r="AG417" s="51" t="str">
        <f t="shared" si="108"/>
        <v>4</v>
      </c>
      <c r="AH417" s="43" t="str">
        <f t="shared" si="108"/>
        <v>6</v>
      </c>
      <c r="AI417" s="43" t="str">
        <f t="shared" si="108"/>
        <v>8</v>
      </c>
      <c r="AJ417" s="43" t="str">
        <f t="shared" si="108"/>
        <v/>
      </c>
      <c r="AK417" s="43" t="str">
        <f t="shared" si="108"/>
        <v/>
      </c>
      <c r="AL417" s="31"/>
      <c r="AM417" s="31"/>
      <c r="AN417" s="51" t="str">
        <f t="shared" ref="AN417:BD417" si="109">AN411</f>
        <v>0</v>
      </c>
      <c r="AO417" s="51" t="str">
        <f t="shared" si="109"/>
        <v>5</v>
      </c>
      <c r="AP417" s="51" t="str">
        <f t="shared" si="109"/>
        <v>5</v>
      </c>
      <c r="AQ417" s="51" t="str">
        <f t="shared" si="109"/>
        <v>0</v>
      </c>
      <c r="AR417" s="51" t="str">
        <f t="shared" si="109"/>
        <v>4</v>
      </c>
      <c r="AS417" s="51" t="str">
        <f t="shared" si="109"/>
        <v>0</v>
      </c>
      <c r="AT417" s="51" t="str">
        <f t="shared" si="109"/>
        <v>0</v>
      </c>
      <c r="AU417" s="51" t="str">
        <f t="shared" si="109"/>
        <v>4</v>
      </c>
      <c r="AV417" s="51" t="str">
        <f t="shared" si="109"/>
        <v>7</v>
      </c>
      <c r="AW417" s="51" t="str">
        <f t="shared" si="109"/>
        <v>0</v>
      </c>
      <c r="AX417" s="51" t="str">
        <f t="shared" si="109"/>
        <v>0</v>
      </c>
      <c r="AY417" s="51" t="str">
        <f t="shared" si="109"/>
        <v>1</v>
      </c>
      <c r="AZ417" s="51" t="str">
        <f t="shared" si="109"/>
        <v>2</v>
      </c>
      <c r="BA417" s="51" t="str">
        <f t="shared" si="109"/>
        <v>7</v>
      </c>
      <c r="BB417" s="43" t="str">
        <f t="shared" si="109"/>
        <v>2</v>
      </c>
      <c r="BC417" s="43" t="str">
        <f t="shared" si="109"/>
        <v>8</v>
      </c>
      <c r="BD417" s="43" t="str">
        <f t="shared" si="109"/>
        <v/>
      </c>
      <c r="BE417" s="31"/>
      <c r="BF417" s="31"/>
      <c r="BG417" s="51" t="str">
        <f t="shared" ref="BG417:BW417" si="110">BG411</f>
        <v>0</v>
      </c>
      <c r="BH417" s="51" t="str">
        <f t="shared" si="110"/>
        <v>2</v>
      </c>
      <c r="BI417" s="51" t="str">
        <f t="shared" si="110"/>
        <v>4</v>
      </c>
      <c r="BJ417" s="51" t="str">
        <f t="shared" si="110"/>
        <v>5</v>
      </c>
      <c r="BK417" s="51" t="str">
        <f t="shared" si="110"/>
        <v>1</v>
      </c>
      <c r="BL417" s="51" t="str">
        <f t="shared" si="110"/>
        <v>6</v>
      </c>
      <c r="BM417" s="51" t="str">
        <f t="shared" si="110"/>
        <v>4</v>
      </c>
      <c r="BN417" s="51" t="str">
        <f t="shared" si="110"/>
        <v>0</v>
      </c>
      <c r="BO417" s="43" t="str">
        <f t="shared" si="110"/>
        <v>8</v>
      </c>
      <c r="BP417" s="43" t="str">
        <f t="shared" si="110"/>
        <v>2</v>
      </c>
      <c r="BQ417" s="43" t="str">
        <f t="shared" si="110"/>
        <v/>
      </c>
      <c r="BR417" s="43" t="str">
        <f t="shared" si="110"/>
        <v/>
      </c>
      <c r="BS417" s="43" t="str">
        <f t="shared" si="110"/>
        <v/>
      </c>
      <c r="BT417" s="43" t="str">
        <f t="shared" si="110"/>
        <v/>
      </c>
      <c r="BU417" s="43" t="str">
        <f t="shared" si="110"/>
        <v/>
      </c>
      <c r="BV417" s="43" t="str">
        <f t="shared" si="110"/>
        <v/>
      </c>
      <c r="BW417" s="43" t="str">
        <f t="shared" si="110"/>
        <v/>
      </c>
      <c r="BX417" s="46"/>
      <c r="BY417" s="46"/>
      <c r="BZ417" s="46"/>
      <c r="CA417" s="46"/>
      <c r="CB417" s="46"/>
      <c r="CC417" s="46"/>
      <c r="CD417" s="46"/>
      <c r="CE417" s="46"/>
      <c r="CF417" s="46"/>
      <c r="CG417" s="46"/>
    </row>
    <row r="418" ht="15.75" customHeight="1">
      <c r="A418" s="52" t="s">
        <v>200</v>
      </c>
      <c r="B418" s="43">
        <v>4.0</v>
      </c>
      <c r="C418" s="43">
        <v>9.0</v>
      </c>
      <c r="D418" s="43">
        <v>7.0</v>
      </c>
      <c r="E418" s="43">
        <v>4.0</v>
      </c>
      <c r="F418" s="43">
        <v>9.0</v>
      </c>
      <c r="G418" s="43">
        <v>7.0</v>
      </c>
      <c r="H418" s="43">
        <v>4.0</v>
      </c>
      <c r="I418" s="43">
        <v>9.0</v>
      </c>
      <c r="J418" s="43">
        <v>7.0</v>
      </c>
      <c r="K418" s="43">
        <v>4.0</v>
      </c>
      <c r="L418" s="43">
        <v>9.0</v>
      </c>
      <c r="M418" s="43">
        <v>7.0</v>
      </c>
      <c r="N418" s="43">
        <v>4.0</v>
      </c>
      <c r="O418" s="43">
        <v>9.0</v>
      </c>
      <c r="P418" s="43">
        <v>7.0</v>
      </c>
      <c r="Q418" s="43"/>
      <c r="R418" s="43"/>
      <c r="S418" s="31"/>
      <c r="T418" s="31"/>
      <c r="U418" s="43">
        <v>4.0</v>
      </c>
      <c r="V418" s="43">
        <v>9.0</v>
      </c>
      <c r="W418" s="43">
        <v>7.0</v>
      </c>
      <c r="X418" s="43">
        <v>4.0</v>
      </c>
      <c r="Y418" s="43">
        <v>9.0</v>
      </c>
      <c r="Z418" s="43">
        <v>7.0</v>
      </c>
      <c r="AA418" s="43">
        <v>4.0</v>
      </c>
      <c r="AB418" s="43">
        <v>9.0</v>
      </c>
      <c r="AC418" s="43">
        <v>7.0</v>
      </c>
      <c r="AD418" s="43">
        <v>4.0</v>
      </c>
      <c r="AE418" s="43">
        <v>9.0</v>
      </c>
      <c r="AF418" s="43">
        <v>7.0</v>
      </c>
      <c r="AG418" s="43">
        <v>4.0</v>
      </c>
      <c r="AH418" s="43"/>
      <c r="AI418" s="43"/>
      <c r="AJ418" s="43"/>
      <c r="AK418" s="43"/>
      <c r="AL418" s="31"/>
      <c r="AM418" s="31"/>
      <c r="AN418" s="43">
        <v>4.0</v>
      </c>
      <c r="AO418" s="43">
        <v>9.0</v>
      </c>
      <c r="AP418" s="43">
        <v>7.0</v>
      </c>
      <c r="AQ418" s="43">
        <v>4.0</v>
      </c>
      <c r="AR418" s="43">
        <v>9.0</v>
      </c>
      <c r="AS418" s="43">
        <v>7.0</v>
      </c>
      <c r="AT418" s="43">
        <v>4.0</v>
      </c>
      <c r="AU418" s="43">
        <v>9.0</v>
      </c>
      <c r="AV418" s="43">
        <v>7.0</v>
      </c>
      <c r="AW418" s="43">
        <v>4.0</v>
      </c>
      <c r="AX418" s="43">
        <v>9.0</v>
      </c>
      <c r="AY418" s="43">
        <v>7.0</v>
      </c>
      <c r="AZ418" s="43">
        <v>4.0</v>
      </c>
      <c r="BA418" s="43">
        <v>9.0</v>
      </c>
      <c r="BB418" s="43"/>
      <c r="BC418" s="43"/>
      <c r="BD418" s="43"/>
      <c r="BE418" s="31"/>
      <c r="BF418" s="31"/>
      <c r="BG418" s="43">
        <v>4.0</v>
      </c>
      <c r="BH418" s="43">
        <v>9.0</v>
      </c>
      <c r="BI418" s="43">
        <v>7.0</v>
      </c>
      <c r="BJ418" s="43">
        <v>4.0</v>
      </c>
      <c r="BK418" s="43">
        <v>9.0</v>
      </c>
      <c r="BL418" s="43">
        <v>7.0</v>
      </c>
      <c r="BM418" s="43">
        <v>4.0</v>
      </c>
      <c r="BN418" s="43">
        <v>9.0</v>
      </c>
      <c r="BO418" s="43"/>
      <c r="BP418" s="43"/>
      <c r="BQ418" s="43"/>
      <c r="BR418" s="43"/>
      <c r="BS418" s="43"/>
      <c r="BT418" s="43"/>
      <c r="BU418" s="43"/>
      <c r="BV418" s="43"/>
      <c r="BW418" s="43"/>
      <c r="BX418" s="46"/>
      <c r="BY418" s="46"/>
      <c r="BZ418" s="46"/>
      <c r="CA418" s="46"/>
      <c r="CB418" s="46"/>
      <c r="CC418" s="46"/>
      <c r="CD418" s="46"/>
      <c r="CE418" s="46"/>
      <c r="CF418" s="46"/>
      <c r="CG418" s="46"/>
    </row>
    <row r="419" ht="15.75" customHeight="1">
      <c r="A419" s="52" t="s">
        <v>201</v>
      </c>
      <c r="B419" s="77">
        <f t="shared" ref="B419:P419" si="111">B418*B417</f>
        <v>36</v>
      </c>
      <c r="C419" s="77">
        <f t="shared" si="111"/>
        <v>81</v>
      </c>
      <c r="D419" s="77">
        <f t="shared" si="111"/>
        <v>0</v>
      </c>
      <c r="E419" s="77">
        <f t="shared" si="111"/>
        <v>4</v>
      </c>
      <c r="F419" s="77">
        <f t="shared" si="111"/>
        <v>0</v>
      </c>
      <c r="G419" s="77">
        <f t="shared" si="111"/>
        <v>21</v>
      </c>
      <c r="H419" s="77">
        <f t="shared" si="111"/>
        <v>4</v>
      </c>
      <c r="I419" s="77">
        <f t="shared" si="111"/>
        <v>0</v>
      </c>
      <c r="J419" s="77">
        <f t="shared" si="111"/>
        <v>42</v>
      </c>
      <c r="K419" s="77">
        <f t="shared" si="111"/>
        <v>20</v>
      </c>
      <c r="L419" s="77">
        <f t="shared" si="111"/>
        <v>0</v>
      </c>
      <c r="M419" s="77">
        <f t="shared" si="111"/>
        <v>0</v>
      </c>
      <c r="N419" s="77">
        <f t="shared" si="111"/>
        <v>0</v>
      </c>
      <c r="O419" s="77">
        <f t="shared" si="111"/>
        <v>63</v>
      </c>
      <c r="P419" s="77">
        <f t="shared" si="111"/>
        <v>7</v>
      </c>
      <c r="Q419" s="77"/>
      <c r="R419" s="77"/>
      <c r="S419" s="30"/>
      <c r="T419" s="30"/>
      <c r="U419" s="43">
        <f t="shared" ref="U419:AG419" si="112">U418*U417</f>
        <v>0</v>
      </c>
      <c r="V419" s="77">
        <f t="shared" si="112"/>
        <v>9</v>
      </c>
      <c r="W419" s="77">
        <f t="shared" si="112"/>
        <v>0</v>
      </c>
      <c r="X419" s="77">
        <f t="shared" si="112"/>
        <v>4</v>
      </c>
      <c r="Y419" s="77">
        <f t="shared" si="112"/>
        <v>0</v>
      </c>
      <c r="Z419" s="77">
        <f t="shared" si="112"/>
        <v>14</v>
      </c>
      <c r="AA419" s="77">
        <f t="shared" si="112"/>
        <v>24</v>
      </c>
      <c r="AB419" s="77">
        <f t="shared" si="112"/>
        <v>45</v>
      </c>
      <c r="AC419" s="77">
        <f t="shared" si="112"/>
        <v>0</v>
      </c>
      <c r="AD419" s="77">
        <f t="shared" si="112"/>
        <v>0</v>
      </c>
      <c r="AE419" s="77">
        <f t="shared" si="112"/>
        <v>0</v>
      </c>
      <c r="AF419" s="77">
        <f t="shared" si="112"/>
        <v>7</v>
      </c>
      <c r="AG419" s="77">
        <f t="shared" si="112"/>
        <v>16</v>
      </c>
      <c r="AH419" s="77"/>
      <c r="AI419" s="77"/>
      <c r="AJ419" s="77"/>
      <c r="AK419" s="77"/>
      <c r="AL419" s="30"/>
      <c r="AM419" s="31"/>
      <c r="AN419" s="43">
        <f t="shared" ref="AN419:BA419" si="113">AN418*AN417</f>
        <v>0</v>
      </c>
      <c r="AO419" s="77">
        <f t="shared" si="113"/>
        <v>45</v>
      </c>
      <c r="AP419" s="77">
        <f t="shared" si="113"/>
        <v>35</v>
      </c>
      <c r="AQ419" s="77">
        <f t="shared" si="113"/>
        <v>0</v>
      </c>
      <c r="AR419" s="77">
        <f t="shared" si="113"/>
        <v>36</v>
      </c>
      <c r="AS419" s="77">
        <f t="shared" si="113"/>
        <v>0</v>
      </c>
      <c r="AT419" s="77">
        <f t="shared" si="113"/>
        <v>0</v>
      </c>
      <c r="AU419" s="77">
        <f t="shared" si="113"/>
        <v>36</v>
      </c>
      <c r="AV419" s="77">
        <f t="shared" si="113"/>
        <v>49</v>
      </c>
      <c r="AW419" s="77">
        <f t="shared" si="113"/>
        <v>0</v>
      </c>
      <c r="AX419" s="77">
        <f t="shared" si="113"/>
        <v>0</v>
      </c>
      <c r="AY419" s="77">
        <f t="shared" si="113"/>
        <v>7</v>
      </c>
      <c r="AZ419" s="77">
        <f t="shared" si="113"/>
        <v>8</v>
      </c>
      <c r="BA419" s="77">
        <f t="shared" si="113"/>
        <v>63</v>
      </c>
      <c r="BB419" s="77"/>
      <c r="BC419" s="77"/>
      <c r="BD419" s="77"/>
      <c r="BE419" s="31"/>
      <c r="BF419" s="31"/>
      <c r="BG419" s="43">
        <f t="shared" ref="BG419:BN419" si="114">BG418*BG417</f>
        <v>0</v>
      </c>
      <c r="BH419" s="77">
        <f t="shared" si="114"/>
        <v>18</v>
      </c>
      <c r="BI419" s="77">
        <f t="shared" si="114"/>
        <v>28</v>
      </c>
      <c r="BJ419" s="77">
        <f t="shared" si="114"/>
        <v>20</v>
      </c>
      <c r="BK419" s="77">
        <f t="shared" si="114"/>
        <v>9</v>
      </c>
      <c r="BL419" s="77">
        <f t="shared" si="114"/>
        <v>42</v>
      </c>
      <c r="BM419" s="77">
        <f t="shared" si="114"/>
        <v>16</v>
      </c>
      <c r="BN419" s="77">
        <f t="shared" si="114"/>
        <v>0</v>
      </c>
      <c r="BO419" s="77"/>
      <c r="BP419" s="77"/>
      <c r="BQ419" s="77"/>
      <c r="BR419" s="77"/>
      <c r="BS419" s="77"/>
      <c r="BT419" s="77"/>
      <c r="BU419" s="77"/>
      <c r="BV419" s="77"/>
      <c r="BW419" s="77"/>
      <c r="BX419" s="46"/>
      <c r="BY419" s="46"/>
      <c r="BZ419" s="46"/>
      <c r="CA419" s="46"/>
      <c r="CB419" s="46"/>
      <c r="CC419" s="46"/>
      <c r="CD419" s="46"/>
      <c r="CE419" s="46"/>
      <c r="CF419" s="46"/>
      <c r="CG419" s="46"/>
    </row>
    <row r="420" ht="15.75" customHeight="1">
      <c r="A420" s="52" t="s">
        <v>395</v>
      </c>
      <c r="B420" s="43">
        <f>SUM(B419:R419)+749</f>
        <v>1027</v>
      </c>
      <c r="C420" s="46"/>
      <c r="D420" s="46"/>
      <c r="E420" s="46"/>
      <c r="F420" s="46"/>
      <c r="G420" s="46"/>
      <c r="H420" s="46"/>
      <c r="I420" s="46"/>
      <c r="J420" s="46"/>
      <c r="K420" s="46"/>
      <c r="L420" s="46"/>
      <c r="M420" s="46"/>
      <c r="N420" s="46"/>
      <c r="O420" s="46"/>
      <c r="P420" s="46"/>
      <c r="Q420" s="46"/>
      <c r="R420" s="46"/>
      <c r="S420" s="30"/>
      <c r="T420" s="30"/>
      <c r="U420" s="43">
        <f>SUM(U419:AK419)+749</f>
        <v>868</v>
      </c>
      <c r="V420" s="46"/>
      <c r="W420" s="46"/>
      <c r="X420" s="46"/>
      <c r="Y420" s="46"/>
      <c r="Z420" s="46"/>
      <c r="AA420" s="46"/>
      <c r="AB420" s="46"/>
      <c r="AC420" s="46"/>
      <c r="AD420" s="46"/>
      <c r="AE420" s="46"/>
      <c r="AF420" s="46"/>
      <c r="AG420" s="46"/>
      <c r="AH420" s="46"/>
      <c r="AI420" s="46"/>
      <c r="AJ420" s="46"/>
      <c r="AK420" s="46"/>
      <c r="AL420" s="30"/>
      <c r="AM420" s="31"/>
      <c r="AN420" s="43">
        <f>SUM(AN419:BD419)+749</f>
        <v>1028</v>
      </c>
      <c r="AO420" s="46"/>
      <c r="AP420" s="46"/>
      <c r="AQ420" s="46"/>
      <c r="AR420" s="46"/>
      <c r="AS420" s="46"/>
      <c r="AT420" s="46"/>
      <c r="AU420" s="46"/>
      <c r="AV420" s="46"/>
      <c r="AW420" s="46"/>
      <c r="AX420" s="46"/>
      <c r="AY420" s="46"/>
      <c r="AZ420" s="46"/>
      <c r="BA420" s="46"/>
      <c r="BB420" s="46"/>
      <c r="BC420" s="46"/>
      <c r="BD420" s="46"/>
      <c r="BE420" s="31"/>
      <c r="BF420" s="31"/>
      <c r="BG420" s="43">
        <f>SUM(BG419:BW419)+749</f>
        <v>882</v>
      </c>
      <c r="BH420" s="46"/>
      <c r="BI420" s="46"/>
      <c r="BJ420" s="46"/>
      <c r="BK420" s="46"/>
      <c r="BL420" s="46"/>
      <c r="BM420" s="46"/>
      <c r="BN420" s="46"/>
      <c r="BO420" s="46"/>
      <c r="BP420" s="46"/>
      <c r="BQ420" s="46"/>
      <c r="BR420" s="46"/>
      <c r="BS420" s="46"/>
      <c r="BT420" s="46"/>
      <c r="BU420" s="46"/>
      <c r="BV420" s="46"/>
      <c r="BW420" s="46"/>
      <c r="BX420" s="46"/>
      <c r="BY420" s="46"/>
      <c r="BZ420" s="46"/>
      <c r="CA420" s="46"/>
      <c r="CB420" s="46"/>
      <c r="CC420" s="46"/>
      <c r="CD420" s="46"/>
      <c r="CE420" s="46"/>
      <c r="CF420" s="46"/>
      <c r="CG420" s="46"/>
    </row>
    <row r="421" ht="15.75" customHeight="1">
      <c r="A421" s="52" t="s">
        <v>204</v>
      </c>
      <c r="B421" s="42">
        <f>MOD(B420,100)</f>
        <v>27</v>
      </c>
      <c r="C421" s="46"/>
      <c r="D421" s="121"/>
      <c r="E421" s="46"/>
      <c r="F421" s="46"/>
      <c r="G421" s="46"/>
      <c r="H421" s="46"/>
      <c r="I421" s="46"/>
      <c r="J421" s="46"/>
      <c r="K421" s="46"/>
      <c r="L421" s="46"/>
      <c r="M421" s="46"/>
      <c r="N421" s="46"/>
      <c r="O421" s="46"/>
      <c r="P421" s="46"/>
      <c r="Q421" s="46"/>
      <c r="R421" s="46"/>
      <c r="S421" s="46"/>
      <c r="T421" s="46"/>
      <c r="U421" s="42">
        <f>MOD(U420,100)</f>
        <v>68</v>
      </c>
      <c r="V421" s="46"/>
      <c r="W421" s="121"/>
      <c r="X421" s="46"/>
      <c r="Y421" s="46"/>
      <c r="Z421" s="46"/>
      <c r="AA421" s="46"/>
      <c r="AB421" s="46"/>
      <c r="AC421" s="46"/>
      <c r="AD421" s="46"/>
      <c r="AE421" s="46"/>
      <c r="AF421" s="46"/>
      <c r="AG421" s="46"/>
      <c r="AH421" s="46"/>
      <c r="AI421" s="46"/>
      <c r="AJ421" s="46"/>
      <c r="AK421" s="46"/>
      <c r="AL421" s="46"/>
      <c r="AM421" s="31"/>
      <c r="AN421" s="42">
        <f>MOD(AN420,100)</f>
        <v>28</v>
      </c>
      <c r="AO421" s="46"/>
      <c r="AP421" s="121"/>
      <c r="AQ421" s="46"/>
      <c r="AR421" s="46"/>
      <c r="AS421" s="46"/>
      <c r="AT421" s="46"/>
      <c r="AU421" s="46"/>
      <c r="AV421" s="46"/>
      <c r="AW421" s="46"/>
      <c r="AX421" s="46"/>
      <c r="AY421" s="46"/>
      <c r="AZ421" s="46"/>
      <c r="BA421" s="46"/>
      <c r="BB421" s="46"/>
      <c r="BC421" s="46"/>
      <c r="BD421" s="46"/>
      <c r="BE421" s="31"/>
      <c r="BF421" s="31"/>
      <c r="BG421" s="42">
        <f>MOD(BG420,100)</f>
        <v>82</v>
      </c>
      <c r="BH421" s="46"/>
      <c r="BI421" s="121"/>
      <c r="BJ421" s="46"/>
      <c r="BK421" s="46"/>
      <c r="BL421" s="46"/>
      <c r="BM421" s="46"/>
      <c r="BN421" s="46"/>
      <c r="BO421" s="46"/>
      <c r="BP421" s="46"/>
      <c r="BQ421" s="46"/>
      <c r="BR421" s="46"/>
      <c r="BS421" s="46"/>
      <c r="BT421" s="46"/>
      <c r="BU421" s="46"/>
      <c r="BV421" s="46"/>
      <c r="BW421" s="46"/>
      <c r="BX421" s="46"/>
      <c r="BY421" s="46"/>
      <c r="BZ421" s="46"/>
      <c r="CA421" s="46"/>
      <c r="CB421" s="46"/>
      <c r="CC421" s="46"/>
      <c r="CD421" s="46"/>
      <c r="CE421" s="46"/>
      <c r="CF421" s="46"/>
      <c r="CG421" s="46"/>
    </row>
    <row r="422" ht="15.75" customHeight="1">
      <c r="A422" s="52" t="s">
        <v>204</v>
      </c>
      <c r="B422" s="44" t="str">
        <f>TEXT(B421,"00")</f>
        <v>27</v>
      </c>
      <c r="C422" s="31"/>
      <c r="D422" s="30" t="s">
        <v>236</v>
      </c>
      <c r="E422" s="46"/>
      <c r="F422" s="46"/>
      <c r="G422" s="46"/>
      <c r="H422" s="46"/>
      <c r="I422" s="46"/>
      <c r="J422" s="46"/>
      <c r="K422" s="46"/>
      <c r="L422" s="46"/>
      <c r="M422" s="46"/>
      <c r="N422" s="46"/>
      <c r="O422" s="46"/>
      <c r="P422" s="46"/>
      <c r="Q422" s="46"/>
      <c r="R422" s="46"/>
      <c r="S422" s="46"/>
      <c r="T422" s="46"/>
      <c r="U422" s="44" t="str">
        <f>TEXT(U421,"00")</f>
        <v>68</v>
      </c>
      <c r="V422" s="31"/>
      <c r="W422" s="30" t="s">
        <v>236</v>
      </c>
      <c r="X422" s="46"/>
      <c r="Y422" s="46"/>
      <c r="Z422" s="46"/>
      <c r="AA422" s="46"/>
      <c r="AB422" s="46"/>
      <c r="AC422" s="46"/>
      <c r="AD422" s="46"/>
      <c r="AE422" s="46"/>
      <c r="AF422" s="46"/>
      <c r="AG422" s="46"/>
      <c r="AH422" s="46"/>
      <c r="AI422" s="46"/>
      <c r="AJ422" s="46"/>
      <c r="AK422" s="46"/>
      <c r="AL422" s="46"/>
      <c r="AM422" s="31"/>
      <c r="AN422" s="44" t="str">
        <f>TEXT(AN421,"00")</f>
        <v>28</v>
      </c>
      <c r="AO422" s="31"/>
      <c r="AP422" s="30" t="s">
        <v>236</v>
      </c>
      <c r="AQ422" s="46"/>
      <c r="AR422" s="46"/>
      <c r="AS422" s="46"/>
      <c r="AT422" s="46"/>
      <c r="AU422" s="46"/>
      <c r="AV422" s="46"/>
      <c r="AW422" s="46"/>
      <c r="AX422" s="46"/>
      <c r="AY422" s="46"/>
      <c r="AZ422" s="46"/>
      <c r="BA422" s="46"/>
      <c r="BB422" s="46"/>
      <c r="BC422" s="46"/>
      <c r="BD422" s="46"/>
      <c r="BE422" s="31"/>
      <c r="BF422" s="31"/>
      <c r="BG422" s="44" t="str">
        <f>TEXT(BG421,"00")</f>
        <v>82</v>
      </c>
      <c r="BH422" s="31"/>
      <c r="BI422" s="30" t="s">
        <v>236</v>
      </c>
      <c r="BJ422" s="46"/>
      <c r="BK422" s="46"/>
      <c r="BL422" s="46"/>
      <c r="BM422" s="46"/>
      <c r="BN422" s="46"/>
      <c r="BO422" s="46"/>
      <c r="BP422" s="46"/>
      <c r="BQ422" s="46"/>
      <c r="BR422" s="46"/>
      <c r="BS422" s="46"/>
      <c r="BT422" s="46"/>
      <c r="BU422" s="46"/>
      <c r="BV422" s="46"/>
      <c r="BW422" s="46"/>
      <c r="BX422" s="46"/>
      <c r="BY422" s="46"/>
      <c r="BZ422" s="46"/>
      <c r="CA422" s="46"/>
      <c r="CB422" s="46"/>
      <c r="CC422" s="46"/>
      <c r="CD422" s="46"/>
      <c r="CE422" s="46"/>
      <c r="CF422" s="46"/>
      <c r="CG422" s="46"/>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row>
    <row r="424" ht="5.2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c r="BM424" s="54"/>
      <c r="BN424" s="54"/>
      <c r="BO424" s="54"/>
      <c r="BP424" s="54"/>
      <c r="BQ424" s="54"/>
      <c r="BR424" s="54"/>
      <c r="BS424" s="54"/>
      <c r="BT424" s="54"/>
      <c r="BU424" s="54"/>
      <c r="BV424" s="54"/>
      <c r="BW424" s="54"/>
      <c r="BX424" s="54"/>
      <c r="BY424" s="54"/>
      <c r="BZ424" s="54"/>
      <c r="CA424" s="54"/>
      <c r="CB424" s="54"/>
      <c r="CC424" s="54"/>
      <c r="CD424" s="54"/>
      <c r="CE424" s="54"/>
      <c r="CF424" s="54"/>
      <c r="CG424" s="54"/>
    </row>
    <row r="425" ht="15.75" customHeight="1">
      <c r="A425" s="45" t="s">
        <v>396</v>
      </c>
      <c r="B425" s="30"/>
      <c r="C425" s="31"/>
      <c r="D425" s="31"/>
      <c r="E425" s="31"/>
      <c r="F425" s="31"/>
      <c r="G425" s="31"/>
      <c r="H425" s="31"/>
      <c r="I425" s="31"/>
      <c r="J425" s="31"/>
      <c r="K425" s="31"/>
      <c r="L425" s="31"/>
      <c r="M425" s="31"/>
      <c r="N425" s="32" t="s">
        <v>190</v>
      </c>
      <c r="O425" s="124">
        <f>LEN(A425)</f>
        <v>47</v>
      </c>
      <c r="P425" s="31"/>
      <c r="Q425" s="31"/>
      <c r="R425" s="31"/>
      <c r="S425" s="31"/>
      <c r="T425" s="31"/>
      <c r="U425" s="31"/>
      <c r="V425" s="31"/>
      <c r="W425" s="31"/>
      <c r="X425" s="31"/>
      <c r="Y425" s="31"/>
      <c r="Z425" s="31"/>
      <c r="AA425" s="31"/>
      <c r="AB425" s="31"/>
      <c r="AC425" s="31"/>
      <c r="AD425" s="31"/>
      <c r="AE425" s="31"/>
      <c r="AF425" s="31"/>
      <c r="AG425" s="31"/>
      <c r="AH425" s="31"/>
      <c r="AI425" s="30"/>
      <c r="AJ425" s="30"/>
      <c r="AK425" s="30"/>
      <c r="AL425" s="30"/>
      <c r="AM425" s="30"/>
      <c r="AN425" s="30"/>
      <c r="AO425" s="30"/>
      <c r="AP425" s="30"/>
      <c r="AQ425" s="30"/>
      <c r="AR425" s="30"/>
      <c r="AS425" s="30"/>
      <c r="AT425" s="30"/>
      <c r="AU425" s="30"/>
      <c r="AV425" s="30"/>
      <c r="AW425" s="30"/>
      <c r="AX425" s="30"/>
      <c r="AY425" s="30"/>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row>
    <row r="426" ht="15.75" customHeight="1">
      <c r="A426" s="34" t="s">
        <v>191</v>
      </c>
      <c r="B426" s="35" t="s">
        <v>94</v>
      </c>
      <c r="C426" s="35"/>
      <c r="D426" s="35"/>
      <c r="E426" s="35"/>
      <c r="F426" s="35"/>
      <c r="G426" s="35"/>
      <c r="H426" s="35"/>
      <c r="I426" s="35"/>
      <c r="J426" s="35"/>
      <c r="K426" s="35"/>
      <c r="L426" s="35"/>
      <c r="M426" s="115"/>
      <c r="N426" s="35"/>
      <c r="O426" s="35"/>
      <c r="P426" s="35"/>
      <c r="Q426" s="35"/>
      <c r="R426" s="35"/>
      <c r="S426" s="35"/>
      <c r="T426" s="35"/>
      <c r="U426" s="35"/>
      <c r="V426" s="35"/>
      <c r="W426" s="35"/>
      <c r="X426" s="35"/>
      <c r="Y426" s="35"/>
      <c r="Z426" s="35"/>
      <c r="AA426" s="35"/>
      <c r="AB426" s="35"/>
      <c r="AC426" s="35"/>
      <c r="AD426" s="35"/>
      <c r="AE426" s="35"/>
      <c r="AF426" s="35"/>
      <c r="AG426" s="35"/>
      <c r="AH426" s="89" t="s">
        <v>397</v>
      </c>
      <c r="AI426" s="30"/>
      <c r="AJ426" s="30"/>
      <c r="AK426" s="30"/>
      <c r="AL426" s="30"/>
      <c r="AM426" s="30"/>
      <c r="AN426" s="30"/>
      <c r="AO426" s="30"/>
      <c r="AP426" s="30"/>
      <c r="AQ426" s="30"/>
      <c r="AR426" s="30"/>
      <c r="AS426" s="30"/>
      <c r="AT426" s="30"/>
      <c r="AU426" s="30"/>
      <c r="AV426" s="30"/>
      <c r="AW426" s="30"/>
      <c r="AX426" s="30"/>
      <c r="AY426" s="30"/>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row>
    <row r="427" ht="15.75" customHeight="1">
      <c r="A427" s="37" t="s">
        <v>193</v>
      </c>
      <c r="B427" s="38"/>
      <c r="C427" s="38"/>
      <c r="D427" s="38"/>
      <c r="E427" s="38"/>
      <c r="F427" s="38"/>
      <c r="G427" s="38"/>
      <c r="H427" s="38"/>
      <c r="I427" s="38"/>
      <c r="J427" s="38"/>
      <c r="K427" s="38"/>
      <c r="L427" s="38"/>
      <c r="M427" s="90"/>
      <c r="N427" s="38"/>
      <c r="O427" s="38"/>
      <c r="P427" s="38"/>
      <c r="Q427" s="38"/>
      <c r="R427" s="38"/>
      <c r="S427" s="38"/>
      <c r="T427" s="38"/>
      <c r="U427" s="38"/>
      <c r="V427" s="38"/>
      <c r="W427" s="38"/>
      <c r="X427" s="38"/>
      <c r="Y427" s="38"/>
      <c r="Z427" s="38"/>
      <c r="AA427" s="38"/>
      <c r="AB427" s="38"/>
      <c r="AC427" s="38"/>
      <c r="AD427" s="38"/>
      <c r="AE427" s="38"/>
      <c r="AF427" s="38"/>
      <c r="AG427" s="38"/>
      <c r="AH427" s="90" t="s">
        <v>194</v>
      </c>
      <c r="AI427" s="30"/>
      <c r="AJ427" s="30"/>
      <c r="AK427" s="30"/>
      <c r="AL427" s="30"/>
      <c r="AM427" s="30"/>
      <c r="AN427" s="30"/>
      <c r="AO427" s="30"/>
      <c r="AP427" s="30"/>
      <c r="AQ427" s="30"/>
      <c r="AR427" s="30"/>
      <c r="AS427" s="30"/>
      <c r="AT427" s="30"/>
      <c r="AU427" s="30"/>
      <c r="AV427" s="30"/>
      <c r="AW427" s="30"/>
      <c r="AX427" s="30"/>
      <c r="AY427" s="30"/>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row>
    <row r="428" ht="15.75" customHeight="1">
      <c r="A428" s="39" t="s">
        <v>195</v>
      </c>
      <c r="B428" s="40">
        <v>1.0</v>
      </c>
      <c r="C428" s="40">
        <v>2.0</v>
      </c>
      <c r="D428" s="40">
        <v>3.0</v>
      </c>
      <c r="E428" s="40">
        <v>4.0</v>
      </c>
      <c r="F428" s="40">
        <v>5.0</v>
      </c>
      <c r="G428" s="40">
        <v>6.0</v>
      </c>
      <c r="H428" s="40">
        <v>7.0</v>
      </c>
      <c r="I428" s="40">
        <v>8.0</v>
      </c>
      <c r="J428" s="40">
        <v>9.0</v>
      </c>
      <c r="K428" s="40">
        <v>10.0</v>
      </c>
      <c r="L428" s="40">
        <v>11.0</v>
      </c>
      <c r="M428" s="40">
        <v>12.0</v>
      </c>
      <c r="N428" s="40">
        <v>13.0</v>
      </c>
      <c r="O428" s="40">
        <v>14.0</v>
      </c>
      <c r="P428" s="40">
        <v>15.0</v>
      </c>
      <c r="Q428" s="40">
        <v>16.0</v>
      </c>
      <c r="R428" s="40">
        <v>17.0</v>
      </c>
      <c r="S428" s="40">
        <v>18.0</v>
      </c>
      <c r="T428" s="40">
        <v>19.0</v>
      </c>
      <c r="U428" s="40">
        <v>20.0</v>
      </c>
      <c r="V428" s="40">
        <v>21.0</v>
      </c>
      <c r="W428" s="40">
        <v>22.0</v>
      </c>
      <c r="X428" s="40">
        <v>23.0</v>
      </c>
      <c r="Y428" s="40">
        <v>24.0</v>
      </c>
      <c r="Z428" s="40">
        <v>25.0</v>
      </c>
      <c r="AA428" s="40">
        <v>26.0</v>
      </c>
      <c r="AB428" s="40">
        <v>27.0</v>
      </c>
      <c r="AC428" s="40">
        <v>28.0</v>
      </c>
      <c r="AD428" s="40">
        <v>29.0</v>
      </c>
      <c r="AE428" s="40">
        <v>30.0</v>
      </c>
      <c r="AF428" s="40">
        <v>31.0</v>
      </c>
      <c r="AG428" s="41">
        <v>32.0</v>
      </c>
      <c r="AH428" s="137">
        <v>33.0</v>
      </c>
      <c r="AI428" s="138">
        <v>34.0</v>
      </c>
      <c r="AJ428" s="138">
        <v>35.0</v>
      </c>
      <c r="AK428" s="138">
        <v>36.0</v>
      </c>
      <c r="AL428" s="138">
        <v>37.0</v>
      </c>
      <c r="AM428" s="138">
        <v>38.0</v>
      </c>
      <c r="AN428" s="138">
        <v>39.0</v>
      </c>
      <c r="AO428" s="138">
        <v>40.0</v>
      </c>
      <c r="AP428" s="138">
        <v>41.0</v>
      </c>
      <c r="AQ428" s="138">
        <v>42.0</v>
      </c>
      <c r="AR428" s="138">
        <v>43.0</v>
      </c>
      <c r="AS428" s="138">
        <v>44.0</v>
      </c>
      <c r="AT428" s="138">
        <v>45.0</v>
      </c>
      <c r="AU428" s="138">
        <v>46.0</v>
      </c>
      <c r="AV428" s="138">
        <v>47.0</v>
      </c>
      <c r="AW428" s="138">
        <v>48.0</v>
      </c>
      <c r="AX428" s="138">
        <v>49.0</v>
      </c>
      <c r="AY428" s="30"/>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row>
    <row r="429" ht="15.75" customHeight="1">
      <c r="A429" s="42" t="s">
        <v>196</v>
      </c>
      <c r="B429" s="43" t="str">
        <f t="shared" ref="B429:AX429" si="115">MID($A425,B428,1)</f>
        <v>|</v>
      </c>
      <c r="C429" s="43" t="str">
        <f t="shared" si="115"/>
        <v>0</v>
      </c>
      <c r="D429" s="43" t="str">
        <f t="shared" si="115"/>
        <v>1</v>
      </c>
      <c r="E429" s="43" t="str">
        <f t="shared" si="115"/>
        <v>0</v>
      </c>
      <c r="F429" s="43" t="str">
        <f t="shared" si="115"/>
        <v>7</v>
      </c>
      <c r="G429" s="43" t="str">
        <f t="shared" si="115"/>
        <v>5</v>
      </c>
      <c r="H429" s="43" t="str">
        <f t="shared" si="115"/>
        <v>5</v>
      </c>
      <c r="I429" s="43" t="str">
        <f t="shared" si="115"/>
        <v>6</v>
      </c>
      <c r="J429" s="43" t="str">
        <f t="shared" si="115"/>
        <v>0</v>
      </c>
      <c r="K429" s="43" t="str">
        <f t="shared" si="115"/>
        <v>0</v>
      </c>
      <c r="L429" s="43" t="str">
        <f t="shared" si="115"/>
        <v>0</v>
      </c>
      <c r="M429" s="43" t="str">
        <f t="shared" si="115"/>
        <v>6</v>
      </c>
      <c r="N429" s="43" t="str">
        <f t="shared" si="115"/>
        <v>7</v>
      </c>
      <c r="O429" s="43" t="str">
        <f t="shared" si="115"/>
        <v>1</v>
      </c>
      <c r="P429" s="43" t="str">
        <f t="shared" si="115"/>
        <v>0</v>
      </c>
      <c r="Q429" s="43" t="str">
        <f t="shared" si="115"/>
        <v>1</v>
      </c>
      <c r="R429" s="43" t="str">
        <f t="shared" si="115"/>
        <v>3</v>
      </c>
      <c r="S429" s="43" t="str">
        <f t="shared" si="115"/>
        <v>1</v>
      </c>
      <c r="T429" s="43" t="str">
        <f t="shared" si="115"/>
        <v>0</v>
      </c>
      <c r="U429" s="43" t="str">
        <f t="shared" si="115"/>
        <v>0</v>
      </c>
      <c r="V429" s="43" t="str">
        <f t="shared" si="115"/>
        <v>7</v>
      </c>
      <c r="W429" s="43" t="str">
        <f t="shared" si="115"/>
        <v>1</v>
      </c>
      <c r="X429" s="43" t="str">
        <f t="shared" si="115"/>
        <v>0</v>
      </c>
      <c r="Y429" s="43" t="str">
        <f t="shared" si="115"/>
        <v>0</v>
      </c>
      <c r="Z429" s="43" t="str">
        <f t="shared" si="115"/>
        <v>0</v>
      </c>
      <c r="AA429" s="43" t="str">
        <f t="shared" si="115"/>
        <v>1</v>
      </c>
      <c r="AB429" s="43" t="str">
        <f t="shared" si="115"/>
        <v>4</v>
      </c>
      <c r="AC429" s="43" t="str">
        <f t="shared" si="115"/>
        <v>9</v>
      </c>
      <c r="AD429" s="43" t="str">
        <f t="shared" si="115"/>
        <v>8</v>
      </c>
      <c r="AE429" s="43" t="str">
        <f t="shared" si="115"/>
        <v>1</v>
      </c>
      <c r="AF429" s="43" t="str">
        <f t="shared" si="115"/>
        <v>4</v>
      </c>
      <c r="AG429" s="44" t="str">
        <f t="shared" si="115"/>
        <v>0</v>
      </c>
      <c r="AH429" s="139" t="str">
        <f t="shared" si="115"/>
        <v>2</v>
      </c>
      <c r="AI429" s="138" t="str">
        <f t="shared" si="115"/>
        <v>2</v>
      </c>
      <c r="AJ429" s="138" t="str">
        <f t="shared" si="115"/>
        <v>5</v>
      </c>
      <c r="AK429" s="138" t="str">
        <f t="shared" si="115"/>
        <v>0</v>
      </c>
      <c r="AL429" s="138" t="str">
        <f t="shared" si="115"/>
        <v>4</v>
      </c>
      <c r="AM429" s="138" t="str">
        <f t="shared" si="115"/>
        <v>2</v>
      </c>
      <c r="AN429" s="138" t="str">
        <f t="shared" si="115"/>
        <v>5</v>
      </c>
      <c r="AO429" s="138" t="str">
        <f t="shared" si="115"/>
        <v>6</v>
      </c>
      <c r="AP429" s="138" t="str">
        <f t="shared" si="115"/>
        <v>6</v>
      </c>
      <c r="AQ429" s="138" t="str">
        <f t="shared" si="115"/>
        <v>4</v>
      </c>
      <c r="AR429" s="138" t="str">
        <f t="shared" si="115"/>
        <v>2</v>
      </c>
      <c r="AS429" s="138" t="str">
        <f t="shared" si="115"/>
        <v>4</v>
      </c>
      <c r="AT429" s="138" t="str">
        <f t="shared" si="115"/>
        <v>4</v>
      </c>
      <c r="AU429" s="138" t="str">
        <f t="shared" si="115"/>
        <v>0</v>
      </c>
      <c r="AV429" s="138" t="str">
        <f t="shared" si="115"/>
        <v>0</v>
      </c>
      <c r="AW429" s="138" t="str">
        <f t="shared" si="115"/>
        <v/>
      </c>
      <c r="AX429" s="138" t="str">
        <f t="shared" si="115"/>
        <v/>
      </c>
      <c r="AY429" s="30"/>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row>
    <row r="430" ht="15.75" customHeight="1">
      <c r="A430" s="45" t="s">
        <v>398</v>
      </c>
      <c r="B430" s="46"/>
      <c r="C430" s="46"/>
      <c r="D430" s="46"/>
      <c r="E430" s="46"/>
      <c r="F430" s="46"/>
      <c r="G430" s="46"/>
      <c r="H430" s="46"/>
      <c r="I430" s="46"/>
      <c r="J430" s="46"/>
      <c r="K430" s="46"/>
      <c r="L430" s="46"/>
      <c r="M430" s="46"/>
      <c r="N430" s="46"/>
      <c r="O430" s="46">
        <f t="shared" ref="O430:O433" si="116">LEN(A430)</f>
        <v>46</v>
      </c>
      <c r="P430" s="46"/>
      <c r="Q430" s="46"/>
      <c r="R430" s="46"/>
      <c r="S430" s="46"/>
      <c r="T430" s="46"/>
      <c r="U430" s="46"/>
      <c r="V430" s="46"/>
      <c r="W430" s="46"/>
      <c r="X430" s="46"/>
      <c r="Y430" s="46"/>
      <c r="Z430" s="46"/>
      <c r="AA430" s="46"/>
      <c r="AB430" s="46"/>
      <c r="AC430" s="46"/>
      <c r="AD430" s="46"/>
      <c r="AE430" s="46"/>
      <c r="AF430" s="46"/>
      <c r="AG430" s="46"/>
      <c r="AH430" s="46"/>
      <c r="AI430" s="30"/>
      <c r="AJ430" s="30"/>
      <c r="AK430" s="30"/>
      <c r="AL430" s="30"/>
      <c r="AM430" s="30"/>
      <c r="AN430" s="30"/>
      <c r="AO430" s="30"/>
      <c r="AP430" s="30"/>
      <c r="AQ430" s="31"/>
      <c r="AR430" s="30"/>
      <c r="AS430" s="30"/>
      <c r="AT430" s="30"/>
      <c r="AU430" s="30"/>
      <c r="AV430" s="30"/>
      <c r="AW430" s="30"/>
      <c r="AX430" s="30"/>
      <c r="AY430" s="30"/>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row>
    <row r="431" ht="15.75" customHeight="1">
      <c r="A431" s="45" t="s">
        <v>399</v>
      </c>
      <c r="B431" s="46"/>
      <c r="C431" s="46"/>
      <c r="D431" s="46"/>
      <c r="E431" s="46"/>
      <c r="F431" s="46"/>
      <c r="G431" s="46"/>
      <c r="H431" s="46"/>
      <c r="I431" s="46"/>
      <c r="J431" s="46"/>
      <c r="K431" s="46"/>
      <c r="L431" s="46"/>
      <c r="M431" s="46"/>
      <c r="N431" s="46"/>
      <c r="O431" s="46">
        <f t="shared" si="116"/>
        <v>47</v>
      </c>
      <c r="P431" s="46"/>
      <c r="Q431" s="46"/>
      <c r="R431" s="46"/>
      <c r="S431" s="46"/>
      <c r="T431" s="46"/>
      <c r="U431" s="46"/>
      <c r="V431" s="46"/>
      <c r="W431" s="46"/>
      <c r="X431" s="46"/>
      <c r="Y431" s="46"/>
      <c r="Z431" s="46"/>
      <c r="AA431" s="46"/>
      <c r="AB431" s="46"/>
      <c r="AC431" s="46"/>
      <c r="AD431" s="46"/>
      <c r="AE431" s="46"/>
      <c r="AF431" s="46"/>
      <c r="AG431" s="46"/>
      <c r="AH431" s="46"/>
      <c r="AI431" s="31"/>
      <c r="AJ431" s="30"/>
      <c r="AK431" s="30"/>
      <c r="AL431" s="30"/>
      <c r="AM431" s="30"/>
      <c r="AN431" s="30"/>
      <c r="AO431" s="30"/>
      <c r="AP431" s="30"/>
      <c r="AQ431" s="31"/>
      <c r="AR431" s="30"/>
      <c r="AS431" s="30"/>
      <c r="AT431" s="30"/>
      <c r="AU431" s="30"/>
      <c r="AV431" s="30"/>
      <c r="AW431" s="30"/>
      <c r="AX431" s="30"/>
      <c r="AY431" s="30"/>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c r="BW431" s="31"/>
      <c r="BX431" s="31"/>
      <c r="BY431" s="31"/>
      <c r="BZ431" s="31"/>
      <c r="CA431" s="31"/>
      <c r="CB431" s="31"/>
      <c r="CC431" s="31"/>
      <c r="CD431" s="31"/>
      <c r="CE431" s="31"/>
      <c r="CF431" s="31"/>
      <c r="CG431" s="31"/>
    </row>
    <row r="432" ht="15.75" customHeight="1">
      <c r="A432" s="45" t="s">
        <v>400</v>
      </c>
      <c r="B432" s="46"/>
      <c r="C432" s="46"/>
      <c r="D432" s="46"/>
      <c r="E432" s="46"/>
      <c r="F432" s="46"/>
      <c r="G432" s="46"/>
      <c r="H432" s="46"/>
      <c r="I432" s="46"/>
      <c r="J432" s="46"/>
      <c r="K432" s="46"/>
      <c r="L432" s="46"/>
      <c r="M432" s="46"/>
      <c r="N432" s="46"/>
      <c r="O432" s="46">
        <f t="shared" si="116"/>
        <v>47</v>
      </c>
      <c r="P432" s="46"/>
      <c r="Q432" s="46"/>
      <c r="R432" s="46"/>
      <c r="S432" s="46"/>
      <c r="T432" s="46"/>
      <c r="U432" s="46"/>
      <c r="V432" s="46"/>
      <c r="W432" s="46"/>
      <c r="X432" s="46"/>
      <c r="Y432" s="46"/>
      <c r="Z432" s="46"/>
      <c r="AA432" s="46"/>
      <c r="AB432" s="46"/>
      <c r="AC432" s="46"/>
      <c r="AD432" s="46"/>
      <c r="AE432" s="46"/>
      <c r="AF432" s="46"/>
      <c r="AG432" s="46"/>
      <c r="AH432" s="46"/>
      <c r="AI432" s="31"/>
      <c r="AJ432" s="30"/>
      <c r="AK432" s="30"/>
      <c r="AL432" s="30"/>
      <c r="AM432" s="30"/>
      <c r="AN432" s="30"/>
      <c r="AO432" s="30"/>
      <c r="AP432" s="31"/>
      <c r="AQ432" s="31"/>
      <c r="AR432" s="31"/>
      <c r="AS432" s="31"/>
      <c r="AT432" s="31"/>
      <c r="AU432" s="31"/>
      <c r="AV432" s="31"/>
      <c r="AW432" s="31"/>
      <c r="AX432" s="31"/>
      <c r="AY432" s="30"/>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c r="BW432" s="31"/>
      <c r="BX432" s="31"/>
      <c r="BY432" s="31"/>
      <c r="BZ432" s="31"/>
      <c r="CA432" s="31"/>
      <c r="CB432" s="31"/>
      <c r="CC432" s="31"/>
      <c r="CD432" s="31"/>
      <c r="CE432" s="31"/>
      <c r="CF432" s="31"/>
      <c r="CG432" s="31"/>
    </row>
    <row r="433" ht="15.75" customHeight="1">
      <c r="A433" s="45" t="s">
        <v>396</v>
      </c>
      <c r="B433" s="46"/>
      <c r="C433" s="46"/>
      <c r="D433" s="46"/>
      <c r="E433" s="46"/>
      <c r="F433" s="46"/>
      <c r="G433" s="46"/>
      <c r="H433" s="46"/>
      <c r="I433" s="46"/>
      <c r="J433" s="46"/>
      <c r="K433" s="46"/>
      <c r="L433" s="46"/>
      <c r="M433" s="46"/>
      <c r="N433" s="46"/>
      <c r="O433" s="46">
        <f t="shared" si="116"/>
        <v>47</v>
      </c>
      <c r="P433" s="46"/>
      <c r="Q433" s="46"/>
      <c r="R433" s="46"/>
      <c r="S433" s="46"/>
      <c r="T433" s="46"/>
      <c r="U433" s="46"/>
      <c r="V433" s="46"/>
      <c r="W433" s="46"/>
      <c r="X433" s="46"/>
      <c r="Y433" s="46"/>
      <c r="Z433" s="46"/>
      <c r="AA433" s="46"/>
      <c r="AB433" s="46"/>
      <c r="AC433" s="46"/>
      <c r="AD433" s="46"/>
      <c r="AE433" s="46"/>
      <c r="AF433" s="46"/>
      <c r="AG433" s="46"/>
      <c r="AH433" s="46"/>
      <c r="AI433" s="31"/>
      <c r="AJ433" s="30"/>
      <c r="AK433" s="30"/>
      <c r="AL433" s="30"/>
      <c r="AM433" s="30"/>
      <c r="AN433" s="31"/>
      <c r="AO433" s="31"/>
      <c r="AP433" s="31"/>
      <c r="AQ433" s="31"/>
      <c r="AR433" s="31"/>
      <c r="AS433" s="31"/>
      <c r="AT433" s="31"/>
      <c r="AU433" s="31"/>
      <c r="AV433" s="31"/>
      <c r="AW433" s="31"/>
      <c r="AX433" s="31"/>
      <c r="AY433" s="30"/>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c r="BW433" s="31"/>
      <c r="BX433" s="31"/>
      <c r="BY433" s="31"/>
      <c r="BZ433" s="31"/>
      <c r="CA433" s="31"/>
      <c r="CB433" s="31"/>
      <c r="CC433" s="31"/>
      <c r="CD433" s="31"/>
      <c r="CE433" s="31"/>
      <c r="CF433" s="31"/>
      <c r="CG433" s="31"/>
    </row>
    <row r="434" ht="15.75" customHeight="1">
      <c r="A434" s="31"/>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31"/>
      <c r="AJ434" s="30"/>
      <c r="AK434" s="30"/>
      <c r="AL434" s="30"/>
      <c r="AM434" s="30"/>
      <c r="AN434" s="31"/>
      <c r="AO434" s="31"/>
      <c r="AP434" s="31"/>
      <c r="AQ434" s="31"/>
      <c r="AR434" s="31"/>
      <c r="AS434" s="31"/>
      <c r="AT434" s="31"/>
      <c r="AU434" s="31"/>
      <c r="AV434" s="31"/>
      <c r="AW434" s="31"/>
      <c r="AX434" s="31"/>
      <c r="AY434" s="30"/>
      <c r="AZ434" s="31"/>
      <c r="BA434" s="31"/>
      <c r="BB434" s="31"/>
      <c r="BC434" s="31"/>
      <c r="BD434" s="31"/>
      <c r="BE434" s="31"/>
      <c r="BF434" s="31"/>
      <c r="BG434" s="31"/>
      <c r="BH434" s="31"/>
      <c r="BI434" s="31"/>
      <c r="BJ434" s="31"/>
      <c r="BK434" s="31"/>
      <c r="BL434" s="31"/>
      <c r="BM434" s="31"/>
      <c r="BN434" s="31"/>
      <c r="BO434" s="31"/>
      <c r="BP434" s="31"/>
      <c r="BQ434" s="31"/>
      <c r="BR434" s="31"/>
      <c r="BS434" s="31"/>
      <c r="BT434" s="31"/>
      <c r="BU434" s="31"/>
      <c r="BV434" s="31"/>
      <c r="BW434" s="31"/>
      <c r="BX434" s="31"/>
      <c r="BY434" s="31"/>
      <c r="BZ434" s="31"/>
      <c r="CA434" s="31"/>
      <c r="CB434" s="31"/>
      <c r="CC434" s="31"/>
      <c r="CD434" s="31"/>
      <c r="CE434" s="31"/>
      <c r="CF434" s="31"/>
      <c r="CG434" s="31"/>
    </row>
    <row r="435" ht="15.75" customHeight="1">
      <c r="A435" s="47" t="s">
        <v>394</v>
      </c>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31"/>
      <c r="AJ435" s="30"/>
      <c r="AK435" s="30"/>
      <c r="AL435" s="30"/>
      <c r="AM435" s="30"/>
      <c r="AN435" s="31"/>
      <c r="AO435" s="31"/>
      <c r="AP435" s="31"/>
      <c r="AQ435" s="31"/>
      <c r="AR435" s="31"/>
      <c r="AS435" s="31"/>
      <c r="AT435" s="31"/>
      <c r="AU435" s="31"/>
      <c r="AV435" s="31"/>
      <c r="AW435" s="31"/>
      <c r="AX435" s="31"/>
      <c r="AY435" s="30"/>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c r="BW435" s="31"/>
      <c r="BX435" s="31"/>
      <c r="BY435" s="31"/>
      <c r="BZ435" s="31"/>
      <c r="CA435" s="31"/>
      <c r="CB435" s="31"/>
      <c r="CC435" s="31"/>
      <c r="CD435" s="31"/>
      <c r="CE435" s="31"/>
      <c r="CF435" s="31"/>
      <c r="CG435" s="31"/>
    </row>
    <row r="436" ht="15.75" customHeight="1">
      <c r="A436" s="39" t="s">
        <v>195</v>
      </c>
      <c r="B436" s="40">
        <v>1.0</v>
      </c>
      <c r="C436" s="40">
        <v>2.0</v>
      </c>
      <c r="D436" s="40">
        <v>3.0</v>
      </c>
      <c r="E436" s="40">
        <v>4.0</v>
      </c>
      <c r="F436" s="40">
        <v>5.0</v>
      </c>
      <c r="G436" s="40">
        <v>6.0</v>
      </c>
      <c r="H436" s="40">
        <v>7.0</v>
      </c>
      <c r="I436" s="40">
        <v>8.0</v>
      </c>
      <c r="J436" s="40">
        <v>9.0</v>
      </c>
      <c r="K436" s="40">
        <v>10.0</v>
      </c>
      <c r="L436" s="40">
        <v>11.0</v>
      </c>
      <c r="M436" s="40">
        <v>12.0</v>
      </c>
      <c r="N436" s="40">
        <v>13.0</v>
      </c>
      <c r="O436" s="40">
        <v>14.0</v>
      </c>
      <c r="P436" s="40">
        <v>15.0</v>
      </c>
      <c r="Q436" s="40">
        <v>16.0</v>
      </c>
      <c r="R436" s="40">
        <v>17.0</v>
      </c>
      <c r="S436" s="40">
        <v>18.0</v>
      </c>
      <c r="T436" s="40">
        <v>19.0</v>
      </c>
      <c r="U436" s="40">
        <v>20.0</v>
      </c>
      <c r="V436" s="40">
        <v>21.0</v>
      </c>
      <c r="W436" s="41">
        <v>22.0</v>
      </c>
      <c r="X436" s="41">
        <v>23.0</v>
      </c>
      <c r="Y436" s="41">
        <v>24.0</v>
      </c>
      <c r="Z436" s="41">
        <v>25.0</v>
      </c>
      <c r="AA436" s="41">
        <v>26.0</v>
      </c>
      <c r="AB436" s="41">
        <v>27.0</v>
      </c>
      <c r="AC436" s="41">
        <v>28.0</v>
      </c>
      <c r="AD436" s="41">
        <v>29.0</v>
      </c>
      <c r="AE436" s="41">
        <v>30.0</v>
      </c>
      <c r="AF436" s="41">
        <v>31.0</v>
      </c>
      <c r="AG436" s="40">
        <v>32.0</v>
      </c>
      <c r="AH436" s="40">
        <v>33.0</v>
      </c>
      <c r="AI436" s="31"/>
      <c r="AJ436" s="30"/>
      <c r="AK436" s="30"/>
      <c r="AL436" s="30"/>
      <c r="AM436" s="30"/>
      <c r="AN436" s="31"/>
      <c r="AO436" s="31"/>
      <c r="AP436" s="31"/>
      <c r="AQ436" s="31"/>
      <c r="AR436" s="31"/>
      <c r="AS436" s="31"/>
      <c r="AT436" s="31"/>
      <c r="AU436" s="31"/>
      <c r="AV436" s="31"/>
      <c r="AW436" s="31"/>
      <c r="AX436" s="31"/>
      <c r="AY436" s="30"/>
      <c r="AZ436" s="31"/>
      <c r="BA436" s="31"/>
      <c r="BB436" s="31"/>
      <c r="BC436" s="31"/>
      <c r="BD436" s="31"/>
      <c r="BE436" s="31"/>
      <c r="BF436" s="31"/>
      <c r="BG436" s="31"/>
      <c r="BH436" s="31"/>
      <c r="BI436" s="31"/>
      <c r="BJ436" s="31"/>
      <c r="BK436" s="31"/>
      <c r="BL436" s="31"/>
      <c r="BM436" s="31"/>
      <c r="BN436" s="31"/>
      <c r="BO436" s="31"/>
      <c r="BP436" s="31"/>
      <c r="BQ436" s="31"/>
      <c r="BR436" s="31"/>
      <c r="BS436" s="31"/>
      <c r="BT436" s="31"/>
      <c r="BU436" s="31"/>
      <c r="BV436" s="31"/>
      <c r="BW436" s="31"/>
      <c r="BX436" s="31"/>
      <c r="BY436" s="31"/>
      <c r="BZ436" s="31"/>
      <c r="CA436" s="31"/>
      <c r="CB436" s="31"/>
      <c r="CC436" s="31"/>
      <c r="CD436" s="31"/>
      <c r="CE436" s="31"/>
      <c r="CF436" s="31"/>
      <c r="CG436" s="31"/>
    </row>
    <row r="437" ht="15.75" customHeight="1">
      <c r="A437" s="42" t="s">
        <v>196</v>
      </c>
      <c r="B437" s="43" t="str">
        <f t="shared" ref="B437:AH437" si="117">B429</f>
        <v>|</v>
      </c>
      <c r="C437" s="43" t="str">
        <f t="shared" si="117"/>
        <v>0</v>
      </c>
      <c r="D437" s="43" t="str">
        <f t="shared" si="117"/>
        <v>1</v>
      </c>
      <c r="E437" s="43" t="str">
        <f t="shared" si="117"/>
        <v>0</v>
      </c>
      <c r="F437" s="43" t="str">
        <f t="shared" si="117"/>
        <v>7</v>
      </c>
      <c r="G437" s="43" t="str">
        <f t="shared" si="117"/>
        <v>5</v>
      </c>
      <c r="H437" s="43" t="str">
        <f t="shared" si="117"/>
        <v>5</v>
      </c>
      <c r="I437" s="43" t="str">
        <f t="shared" si="117"/>
        <v>6</v>
      </c>
      <c r="J437" s="43" t="str">
        <f t="shared" si="117"/>
        <v>0</v>
      </c>
      <c r="K437" s="43" t="str">
        <f t="shared" si="117"/>
        <v>0</v>
      </c>
      <c r="L437" s="43" t="str">
        <f t="shared" si="117"/>
        <v>0</v>
      </c>
      <c r="M437" s="43" t="str">
        <f t="shared" si="117"/>
        <v>6</v>
      </c>
      <c r="N437" s="43" t="str">
        <f t="shared" si="117"/>
        <v>7</v>
      </c>
      <c r="O437" s="43" t="str">
        <f t="shared" si="117"/>
        <v>1</v>
      </c>
      <c r="P437" s="43" t="str">
        <f t="shared" si="117"/>
        <v>0</v>
      </c>
      <c r="Q437" s="43" t="str">
        <f t="shared" si="117"/>
        <v>1</v>
      </c>
      <c r="R437" s="43" t="str">
        <f t="shared" si="117"/>
        <v>3</v>
      </c>
      <c r="S437" s="43" t="str">
        <f t="shared" si="117"/>
        <v>1</v>
      </c>
      <c r="T437" s="43" t="str">
        <f t="shared" si="117"/>
        <v>0</v>
      </c>
      <c r="U437" s="43" t="str">
        <f t="shared" si="117"/>
        <v>0</v>
      </c>
      <c r="V437" s="43" t="str">
        <f t="shared" si="117"/>
        <v>7</v>
      </c>
      <c r="W437" s="51" t="str">
        <f t="shared" si="117"/>
        <v>1</v>
      </c>
      <c r="X437" s="51" t="str">
        <f t="shared" si="117"/>
        <v>0</v>
      </c>
      <c r="Y437" s="51" t="str">
        <f t="shared" si="117"/>
        <v>0</v>
      </c>
      <c r="Z437" s="51" t="str">
        <f t="shared" si="117"/>
        <v>0</v>
      </c>
      <c r="AA437" s="51" t="str">
        <f t="shared" si="117"/>
        <v>1</v>
      </c>
      <c r="AB437" s="51" t="str">
        <f t="shared" si="117"/>
        <v>4</v>
      </c>
      <c r="AC437" s="51" t="str">
        <f t="shared" si="117"/>
        <v>9</v>
      </c>
      <c r="AD437" s="51" t="str">
        <f t="shared" si="117"/>
        <v>8</v>
      </c>
      <c r="AE437" s="51" t="str">
        <f t="shared" si="117"/>
        <v>1</v>
      </c>
      <c r="AF437" s="51" t="str">
        <f t="shared" si="117"/>
        <v>4</v>
      </c>
      <c r="AG437" s="43" t="str">
        <f t="shared" si="117"/>
        <v>0</v>
      </c>
      <c r="AH437" s="43" t="str">
        <f t="shared" si="117"/>
        <v>2</v>
      </c>
      <c r="AI437" s="31"/>
      <c r="AJ437" s="30"/>
      <c r="AK437" s="30"/>
      <c r="AL437" s="30"/>
      <c r="AM437" s="30"/>
      <c r="AN437" s="31"/>
      <c r="AO437" s="31"/>
      <c r="AP437" s="31"/>
      <c r="AQ437" s="31"/>
      <c r="AR437" s="31"/>
      <c r="AS437" s="31"/>
      <c r="AT437" s="31"/>
      <c r="AU437" s="31"/>
      <c r="AV437" s="31"/>
      <c r="AW437" s="31"/>
      <c r="AX437" s="31"/>
      <c r="AY437" s="30"/>
      <c r="AZ437" s="31"/>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row>
    <row r="438" ht="15.75" customHeight="1">
      <c r="A438" s="52" t="s">
        <v>200</v>
      </c>
      <c r="B438" s="43"/>
      <c r="C438" s="43"/>
      <c r="D438" s="43"/>
      <c r="E438" s="43"/>
      <c r="F438" s="43"/>
      <c r="G438" s="43"/>
      <c r="H438" s="43"/>
      <c r="I438" s="43"/>
      <c r="J438" s="43"/>
      <c r="K438" s="43"/>
      <c r="L438" s="43"/>
      <c r="M438" s="43"/>
      <c r="N438" s="43"/>
      <c r="O438" s="43"/>
      <c r="P438" s="43"/>
      <c r="Q438" s="43"/>
      <c r="R438" s="43"/>
      <c r="S438" s="43"/>
      <c r="T438" s="43"/>
      <c r="U438" s="43"/>
      <c r="V438" s="43"/>
      <c r="W438" s="43">
        <v>11.0</v>
      </c>
      <c r="X438" s="43">
        <v>10.0</v>
      </c>
      <c r="Y438" s="43">
        <v>9.0</v>
      </c>
      <c r="Z438" s="43">
        <v>8.0</v>
      </c>
      <c r="AA438" s="43">
        <v>7.0</v>
      </c>
      <c r="AB438" s="43">
        <v>6.0</v>
      </c>
      <c r="AC438" s="43">
        <v>5.0</v>
      </c>
      <c r="AD438" s="43">
        <v>4.0</v>
      </c>
      <c r="AE438" s="43">
        <v>3.0</v>
      </c>
      <c r="AF438" s="43">
        <v>2.0</v>
      </c>
      <c r="AG438" s="43"/>
      <c r="AH438" s="43"/>
      <c r="AI438" s="31"/>
      <c r="AJ438" s="30"/>
      <c r="AK438" s="30"/>
      <c r="AL438" s="30"/>
      <c r="AM438" s="30"/>
      <c r="AN438" s="31"/>
      <c r="AO438" s="31"/>
      <c r="AP438" s="31"/>
      <c r="AQ438" s="31"/>
      <c r="AR438" s="31"/>
      <c r="AS438" s="31"/>
      <c r="AT438" s="31"/>
      <c r="AU438" s="31"/>
      <c r="AV438" s="31"/>
      <c r="AW438" s="31"/>
      <c r="AX438" s="31"/>
      <c r="AY438" s="30"/>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row>
    <row r="439" ht="15.75" customHeight="1">
      <c r="A439" s="52" t="s">
        <v>201</v>
      </c>
      <c r="B439" s="77"/>
      <c r="C439" s="77"/>
      <c r="D439" s="77"/>
      <c r="E439" s="77"/>
      <c r="F439" s="77"/>
      <c r="G439" s="77"/>
      <c r="H439" s="77"/>
      <c r="I439" s="77"/>
      <c r="J439" s="77"/>
      <c r="K439" s="77"/>
      <c r="L439" s="77"/>
      <c r="M439" s="77"/>
      <c r="N439" s="77"/>
      <c r="O439" s="77"/>
      <c r="P439" s="77"/>
      <c r="Q439" s="77"/>
      <c r="R439" s="77"/>
      <c r="S439" s="77"/>
      <c r="T439" s="77"/>
      <c r="U439" s="77"/>
      <c r="V439" s="77"/>
      <c r="W439" s="77">
        <f t="shared" ref="W439:AF439" si="118">W438*W437</f>
        <v>11</v>
      </c>
      <c r="X439" s="77">
        <f t="shared" si="118"/>
        <v>0</v>
      </c>
      <c r="Y439" s="77">
        <f t="shared" si="118"/>
        <v>0</v>
      </c>
      <c r="Z439" s="77">
        <f t="shared" si="118"/>
        <v>0</v>
      </c>
      <c r="AA439" s="77">
        <f t="shared" si="118"/>
        <v>7</v>
      </c>
      <c r="AB439" s="77">
        <f t="shared" si="118"/>
        <v>24</v>
      </c>
      <c r="AC439" s="77">
        <f t="shared" si="118"/>
        <v>45</v>
      </c>
      <c r="AD439" s="77">
        <f t="shared" si="118"/>
        <v>32</v>
      </c>
      <c r="AE439" s="77">
        <f t="shared" si="118"/>
        <v>3</v>
      </c>
      <c r="AF439" s="77">
        <f t="shared" si="118"/>
        <v>8</v>
      </c>
      <c r="AG439" s="77"/>
      <c r="AH439" s="77"/>
      <c r="AI439" s="31"/>
      <c r="AJ439" s="30"/>
      <c r="AK439" s="30"/>
      <c r="AL439" s="30"/>
      <c r="AM439" s="30"/>
      <c r="AN439" s="31"/>
      <c r="AO439" s="31"/>
      <c r="AP439" s="31"/>
      <c r="AQ439" s="31"/>
      <c r="AR439" s="31"/>
      <c r="AS439" s="31"/>
      <c r="AT439" s="31"/>
      <c r="AU439" s="31"/>
      <c r="AV439" s="31"/>
      <c r="AW439" s="31"/>
      <c r="AX439" s="31"/>
      <c r="AY439" s="30"/>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31"/>
    </row>
    <row r="440" ht="15.75" customHeight="1">
      <c r="A440" s="52" t="s">
        <v>203</v>
      </c>
      <c r="B440" s="43">
        <f>SUM(B439:AH439)</f>
        <v>130</v>
      </c>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31"/>
      <c r="AJ440" s="30"/>
      <c r="AK440" s="30"/>
      <c r="AL440" s="30"/>
      <c r="AM440" s="30"/>
      <c r="AN440" s="30"/>
      <c r="AO440" s="31"/>
      <c r="AP440" s="31"/>
      <c r="AQ440" s="31"/>
      <c r="AR440" s="31"/>
      <c r="AS440" s="31"/>
      <c r="AT440" s="31"/>
      <c r="AU440" s="31"/>
      <c r="AV440" s="31"/>
      <c r="AW440" s="31"/>
      <c r="AX440" s="31"/>
      <c r="AY440" s="30"/>
      <c r="AZ440" s="31"/>
      <c r="BA440" s="31"/>
      <c r="BB440" s="31"/>
      <c r="BC440" s="31"/>
      <c r="BD440" s="31"/>
      <c r="BE440" s="31"/>
      <c r="BF440" s="31"/>
      <c r="BG440" s="31"/>
      <c r="BH440" s="31"/>
      <c r="BI440" s="31"/>
      <c r="BJ440" s="31"/>
      <c r="BK440" s="31"/>
      <c r="BL440" s="31"/>
      <c r="BM440" s="31"/>
      <c r="BN440" s="31"/>
      <c r="BO440" s="31"/>
      <c r="BP440" s="31"/>
      <c r="BQ440" s="31"/>
      <c r="BR440" s="31"/>
      <c r="BS440" s="31"/>
      <c r="BT440" s="31"/>
      <c r="BU440" s="31"/>
      <c r="BV440" s="31"/>
      <c r="BW440" s="31"/>
      <c r="BX440" s="31"/>
      <c r="BY440" s="31"/>
      <c r="BZ440" s="31"/>
      <c r="CA440" s="31"/>
      <c r="CB440" s="31"/>
      <c r="CC440" s="31"/>
      <c r="CD440" s="31"/>
      <c r="CE440" s="31"/>
      <c r="CF440" s="31"/>
      <c r="CG440" s="31"/>
    </row>
    <row r="441" ht="15.75" customHeight="1">
      <c r="A441" s="52" t="s">
        <v>244</v>
      </c>
      <c r="B441" s="42">
        <f>MOD(B440,11)</f>
        <v>9</v>
      </c>
      <c r="C441" s="46"/>
      <c r="D441" s="121"/>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c r="BX441" s="31"/>
      <c r="BY441" s="31"/>
      <c r="BZ441" s="31"/>
      <c r="CA441" s="31"/>
      <c r="CB441" s="31"/>
      <c r="CC441" s="31"/>
      <c r="CD441" s="31"/>
      <c r="CE441" s="31"/>
      <c r="CF441" s="31"/>
      <c r="CG441" s="31"/>
    </row>
    <row r="442" ht="15.75" customHeight="1">
      <c r="A442" s="52" t="s">
        <v>401</v>
      </c>
      <c r="B442" s="44" t="str">
        <f>TEXT(11-B441,"00")</f>
        <v>02</v>
      </c>
      <c r="C442" s="31"/>
      <c r="D442" s="30" t="s">
        <v>402</v>
      </c>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c r="BX442" s="31"/>
      <c r="BY442" s="31"/>
      <c r="BZ442" s="31"/>
      <c r="CA442" s="31"/>
      <c r="CB442" s="31"/>
      <c r="CC442" s="31"/>
      <c r="CD442" s="31"/>
      <c r="CE442" s="31"/>
      <c r="CF442" s="31"/>
      <c r="CG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c r="BW443" s="31"/>
      <c r="BX443" s="31"/>
      <c r="BY443" s="31"/>
      <c r="BZ443" s="31"/>
      <c r="CA443" s="31"/>
      <c r="CB443" s="31"/>
      <c r="CC443" s="31"/>
      <c r="CD443" s="31"/>
      <c r="CE443" s="31"/>
      <c r="CF443" s="31"/>
      <c r="CG443" s="31"/>
    </row>
    <row r="444" ht="5.2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c r="AL444" s="54"/>
      <c r="AM444" s="54"/>
      <c r="AN444" s="54"/>
      <c r="AO444" s="54"/>
      <c r="AP444" s="54"/>
      <c r="AQ444" s="54"/>
      <c r="AR444" s="54"/>
      <c r="AS444" s="54"/>
      <c r="AT444" s="54"/>
      <c r="AU444" s="54"/>
      <c r="AV444" s="54"/>
      <c r="AW444" s="54"/>
      <c r="AX444" s="54"/>
      <c r="AY444" s="54"/>
      <c r="AZ444" s="54"/>
      <c r="BA444" s="54"/>
      <c r="BB444" s="54"/>
      <c r="BC444" s="54"/>
      <c r="BD444" s="54"/>
      <c r="BE444" s="54"/>
      <c r="BF444" s="54"/>
      <c r="BG444" s="54"/>
      <c r="BH444" s="54"/>
      <c r="BI444" s="54"/>
      <c r="BJ444" s="54"/>
      <c r="BK444" s="54"/>
      <c r="BL444" s="54"/>
      <c r="BM444" s="54"/>
      <c r="BN444" s="54"/>
      <c r="BO444" s="54"/>
      <c r="BP444" s="54"/>
      <c r="BQ444" s="54"/>
      <c r="BR444" s="54"/>
      <c r="BS444" s="54"/>
      <c r="BT444" s="54"/>
      <c r="BU444" s="54"/>
      <c r="BV444" s="54"/>
      <c r="BW444" s="54"/>
      <c r="BX444" s="54"/>
      <c r="BY444" s="54"/>
      <c r="BZ444" s="54"/>
      <c r="CA444" s="54"/>
      <c r="CB444" s="54"/>
      <c r="CC444" s="54"/>
      <c r="CD444" s="54"/>
      <c r="CE444" s="54"/>
      <c r="CF444" s="54"/>
      <c r="CG444" s="54"/>
    </row>
    <row r="445" ht="15.75" customHeight="1">
      <c r="A445" s="142" t="s">
        <v>403</v>
      </c>
      <c r="B445" s="32" t="s">
        <v>190</v>
      </c>
      <c r="C445" s="33">
        <f>LEN(A445)</f>
        <v>12</v>
      </c>
      <c r="D445" s="31"/>
      <c r="E445" s="31"/>
      <c r="F445" s="31"/>
      <c r="G445" s="31"/>
      <c r="H445" s="31"/>
      <c r="I445" s="31"/>
      <c r="J445" s="31"/>
      <c r="K445" s="31"/>
      <c r="L445" s="31"/>
      <c r="M445" s="31"/>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c r="BX445" s="31"/>
      <c r="BY445" s="31"/>
      <c r="BZ445" s="31"/>
      <c r="CA445" s="31"/>
      <c r="CB445" s="31"/>
      <c r="CC445" s="31"/>
      <c r="CD445" s="31"/>
      <c r="CE445" s="31"/>
      <c r="CF445" s="31"/>
      <c r="CG445" s="31"/>
    </row>
    <row r="446" ht="15.75" customHeight="1">
      <c r="A446" s="34" t="s">
        <v>191</v>
      </c>
      <c r="B446" s="35" t="s">
        <v>77</v>
      </c>
      <c r="C446" s="35"/>
      <c r="D446" s="35"/>
      <c r="E446" s="35"/>
      <c r="F446" s="35"/>
      <c r="G446" s="35"/>
      <c r="H446" s="35"/>
      <c r="I446" s="35"/>
      <c r="J446" s="35"/>
      <c r="K446" s="35"/>
      <c r="L446" s="35"/>
      <c r="M446" s="89" t="s">
        <v>404</v>
      </c>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c r="BX446" s="31"/>
      <c r="BY446" s="31"/>
      <c r="BZ446" s="31"/>
      <c r="CA446" s="31"/>
      <c r="CB446" s="31"/>
      <c r="CC446" s="31"/>
      <c r="CD446" s="31"/>
      <c r="CE446" s="31"/>
      <c r="CF446" s="31"/>
      <c r="CG446" s="31"/>
    </row>
    <row r="447" ht="15.75" customHeight="1">
      <c r="A447" s="37" t="s">
        <v>193</v>
      </c>
      <c r="B447" s="38"/>
      <c r="C447" s="38"/>
      <c r="D447" s="38"/>
      <c r="E447" s="38"/>
      <c r="F447" s="38"/>
      <c r="G447" s="38"/>
      <c r="H447" s="38"/>
      <c r="I447" s="38"/>
      <c r="J447" s="38"/>
      <c r="K447" s="38"/>
      <c r="L447" s="38"/>
      <c r="M447" s="90" t="s">
        <v>194</v>
      </c>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row>
    <row r="448" ht="15.75" customHeight="1">
      <c r="A448" s="39" t="s">
        <v>195</v>
      </c>
      <c r="B448" s="40">
        <v>1.0</v>
      </c>
      <c r="C448" s="40">
        <v>2.0</v>
      </c>
      <c r="D448" s="40">
        <v>3.0</v>
      </c>
      <c r="E448" s="40">
        <v>4.0</v>
      </c>
      <c r="F448" s="40">
        <v>5.0</v>
      </c>
      <c r="G448" s="40">
        <v>6.0</v>
      </c>
      <c r="H448" s="40">
        <v>7.0</v>
      </c>
      <c r="I448" s="40">
        <v>8.0</v>
      </c>
      <c r="J448" s="40">
        <v>9.0</v>
      </c>
      <c r="K448" s="40">
        <v>10.0</v>
      </c>
      <c r="L448" s="40">
        <v>11.0</v>
      </c>
      <c r="M448" s="41">
        <v>12.0</v>
      </c>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row>
    <row r="449" ht="15.75" customHeight="1">
      <c r="A449" s="42" t="s">
        <v>196</v>
      </c>
      <c r="B449" s="43">
        <v>0.0</v>
      </c>
      <c r="C449" s="43">
        <v>1.0</v>
      </c>
      <c r="D449" s="43">
        <v>1.0</v>
      </c>
      <c r="E449" s="43">
        <v>5.0</v>
      </c>
      <c r="F449" s="43">
        <v>4.0</v>
      </c>
      <c r="G449" s="43">
        <v>0.0</v>
      </c>
      <c r="H449" s="43">
        <v>0.0</v>
      </c>
      <c r="I449" s="43">
        <v>0.0</v>
      </c>
      <c r="J449" s="43">
        <v>4.0</v>
      </c>
      <c r="K449" s="43">
        <v>3.0</v>
      </c>
      <c r="L449" s="43">
        <v>5.0</v>
      </c>
      <c r="M449" s="44" t="str">
        <f>MID($A445,M448,1)</f>
        <v>3</v>
      </c>
      <c r="N449" s="30"/>
      <c r="O449" s="30"/>
      <c r="P449" s="30"/>
      <c r="Q449" s="30"/>
      <c r="R449" s="30"/>
      <c r="S449" s="30"/>
      <c r="T449" s="30">
        <v>1.1540004353E10</v>
      </c>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row>
    <row r="450" ht="15.75" customHeight="1">
      <c r="A450" s="143">
        <v>1.01580000067E11</v>
      </c>
      <c r="B450" s="46"/>
      <c r="C450" s="46"/>
      <c r="D450" s="46"/>
      <c r="E450" s="46"/>
      <c r="F450" s="46"/>
      <c r="G450" s="46"/>
      <c r="H450" s="46"/>
      <c r="I450" s="46"/>
      <c r="J450" s="46"/>
      <c r="K450" s="46"/>
      <c r="L450" s="46"/>
      <c r="M450" s="46"/>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row>
    <row r="451" ht="15.75" customHeight="1">
      <c r="A451" s="144" t="s">
        <v>403</v>
      </c>
      <c r="B451" s="46"/>
      <c r="C451" s="46"/>
      <c r="D451" s="46"/>
      <c r="E451" s="46"/>
      <c r="F451" s="46"/>
      <c r="G451" s="46"/>
      <c r="H451" s="46"/>
      <c r="I451" s="46"/>
      <c r="J451" s="46"/>
      <c r="K451" s="46"/>
      <c r="L451" s="46"/>
      <c r="M451" s="46"/>
      <c r="N451" s="30"/>
      <c r="O451" s="30"/>
      <c r="P451" s="30"/>
      <c r="Q451" s="30"/>
      <c r="R451" s="30"/>
      <c r="S451" s="30"/>
      <c r="T451" s="30"/>
      <c r="U451" s="30"/>
      <c r="V451" s="30"/>
      <c r="W451" s="30"/>
      <c r="X451" s="30"/>
      <c r="Y451" s="30"/>
      <c r="Z451" s="30"/>
      <c r="AA451" s="30"/>
      <c r="AB451" s="30"/>
      <c r="AC451" s="30"/>
      <c r="AD451" s="30"/>
      <c r="AE451" s="30"/>
      <c r="AF451" s="30"/>
      <c r="AG451" s="30"/>
      <c r="AH451" s="31"/>
      <c r="AI451" s="31"/>
      <c r="AJ451" s="30"/>
      <c r="AK451" s="30"/>
      <c r="AL451" s="30"/>
      <c r="AM451" s="30"/>
      <c r="AN451" s="30"/>
      <c r="AO451" s="30"/>
      <c r="AP451" s="30"/>
      <c r="AQ451" s="30"/>
      <c r="AR451" s="30"/>
      <c r="AS451" s="30"/>
      <c r="AT451" s="30"/>
      <c r="AU451" s="30"/>
      <c r="AV451" s="30"/>
      <c r="AW451" s="30"/>
      <c r="AX451" s="30"/>
      <c r="AY451" s="30"/>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c r="BW451" s="31"/>
      <c r="BX451" s="31"/>
      <c r="BY451" s="31"/>
      <c r="BZ451" s="31"/>
      <c r="CA451" s="31"/>
      <c r="CB451" s="31"/>
      <c r="CC451" s="31"/>
      <c r="CD451" s="31"/>
      <c r="CE451" s="31"/>
      <c r="CF451" s="31"/>
      <c r="CG451" s="31"/>
    </row>
    <row r="452" ht="15.75" customHeight="1">
      <c r="A452" s="144" t="s">
        <v>405</v>
      </c>
      <c r="B452" s="46"/>
      <c r="C452" s="46"/>
      <c r="D452" s="46"/>
      <c r="E452" s="46"/>
      <c r="F452" s="46"/>
      <c r="G452" s="46"/>
      <c r="H452" s="46"/>
      <c r="I452" s="46"/>
      <c r="J452" s="46"/>
      <c r="K452" s="46"/>
      <c r="L452" s="46"/>
      <c r="M452" s="46"/>
      <c r="N452" s="30"/>
      <c r="O452" s="30"/>
      <c r="P452" s="30"/>
      <c r="Q452" s="30"/>
      <c r="R452" s="30"/>
      <c r="S452" s="30"/>
      <c r="T452" s="30"/>
      <c r="U452" s="30"/>
      <c r="V452" s="30"/>
      <c r="W452" s="30"/>
      <c r="X452" s="30"/>
      <c r="Y452" s="30"/>
      <c r="Z452" s="30"/>
      <c r="AA452" s="30"/>
      <c r="AB452" s="30"/>
      <c r="AC452" s="30"/>
      <c r="AD452" s="30"/>
      <c r="AE452" s="30"/>
      <c r="AF452" s="30"/>
      <c r="AG452" s="30"/>
      <c r="AH452" s="31"/>
      <c r="AI452" s="31"/>
      <c r="AJ452" s="30"/>
      <c r="AK452" s="30"/>
      <c r="AL452" s="30"/>
      <c r="AM452" s="30"/>
      <c r="AN452" s="30"/>
      <c r="AO452" s="30"/>
      <c r="AP452" s="30"/>
      <c r="AQ452" s="30"/>
      <c r="AR452" s="30"/>
      <c r="AS452" s="30"/>
      <c r="AT452" s="30"/>
      <c r="AU452" s="30"/>
      <c r="AV452" s="30"/>
      <c r="AW452" s="30"/>
      <c r="AX452" s="30"/>
      <c r="AY452" s="30"/>
      <c r="AZ452" s="31"/>
      <c r="BA452" s="31"/>
      <c r="BB452" s="31"/>
      <c r="BC452" s="31"/>
      <c r="BD452" s="31"/>
      <c r="BE452" s="31"/>
      <c r="BF452" s="31"/>
      <c r="BG452" s="31"/>
      <c r="BH452" s="31"/>
      <c r="BI452" s="31"/>
      <c r="BJ452" s="31"/>
      <c r="BK452" s="31"/>
      <c r="BL452" s="31"/>
      <c r="BM452" s="31"/>
      <c r="BN452" s="31"/>
      <c r="BO452" s="31"/>
      <c r="BP452" s="31"/>
      <c r="BQ452" s="31"/>
      <c r="BR452" s="31"/>
      <c r="BS452" s="31"/>
      <c r="BT452" s="31"/>
      <c r="BU452" s="31"/>
      <c r="BV452" s="31"/>
      <c r="BW452" s="31"/>
      <c r="BX452" s="31"/>
      <c r="BY452" s="31"/>
      <c r="BZ452" s="31"/>
      <c r="CA452" s="31"/>
      <c r="CB452" s="31"/>
      <c r="CC452" s="31"/>
      <c r="CD452" s="31"/>
      <c r="CE452" s="31"/>
      <c r="CF452" s="31"/>
      <c r="CG452" s="31"/>
    </row>
    <row r="453" ht="15.75" customHeight="1">
      <c r="A453" s="47" t="s">
        <v>394</v>
      </c>
      <c r="B453" s="48"/>
      <c r="C453" s="48"/>
      <c r="D453" s="48"/>
      <c r="E453" s="48"/>
      <c r="F453" s="48"/>
      <c r="G453" s="48"/>
      <c r="H453" s="48"/>
      <c r="I453" s="48"/>
      <c r="J453" s="48"/>
      <c r="K453" s="48"/>
      <c r="L453" s="48"/>
      <c r="M453" s="48"/>
      <c r="N453" s="30"/>
      <c r="O453" s="30"/>
      <c r="P453" s="30"/>
      <c r="Q453" s="30"/>
      <c r="R453" s="30"/>
      <c r="S453" s="30"/>
      <c r="T453" s="30"/>
      <c r="U453" s="30"/>
      <c r="V453" s="30"/>
      <c r="W453" s="30"/>
      <c r="X453" s="30"/>
      <c r="Y453" s="30"/>
      <c r="Z453" s="30"/>
      <c r="AA453" s="30"/>
      <c r="AB453" s="30"/>
      <c r="AC453" s="30"/>
      <c r="AD453" s="30"/>
      <c r="AE453" s="30"/>
      <c r="AF453" s="30"/>
      <c r="AG453" s="30"/>
      <c r="AH453" s="31"/>
      <c r="AI453" s="31"/>
      <c r="AJ453" s="30"/>
      <c r="AK453" s="30"/>
      <c r="AL453" s="30"/>
      <c r="AM453" s="30"/>
      <c r="AN453" s="30"/>
      <c r="AO453" s="30"/>
      <c r="AP453" s="30"/>
      <c r="AQ453" s="30"/>
      <c r="AR453" s="30"/>
      <c r="AS453" s="30"/>
      <c r="AT453" s="30"/>
      <c r="AU453" s="30"/>
      <c r="AV453" s="30"/>
      <c r="AW453" s="30"/>
      <c r="AX453" s="30"/>
      <c r="AY453" s="30"/>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c r="BX453" s="31"/>
      <c r="BY453" s="31"/>
      <c r="BZ453" s="31"/>
      <c r="CA453" s="31"/>
      <c r="CB453" s="31"/>
      <c r="CC453" s="31"/>
      <c r="CD453" s="31"/>
      <c r="CE453" s="31"/>
      <c r="CF453" s="31"/>
      <c r="CG453" s="31"/>
    </row>
    <row r="454" ht="15.75" customHeight="1">
      <c r="A454" s="39" t="s">
        <v>195</v>
      </c>
      <c r="B454" s="40">
        <v>1.0</v>
      </c>
      <c r="C454" s="40">
        <v>2.0</v>
      </c>
      <c r="D454" s="40">
        <v>3.0</v>
      </c>
      <c r="E454" s="40">
        <v>4.0</v>
      </c>
      <c r="F454" s="40">
        <v>5.0</v>
      </c>
      <c r="G454" s="40">
        <v>6.0</v>
      </c>
      <c r="H454" s="40">
        <v>7.0</v>
      </c>
      <c r="I454" s="40">
        <v>8.0</v>
      </c>
      <c r="J454" s="40">
        <v>9.0</v>
      </c>
      <c r="K454" s="40">
        <v>10.0</v>
      </c>
      <c r="L454" s="40">
        <v>11.0</v>
      </c>
      <c r="M454" s="40">
        <v>12.0</v>
      </c>
      <c r="N454" s="30"/>
      <c r="O454" s="30"/>
      <c r="P454" s="30"/>
      <c r="Q454" s="30"/>
      <c r="R454" s="30"/>
      <c r="S454" s="30"/>
      <c r="T454" s="30"/>
      <c r="U454" s="30"/>
      <c r="V454" s="30"/>
      <c r="W454" s="30"/>
      <c r="X454" s="30"/>
      <c r="Y454" s="30"/>
      <c r="Z454" s="30"/>
      <c r="AA454" s="30"/>
      <c r="AB454" s="30"/>
      <c r="AC454" s="30"/>
      <c r="AD454" s="30"/>
      <c r="AE454" s="30"/>
      <c r="AF454" s="30"/>
      <c r="AG454" s="30"/>
      <c r="AH454" s="31"/>
      <c r="AI454" s="31"/>
      <c r="AJ454" s="30"/>
      <c r="AK454" s="30"/>
      <c r="AL454" s="30"/>
      <c r="AM454" s="30"/>
      <c r="AN454" s="30"/>
      <c r="AO454" s="30"/>
      <c r="AP454" s="30"/>
      <c r="AQ454" s="30"/>
      <c r="AR454" s="30"/>
      <c r="AS454" s="30"/>
      <c r="AT454" s="30"/>
      <c r="AU454" s="30"/>
      <c r="AV454" s="30"/>
      <c r="AW454" s="30"/>
      <c r="AX454" s="30"/>
      <c r="AY454" s="30"/>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c r="BW454" s="31"/>
      <c r="BX454" s="31"/>
      <c r="BY454" s="31"/>
      <c r="BZ454" s="31"/>
      <c r="CA454" s="31"/>
      <c r="CB454" s="31"/>
      <c r="CC454" s="31"/>
      <c r="CD454" s="31"/>
      <c r="CE454" s="31"/>
      <c r="CF454" s="31"/>
      <c r="CG454" s="31"/>
    </row>
    <row r="455" ht="15.75" customHeight="1">
      <c r="A455" s="42" t="s">
        <v>196</v>
      </c>
      <c r="B455" s="51">
        <f t="shared" ref="B455:M455" si="119">B449</f>
        <v>0</v>
      </c>
      <c r="C455" s="51">
        <f t="shared" si="119"/>
        <v>1</v>
      </c>
      <c r="D455" s="51">
        <f t="shared" si="119"/>
        <v>1</v>
      </c>
      <c r="E455" s="51">
        <f t="shared" si="119"/>
        <v>5</v>
      </c>
      <c r="F455" s="51">
        <f t="shared" si="119"/>
        <v>4</v>
      </c>
      <c r="G455" s="51">
        <f t="shared" si="119"/>
        <v>0</v>
      </c>
      <c r="H455" s="51">
        <f t="shared" si="119"/>
        <v>0</v>
      </c>
      <c r="I455" s="51">
        <f t="shared" si="119"/>
        <v>0</v>
      </c>
      <c r="J455" s="51">
        <f t="shared" si="119"/>
        <v>4</v>
      </c>
      <c r="K455" s="51">
        <f t="shared" si="119"/>
        <v>3</v>
      </c>
      <c r="L455" s="51">
        <f t="shared" si="119"/>
        <v>5</v>
      </c>
      <c r="M455" s="43" t="str">
        <f t="shared" si="119"/>
        <v>3</v>
      </c>
      <c r="N455" s="30"/>
      <c r="O455" s="30"/>
      <c r="P455" s="30"/>
      <c r="Q455" s="30"/>
      <c r="R455" s="30"/>
      <c r="S455" s="30"/>
      <c r="T455" s="30"/>
      <c r="U455" s="30"/>
      <c r="V455" s="30"/>
      <c r="W455" s="30"/>
      <c r="X455" s="30"/>
      <c r="Y455" s="30"/>
      <c r="Z455" s="30"/>
      <c r="AA455" s="30"/>
      <c r="AB455" s="30"/>
      <c r="AC455" s="30"/>
      <c r="AD455" s="30"/>
      <c r="AE455" s="30"/>
      <c r="AF455" s="30"/>
      <c r="AG455" s="30"/>
      <c r="AH455" s="31"/>
      <c r="AI455" s="31"/>
      <c r="AJ455" s="30"/>
      <c r="AK455" s="30"/>
      <c r="AL455" s="30"/>
      <c r="AM455" s="30"/>
      <c r="AN455" s="30"/>
      <c r="AO455" s="30"/>
      <c r="AP455" s="30"/>
      <c r="AQ455" s="30"/>
      <c r="AR455" s="30"/>
      <c r="AS455" s="30"/>
      <c r="AT455" s="30"/>
      <c r="AU455" s="30"/>
      <c r="AV455" s="30"/>
      <c r="AW455" s="30"/>
      <c r="AX455" s="30"/>
      <c r="AY455" s="30"/>
      <c r="AZ455" s="31"/>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row>
    <row r="456" ht="15.75" customHeight="1">
      <c r="A456" s="52" t="s">
        <v>200</v>
      </c>
      <c r="B456" s="43">
        <v>6.0</v>
      </c>
      <c r="C456" s="43">
        <v>5.0</v>
      </c>
      <c r="D456" s="43">
        <v>4.0</v>
      </c>
      <c r="E456" s="43">
        <v>3.0</v>
      </c>
      <c r="F456" s="43">
        <v>2.0</v>
      </c>
      <c r="G456" s="43">
        <v>7.0</v>
      </c>
      <c r="H456" s="43">
        <v>6.0</v>
      </c>
      <c r="I456" s="43">
        <v>5.0</v>
      </c>
      <c r="J456" s="43">
        <v>4.0</v>
      </c>
      <c r="K456" s="43">
        <v>3.0</v>
      </c>
      <c r="L456" s="43">
        <v>2.0</v>
      </c>
      <c r="M456" s="43"/>
      <c r="N456" s="30"/>
      <c r="O456" s="30"/>
      <c r="P456" s="30"/>
      <c r="Q456" s="30"/>
      <c r="R456" s="30"/>
      <c r="S456" s="30"/>
      <c r="T456" s="30"/>
      <c r="U456" s="30"/>
      <c r="V456" s="30"/>
      <c r="W456" s="30"/>
      <c r="X456" s="30"/>
      <c r="Y456" s="30"/>
      <c r="Z456" s="30"/>
      <c r="AA456" s="30"/>
      <c r="AB456" s="30"/>
      <c r="AC456" s="30"/>
      <c r="AD456" s="30"/>
      <c r="AE456" s="30"/>
      <c r="AF456" s="30"/>
      <c r="AG456" s="30"/>
      <c r="AH456" s="31"/>
      <c r="AI456" s="31"/>
      <c r="AJ456" s="30"/>
      <c r="AK456" s="30"/>
      <c r="AL456" s="30"/>
      <c r="AM456" s="30"/>
      <c r="AN456" s="30"/>
      <c r="AO456" s="30"/>
      <c r="AP456" s="30"/>
      <c r="AQ456" s="30"/>
      <c r="AR456" s="30"/>
      <c r="AS456" s="30"/>
      <c r="AT456" s="30"/>
      <c r="AU456" s="30"/>
      <c r="AV456" s="30"/>
      <c r="AW456" s="30"/>
      <c r="AX456" s="30"/>
      <c r="AY456" s="30"/>
      <c r="AZ456" s="31"/>
      <c r="BA456" s="31"/>
      <c r="BB456" s="31"/>
      <c r="BC456" s="31"/>
      <c r="BD456" s="31"/>
      <c r="BE456" s="31"/>
      <c r="BF456" s="31"/>
      <c r="BG456" s="31"/>
      <c r="BH456" s="31"/>
      <c r="BI456" s="31"/>
      <c r="BJ456" s="31"/>
      <c r="BK456" s="31"/>
      <c r="BL456" s="31"/>
      <c r="BM456" s="31"/>
      <c r="BN456" s="31"/>
      <c r="BO456" s="31"/>
      <c r="BP456" s="31"/>
      <c r="BQ456" s="31"/>
      <c r="BR456" s="31"/>
      <c r="BS456" s="31"/>
      <c r="BT456" s="31"/>
      <c r="BU456" s="31"/>
      <c r="BV456" s="31"/>
      <c r="BW456" s="31"/>
      <c r="BX456" s="31"/>
      <c r="BY456" s="31"/>
      <c r="BZ456" s="31"/>
      <c r="CA456" s="31"/>
      <c r="CB456" s="31"/>
      <c r="CC456" s="31"/>
      <c r="CD456" s="31"/>
      <c r="CE456" s="31"/>
      <c r="CF456" s="31"/>
      <c r="CG456" s="31"/>
    </row>
    <row r="457" ht="15.75" customHeight="1">
      <c r="A457" s="52" t="s">
        <v>201</v>
      </c>
      <c r="B457" s="77">
        <f t="shared" ref="B457:L457" si="120">B456*B455</f>
        <v>0</v>
      </c>
      <c r="C457" s="77">
        <f t="shared" si="120"/>
        <v>5</v>
      </c>
      <c r="D457" s="77">
        <f t="shared" si="120"/>
        <v>4</v>
      </c>
      <c r="E457" s="77">
        <f t="shared" si="120"/>
        <v>15</v>
      </c>
      <c r="F457" s="77">
        <f t="shared" si="120"/>
        <v>8</v>
      </c>
      <c r="G457" s="77">
        <f t="shared" si="120"/>
        <v>0</v>
      </c>
      <c r="H457" s="77">
        <f t="shared" si="120"/>
        <v>0</v>
      </c>
      <c r="I457" s="77">
        <f t="shared" si="120"/>
        <v>0</v>
      </c>
      <c r="J457" s="77">
        <f t="shared" si="120"/>
        <v>16</v>
      </c>
      <c r="K457" s="77">
        <f t="shared" si="120"/>
        <v>9</v>
      </c>
      <c r="L457" s="77">
        <f t="shared" si="120"/>
        <v>10</v>
      </c>
      <c r="M457" s="43"/>
      <c r="N457" s="30"/>
      <c r="O457" s="30"/>
      <c r="P457" s="30"/>
      <c r="Q457" s="30"/>
      <c r="R457" s="30"/>
      <c r="S457" s="30"/>
      <c r="T457" s="30"/>
      <c r="U457" s="30"/>
      <c r="V457" s="30"/>
      <c r="W457" s="30"/>
      <c r="X457" s="30"/>
      <c r="Y457" s="30"/>
      <c r="Z457" s="30"/>
      <c r="AA457" s="30"/>
      <c r="AB457" s="30"/>
      <c r="AC457" s="30"/>
      <c r="AD457" s="30"/>
      <c r="AE457" s="30"/>
      <c r="AF457" s="30"/>
      <c r="AG457" s="30"/>
      <c r="AH457" s="31"/>
      <c r="AI457" s="31"/>
      <c r="AJ457" s="30"/>
      <c r="AK457" s="30"/>
      <c r="AL457" s="30"/>
      <c r="AM457" s="30"/>
      <c r="AN457" s="30"/>
      <c r="AO457" s="30"/>
      <c r="AP457" s="30"/>
      <c r="AQ457" s="30"/>
      <c r="AR457" s="30"/>
      <c r="AS457" s="30"/>
      <c r="AT457" s="30"/>
      <c r="AU457" s="30"/>
      <c r="AV457" s="30"/>
      <c r="AW457" s="30"/>
      <c r="AX457" s="30"/>
      <c r="AY457" s="30"/>
      <c r="AZ457" s="31"/>
      <c r="BA457" s="31"/>
      <c r="BB457" s="31"/>
      <c r="BC457" s="31"/>
      <c r="BD457" s="31"/>
      <c r="BE457" s="31"/>
      <c r="BF457" s="31"/>
      <c r="BG457" s="31"/>
      <c r="BH457" s="31"/>
      <c r="BI457" s="31"/>
      <c r="BJ457" s="31"/>
      <c r="BK457" s="31"/>
      <c r="BL457" s="31"/>
      <c r="BM457" s="31"/>
      <c r="BN457" s="31"/>
      <c r="BO457" s="31"/>
      <c r="BP457" s="31"/>
      <c r="BQ457" s="31"/>
      <c r="BR457" s="31"/>
      <c r="BS457" s="31"/>
      <c r="BT457" s="31"/>
      <c r="BU457" s="31"/>
      <c r="BV457" s="31"/>
      <c r="BW457" s="31"/>
      <c r="BX457" s="31"/>
      <c r="BY457" s="31"/>
      <c r="BZ457" s="31"/>
      <c r="CA457" s="31"/>
      <c r="CB457" s="31"/>
      <c r="CC457" s="31"/>
      <c r="CD457" s="31"/>
      <c r="CE457" s="31"/>
      <c r="CF457" s="31"/>
      <c r="CG457" s="31"/>
    </row>
    <row r="458" ht="15.75" customHeight="1">
      <c r="A458" s="52" t="s">
        <v>356</v>
      </c>
      <c r="B458" s="43">
        <f>SUM(B457:AI457)</f>
        <v>67</v>
      </c>
      <c r="C458" s="46"/>
      <c r="D458" s="46"/>
      <c r="E458" s="46"/>
      <c r="F458" s="46"/>
      <c r="G458" s="46"/>
      <c r="H458" s="46"/>
      <c r="I458" s="46"/>
      <c r="J458" s="46"/>
      <c r="K458" s="46"/>
      <c r="L458" s="46"/>
      <c r="M458" s="46"/>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0"/>
      <c r="AK458" s="30"/>
      <c r="AL458" s="30"/>
      <c r="AM458" s="30"/>
      <c r="AN458" s="30"/>
      <c r="AO458" s="30"/>
      <c r="AP458" s="30"/>
      <c r="AQ458" s="30"/>
      <c r="AR458" s="30"/>
      <c r="AS458" s="30"/>
      <c r="AT458" s="30"/>
      <c r="AU458" s="30"/>
      <c r="AV458" s="30"/>
      <c r="AW458" s="30"/>
      <c r="AX458" s="30"/>
      <c r="AY458" s="30"/>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c r="BW458" s="31"/>
      <c r="BX458" s="31"/>
      <c r="BY458" s="31"/>
      <c r="BZ458" s="31"/>
      <c r="CA458" s="31"/>
      <c r="CB458" s="31"/>
      <c r="CC458" s="31"/>
      <c r="CD458" s="31"/>
      <c r="CE458" s="31"/>
      <c r="CF458" s="31"/>
      <c r="CG458" s="31"/>
    </row>
    <row r="459" ht="15.75" customHeight="1">
      <c r="A459" s="52" t="s">
        <v>263</v>
      </c>
      <c r="B459" s="42">
        <f>MOD(B458,10)</f>
        <v>7</v>
      </c>
      <c r="C459" s="46"/>
      <c r="D459" s="121" t="s">
        <v>265</v>
      </c>
      <c r="E459" s="46"/>
      <c r="F459" s="46"/>
      <c r="G459" s="46"/>
      <c r="H459" s="46"/>
      <c r="I459" s="46"/>
      <c r="J459" s="46"/>
      <c r="K459" s="46"/>
      <c r="L459" s="46"/>
      <c r="M459" s="46"/>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c r="BW459" s="31"/>
      <c r="BX459" s="31"/>
      <c r="BY459" s="31"/>
      <c r="BZ459" s="31"/>
      <c r="CA459" s="31"/>
      <c r="CB459" s="31"/>
      <c r="CC459" s="31"/>
      <c r="CD459" s="31"/>
      <c r="CE459" s="31"/>
      <c r="CF459" s="31"/>
      <c r="CG459" s="31"/>
    </row>
    <row r="460" ht="15.75" customHeight="1">
      <c r="A460" s="52" t="s">
        <v>264</v>
      </c>
      <c r="B460" s="44">
        <f>IF(B459=0,0, 10-B459)</f>
        <v>3</v>
      </c>
      <c r="C460" s="46"/>
      <c r="D460" s="46"/>
      <c r="E460" s="46"/>
      <c r="F460" s="46"/>
      <c r="G460" s="46"/>
      <c r="H460" s="46"/>
      <c r="I460" s="46"/>
      <c r="J460" s="46"/>
      <c r="K460" s="46"/>
      <c r="L460" s="46"/>
      <c r="M460" s="46"/>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c r="BS460" s="31"/>
      <c r="BT460" s="31"/>
      <c r="BU460" s="31"/>
      <c r="BV460" s="31"/>
      <c r="BW460" s="31"/>
      <c r="BX460" s="31"/>
      <c r="BY460" s="31"/>
      <c r="BZ460" s="31"/>
      <c r="CA460" s="31"/>
      <c r="CB460" s="31"/>
      <c r="CC460" s="31"/>
      <c r="CD460" s="31"/>
      <c r="CE460" s="31"/>
      <c r="CF460" s="31"/>
      <c r="CG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c r="BS461" s="31"/>
      <c r="BT461" s="31"/>
      <c r="BU461" s="31"/>
      <c r="BV461" s="31"/>
      <c r="BW461" s="31"/>
      <c r="BX461" s="31"/>
      <c r="BY461" s="31"/>
      <c r="BZ461" s="31"/>
      <c r="CA461" s="31"/>
      <c r="CB461" s="31"/>
      <c r="CC461" s="31"/>
      <c r="CD461" s="31"/>
      <c r="CE461" s="31"/>
      <c r="CF461" s="31"/>
      <c r="CG461" s="31"/>
    </row>
    <row r="462" ht="5.2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c r="BS462" s="54"/>
      <c r="BT462" s="54"/>
      <c r="BU462" s="54"/>
      <c r="BV462" s="54"/>
      <c r="BW462" s="54"/>
      <c r="BX462" s="54"/>
      <c r="BY462" s="54"/>
      <c r="BZ462" s="54"/>
      <c r="CA462" s="54"/>
      <c r="CB462" s="54"/>
      <c r="CC462" s="54"/>
      <c r="CD462" s="54"/>
      <c r="CE462" s="54"/>
      <c r="CF462" s="54"/>
      <c r="CG462" s="54"/>
    </row>
    <row r="463" ht="15.75" customHeight="1">
      <c r="A463" s="30">
        <v>3.31772479E8</v>
      </c>
      <c r="B463" s="31"/>
      <c r="C463" s="32" t="s">
        <v>190</v>
      </c>
      <c r="D463" s="33">
        <f>LEN(A463)</f>
        <v>9</v>
      </c>
      <c r="E463" s="31"/>
      <c r="F463" s="31"/>
      <c r="G463" s="31"/>
      <c r="H463" s="31"/>
      <c r="I463" s="31"/>
      <c r="J463" s="31"/>
      <c r="K463" s="31"/>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c r="BW463" s="31"/>
      <c r="BX463" s="31"/>
      <c r="BY463" s="31"/>
      <c r="BZ463" s="31"/>
      <c r="CA463" s="31"/>
      <c r="CB463" s="31"/>
      <c r="CC463" s="31"/>
      <c r="CD463" s="31"/>
      <c r="CE463" s="31"/>
      <c r="CF463" s="31"/>
      <c r="CG463" s="31"/>
    </row>
    <row r="464" ht="15.75" customHeight="1">
      <c r="A464" s="34" t="s">
        <v>191</v>
      </c>
      <c r="B464" s="35" t="s">
        <v>406</v>
      </c>
      <c r="C464" s="35"/>
      <c r="D464" s="35"/>
      <c r="E464" s="35"/>
      <c r="F464" s="35"/>
      <c r="G464" s="35"/>
      <c r="H464" s="35"/>
      <c r="I464" s="35"/>
      <c r="J464" s="89" t="s">
        <v>407</v>
      </c>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1"/>
      <c r="BA464" s="31"/>
      <c r="BB464" s="31"/>
      <c r="BC464" s="31"/>
      <c r="BD464" s="31"/>
      <c r="BE464" s="31"/>
      <c r="BF464" s="31"/>
      <c r="BG464" s="31"/>
      <c r="BH464" s="31"/>
      <c r="BI464" s="31"/>
      <c r="BJ464" s="31"/>
      <c r="BK464" s="31"/>
      <c r="BL464" s="31"/>
      <c r="BM464" s="31"/>
      <c r="BN464" s="31"/>
      <c r="BO464" s="31"/>
      <c r="BP464" s="31"/>
      <c r="BQ464" s="31"/>
      <c r="BR464" s="31"/>
      <c r="BS464" s="31"/>
      <c r="BT464" s="31"/>
      <c r="BU464" s="31"/>
      <c r="BV464" s="31"/>
      <c r="BW464" s="31"/>
      <c r="BX464" s="31"/>
      <c r="BY464" s="31"/>
      <c r="BZ464" s="31"/>
      <c r="CA464" s="31"/>
      <c r="CB464" s="31"/>
      <c r="CC464" s="31"/>
      <c r="CD464" s="31"/>
      <c r="CE464" s="31"/>
      <c r="CF464" s="31"/>
      <c r="CG464" s="31"/>
    </row>
    <row r="465" ht="15.75" customHeight="1">
      <c r="A465" s="37" t="s">
        <v>193</v>
      </c>
      <c r="B465" s="38"/>
      <c r="C465" s="38"/>
      <c r="D465" s="111" t="s">
        <v>194</v>
      </c>
      <c r="E465" s="38"/>
      <c r="F465" s="38"/>
      <c r="G465" s="38"/>
      <c r="H465" s="38"/>
      <c r="I465" s="38"/>
      <c r="J465" s="38"/>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c r="BW465" s="31"/>
      <c r="BX465" s="31"/>
      <c r="BY465" s="31"/>
      <c r="BZ465" s="31"/>
      <c r="CA465" s="31"/>
      <c r="CB465" s="31"/>
      <c r="CC465" s="31"/>
      <c r="CD465" s="31"/>
      <c r="CE465" s="31"/>
      <c r="CF465" s="31"/>
      <c r="CG465" s="31"/>
    </row>
    <row r="466" ht="15.75" customHeight="1">
      <c r="A466" s="39" t="s">
        <v>195</v>
      </c>
      <c r="B466" s="40">
        <v>1.0</v>
      </c>
      <c r="C466" s="40">
        <v>2.0</v>
      </c>
      <c r="D466" s="41">
        <v>3.0</v>
      </c>
      <c r="E466" s="40">
        <v>4.0</v>
      </c>
      <c r="F466" s="40">
        <v>5.0</v>
      </c>
      <c r="G466" s="40">
        <v>6.0</v>
      </c>
      <c r="H466" s="40">
        <v>7.0</v>
      </c>
      <c r="I466" s="40">
        <v>8.0</v>
      </c>
      <c r="J466" s="40">
        <v>9.0</v>
      </c>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c r="BW466" s="31"/>
      <c r="BX466" s="31"/>
      <c r="BY466" s="31"/>
      <c r="BZ466" s="31"/>
      <c r="CA466" s="31"/>
      <c r="CB466" s="31"/>
      <c r="CC466" s="31"/>
      <c r="CD466" s="31"/>
      <c r="CE466" s="31"/>
      <c r="CF466" s="31"/>
      <c r="CG466" s="31"/>
    </row>
    <row r="467" ht="15.75" customHeight="1">
      <c r="A467" s="42" t="s">
        <v>408</v>
      </c>
      <c r="B467" s="43" t="str">
        <f t="shared" ref="B467:J467" si="121">MID($A463,B466,1)</f>
        <v>3</v>
      </c>
      <c r="C467" s="43" t="str">
        <f t="shared" si="121"/>
        <v>3</v>
      </c>
      <c r="D467" s="44" t="str">
        <f t="shared" si="121"/>
        <v>1</v>
      </c>
      <c r="E467" s="43" t="str">
        <f t="shared" si="121"/>
        <v>7</v>
      </c>
      <c r="F467" s="43" t="str">
        <f t="shared" si="121"/>
        <v>7</v>
      </c>
      <c r="G467" s="43" t="str">
        <f t="shared" si="121"/>
        <v>2</v>
      </c>
      <c r="H467" s="43" t="str">
        <f t="shared" si="121"/>
        <v>4</v>
      </c>
      <c r="I467" s="43" t="str">
        <f t="shared" si="121"/>
        <v>7</v>
      </c>
      <c r="J467" s="43" t="str">
        <f t="shared" si="121"/>
        <v>9</v>
      </c>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row>
    <row r="468" ht="15.75" customHeight="1">
      <c r="A468" s="45">
        <v>3.34431571E8</v>
      </c>
      <c r="B468" s="46"/>
      <c r="C468" s="46"/>
      <c r="D468" s="46"/>
      <c r="E468" s="46"/>
      <c r="F468" s="46"/>
      <c r="G468" s="46"/>
      <c r="H468" s="46"/>
      <c r="I468" s="46"/>
      <c r="J468" s="46"/>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1"/>
      <c r="BA468" s="31"/>
      <c r="BB468" s="31"/>
      <c r="BC468" s="31"/>
      <c r="BD468" s="31"/>
      <c r="BE468" s="31"/>
      <c r="BF468" s="31"/>
      <c r="BG468" s="31"/>
      <c r="BH468" s="31"/>
      <c r="BI468" s="31"/>
      <c r="BJ468" s="31"/>
      <c r="BK468" s="31"/>
      <c r="BL468" s="31"/>
      <c r="BM468" s="31"/>
      <c r="BN468" s="31"/>
      <c r="BO468" s="31"/>
      <c r="BP468" s="31"/>
      <c r="BQ468" s="31"/>
      <c r="BR468" s="31"/>
      <c r="BS468" s="31"/>
      <c r="BT468" s="31"/>
      <c r="BU468" s="31"/>
      <c r="BV468" s="31"/>
      <c r="BW468" s="31"/>
      <c r="BX468" s="31"/>
      <c r="BY468" s="31"/>
      <c r="BZ468" s="31"/>
      <c r="CA468" s="31"/>
      <c r="CB468" s="31"/>
      <c r="CC468" s="31"/>
      <c r="CD468" s="31"/>
      <c r="CE468" s="31"/>
      <c r="CF468" s="31"/>
      <c r="CG468" s="31"/>
    </row>
    <row r="469" ht="15.75" customHeight="1">
      <c r="A469" s="112">
        <v>3.36662067E8</v>
      </c>
      <c r="B469" s="46"/>
      <c r="C469" s="46"/>
      <c r="D469" s="46"/>
      <c r="E469" s="46"/>
      <c r="F469" s="46"/>
      <c r="G469" s="46"/>
      <c r="H469" s="46"/>
      <c r="I469" s="46"/>
      <c r="J469" s="46"/>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1"/>
      <c r="AI469" s="31"/>
      <c r="AJ469" s="30"/>
      <c r="AK469" s="30"/>
      <c r="AL469" s="30"/>
      <c r="AM469" s="30"/>
      <c r="AN469" s="30"/>
      <c r="AO469" s="30"/>
      <c r="AP469" s="30"/>
      <c r="AQ469" s="30"/>
      <c r="AR469" s="30"/>
      <c r="AS469" s="30"/>
      <c r="AT469" s="30"/>
      <c r="AU469" s="30"/>
      <c r="AV469" s="30"/>
      <c r="AW469" s="30"/>
      <c r="AX469" s="30"/>
      <c r="AY469" s="30"/>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c r="BX469" s="31"/>
      <c r="BY469" s="31"/>
      <c r="BZ469" s="31"/>
      <c r="CA469" s="31"/>
      <c r="CB469" s="31"/>
      <c r="CC469" s="31"/>
      <c r="CD469" s="31"/>
      <c r="CE469" s="31"/>
      <c r="CF469" s="31"/>
      <c r="CG469" s="31"/>
    </row>
    <row r="470" ht="15.75" customHeight="1">
      <c r="A470" s="45">
        <v>3.31458911E8</v>
      </c>
      <c r="B470" s="46"/>
      <c r="C470" s="46"/>
      <c r="D470" s="46"/>
      <c r="E470" s="46"/>
      <c r="F470" s="46"/>
      <c r="G470" s="46"/>
      <c r="H470" s="46"/>
      <c r="I470" s="46"/>
      <c r="J470" s="46"/>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1"/>
      <c r="AI470" s="31"/>
      <c r="AJ470" s="30"/>
      <c r="AK470" s="30"/>
      <c r="AL470" s="30"/>
      <c r="AM470" s="30"/>
      <c r="AN470" s="30"/>
      <c r="AO470" s="30"/>
      <c r="AP470" s="30"/>
      <c r="AQ470" s="30"/>
      <c r="AR470" s="30"/>
      <c r="AS470" s="30"/>
      <c r="AT470" s="30"/>
      <c r="AU470" s="30"/>
      <c r="AV470" s="30"/>
      <c r="AW470" s="30"/>
      <c r="AX470" s="30"/>
      <c r="AY470" s="30"/>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c r="BX470" s="31"/>
      <c r="BY470" s="31"/>
      <c r="BZ470" s="31"/>
      <c r="CA470" s="31"/>
      <c r="CB470" s="31"/>
      <c r="CC470" s="31"/>
      <c r="CD470" s="31"/>
      <c r="CE470" s="31"/>
      <c r="CF470" s="31"/>
      <c r="CG470" s="31"/>
    </row>
    <row r="471" ht="15.75" customHeight="1">
      <c r="A471" s="45">
        <v>3.39748147E8</v>
      </c>
      <c r="B471" s="46"/>
      <c r="C471" s="46"/>
      <c r="D471" s="46"/>
      <c r="E471" s="46"/>
      <c r="F471" s="46"/>
      <c r="G471" s="46"/>
      <c r="H471" s="46"/>
      <c r="I471" s="46"/>
      <c r="J471" s="46"/>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1"/>
      <c r="AI471" s="31"/>
      <c r="AJ471" s="30"/>
      <c r="AK471" s="30"/>
      <c r="AL471" s="30"/>
      <c r="AM471" s="30"/>
      <c r="AN471" s="30"/>
      <c r="AO471" s="30"/>
      <c r="AP471" s="30"/>
      <c r="AQ471" s="30"/>
      <c r="AR471" s="30"/>
      <c r="AS471" s="30"/>
      <c r="AT471" s="30"/>
      <c r="AU471" s="30"/>
      <c r="AV471" s="30"/>
      <c r="AW471" s="30"/>
      <c r="AX471" s="30"/>
      <c r="AY471" s="30"/>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c r="BX471" s="31"/>
      <c r="BY471" s="31"/>
      <c r="BZ471" s="31"/>
      <c r="CA471" s="31"/>
      <c r="CB471" s="31"/>
      <c r="CC471" s="31"/>
      <c r="CD471" s="31"/>
      <c r="CE471" s="31"/>
      <c r="CF471" s="31"/>
      <c r="CG471" s="31"/>
    </row>
    <row r="472" ht="15.75" customHeight="1">
      <c r="A472" s="45">
        <v>3.31772479E8</v>
      </c>
      <c r="B472" s="46"/>
      <c r="C472" s="46"/>
      <c r="D472" s="46"/>
      <c r="E472" s="46"/>
      <c r="F472" s="46"/>
      <c r="G472" s="46"/>
      <c r="H472" s="46"/>
      <c r="I472" s="46"/>
      <c r="J472" s="46"/>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1"/>
      <c r="AI472" s="31"/>
      <c r="AJ472" s="30"/>
      <c r="AK472" s="30"/>
      <c r="AL472" s="30"/>
      <c r="AM472" s="30"/>
      <c r="AN472" s="30"/>
      <c r="AO472" s="30"/>
      <c r="AP472" s="30"/>
      <c r="AQ472" s="30"/>
      <c r="AR472" s="30"/>
      <c r="AS472" s="30"/>
      <c r="AT472" s="30"/>
      <c r="AU472" s="30"/>
      <c r="AV472" s="30"/>
      <c r="AW472" s="30"/>
      <c r="AX472" s="30"/>
      <c r="AY472" s="30"/>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c r="BX472" s="31"/>
      <c r="BY472" s="31"/>
      <c r="BZ472" s="31"/>
      <c r="CA472" s="31"/>
      <c r="CB472" s="31"/>
      <c r="CC472" s="31"/>
      <c r="CD472" s="31"/>
      <c r="CE472" s="31"/>
      <c r="CF472" s="31"/>
      <c r="CG472" s="31"/>
    </row>
    <row r="473" ht="15.75" customHeight="1">
      <c r="A473" s="47" t="s">
        <v>409</v>
      </c>
      <c r="B473" s="48"/>
      <c r="C473" s="48"/>
      <c r="D473" s="48"/>
      <c r="E473" s="48"/>
      <c r="F473" s="48"/>
      <c r="G473" s="48"/>
      <c r="H473" s="48"/>
      <c r="I473" s="48"/>
      <c r="J473" s="48"/>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1"/>
      <c r="AI473" s="31"/>
      <c r="AJ473" s="30"/>
      <c r="AK473" s="30"/>
      <c r="AL473" s="30"/>
      <c r="AM473" s="30"/>
      <c r="AN473" s="30"/>
      <c r="AO473" s="30"/>
      <c r="AP473" s="30"/>
      <c r="AQ473" s="30"/>
      <c r="AR473" s="30"/>
      <c r="AS473" s="30"/>
      <c r="AT473" s="30"/>
      <c r="AU473" s="30"/>
      <c r="AV473" s="30"/>
      <c r="AW473" s="30"/>
      <c r="AX473" s="30"/>
      <c r="AY473" s="30"/>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c r="BW473" s="31"/>
      <c r="BX473" s="31"/>
      <c r="BY473" s="31"/>
      <c r="BZ473" s="31"/>
      <c r="CA473" s="31"/>
      <c r="CB473" s="31"/>
      <c r="CC473" s="31"/>
      <c r="CD473" s="31"/>
      <c r="CE473" s="31"/>
      <c r="CF473" s="31"/>
      <c r="CG473" s="31"/>
    </row>
    <row r="474" ht="15.75" customHeight="1">
      <c r="A474" s="39" t="s">
        <v>195</v>
      </c>
      <c r="B474" s="40">
        <v>1.0</v>
      </c>
      <c r="C474" s="40">
        <v>2.0</v>
      </c>
      <c r="D474" s="40">
        <v>3.0</v>
      </c>
      <c r="E474" s="40">
        <v>4.0</v>
      </c>
      <c r="F474" s="40">
        <v>5.0</v>
      </c>
      <c r="G474" s="40">
        <v>6.0</v>
      </c>
      <c r="H474" s="40">
        <v>7.0</v>
      </c>
      <c r="I474" s="40">
        <v>8.0</v>
      </c>
      <c r="J474" s="40">
        <v>9.0</v>
      </c>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1"/>
      <c r="AI474" s="31"/>
      <c r="AJ474" s="30"/>
      <c r="AK474" s="30"/>
      <c r="AL474" s="30"/>
      <c r="AM474" s="30"/>
      <c r="AN474" s="30"/>
      <c r="AO474" s="30"/>
      <c r="AP474" s="30"/>
      <c r="AQ474" s="30"/>
      <c r="AR474" s="30"/>
      <c r="AS474" s="30"/>
      <c r="AT474" s="30"/>
      <c r="AU474" s="30"/>
      <c r="AV474" s="30"/>
      <c r="AW474" s="30"/>
      <c r="AX474" s="30"/>
      <c r="AY474" s="30"/>
      <c r="AZ474" s="31"/>
      <c r="BA474" s="31"/>
      <c r="BB474" s="31"/>
      <c r="BC474" s="31"/>
      <c r="BD474" s="31"/>
      <c r="BE474" s="31"/>
      <c r="BF474" s="31"/>
      <c r="BG474" s="31"/>
      <c r="BH474" s="31"/>
      <c r="BI474" s="31"/>
      <c r="BJ474" s="31"/>
      <c r="BK474" s="31"/>
      <c r="BL474" s="31"/>
      <c r="BM474" s="31"/>
      <c r="BN474" s="31"/>
      <c r="BO474" s="31"/>
      <c r="BP474" s="31"/>
      <c r="BQ474" s="31"/>
      <c r="BR474" s="31"/>
      <c r="BS474" s="31"/>
      <c r="BT474" s="31"/>
      <c r="BU474" s="31"/>
      <c r="BV474" s="31"/>
      <c r="BW474" s="31"/>
      <c r="BX474" s="31"/>
      <c r="BY474" s="31"/>
      <c r="BZ474" s="31"/>
      <c r="CA474" s="31"/>
      <c r="CB474" s="31"/>
      <c r="CC474" s="31"/>
      <c r="CD474" s="31"/>
      <c r="CE474" s="31"/>
      <c r="CF474" s="31"/>
      <c r="CG474" s="31"/>
    </row>
    <row r="475" ht="15.75" customHeight="1">
      <c r="A475" s="42" t="s">
        <v>408</v>
      </c>
      <c r="B475" s="43" t="str">
        <f t="shared" ref="B475:J475" si="122">B467</f>
        <v>3</v>
      </c>
      <c r="C475" s="43" t="str">
        <f t="shared" si="122"/>
        <v>3</v>
      </c>
      <c r="D475" s="43" t="str">
        <f t="shared" si="122"/>
        <v>1</v>
      </c>
      <c r="E475" s="51" t="str">
        <f t="shared" si="122"/>
        <v>7</v>
      </c>
      <c r="F475" s="51" t="str">
        <f t="shared" si="122"/>
        <v>7</v>
      </c>
      <c r="G475" s="51" t="str">
        <f t="shared" si="122"/>
        <v>2</v>
      </c>
      <c r="H475" s="51" t="str">
        <f t="shared" si="122"/>
        <v>4</v>
      </c>
      <c r="I475" s="51" t="str">
        <f t="shared" si="122"/>
        <v>7</v>
      </c>
      <c r="J475" s="51" t="str">
        <f t="shared" si="122"/>
        <v>9</v>
      </c>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1"/>
      <c r="AI475" s="31"/>
      <c r="AJ475" s="30"/>
      <c r="AK475" s="30"/>
      <c r="AL475" s="30"/>
      <c r="AM475" s="30"/>
      <c r="AN475" s="30"/>
      <c r="AO475" s="30"/>
      <c r="AP475" s="30"/>
      <c r="AQ475" s="30"/>
      <c r="AR475" s="30"/>
      <c r="AS475" s="30"/>
      <c r="AT475" s="30"/>
      <c r="AU475" s="30"/>
      <c r="AV475" s="30"/>
      <c r="AW475" s="30"/>
      <c r="AX475" s="30"/>
      <c r="AY475" s="30"/>
      <c r="AZ475" s="31"/>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row>
    <row r="476" ht="15.75" customHeight="1">
      <c r="A476" s="52" t="s">
        <v>200</v>
      </c>
      <c r="B476" s="43"/>
      <c r="C476" s="43"/>
      <c r="D476" s="43"/>
      <c r="E476" s="43">
        <v>6.0</v>
      </c>
      <c r="F476" s="43">
        <v>5.0</v>
      </c>
      <c r="G476" s="43">
        <v>4.0</v>
      </c>
      <c r="H476" s="43">
        <v>3.0</v>
      </c>
      <c r="I476" s="43">
        <v>2.0</v>
      </c>
      <c r="J476" s="43">
        <v>1.0</v>
      </c>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1"/>
      <c r="AI476" s="31"/>
      <c r="AJ476" s="30"/>
      <c r="AK476" s="30"/>
      <c r="AL476" s="30"/>
      <c r="AM476" s="30"/>
      <c r="AN476" s="30"/>
      <c r="AO476" s="30"/>
      <c r="AP476" s="30"/>
      <c r="AQ476" s="30"/>
      <c r="AR476" s="30"/>
      <c r="AS476" s="30"/>
      <c r="AT476" s="30"/>
      <c r="AU476" s="30"/>
      <c r="AV476" s="30"/>
      <c r="AW476" s="30"/>
      <c r="AX476" s="30"/>
      <c r="AY476" s="30"/>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c r="BW476" s="31"/>
      <c r="BX476" s="31"/>
      <c r="BY476" s="31"/>
      <c r="BZ476" s="31"/>
      <c r="CA476" s="31"/>
      <c r="CB476" s="31"/>
      <c r="CC476" s="31"/>
      <c r="CD476" s="31"/>
      <c r="CE476" s="31"/>
      <c r="CF476" s="31"/>
      <c r="CG476" s="31"/>
    </row>
    <row r="477" ht="15.75" customHeight="1">
      <c r="A477" s="52" t="s">
        <v>201</v>
      </c>
      <c r="B477" s="77"/>
      <c r="C477" s="77"/>
      <c r="D477" s="77"/>
      <c r="E477" s="77">
        <f t="shared" ref="E477:J477" si="123">E476*E475</f>
        <v>42</v>
      </c>
      <c r="F477" s="77">
        <f t="shared" si="123"/>
        <v>35</v>
      </c>
      <c r="G477" s="77">
        <f t="shared" si="123"/>
        <v>8</v>
      </c>
      <c r="H477" s="77">
        <f t="shared" si="123"/>
        <v>12</v>
      </c>
      <c r="I477" s="77">
        <f t="shared" si="123"/>
        <v>14</v>
      </c>
      <c r="J477" s="77">
        <f t="shared" si="123"/>
        <v>9</v>
      </c>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1"/>
      <c r="AI477" s="31"/>
      <c r="AJ477" s="30"/>
      <c r="AK477" s="30"/>
      <c r="AL477" s="30"/>
      <c r="AM477" s="30"/>
      <c r="AN477" s="30"/>
      <c r="AO477" s="30"/>
      <c r="AP477" s="30"/>
      <c r="AQ477" s="30"/>
      <c r="AR477" s="30"/>
      <c r="AS477" s="30"/>
      <c r="AT477" s="30"/>
      <c r="AU477" s="30"/>
      <c r="AV477" s="30"/>
      <c r="AW477" s="30"/>
      <c r="AX477" s="30"/>
      <c r="AY477" s="30"/>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c r="BW477" s="31"/>
      <c r="BX477" s="31"/>
      <c r="BY477" s="31"/>
      <c r="BZ477" s="31"/>
      <c r="CA477" s="31"/>
      <c r="CB477" s="31"/>
      <c r="CC477" s="31"/>
      <c r="CD477" s="31"/>
      <c r="CE477" s="31"/>
      <c r="CF477" s="31"/>
      <c r="CG477" s="31"/>
    </row>
    <row r="478" ht="15.75" customHeight="1">
      <c r="A478" s="52" t="s">
        <v>356</v>
      </c>
      <c r="B478" s="43">
        <f>SUM(B477:J477)</f>
        <v>120</v>
      </c>
      <c r="C478" s="46"/>
      <c r="D478" s="46"/>
      <c r="E478" s="46"/>
      <c r="F478" s="46"/>
      <c r="G478" s="46"/>
      <c r="H478" s="46"/>
      <c r="I478" s="46"/>
      <c r="J478" s="46"/>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0"/>
      <c r="AK478" s="30"/>
      <c r="AL478" s="30"/>
      <c r="AM478" s="30"/>
      <c r="AN478" s="30"/>
      <c r="AO478" s="30"/>
      <c r="AP478" s="30"/>
      <c r="AQ478" s="30"/>
      <c r="AR478" s="30"/>
      <c r="AS478" s="30"/>
      <c r="AT478" s="30"/>
      <c r="AU478" s="30"/>
      <c r="AV478" s="30"/>
      <c r="AW478" s="30"/>
      <c r="AX478" s="30"/>
      <c r="AY478" s="30"/>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c r="BW478" s="31"/>
      <c r="BX478" s="31"/>
      <c r="BY478" s="31"/>
      <c r="BZ478" s="31"/>
      <c r="CA478" s="31"/>
      <c r="CB478" s="31"/>
      <c r="CC478" s="31"/>
      <c r="CD478" s="31"/>
      <c r="CE478" s="31"/>
      <c r="CF478" s="31"/>
      <c r="CG478" s="31"/>
    </row>
    <row r="479" ht="15.75" customHeight="1">
      <c r="A479" s="52" t="s">
        <v>244</v>
      </c>
      <c r="B479" s="42">
        <f>MOD(B478,11)</f>
        <v>10</v>
      </c>
      <c r="C479" s="46"/>
      <c r="D479" s="121"/>
      <c r="E479" s="46"/>
      <c r="F479" s="46"/>
      <c r="G479" s="46"/>
      <c r="H479" s="46"/>
      <c r="I479" s="46"/>
      <c r="J479" s="46"/>
      <c r="K479" s="46"/>
      <c r="L479" s="46"/>
      <c r="M479" s="46"/>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c r="BW479" s="31"/>
      <c r="BX479" s="31"/>
      <c r="BY479" s="31"/>
      <c r="BZ479" s="31"/>
      <c r="CA479" s="31"/>
      <c r="CB479" s="31"/>
      <c r="CC479" s="31"/>
      <c r="CD479" s="31"/>
      <c r="CE479" s="31"/>
      <c r="CF479" s="31"/>
      <c r="CG479" s="31"/>
    </row>
    <row r="480" ht="15.75" customHeight="1">
      <c r="A480" s="52" t="s">
        <v>401</v>
      </c>
      <c r="B480" s="44">
        <f>11-B479</f>
        <v>1</v>
      </c>
      <c r="C480" s="46"/>
      <c r="D480" s="31"/>
      <c r="E480" s="46"/>
      <c r="F480" s="46"/>
      <c r="G480" s="46"/>
      <c r="H480" s="46"/>
      <c r="I480" s="46"/>
      <c r="J480" s="46"/>
      <c r="K480" s="46"/>
      <c r="L480" s="46"/>
      <c r="M480" s="46"/>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c r="BW480" s="31"/>
      <c r="BX480" s="31"/>
      <c r="BY480" s="31"/>
      <c r="BZ480" s="31"/>
      <c r="CA480" s="31"/>
      <c r="CB480" s="31"/>
      <c r="CC480" s="31"/>
      <c r="CD480" s="31"/>
      <c r="CE480" s="31"/>
      <c r="CF480" s="31"/>
      <c r="CG480" s="31"/>
    </row>
    <row r="481" ht="15.75" customHeight="1">
      <c r="A481" s="52" t="s">
        <v>194</v>
      </c>
      <c r="B481" s="44">
        <f>IF(OR(B480=10,B480=11),1,B480)</f>
        <v>1</v>
      </c>
      <c r="C481" s="31"/>
      <c r="D481" s="121" t="s">
        <v>410</v>
      </c>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c r="BW481" s="31"/>
      <c r="BX481" s="31"/>
      <c r="BY481" s="31"/>
      <c r="BZ481" s="31"/>
      <c r="CA481" s="31"/>
      <c r="CB481" s="31"/>
      <c r="CC481" s="31"/>
      <c r="CD481" s="31"/>
      <c r="CE481" s="31"/>
      <c r="CF481" s="31"/>
      <c r="CG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c r="BS482" s="31"/>
      <c r="BT482" s="31"/>
      <c r="BU482" s="31"/>
      <c r="BV482" s="31"/>
      <c r="BW482" s="31"/>
      <c r="BX482" s="31"/>
      <c r="BY482" s="31"/>
      <c r="BZ482" s="31"/>
      <c r="CA482" s="31"/>
      <c r="CB482" s="31"/>
      <c r="CC482" s="31"/>
      <c r="CD482" s="31"/>
      <c r="CE482" s="31"/>
      <c r="CF482" s="31"/>
      <c r="CG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c r="BW483" s="31"/>
      <c r="BX483" s="31"/>
      <c r="BY483" s="31"/>
      <c r="BZ483" s="31"/>
      <c r="CA483" s="31"/>
      <c r="CB483" s="31"/>
      <c r="CC483" s="31"/>
      <c r="CD483" s="31"/>
      <c r="CE483" s="31"/>
      <c r="CF483" s="31"/>
      <c r="CG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c r="BS484" s="31"/>
      <c r="BT484" s="31"/>
      <c r="BU484" s="31"/>
      <c r="BV484" s="31"/>
      <c r="BW484" s="31"/>
      <c r="BX484" s="31"/>
      <c r="BY484" s="31"/>
      <c r="BZ484" s="31"/>
      <c r="CA484" s="31"/>
      <c r="CB484" s="31"/>
      <c r="CC484" s="31"/>
      <c r="CD484" s="31"/>
      <c r="CE484" s="31"/>
      <c r="CF484" s="31"/>
      <c r="CG484" s="31"/>
    </row>
    <row r="485" ht="5.2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c r="BS485" s="54"/>
      <c r="BT485" s="54"/>
      <c r="BU485" s="54"/>
      <c r="BV485" s="54"/>
      <c r="BW485" s="54"/>
      <c r="BX485" s="54"/>
      <c r="BY485" s="54"/>
      <c r="BZ485" s="54"/>
      <c r="CA485" s="54"/>
      <c r="CB485" s="54"/>
      <c r="CC485" s="54"/>
      <c r="CD485" s="54"/>
      <c r="CE485" s="54"/>
      <c r="CF485" s="54"/>
      <c r="CG485" s="54"/>
    </row>
    <row r="486" ht="15.75" customHeight="1">
      <c r="A486" s="121" t="s">
        <v>411</v>
      </c>
      <c r="B486" s="31"/>
      <c r="C486" s="31"/>
      <c r="D486" s="31"/>
      <c r="E486" s="31"/>
      <c r="F486" s="31"/>
      <c r="G486" s="31"/>
      <c r="H486" s="31"/>
      <c r="I486" s="31"/>
      <c r="J486" s="31"/>
      <c r="K486" s="31"/>
      <c r="L486" s="31"/>
      <c r="M486" s="31"/>
      <c r="N486" s="31"/>
      <c r="O486" s="31"/>
      <c r="P486" s="32" t="s">
        <v>190</v>
      </c>
      <c r="Q486" s="33">
        <f>LEN(A486)</f>
        <v>49</v>
      </c>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c r="BS486" s="31"/>
      <c r="BT486" s="31"/>
      <c r="BU486" s="31"/>
      <c r="BV486" s="31"/>
      <c r="BW486" s="31"/>
      <c r="BX486" s="31"/>
      <c r="BY486" s="31"/>
      <c r="BZ486" s="31"/>
      <c r="CA486" s="31"/>
      <c r="CB486" s="31"/>
      <c r="CC486" s="31"/>
      <c r="CD486" s="31"/>
      <c r="CE486" s="31"/>
      <c r="CF486" s="31"/>
      <c r="CG486" s="31"/>
    </row>
    <row r="487" ht="15.75" customHeight="1">
      <c r="A487" s="145" t="s">
        <v>191</v>
      </c>
      <c r="B487" s="35" t="s">
        <v>412</v>
      </c>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c r="AV487" s="35"/>
      <c r="AW487" s="35"/>
      <c r="AX487" s="89" t="s">
        <v>413</v>
      </c>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c r="BW487" s="31"/>
      <c r="BX487" s="31"/>
      <c r="BY487" s="31"/>
      <c r="BZ487" s="31"/>
      <c r="CA487" s="31"/>
      <c r="CB487" s="31"/>
      <c r="CC487" s="31"/>
      <c r="CD487" s="31"/>
      <c r="CE487" s="31"/>
      <c r="CF487" s="31"/>
      <c r="CG487" s="31"/>
    </row>
    <row r="488" ht="15.75" customHeight="1">
      <c r="A488" s="37"/>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7"/>
      <c r="Z488" s="38"/>
      <c r="AA488" s="38"/>
      <c r="AB488" s="38"/>
      <c r="AC488" s="38"/>
      <c r="AD488" s="38"/>
      <c r="AE488" s="38"/>
      <c r="AF488" s="37"/>
      <c r="AG488" s="38"/>
      <c r="AH488" s="116"/>
      <c r="AI488" s="38"/>
      <c r="AJ488" s="37"/>
      <c r="AK488" s="37"/>
      <c r="AL488" s="38"/>
      <c r="AM488" s="38"/>
      <c r="AN488" s="38"/>
      <c r="AO488" s="38"/>
      <c r="AP488" s="38"/>
      <c r="AQ488" s="38"/>
      <c r="AR488" s="38"/>
      <c r="AS488" s="38"/>
      <c r="AT488" s="38"/>
      <c r="AU488" s="38"/>
      <c r="AV488" s="38"/>
      <c r="AW488" s="38"/>
      <c r="AX488" s="38"/>
      <c r="AY488" s="31"/>
      <c r="AZ488" s="31"/>
      <c r="BA488" s="31"/>
      <c r="BB488" s="31"/>
      <c r="BC488" s="31"/>
      <c r="BD488" s="31"/>
      <c r="BE488" s="31"/>
      <c r="BF488" s="31"/>
      <c r="BG488" s="31"/>
      <c r="BH488" s="31"/>
      <c r="BI488" s="31"/>
      <c r="BJ488" s="31"/>
      <c r="BK488" s="31"/>
      <c r="BL488" s="31"/>
      <c r="BM488" s="31"/>
      <c r="BN488" s="31"/>
      <c r="BO488" s="31"/>
      <c r="BP488" s="31"/>
      <c r="BQ488" s="31"/>
      <c r="BR488" s="31"/>
      <c r="BS488" s="31"/>
      <c r="BT488" s="31"/>
      <c r="BU488" s="31"/>
      <c r="BV488" s="31"/>
      <c r="BW488" s="31"/>
      <c r="BX488" s="31"/>
      <c r="BY488" s="31"/>
      <c r="BZ488" s="31"/>
      <c r="CA488" s="31"/>
      <c r="CB488" s="31"/>
      <c r="CC488" s="31"/>
      <c r="CD488" s="31"/>
      <c r="CE488" s="31"/>
      <c r="CF488" s="31"/>
      <c r="CG488" s="31"/>
    </row>
    <row r="489" ht="15.75" customHeight="1">
      <c r="A489" s="39" t="s">
        <v>195</v>
      </c>
      <c r="B489" s="40">
        <v>1.0</v>
      </c>
      <c r="C489" s="40">
        <v>2.0</v>
      </c>
      <c r="D489" s="40">
        <v>3.0</v>
      </c>
      <c r="E489" s="40">
        <v>4.0</v>
      </c>
      <c r="F489" s="40">
        <v>5.0</v>
      </c>
      <c r="G489" s="40">
        <v>6.0</v>
      </c>
      <c r="H489" s="40">
        <v>7.0</v>
      </c>
      <c r="I489" s="40">
        <v>8.0</v>
      </c>
      <c r="J489" s="40">
        <v>9.0</v>
      </c>
      <c r="K489" s="40">
        <v>10.0</v>
      </c>
      <c r="L489" s="40">
        <v>11.0</v>
      </c>
      <c r="M489" s="40">
        <v>12.0</v>
      </c>
      <c r="N489" s="40">
        <v>13.0</v>
      </c>
      <c r="O489" s="40">
        <v>14.0</v>
      </c>
      <c r="P489" s="40">
        <v>15.0</v>
      </c>
      <c r="Q489" s="40">
        <v>16.0</v>
      </c>
      <c r="R489" s="40">
        <v>17.0</v>
      </c>
      <c r="S489" s="40">
        <v>18.0</v>
      </c>
      <c r="T489" s="40">
        <v>19.0</v>
      </c>
      <c r="U489" s="40">
        <v>20.0</v>
      </c>
      <c r="V489" s="40">
        <v>21.0</v>
      </c>
      <c r="W489" s="40">
        <v>22.0</v>
      </c>
      <c r="X489" s="40">
        <v>23.0</v>
      </c>
      <c r="Y489" s="40">
        <v>24.0</v>
      </c>
      <c r="Z489" s="40">
        <v>25.0</v>
      </c>
      <c r="AA489" s="40">
        <v>26.0</v>
      </c>
      <c r="AB489" s="40">
        <v>27.0</v>
      </c>
      <c r="AC489" s="40">
        <v>28.0</v>
      </c>
      <c r="AD489" s="40">
        <v>29.0</v>
      </c>
      <c r="AE489" s="40">
        <v>30.0</v>
      </c>
      <c r="AF489" s="43">
        <v>31.0</v>
      </c>
      <c r="AG489" s="43">
        <v>32.0</v>
      </c>
      <c r="AH489" s="40">
        <v>33.0</v>
      </c>
      <c r="AI489" s="40">
        <v>34.0</v>
      </c>
      <c r="AJ489" s="40">
        <v>35.0</v>
      </c>
      <c r="AK489" s="40">
        <v>36.0</v>
      </c>
      <c r="AL489" s="40">
        <v>37.0</v>
      </c>
      <c r="AM489" s="40">
        <v>38.0</v>
      </c>
      <c r="AN489" s="40">
        <v>39.0</v>
      </c>
      <c r="AO489" s="40">
        <v>40.0</v>
      </c>
      <c r="AP489" s="40">
        <v>41.0</v>
      </c>
      <c r="AQ489" s="40">
        <v>42.0</v>
      </c>
      <c r="AR489" s="40">
        <v>43.0</v>
      </c>
      <c r="AS489" s="40">
        <v>44.0</v>
      </c>
      <c r="AT489" s="40">
        <v>45.0</v>
      </c>
      <c r="AU489" s="40">
        <v>46.0</v>
      </c>
      <c r="AV489" s="40">
        <v>47.0</v>
      </c>
      <c r="AW489" s="40">
        <v>48.0</v>
      </c>
      <c r="AX489" s="40">
        <v>49.0</v>
      </c>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c r="BX489" s="31"/>
      <c r="BY489" s="31"/>
      <c r="BZ489" s="31"/>
      <c r="CA489" s="31"/>
      <c r="CB489" s="31"/>
      <c r="CC489" s="31"/>
      <c r="CD489" s="31"/>
      <c r="CE489" s="31"/>
      <c r="CF489" s="31"/>
      <c r="CG489" s="31"/>
    </row>
    <row r="490" ht="15.75" customHeight="1">
      <c r="A490" s="42" t="s">
        <v>196</v>
      </c>
      <c r="B490" s="42" t="str">
        <f t="shared" ref="B490:AX490" si="124">MID($A486,B489,1)</f>
        <v>|</v>
      </c>
      <c r="C490" s="42" t="str">
        <f t="shared" si="124"/>
        <v>0</v>
      </c>
      <c r="D490" s="42" t="str">
        <f t="shared" si="124"/>
        <v>1</v>
      </c>
      <c r="E490" s="42" t="str">
        <f t="shared" si="124"/>
        <v>0</v>
      </c>
      <c r="F490" s="42" t="str">
        <f t="shared" si="124"/>
        <v>7</v>
      </c>
      <c r="G490" s="42" t="str">
        <f t="shared" si="124"/>
        <v>5</v>
      </c>
      <c r="H490" s="42" t="str">
        <f t="shared" si="124"/>
        <v>6</v>
      </c>
      <c r="I490" s="42" t="str">
        <f t="shared" si="124"/>
        <v>4</v>
      </c>
      <c r="J490" s="42" t="str">
        <f t="shared" si="124"/>
        <v>0</v>
      </c>
      <c r="K490" s="42" t="str">
        <f t="shared" si="124"/>
        <v>0</v>
      </c>
      <c r="L490" s="42" t="str">
        <f t="shared" si="124"/>
        <v>0</v>
      </c>
      <c r="M490" s="42" t="str">
        <f t="shared" si="124"/>
        <v>0</v>
      </c>
      <c r="N490" s="42" t="str">
        <f t="shared" si="124"/>
        <v>1</v>
      </c>
      <c r="O490" s="42" t="str">
        <f t="shared" si="124"/>
        <v>4</v>
      </c>
      <c r="P490" s="42" t="str">
        <f t="shared" si="124"/>
        <v>0</v>
      </c>
      <c r="Q490" s="42" t="str">
        <f t="shared" si="124"/>
        <v>0</v>
      </c>
      <c r="R490" s="42" t="str">
        <f t="shared" si="124"/>
        <v>7</v>
      </c>
      <c r="S490" s="42" t="str">
        <f t="shared" si="124"/>
        <v>0</v>
      </c>
      <c r="T490" s="42" t="str">
        <f t="shared" si="124"/>
        <v>0</v>
      </c>
      <c r="U490" s="42" t="str">
        <f t="shared" si="124"/>
        <v>3</v>
      </c>
      <c r="V490" s="42" t="str">
        <f t="shared" si="124"/>
        <v>8</v>
      </c>
      <c r="W490" s="42" t="str">
        <f t="shared" si="124"/>
        <v>7</v>
      </c>
      <c r="X490" s="42" t="str">
        <f t="shared" si="124"/>
        <v>1</v>
      </c>
      <c r="Y490" s="42" t="str">
        <f t="shared" si="124"/>
        <v>2</v>
      </c>
      <c r="Z490" s="42" t="str">
        <f t="shared" si="124"/>
        <v>3</v>
      </c>
      <c r="AA490" s="42" t="str">
        <f t="shared" si="124"/>
        <v>3</v>
      </c>
      <c r="AB490" s="42" t="str">
        <f t="shared" si="124"/>
        <v>3</v>
      </c>
      <c r="AC490" s="42" t="str">
        <f t="shared" si="124"/>
        <v>6</v>
      </c>
      <c r="AD490" s="42" t="str">
        <f t="shared" si="124"/>
        <v>3</v>
      </c>
      <c r="AE490" s="42" t="str">
        <f t="shared" si="124"/>
        <v>8</v>
      </c>
      <c r="AF490" s="42" t="str">
        <f t="shared" si="124"/>
        <v>2</v>
      </c>
      <c r="AG490" s="42" t="str">
        <f t="shared" si="124"/>
        <v>2</v>
      </c>
      <c r="AH490" s="42" t="str">
        <f t="shared" si="124"/>
        <v>8</v>
      </c>
      <c r="AI490" s="42" t="str">
        <f t="shared" si="124"/>
        <v>5</v>
      </c>
      <c r="AJ490" s="42" t="str">
        <f t="shared" si="124"/>
        <v>2</v>
      </c>
      <c r="AK490" s="42" t="str">
        <f t="shared" si="124"/>
        <v>1</v>
      </c>
      <c r="AL490" s="42" t="str">
        <f t="shared" si="124"/>
        <v>0</v>
      </c>
      <c r="AM490" s="42" t="str">
        <f t="shared" si="124"/>
        <v>6</v>
      </c>
      <c r="AN490" s="42" t="str">
        <f t="shared" si="124"/>
        <v>2</v>
      </c>
      <c r="AO490" s="42" t="str">
        <f t="shared" si="124"/>
        <v>0</v>
      </c>
      <c r="AP490" s="42" t="str">
        <f t="shared" si="124"/>
        <v>2</v>
      </c>
      <c r="AQ490" s="42" t="str">
        <f t="shared" si="124"/>
        <v>3</v>
      </c>
      <c r="AR490" s="42" t="str">
        <f t="shared" si="124"/>
        <v>1</v>
      </c>
      <c r="AS490" s="42" t="str">
        <f t="shared" si="124"/>
        <v>0</v>
      </c>
      <c r="AT490" s="42" t="str">
        <f t="shared" si="124"/>
        <v>7</v>
      </c>
      <c r="AU490" s="42" t="str">
        <f t="shared" si="124"/>
        <v>0</v>
      </c>
      <c r="AV490" s="42" t="str">
        <f t="shared" si="124"/>
        <v>0</v>
      </c>
      <c r="AW490" s="42" t="str">
        <f t="shared" si="124"/>
        <v>0</v>
      </c>
      <c r="AX490" s="42" t="str">
        <f t="shared" si="124"/>
        <v>0</v>
      </c>
      <c r="AY490" s="31"/>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row>
    <row r="491" ht="15.75" customHeight="1">
      <c r="A491" s="30" t="s">
        <v>414</v>
      </c>
      <c r="B491" s="46"/>
      <c r="C491" s="46"/>
      <c r="D491" s="46"/>
      <c r="E491" s="46"/>
      <c r="F491" s="46"/>
      <c r="G491" s="46"/>
      <c r="H491" s="46"/>
      <c r="I491" s="46"/>
      <c r="J491" s="46"/>
      <c r="K491" s="46"/>
      <c r="L491" s="46"/>
      <c r="M491" s="46">
        <f>LEN(A491)</f>
        <v>48</v>
      </c>
      <c r="N491" s="46"/>
      <c r="O491" s="46"/>
      <c r="P491" s="46"/>
      <c r="Q491" s="46"/>
      <c r="R491" s="121" t="s">
        <v>415</v>
      </c>
      <c r="S491" s="46"/>
      <c r="T491" s="46"/>
      <c r="U491" s="46"/>
      <c r="V491" s="46"/>
      <c r="W491" s="46"/>
      <c r="X491" s="46"/>
      <c r="Y491" s="46"/>
      <c r="Z491" s="46"/>
      <c r="AA491" s="46"/>
      <c r="AB491" s="46"/>
      <c r="AC491" s="46"/>
      <c r="AD491" s="46"/>
      <c r="AE491" s="46"/>
      <c r="AF491" s="46"/>
      <c r="AG491" s="46"/>
      <c r="AH491" s="46">
        <f>LEN(R491)</f>
        <v>47</v>
      </c>
      <c r="AI491" s="46"/>
      <c r="AJ491" s="46"/>
      <c r="AK491" s="121" t="s">
        <v>416</v>
      </c>
      <c r="AL491" s="46"/>
      <c r="AM491" s="46"/>
      <c r="AN491" s="46"/>
      <c r="AO491" s="46"/>
      <c r="AP491" s="46"/>
      <c r="AQ491" s="46"/>
      <c r="AR491" s="46"/>
      <c r="AS491" s="46"/>
      <c r="AT491" s="46"/>
      <c r="AU491" s="46"/>
      <c r="AV491" s="46"/>
      <c r="AW491" s="46"/>
      <c r="AX491" s="46"/>
      <c r="AY491" s="31"/>
      <c r="AZ491" s="31"/>
      <c r="BA491" s="30">
        <f>LEN(AK491)</f>
        <v>46</v>
      </c>
      <c r="BB491" s="31"/>
      <c r="BC491" s="30" t="s">
        <v>417</v>
      </c>
      <c r="BD491" s="31"/>
      <c r="BE491" s="31"/>
      <c r="BF491" s="31"/>
      <c r="BG491" s="31"/>
      <c r="BH491" s="31"/>
      <c r="BI491" s="31"/>
      <c r="BJ491" s="31"/>
      <c r="BK491" s="31"/>
      <c r="BL491" s="31"/>
      <c r="BM491" s="31"/>
      <c r="BN491" s="31"/>
      <c r="BO491" s="31"/>
      <c r="BP491" s="31"/>
      <c r="BQ491" s="31"/>
      <c r="BR491" s="31"/>
      <c r="BS491" s="30">
        <f>LEN(BC491)</f>
        <v>45</v>
      </c>
      <c r="BT491" s="31"/>
      <c r="BU491" s="31"/>
      <c r="BV491" s="31"/>
      <c r="BW491" s="31"/>
      <c r="BX491" s="31"/>
      <c r="BY491" s="31"/>
      <c r="BZ491" s="31"/>
      <c r="CA491" s="31"/>
      <c r="CB491" s="31"/>
      <c r="CC491" s="31"/>
      <c r="CD491" s="31"/>
      <c r="CE491" s="31"/>
      <c r="CF491" s="31"/>
      <c r="CG491" s="31"/>
    </row>
    <row r="492" ht="15.75" customHeight="1">
      <c r="A492" s="30" t="s">
        <v>418</v>
      </c>
      <c r="B492" s="46"/>
      <c r="C492" s="46"/>
      <c r="D492" s="46"/>
      <c r="E492" s="46"/>
      <c r="F492" s="46"/>
      <c r="G492" s="46"/>
      <c r="H492" s="46"/>
      <c r="I492" s="46"/>
      <c r="J492" s="46"/>
      <c r="K492" s="46"/>
      <c r="L492" s="46"/>
      <c r="M492" s="46"/>
      <c r="N492" s="46"/>
      <c r="O492" s="46"/>
      <c r="P492" s="46"/>
      <c r="Q492" s="46"/>
      <c r="R492" s="121" t="s">
        <v>419</v>
      </c>
      <c r="S492" s="46"/>
      <c r="T492" s="46"/>
      <c r="U492" s="46"/>
      <c r="V492" s="46"/>
      <c r="W492" s="46"/>
      <c r="X492" s="46"/>
      <c r="Y492" s="46"/>
      <c r="Z492" s="46"/>
      <c r="AA492" s="46"/>
      <c r="AB492" s="46"/>
      <c r="AC492" s="46"/>
      <c r="AD492" s="46"/>
      <c r="AE492" s="46"/>
      <c r="AF492" s="46"/>
      <c r="AG492" s="46"/>
      <c r="AH492" s="46"/>
      <c r="AI492" s="46"/>
      <c r="AJ492" s="46"/>
      <c r="AK492" s="121" t="s">
        <v>420</v>
      </c>
      <c r="AL492" s="46"/>
      <c r="AM492" s="46"/>
      <c r="AN492" s="46"/>
      <c r="AO492" s="46"/>
      <c r="AP492" s="46"/>
      <c r="AQ492" s="46"/>
      <c r="AR492" s="46"/>
      <c r="AS492" s="46"/>
      <c r="AT492" s="46"/>
      <c r="AU492" s="46"/>
      <c r="AV492" s="46"/>
      <c r="AW492" s="46"/>
      <c r="AX492" s="46"/>
      <c r="AY492" s="31"/>
      <c r="AZ492" s="31"/>
      <c r="BA492" s="31"/>
      <c r="BB492" s="31"/>
      <c r="BC492" s="30" t="s">
        <v>421</v>
      </c>
      <c r="BD492" s="31"/>
      <c r="BE492" s="31"/>
      <c r="BF492" s="31"/>
      <c r="BG492" s="31"/>
      <c r="BH492" s="31"/>
      <c r="BI492" s="31"/>
      <c r="BJ492" s="31"/>
      <c r="BK492" s="31"/>
      <c r="BL492" s="31"/>
      <c r="BM492" s="31"/>
      <c r="BN492" s="31"/>
      <c r="BO492" s="31"/>
      <c r="BP492" s="31"/>
      <c r="BQ492" s="31"/>
      <c r="BR492" s="31"/>
      <c r="BS492" s="31"/>
      <c r="BT492" s="31"/>
      <c r="BU492" s="31"/>
      <c r="BV492" s="31"/>
      <c r="BW492" s="31"/>
      <c r="BX492" s="31"/>
      <c r="BY492" s="31"/>
      <c r="BZ492" s="31"/>
      <c r="CA492" s="31"/>
      <c r="CB492" s="31"/>
      <c r="CC492" s="31"/>
      <c r="CD492" s="31"/>
      <c r="CE492" s="31"/>
      <c r="CF492" s="31"/>
      <c r="CG492" s="31"/>
    </row>
    <row r="493" ht="15.75" customHeight="1">
      <c r="A493" s="30" t="s">
        <v>422</v>
      </c>
      <c r="B493" s="46"/>
      <c r="C493" s="46"/>
      <c r="D493" s="46"/>
      <c r="E493" s="46"/>
      <c r="F493" s="46"/>
      <c r="G493" s="46"/>
      <c r="H493" s="46"/>
      <c r="I493" s="46"/>
      <c r="J493" s="46"/>
      <c r="K493" s="46"/>
      <c r="L493" s="46"/>
      <c r="M493" s="46"/>
      <c r="N493" s="46"/>
      <c r="O493" s="46"/>
      <c r="P493" s="46"/>
      <c r="Q493" s="46"/>
      <c r="R493" s="121" t="s">
        <v>423</v>
      </c>
      <c r="S493" s="46"/>
      <c r="T493" s="46"/>
      <c r="U493" s="46"/>
      <c r="V493" s="46"/>
      <c r="W493" s="46"/>
      <c r="X493" s="46"/>
      <c r="Y493" s="46"/>
      <c r="Z493" s="46"/>
      <c r="AA493" s="46"/>
      <c r="AB493" s="46"/>
      <c r="AC493" s="46"/>
      <c r="AD493" s="46"/>
      <c r="AE493" s="46"/>
      <c r="AF493" s="46"/>
      <c r="AG493" s="46"/>
      <c r="AH493" s="46"/>
      <c r="AI493" s="46"/>
      <c r="AJ493" s="46"/>
      <c r="AK493" s="121" t="s">
        <v>424</v>
      </c>
      <c r="AL493" s="46"/>
      <c r="AM493" s="46"/>
      <c r="AN493" s="46"/>
      <c r="AO493" s="46"/>
      <c r="AP493" s="46"/>
      <c r="AQ493" s="46"/>
      <c r="AR493" s="46"/>
      <c r="AS493" s="46"/>
      <c r="AT493" s="46"/>
      <c r="AU493" s="46"/>
      <c r="AV493" s="46"/>
      <c r="AW493" s="46"/>
      <c r="AX493" s="46"/>
      <c r="AY493" s="31"/>
      <c r="AZ493" s="31"/>
      <c r="BA493" s="31"/>
      <c r="BB493" s="31"/>
      <c r="BC493" s="30" t="s">
        <v>425</v>
      </c>
      <c r="BD493" s="31"/>
      <c r="BE493" s="31"/>
      <c r="BF493" s="31"/>
      <c r="BG493" s="31"/>
      <c r="BH493" s="31"/>
      <c r="BI493" s="31"/>
      <c r="BJ493" s="31"/>
      <c r="BK493" s="31"/>
      <c r="BL493" s="31"/>
      <c r="BM493" s="31"/>
      <c r="BN493" s="31"/>
      <c r="BO493" s="31"/>
      <c r="BP493" s="31"/>
      <c r="BQ493" s="31"/>
      <c r="BR493" s="31"/>
      <c r="BS493" s="31"/>
      <c r="BT493" s="31"/>
      <c r="BU493" s="31"/>
      <c r="BV493" s="31"/>
      <c r="BW493" s="31"/>
      <c r="BX493" s="31"/>
      <c r="BY493" s="31"/>
      <c r="BZ493" s="31"/>
      <c r="CA493" s="31"/>
      <c r="CB493" s="31"/>
      <c r="CC493" s="31"/>
      <c r="CD493" s="31"/>
      <c r="CE493" s="31"/>
      <c r="CF493" s="31"/>
      <c r="CG493" s="31"/>
    </row>
    <row r="494" ht="15.75" customHeight="1">
      <c r="A494" s="47" t="s">
        <v>426</v>
      </c>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31"/>
      <c r="AZ494" s="31"/>
      <c r="BA494" s="31"/>
      <c r="BB494" s="31"/>
      <c r="BC494" s="31"/>
      <c r="BD494" s="31"/>
      <c r="BE494" s="31"/>
      <c r="BF494" s="31"/>
      <c r="BG494" s="31"/>
      <c r="BH494" s="31"/>
      <c r="BI494" s="31"/>
      <c r="BJ494" s="31"/>
      <c r="BK494" s="31"/>
      <c r="BL494" s="31"/>
      <c r="BM494" s="31"/>
      <c r="BN494" s="31"/>
      <c r="BO494" s="31"/>
      <c r="BP494" s="31"/>
      <c r="BQ494" s="31"/>
      <c r="BR494" s="31"/>
      <c r="BS494" s="31"/>
      <c r="BT494" s="31"/>
      <c r="BU494" s="31"/>
      <c r="BV494" s="31"/>
      <c r="BW494" s="31"/>
      <c r="BX494" s="31"/>
      <c r="BY494" s="31"/>
      <c r="BZ494" s="31"/>
      <c r="CA494" s="31"/>
      <c r="CB494" s="31"/>
      <c r="CC494" s="31"/>
      <c r="CD494" s="31"/>
      <c r="CE494" s="31"/>
      <c r="CF494" s="31"/>
      <c r="CG494" s="31"/>
    </row>
    <row r="495" ht="15.75" customHeight="1">
      <c r="A495" s="39" t="s">
        <v>195</v>
      </c>
      <c r="B495" s="40">
        <v>1.0</v>
      </c>
      <c r="C495" s="40">
        <v>2.0</v>
      </c>
      <c r="D495" s="40">
        <v>3.0</v>
      </c>
      <c r="E495" s="40">
        <v>4.0</v>
      </c>
      <c r="F495" s="40">
        <v>5.0</v>
      </c>
      <c r="G495" s="40">
        <v>6.0</v>
      </c>
      <c r="H495" s="40">
        <v>7.0</v>
      </c>
      <c r="I495" s="40">
        <v>8.0</v>
      </c>
      <c r="J495" s="40">
        <v>9.0</v>
      </c>
      <c r="K495" s="40">
        <v>10.0</v>
      </c>
      <c r="L495" s="40">
        <v>11.0</v>
      </c>
      <c r="M495" s="40">
        <v>12.0</v>
      </c>
      <c r="N495" s="40">
        <v>13.0</v>
      </c>
      <c r="O495" s="40">
        <v>14.0</v>
      </c>
      <c r="P495" s="40">
        <v>15.0</v>
      </c>
      <c r="Q495" s="40">
        <v>16.0</v>
      </c>
      <c r="R495" s="40">
        <v>17.0</v>
      </c>
      <c r="S495" s="40">
        <v>18.0</v>
      </c>
      <c r="T495" s="40">
        <v>19.0</v>
      </c>
      <c r="U495" s="40">
        <v>20.0</v>
      </c>
      <c r="V495" s="40">
        <v>21.0</v>
      </c>
      <c r="W495" s="40">
        <v>22.0</v>
      </c>
      <c r="X495" s="40">
        <v>23.0</v>
      </c>
      <c r="Y495" s="40">
        <v>24.0</v>
      </c>
      <c r="Z495" s="43">
        <v>25.0</v>
      </c>
      <c r="AA495" s="43">
        <v>26.0</v>
      </c>
      <c r="AB495" s="43">
        <v>27.0</v>
      </c>
      <c r="AC495" s="41">
        <v>28.0</v>
      </c>
      <c r="AD495" s="146">
        <v>29.0</v>
      </c>
      <c r="AE495" s="146">
        <v>30.0</v>
      </c>
      <c r="AF495" s="146">
        <v>31.0</v>
      </c>
      <c r="AG495" s="146">
        <v>32.0</v>
      </c>
      <c r="AH495" s="146">
        <v>33.0</v>
      </c>
      <c r="AI495" s="146">
        <v>34.0</v>
      </c>
      <c r="AJ495" s="146">
        <v>35.0</v>
      </c>
      <c r="AK495" s="146">
        <v>36.0</v>
      </c>
      <c r="AL495" s="146">
        <v>37.0</v>
      </c>
      <c r="AM495" s="146">
        <v>38.0</v>
      </c>
      <c r="AN495" s="146">
        <v>39.0</v>
      </c>
      <c r="AO495" s="146">
        <v>40.0</v>
      </c>
      <c r="AP495" s="146">
        <v>41.0</v>
      </c>
      <c r="AQ495" s="146">
        <v>42.0</v>
      </c>
      <c r="AR495" s="40">
        <v>43.0</v>
      </c>
      <c r="AS495" s="40">
        <v>44.0</v>
      </c>
      <c r="AT495" s="40">
        <v>45.0</v>
      </c>
      <c r="AU495" s="40">
        <v>46.0</v>
      </c>
      <c r="AV495" s="40">
        <v>47.0</v>
      </c>
      <c r="AW495" s="40">
        <v>48.0</v>
      </c>
      <c r="AX495" s="40">
        <v>49.0</v>
      </c>
      <c r="AY495" s="31"/>
      <c r="AZ495" s="31"/>
      <c r="BA495" s="31"/>
      <c r="BB495" s="31"/>
      <c r="BC495" s="30" t="s">
        <v>427</v>
      </c>
      <c r="BD495" s="31"/>
      <c r="BE495" s="31"/>
      <c r="BF495" s="31"/>
      <c r="BG495" s="31"/>
      <c r="BH495" s="31"/>
      <c r="BI495" s="31"/>
      <c r="BJ495" s="31"/>
      <c r="BK495" s="31"/>
      <c r="BL495" s="31"/>
      <c r="BM495" s="31"/>
      <c r="BN495" s="31"/>
      <c r="BO495" s="31"/>
      <c r="BP495" s="31"/>
      <c r="BQ495" s="31"/>
      <c r="BR495" s="31"/>
      <c r="BS495" s="30">
        <f>LEN(BC495)</f>
        <v>43</v>
      </c>
      <c r="BT495" s="31"/>
      <c r="BU495" s="31"/>
      <c r="BV495" s="31"/>
      <c r="BW495" s="31"/>
      <c r="BX495" s="31"/>
      <c r="BY495" s="31"/>
      <c r="BZ495" s="31"/>
      <c r="CA495" s="31"/>
      <c r="CB495" s="31"/>
      <c r="CC495" s="31"/>
      <c r="CD495" s="31"/>
      <c r="CE495" s="31"/>
      <c r="CF495" s="31"/>
      <c r="CG495" s="31"/>
    </row>
    <row r="496" ht="15.75" customHeight="1">
      <c r="A496" s="42" t="s">
        <v>196</v>
      </c>
      <c r="B496" s="43" t="str">
        <f t="shared" ref="B496:AX496" si="125">B490</f>
        <v>|</v>
      </c>
      <c r="C496" s="43" t="str">
        <f t="shared" si="125"/>
        <v>0</v>
      </c>
      <c r="D496" s="43" t="str">
        <f t="shared" si="125"/>
        <v>1</v>
      </c>
      <c r="E496" s="43" t="str">
        <f t="shared" si="125"/>
        <v>0</v>
      </c>
      <c r="F496" s="43" t="str">
        <f t="shared" si="125"/>
        <v>7</v>
      </c>
      <c r="G496" s="43" t="str">
        <f t="shared" si="125"/>
        <v>5</v>
      </c>
      <c r="H496" s="43" t="str">
        <f t="shared" si="125"/>
        <v>6</v>
      </c>
      <c r="I496" s="43" t="str">
        <f t="shared" si="125"/>
        <v>4</v>
      </c>
      <c r="J496" s="43" t="str">
        <f t="shared" si="125"/>
        <v>0</v>
      </c>
      <c r="K496" s="43" t="str">
        <f t="shared" si="125"/>
        <v>0</v>
      </c>
      <c r="L496" s="43" t="str">
        <f t="shared" si="125"/>
        <v>0</v>
      </c>
      <c r="M496" s="43" t="str">
        <f t="shared" si="125"/>
        <v>0</v>
      </c>
      <c r="N496" s="43" t="str">
        <f t="shared" si="125"/>
        <v>1</v>
      </c>
      <c r="O496" s="43" t="str">
        <f t="shared" si="125"/>
        <v>4</v>
      </c>
      <c r="P496" s="43" t="str">
        <f t="shared" si="125"/>
        <v>0</v>
      </c>
      <c r="Q496" s="43" t="str">
        <f t="shared" si="125"/>
        <v>0</v>
      </c>
      <c r="R496" s="43" t="str">
        <f t="shared" si="125"/>
        <v>7</v>
      </c>
      <c r="S496" s="43" t="str">
        <f t="shared" si="125"/>
        <v>0</v>
      </c>
      <c r="T496" s="43" t="str">
        <f t="shared" si="125"/>
        <v>0</v>
      </c>
      <c r="U496" s="43" t="str">
        <f t="shared" si="125"/>
        <v>3</v>
      </c>
      <c r="V496" s="43" t="str">
        <f t="shared" si="125"/>
        <v>8</v>
      </c>
      <c r="W496" s="43" t="str">
        <f t="shared" si="125"/>
        <v>7</v>
      </c>
      <c r="X496" s="43" t="str">
        <f t="shared" si="125"/>
        <v>1</v>
      </c>
      <c r="Y496" s="43" t="str">
        <f t="shared" si="125"/>
        <v>2</v>
      </c>
      <c r="Z496" s="43" t="str">
        <f t="shared" si="125"/>
        <v>3</v>
      </c>
      <c r="AA496" s="43" t="str">
        <f t="shared" si="125"/>
        <v>3</v>
      </c>
      <c r="AB496" s="43" t="str">
        <f t="shared" si="125"/>
        <v>3</v>
      </c>
      <c r="AC496" s="40" t="str">
        <f t="shared" si="125"/>
        <v>6</v>
      </c>
      <c r="AD496" s="40" t="str">
        <f t="shared" si="125"/>
        <v>3</v>
      </c>
      <c r="AE496" s="40" t="str">
        <f t="shared" si="125"/>
        <v>8</v>
      </c>
      <c r="AF496" s="40" t="str">
        <f t="shared" si="125"/>
        <v>2</v>
      </c>
      <c r="AG496" s="40" t="str">
        <f t="shared" si="125"/>
        <v>2</v>
      </c>
      <c r="AH496" s="40" t="str">
        <f t="shared" si="125"/>
        <v>8</v>
      </c>
      <c r="AI496" s="40" t="str">
        <f t="shared" si="125"/>
        <v>5</v>
      </c>
      <c r="AJ496" s="147" t="str">
        <f t="shared" si="125"/>
        <v>2</v>
      </c>
      <c r="AK496" s="147" t="str">
        <f t="shared" si="125"/>
        <v>1</v>
      </c>
      <c r="AL496" s="148" t="str">
        <f t="shared" si="125"/>
        <v>0</v>
      </c>
      <c r="AM496" s="148" t="str">
        <f t="shared" si="125"/>
        <v>6</v>
      </c>
      <c r="AN496" s="149" t="str">
        <f t="shared" si="125"/>
        <v>2</v>
      </c>
      <c r="AO496" s="149" t="str">
        <f t="shared" si="125"/>
        <v>0</v>
      </c>
      <c r="AP496" s="149" t="str">
        <f t="shared" si="125"/>
        <v>2</v>
      </c>
      <c r="AQ496" s="149" t="str">
        <f t="shared" si="125"/>
        <v>3</v>
      </c>
      <c r="AR496" s="43" t="str">
        <f t="shared" si="125"/>
        <v>1</v>
      </c>
      <c r="AS496" s="43" t="str">
        <f t="shared" si="125"/>
        <v>0</v>
      </c>
      <c r="AT496" s="43" t="str">
        <f t="shared" si="125"/>
        <v>7</v>
      </c>
      <c r="AU496" s="43" t="str">
        <f t="shared" si="125"/>
        <v>0</v>
      </c>
      <c r="AV496" s="43" t="str">
        <f t="shared" si="125"/>
        <v>0</v>
      </c>
      <c r="AW496" s="43" t="str">
        <f t="shared" si="125"/>
        <v>0</v>
      </c>
      <c r="AX496" s="43" t="str">
        <f t="shared" si="125"/>
        <v>0</v>
      </c>
      <c r="AY496" s="31"/>
      <c r="AZ496" s="33"/>
      <c r="BA496" s="33"/>
      <c r="BB496" s="33"/>
      <c r="BC496" s="30" t="s">
        <v>428</v>
      </c>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row>
    <row r="497" ht="15.75" customHeight="1">
      <c r="A497" s="31"/>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31"/>
      <c r="AZ497" s="31"/>
      <c r="BA497" s="31"/>
      <c r="BB497" s="31"/>
      <c r="BC497" s="30" t="s">
        <v>429</v>
      </c>
      <c r="BD497" s="31"/>
      <c r="BE497" s="31"/>
      <c r="BF497" s="31"/>
      <c r="BG497" s="31"/>
      <c r="BH497" s="31"/>
      <c r="BI497" s="31"/>
      <c r="BJ497" s="31"/>
      <c r="BK497" s="31"/>
      <c r="BL497" s="31"/>
      <c r="BM497" s="31"/>
      <c r="BN497" s="31"/>
      <c r="BO497" s="31"/>
      <c r="BP497" s="31"/>
      <c r="BQ497" s="31"/>
      <c r="BR497" s="31"/>
      <c r="BS497" s="31"/>
      <c r="BT497" s="31"/>
      <c r="BU497" s="31"/>
      <c r="BV497" s="31"/>
      <c r="BW497" s="31"/>
      <c r="BX497" s="31"/>
      <c r="BY497" s="31"/>
      <c r="BZ497" s="31"/>
      <c r="CA497" s="31"/>
      <c r="CB497" s="31"/>
      <c r="CC497" s="31"/>
      <c r="CD497" s="31"/>
      <c r="CE497" s="31"/>
      <c r="CF497" s="31"/>
      <c r="CG497" s="31"/>
    </row>
    <row r="498" ht="15.75" customHeight="1">
      <c r="A498" s="47" t="s">
        <v>208</v>
      </c>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31"/>
      <c r="AZ498" s="31"/>
      <c r="BA498" s="31"/>
      <c r="BB498" s="31"/>
      <c r="BC498" s="31"/>
      <c r="BD498" s="31"/>
      <c r="BE498" s="31"/>
      <c r="BF498" s="31"/>
      <c r="BG498" s="31"/>
      <c r="BH498" s="31"/>
      <c r="BI498" s="31"/>
      <c r="BJ498" s="31"/>
      <c r="BK498" s="31"/>
      <c r="BL498" s="31"/>
      <c r="BM498" s="31"/>
      <c r="BN498" s="31"/>
      <c r="BO498" s="31"/>
      <c r="BP498" s="31"/>
      <c r="BQ498" s="31"/>
      <c r="BR498" s="31"/>
      <c r="BS498" s="31"/>
      <c r="BT498" s="31"/>
      <c r="BU498" s="31"/>
      <c r="BV498" s="31"/>
      <c r="BW498" s="31"/>
      <c r="BX498" s="31"/>
      <c r="BY498" s="31"/>
      <c r="BZ498" s="31"/>
      <c r="CA498" s="31"/>
      <c r="CB498" s="31"/>
      <c r="CC498" s="31"/>
      <c r="CD498" s="31"/>
      <c r="CE498" s="31"/>
      <c r="CF498" s="31"/>
      <c r="CG498" s="31"/>
    </row>
    <row r="499" ht="15.75" customHeight="1">
      <c r="A499" s="39" t="s">
        <v>195</v>
      </c>
      <c r="B499" s="43">
        <v>1.0</v>
      </c>
      <c r="C499" s="43">
        <v>2.0</v>
      </c>
      <c r="D499" s="43">
        <v>3.0</v>
      </c>
      <c r="E499" s="43">
        <v>4.0</v>
      </c>
      <c r="F499" s="43">
        <v>5.0</v>
      </c>
      <c r="G499" s="43">
        <v>6.0</v>
      </c>
      <c r="H499" s="43">
        <v>7.0</v>
      </c>
      <c r="I499" s="43">
        <v>8.0</v>
      </c>
      <c r="J499" s="43">
        <v>9.0</v>
      </c>
      <c r="K499" s="43">
        <v>10.0</v>
      </c>
      <c r="L499" s="43">
        <v>11.0</v>
      </c>
      <c r="M499" s="43">
        <v>12.0</v>
      </c>
      <c r="N499" s="43">
        <v>13.0</v>
      </c>
      <c r="O499" s="43">
        <v>14.0</v>
      </c>
      <c r="P499" s="43">
        <v>15.0</v>
      </c>
      <c r="Q499" s="43">
        <v>16.0</v>
      </c>
      <c r="R499" s="41">
        <v>17.0</v>
      </c>
      <c r="S499" s="41">
        <v>18.0</v>
      </c>
      <c r="T499" s="41">
        <v>19.0</v>
      </c>
      <c r="U499" s="41">
        <v>20.0</v>
      </c>
      <c r="V499" s="41">
        <v>21.0</v>
      </c>
      <c r="W499" s="41">
        <v>22.0</v>
      </c>
      <c r="X499" s="41">
        <v>23.0</v>
      </c>
      <c r="Y499" s="41">
        <v>24.0</v>
      </c>
      <c r="Z499" s="41">
        <v>25.0</v>
      </c>
      <c r="AA499" s="43">
        <v>26.0</v>
      </c>
      <c r="AB499" s="43">
        <v>27.0</v>
      </c>
      <c r="AC499" s="43">
        <v>28.0</v>
      </c>
      <c r="AD499" s="43">
        <v>29.0</v>
      </c>
      <c r="AE499" s="43">
        <v>30.0</v>
      </c>
      <c r="AF499" s="43">
        <v>31.0</v>
      </c>
      <c r="AG499" s="43">
        <v>32.0</v>
      </c>
      <c r="AH499" s="43">
        <v>33.0</v>
      </c>
      <c r="AI499" s="43">
        <v>34.0</v>
      </c>
      <c r="AJ499" s="43">
        <v>35.0</v>
      </c>
      <c r="AK499" s="43">
        <v>36.0</v>
      </c>
      <c r="AL499" s="43">
        <v>37.0</v>
      </c>
      <c r="AM499" s="43">
        <v>38.0</v>
      </c>
      <c r="AN499" s="43">
        <v>39.0</v>
      </c>
      <c r="AO499" s="43">
        <v>40.0</v>
      </c>
      <c r="AP499" s="43">
        <v>41.0</v>
      </c>
      <c r="AQ499" s="43">
        <v>42.0</v>
      </c>
      <c r="AR499" s="43">
        <v>43.0</v>
      </c>
      <c r="AS499" s="43">
        <v>44.0</v>
      </c>
      <c r="AT499" s="43">
        <v>45.0</v>
      </c>
      <c r="AU499" s="43">
        <v>46.0</v>
      </c>
      <c r="AV499" s="43">
        <v>47.0</v>
      </c>
      <c r="AW499" s="43">
        <v>48.0</v>
      </c>
      <c r="AX499" s="43">
        <v>49.0</v>
      </c>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c r="BW499" s="31"/>
      <c r="BX499" s="31"/>
      <c r="BY499" s="31"/>
      <c r="BZ499" s="31"/>
      <c r="CA499" s="31"/>
      <c r="CB499" s="31"/>
      <c r="CC499" s="31"/>
      <c r="CD499" s="31"/>
      <c r="CE499" s="31"/>
      <c r="CF499" s="31"/>
      <c r="CG499" s="31"/>
    </row>
    <row r="500" ht="15.75" customHeight="1">
      <c r="A500" s="42" t="s">
        <v>196</v>
      </c>
      <c r="B500" s="43" t="str">
        <f t="shared" ref="B500:AX500" si="126">B490</f>
        <v>|</v>
      </c>
      <c r="C500" s="43" t="str">
        <f t="shared" si="126"/>
        <v>0</v>
      </c>
      <c r="D500" s="43" t="str">
        <f t="shared" si="126"/>
        <v>1</v>
      </c>
      <c r="E500" s="43" t="str">
        <f t="shared" si="126"/>
        <v>0</v>
      </c>
      <c r="F500" s="43" t="str">
        <f t="shared" si="126"/>
        <v>7</v>
      </c>
      <c r="G500" s="43" t="str">
        <f t="shared" si="126"/>
        <v>5</v>
      </c>
      <c r="H500" s="43" t="str">
        <f t="shared" si="126"/>
        <v>6</v>
      </c>
      <c r="I500" s="43" t="str">
        <f t="shared" si="126"/>
        <v>4</v>
      </c>
      <c r="J500" s="43" t="str">
        <f t="shared" si="126"/>
        <v>0</v>
      </c>
      <c r="K500" s="43" t="str">
        <f t="shared" si="126"/>
        <v>0</v>
      </c>
      <c r="L500" s="43" t="str">
        <f t="shared" si="126"/>
        <v>0</v>
      </c>
      <c r="M500" s="43" t="str">
        <f t="shared" si="126"/>
        <v>0</v>
      </c>
      <c r="N500" s="43" t="str">
        <f t="shared" si="126"/>
        <v>1</v>
      </c>
      <c r="O500" s="43" t="str">
        <f t="shared" si="126"/>
        <v>4</v>
      </c>
      <c r="P500" s="43" t="str">
        <f t="shared" si="126"/>
        <v>0</v>
      </c>
      <c r="Q500" s="43" t="str">
        <f t="shared" si="126"/>
        <v>0</v>
      </c>
      <c r="R500" s="51" t="str">
        <f t="shared" si="126"/>
        <v>7</v>
      </c>
      <c r="S500" s="51" t="str">
        <f t="shared" si="126"/>
        <v>0</v>
      </c>
      <c r="T500" s="51" t="str">
        <f t="shared" si="126"/>
        <v>0</v>
      </c>
      <c r="U500" s="51" t="str">
        <f t="shared" si="126"/>
        <v>3</v>
      </c>
      <c r="V500" s="51" t="str">
        <f t="shared" si="126"/>
        <v>8</v>
      </c>
      <c r="W500" s="51" t="str">
        <f t="shared" si="126"/>
        <v>7</v>
      </c>
      <c r="X500" s="51" t="str">
        <f t="shared" si="126"/>
        <v>1</v>
      </c>
      <c r="Y500" s="51" t="str">
        <f t="shared" si="126"/>
        <v>2</v>
      </c>
      <c r="Z500" s="51" t="str">
        <f t="shared" si="126"/>
        <v>3</v>
      </c>
      <c r="AA500" s="43" t="str">
        <f t="shared" si="126"/>
        <v>3</v>
      </c>
      <c r="AB500" s="43" t="str">
        <f t="shared" si="126"/>
        <v>3</v>
      </c>
      <c r="AC500" s="43" t="str">
        <f t="shared" si="126"/>
        <v>6</v>
      </c>
      <c r="AD500" s="43" t="str">
        <f t="shared" si="126"/>
        <v>3</v>
      </c>
      <c r="AE500" s="43" t="str">
        <f t="shared" si="126"/>
        <v>8</v>
      </c>
      <c r="AF500" s="43" t="str">
        <f t="shared" si="126"/>
        <v>2</v>
      </c>
      <c r="AG500" s="43" t="str">
        <f t="shared" si="126"/>
        <v>2</v>
      </c>
      <c r="AH500" s="43" t="str">
        <f t="shared" si="126"/>
        <v>8</v>
      </c>
      <c r="AI500" s="43" t="str">
        <f t="shared" si="126"/>
        <v>5</v>
      </c>
      <c r="AJ500" s="43" t="str">
        <f t="shared" si="126"/>
        <v>2</v>
      </c>
      <c r="AK500" s="43" t="str">
        <f t="shared" si="126"/>
        <v>1</v>
      </c>
      <c r="AL500" s="43" t="str">
        <f t="shared" si="126"/>
        <v>0</v>
      </c>
      <c r="AM500" s="43" t="str">
        <f t="shared" si="126"/>
        <v>6</v>
      </c>
      <c r="AN500" s="43" t="str">
        <f t="shared" si="126"/>
        <v>2</v>
      </c>
      <c r="AO500" s="43" t="str">
        <f t="shared" si="126"/>
        <v>0</v>
      </c>
      <c r="AP500" s="43" t="str">
        <f t="shared" si="126"/>
        <v>2</v>
      </c>
      <c r="AQ500" s="43" t="str">
        <f t="shared" si="126"/>
        <v>3</v>
      </c>
      <c r="AR500" s="43" t="str">
        <f t="shared" si="126"/>
        <v>1</v>
      </c>
      <c r="AS500" s="43" t="str">
        <f t="shared" si="126"/>
        <v>0</v>
      </c>
      <c r="AT500" s="43" t="str">
        <f t="shared" si="126"/>
        <v>7</v>
      </c>
      <c r="AU500" s="43" t="str">
        <f t="shared" si="126"/>
        <v>0</v>
      </c>
      <c r="AV500" s="43" t="str">
        <f t="shared" si="126"/>
        <v>0</v>
      </c>
      <c r="AW500" s="43" t="str">
        <f t="shared" si="126"/>
        <v>0</v>
      </c>
      <c r="AX500" s="43" t="str">
        <f t="shared" si="126"/>
        <v>0</v>
      </c>
      <c r="AY500" s="31"/>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c r="BS501" s="31"/>
      <c r="BT501" s="31"/>
      <c r="BU501" s="31"/>
      <c r="BV501" s="31"/>
      <c r="BW501" s="31"/>
      <c r="BX501" s="31"/>
      <c r="BY501" s="31"/>
      <c r="BZ501" s="31"/>
      <c r="CA501" s="31"/>
      <c r="CB501" s="31"/>
      <c r="CC501" s="31"/>
      <c r="CD501" s="31"/>
      <c r="CE501" s="31"/>
      <c r="CF501" s="31"/>
      <c r="CG501" s="31"/>
    </row>
    <row r="502" ht="15.75" customHeight="1">
      <c r="A502" s="47" t="s">
        <v>208</v>
      </c>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31"/>
      <c r="AZ502" s="31"/>
      <c r="BA502" s="31"/>
      <c r="BB502" s="31"/>
      <c r="BC502" s="31"/>
      <c r="BD502" s="31"/>
      <c r="BE502" s="31"/>
      <c r="BF502" s="31"/>
      <c r="BG502" s="31"/>
      <c r="BH502" s="31"/>
      <c r="BI502" s="31"/>
      <c r="BJ502" s="31"/>
      <c r="BK502" s="31"/>
      <c r="BL502" s="31"/>
      <c r="BM502" s="31"/>
      <c r="BN502" s="31"/>
      <c r="BO502" s="31"/>
      <c r="BP502" s="31"/>
      <c r="BQ502" s="31"/>
      <c r="BR502" s="31"/>
      <c r="BS502" s="31"/>
      <c r="BT502" s="31"/>
      <c r="BU502" s="31"/>
      <c r="BV502" s="31"/>
      <c r="BW502" s="31"/>
      <c r="BX502" s="31"/>
      <c r="BY502" s="31"/>
      <c r="BZ502" s="31"/>
      <c r="CA502" s="31"/>
      <c r="CB502" s="31"/>
      <c r="CC502" s="31"/>
      <c r="CD502" s="31"/>
      <c r="CE502" s="31"/>
      <c r="CF502" s="31"/>
      <c r="CG502" s="31"/>
    </row>
    <row r="503" ht="15.75" customHeight="1">
      <c r="A503" s="39" t="s">
        <v>195</v>
      </c>
      <c r="B503" s="43">
        <v>1.0</v>
      </c>
      <c r="C503" s="43">
        <v>2.0</v>
      </c>
      <c r="D503" s="43">
        <v>3.0</v>
      </c>
      <c r="E503" s="43">
        <v>4.0</v>
      </c>
      <c r="F503" s="43">
        <v>5.0</v>
      </c>
      <c r="G503" s="43">
        <v>6.0</v>
      </c>
      <c r="H503" s="43">
        <v>7.0</v>
      </c>
      <c r="I503" s="43">
        <v>8.0</v>
      </c>
      <c r="J503" s="43">
        <v>9.0</v>
      </c>
      <c r="K503" s="43">
        <v>10.0</v>
      </c>
      <c r="L503" s="43">
        <v>11.0</v>
      </c>
      <c r="M503" s="43">
        <v>12.0</v>
      </c>
      <c r="N503" s="43">
        <v>13.0</v>
      </c>
      <c r="O503" s="43">
        <v>14.0</v>
      </c>
      <c r="P503" s="43">
        <v>15.0</v>
      </c>
      <c r="Q503" s="43">
        <v>16.0</v>
      </c>
      <c r="R503" s="43">
        <v>17.0</v>
      </c>
      <c r="S503" s="43">
        <v>18.0</v>
      </c>
      <c r="T503" s="43">
        <v>19.0</v>
      </c>
      <c r="U503" s="43">
        <v>20.0</v>
      </c>
      <c r="V503" s="43">
        <v>21.0</v>
      </c>
      <c r="W503" s="43">
        <v>22.0</v>
      </c>
      <c r="X503" s="43">
        <v>23.0</v>
      </c>
      <c r="Y503" s="43">
        <v>24.0</v>
      </c>
      <c r="Z503" s="43">
        <v>25.0</v>
      </c>
      <c r="AA503" s="41">
        <v>26.0</v>
      </c>
      <c r="AB503" s="41">
        <v>27.0</v>
      </c>
      <c r="AC503" s="41">
        <v>28.0</v>
      </c>
      <c r="AD503" s="41">
        <v>29.0</v>
      </c>
      <c r="AE503" s="41">
        <v>30.0</v>
      </c>
      <c r="AF503" s="41">
        <v>31.0</v>
      </c>
      <c r="AG503" s="41">
        <v>32.0</v>
      </c>
      <c r="AH503" s="41">
        <v>33.0</v>
      </c>
      <c r="AI503" s="41">
        <v>34.0</v>
      </c>
      <c r="AJ503" s="41">
        <v>35.0</v>
      </c>
      <c r="AK503" s="41">
        <v>36.0</v>
      </c>
      <c r="AL503" s="41">
        <v>37.0</v>
      </c>
      <c r="AM503" s="41">
        <v>38.0</v>
      </c>
      <c r="AN503" s="41">
        <v>39.0</v>
      </c>
      <c r="AO503" s="41">
        <v>40.0</v>
      </c>
      <c r="AP503" s="41">
        <v>41.0</v>
      </c>
      <c r="AQ503" s="41">
        <v>42.0</v>
      </c>
      <c r="AR503" s="43">
        <v>43.0</v>
      </c>
      <c r="AS503" s="43">
        <v>44.0</v>
      </c>
      <c r="AT503" s="43">
        <v>45.0</v>
      </c>
      <c r="AU503" s="43">
        <v>46.0</v>
      </c>
      <c r="AV503" s="43">
        <v>47.0</v>
      </c>
      <c r="AW503" s="43">
        <v>48.0</v>
      </c>
      <c r="AX503" s="43">
        <v>49.0</v>
      </c>
      <c r="AY503" s="31"/>
      <c r="AZ503" s="31"/>
      <c r="BA503" s="31"/>
      <c r="BB503" s="31"/>
      <c r="BC503" s="31"/>
      <c r="BD503" s="31"/>
      <c r="BE503" s="31"/>
      <c r="BF503" s="31"/>
      <c r="BG503" s="31"/>
      <c r="BH503" s="31"/>
      <c r="BI503" s="31"/>
      <c r="BJ503" s="31"/>
      <c r="BK503" s="31"/>
      <c r="BL503" s="31"/>
      <c r="BM503" s="31"/>
      <c r="BN503" s="31"/>
      <c r="BO503" s="31"/>
      <c r="BP503" s="31"/>
      <c r="BQ503" s="31"/>
      <c r="BR503" s="31"/>
      <c r="BS503" s="31"/>
      <c r="BT503" s="31"/>
      <c r="BU503" s="31"/>
      <c r="BV503" s="31"/>
      <c r="BW503" s="31"/>
      <c r="BX503" s="31"/>
      <c r="BY503" s="31"/>
      <c r="BZ503" s="31"/>
      <c r="CA503" s="31"/>
      <c r="CB503" s="31"/>
      <c r="CC503" s="31"/>
      <c r="CD503" s="31"/>
      <c r="CE503" s="31"/>
      <c r="CF503" s="31"/>
      <c r="CG503" s="31"/>
    </row>
    <row r="504" ht="15.75" customHeight="1">
      <c r="A504" s="42" t="s">
        <v>196</v>
      </c>
      <c r="B504" s="43" t="str">
        <f t="shared" ref="B504:AX504" si="127">B490</f>
        <v>|</v>
      </c>
      <c r="C504" s="43" t="str">
        <f t="shared" si="127"/>
        <v>0</v>
      </c>
      <c r="D504" s="43" t="str">
        <f t="shared" si="127"/>
        <v>1</v>
      </c>
      <c r="E504" s="43" t="str">
        <f t="shared" si="127"/>
        <v>0</v>
      </c>
      <c r="F504" s="43" t="str">
        <f t="shared" si="127"/>
        <v>7</v>
      </c>
      <c r="G504" s="43" t="str">
        <f t="shared" si="127"/>
        <v>5</v>
      </c>
      <c r="H504" s="43" t="str">
        <f t="shared" si="127"/>
        <v>6</v>
      </c>
      <c r="I504" s="43" t="str">
        <f t="shared" si="127"/>
        <v>4</v>
      </c>
      <c r="J504" s="43" t="str">
        <f t="shared" si="127"/>
        <v>0</v>
      </c>
      <c r="K504" s="43" t="str">
        <f t="shared" si="127"/>
        <v>0</v>
      </c>
      <c r="L504" s="43" t="str">
        <f t="shared" si="127"/>
        <v>0</v>
      </c>
      <c r="M504" s="43" t="str">
        <f t="shared" si="127"/>
        <v>0</v>
      </c>
      <c r="N504" s="43" t="str">
        <f t="shared" si="127"/>
        <v>1</v>
      </c>
      <c r="O504" s="43" t="str">
        <f t="shared" si="127"/>
        <v>4</v>
      </c>
      <c r="P504" s="43" t="str">
        <f t="shared" si="127"/>
        <v>0</v>
      </c>
      <c r="Q504" s="43" t="str">
        <f t="shared" si="127"/>
        <v>0</v>
      </c>
      <c r="R504" s="43" t="str">
        <f t="shared" si="127"/>
        <v>7</v>
      </c>
      <c r="S504" s="43" t="str">
        <f t="shared" si="127"/>
        <v>0</v>
      </c>
      <c r="T504" s="43" t="str">
        <f t="shared" si="127"/>
        <v>0</v>
      </c>
      <c r="U504" s="43" t="str">
        <f t="shared" si="127"/>
        <v>3</v>
      </c>
      <c r="V504" s="43" t="str">
        <f t="shared" si="127"/>
        <v>8</v>
      </c>
      <c r="W504" s="43" t="str">
        <f t="shared" si="127"/>
        <v>7</v>
      </c>
      <c r="X504" s="43" t="str">
        <f t="shared" si="127"/>
        <v>1</v>
      </c>
      <c r="Y504" s="43" t="str">
        <f t="shared" si="127"/>
        <v>2</v>
      </c>
      <c r="Z504" s="43" t="str">
        <f t="shared" si="127"/>
        <v>3</v>
      </c>
      <c r="AA504" s="150" t="str">
        <f t="shared" si="127"/>
        <v>3</v>
      </c>
      <c r="AB504" s="150" t="str">
        <f t="shared" si="127"/>
        <v>3</v>
      </c>
      <c r="AC504" s="150" t="str">
        <f t="shared" si="127"/>
        <v>6</v>
      </c>
      <c r="AD504" s="150" t="str">
        <f t="shared" si="127"/>
        <v>3</v>
      </c>
      <c r="AE504" s="150" t="str">
        <f t="shared" si="127"/>
        <v>8</v>
      </c>
      <c r="AF504" s="150" t="str">
        <f t="shared" si="127"/>
        <v>2</v>
      </c>
      <c r="AG504" s="150" t="str">
        <f t="shared" si="127"/>
        <v>2</v>
      </c>
      <c r="AH504" s="150" t="str">
        <f t="shared" si="127"/>
        <v>8</v>
      </c>
      <c r="AI504" s="150" t="str">
        <f t="shared" si="127"/>
        <v>5</v>
      </c>
      <c r="AJ504" s="150" t="str">
        <f t="shared" si="127"/>
        <v>2</v>
      </c>
      <c r="AK504" s="150" t="str">
        <f t="shared" si="127"/>
        <v>1</v>
      </c>
      <c r="AL504" s="150" t="str">
        <f t="shared" si="127"/>
        <v>0</v>
      </c>
      <c r="AM504" s="150" t="str">
        <f t="shared" si="127"/>
        <v>6</v>
      </c>
      <c r="AN504" s="150" t="str">
        <f t="shared" si="127"/>
        <v>2</v>
      </c>
      <c r="AO504" s="150" t="str">
        <f t="shared" si="127"/>
        <v>0</v>
      </c>
      <c r="AP504" s="150" t="str">
        <f t="shared" si="127"/>
        <v>2</v>
      </c>
      <c r="AQ504" s="150" t="str">
        <f t="shared" si="127"/>
        <v>3</v>
      </c>
      <c r="AR504" s="43" t="str">
        <f t="shared" si="127"/>
        <v>1</v>
      </c>
      <c r="AS504" s="43" t="str">
        <f t="shared" si="127"/>
        <v>0</v>
      </c>
      <c r="AT504" s="43" t="str">
        <f t="shared" si="127"/>
        <v>7</v>
      </c>
      <c r="AU504" s="43" t="str">
        <f t="shared" si="127"/>
        <v>0</v>
      </c>
      <c r="AV504" s="43" t="str">
        <f t="shared" si="127"/>
        <v>0</v>
      </c>
      <c r="AW504" s="43" t="str">
        <f t="shared" si="127"/>
        <v>0</v>
      </c>
      <c r="AX504" s="43" t="str">
        <f t="shared" si="127"/>
        <v>0</v>
      </c>
      <c r="AY504" s="31"/>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c r="BW505" s="31"/>
      <c r="BX505" s="31"/>
      <c r="BY505" s="31"/>
      <c r="BZ505" s="31"/>
      <c r="CA505" s="31"/>
      <c r="CB505" s="31"/>
      <c r="CC505" s="31"/>
      <c r="CD505" s="31"/>
      <c r="CE505" s="31"/>
      <c r="CF505" s="31"/>
      <c r="CG505" s="31"/>
    </row>
    <row r="506" ht="15.75" customHeight="1">
      <c r="A506" s="47" t="s">
        <v>220</v>
      </c>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31"/>
      <c r="AZ506" s="31"/>
      <c r="BA506" s="31"/>
      <c r="BB506" s="31"/>
      <c r="BC506" s="31"/>
      <c r="BD506" s="31"/>
      <c r="BE506" s="31"/>
      <c r="BF506" s="31"/>
      <c r="BG506" s="31"/>
      <c r="BH506" s="31"/>
      <c r="BI506" s="31"/>
      <c r="BJ506" s="31"/>
      <c r="BK506" s="31"/>
      <c r="BL506" s="31"/>
      <c r="BM506" s="31"/>
      <c r="BN506" s="31"/>
      <c r="BO506" s="31"/>
      <c r="BP506" s="31"/>
      <c r="BQ506" s="31"/>
      <c r="BR506" s="31"/>
      <c r="BS506" s="31"/>
      <c r="BT506" s="31"/>
      <c r="BU506" s="31"/>
      <c r="BV506" s="31"/>
      <c r="BW506" s="31"/>
      <c r="BX506" s="31"/>
      <c r="BY506" s="31"/>
      <c r="BZ506" s="31"/>
      <c r="CA506" s="31"/>
      <c r="CB506" s="31"/>
      <c r="CC506" s="31"/>
      <c r="CD506" s="31"/>
      <c r="CE506" s="31"/>
      <c r="CF506" s="31"/>
      <c r="CG506" s="31"/>
    </row>
    <row r="507" ht="15.75" customHeight="1">
      <c r="A507" s="39" t="s">
        <v>195</v>
      </c>
      <c r="B507" s="43">
        <v>1.0</v>
      </c>
      <c r="C507" s="43">
        <v>2.0</v>
      </c>
      <c r="D507" s="43">
        <v>3.0</v>
      </c>
      <c r="E507" s="43">
        <v>4.0</v>
      </c>
      <c r="F507" s="43">
        <v>5.0</v>
      </c>
      <c r="G507" s="43">
        <v>6.0</v>
      </c>
      <c r="H507" s="43">
        <v>7.0</v>
      </c>
      <c r="I507" s="43">
        <v>8.0</v>
      </c>
      <c r="J507" s="43">
        <v>9.0</v>
      </c>
      <c r="K507" s="43">
        <v>10.0</v>
      </c>
      <c r="L507" s="43">
        <v>11.0</v>
      </c>
      <c r="M507" s="43">
        <v>12.0</v>
      </c>
      <c r="N507" s="43">
        <v>13.0</v>
      </c>
      <c r="O507" s="43">
        <v>14.0</v>
      </c>
      <c r="P507" s="43">
        <v>15.0</v>
      </c>
      <c r="Q507" s="43">
        <v>16.0</v>
      </c>
      <c r="R507" s="43">
        <v>17.0</v>
      </c>
      <c r="S507" s="43">
        <v>18.0</v>
      </c>
      <c r="T507" s="43">
        <v>19.0</v>
      </c>
      <c r="U507" s="43">
        <v>20.0</v>
      </c>
      <c r="V507" s="43">
        <v>21.0</v>
      </c>
      <c r="W507" s="43">
        <v>22.0</v>
      </c>
      <c r="X507" s="43">
        <v>23.0</v>
      </c>
      <c r="Y507" s="43">
        <v>24.0</v>
      </c>
      <c r="Z507" s="43">
        <v>25.0</v>
      </c>
      <c r="AA507" s="43">
        <v>26.0</v>
      </c>
      <c r="AB507" s="43">
        <v>27.0</v>
      </c>
      <c r="AC507" s="43">
        <v>28.0</v>
      </c>
      <c r="AD507" s="43">
        <v>29.0</v>
      </c>
      <c r="AE507" s="43">
        <v>30.0</v>
      </c>
      <c r="AF507" s="43">
        <v>31.0</v>
      </c>
      <c r="AG507" s="43">
        <v>32.0</v>
      </c>
      <c r="AH507" s="43">
        <v>33.0</v>
      </c>
      <c r="AI507" s="43">
        <v>34.0</v>
      </c>
      <c r="AJ507" s="43">
        <v>35.0</v>
      </c>
      <c r="AK507" s="43">
        <v>36.0</v>
      </c>
      <c r="AL507" s="43">
        <v>37.0</v>
      </c>
      <c r="AM507" s="43">
        <v>38.0</v>
      </c>
      <c r="AN507" s="43">
        <v>39.0</v>
      </c>
      <c r="AO507" s="43">
        <v>40.0</v>
      </c>
      <c r="AP507" s="43">
        <v>41.0</v>
      </c>
      <c r="AQ507" s="43">
        <v>42.0</v>
      </c>
      <c r="AR507" s="41">
        <v>43.0</v>
      </c>
      <c r="AS507" s="41">
        <v>44.0</v>
      </c>
      <c r="AT507" s="41">
        <v>45.0</v>
      </c>
      <c r="AU507" s="41">
        <v>46.0</v>
      </c>
      <c r="AV507" s="41">
        <v>47.0</v>
      </c>
      <c r="AW507" s="41">
        <v>48.0</v>
      </c>
      <c r="AX507" s="41">
        <v>49.0</v>
      </c>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c r="BW507" s="31"/>
      <c r="BX507" s="31"/>
      <c r="BY507" s="31"/>
      <c r="BZ507" s="31"/>
      <c r="CA507" s="31"/>
      <c r="CB507" s="31"/>
      <c r="CC507" s="31"/>
      <c r="CD507" s="31"/>
      <c r="CE507" s="31"/>
      <c r="CF507" s="31"/>
      <c r="CG507" s="31"/>
    </row>
    <row r="508" ht="15.75" customHeight="1">
      <c r="A508" s="42" t="s">
        <v>196</v>
      </c>
      <c r="B508" s="43" t="str">
        <f t="shared" ref="B508:AX508" si="128">B490</f>
        <v>|</v>
      </c>
      <c r="C508" s="43" t="str">
        <f t="shared" si="128"/>
        <v>0</v>
      </c>
      <c r="D508" s="43" t="str">
        <f t="shared" si="128"/>
        <v>1</v>
      </c>
      <c r="E508" s="43" t="str">
        <f t="shared" si="128"/>
        <v>0</v>
      </c>
      <c r="F508" s="43" t="str">
        <f t="shared" si="128"/>
        <v>7</v>
      </c>
      <c r="G508" s="43" t="str">
        <f t="shared" si="128"/>
        <v>5</v>
      </c>
      <c r="H508" s="43" t="str">
        <f t="shared" si="128"/>
        <v>6</v>
      </c>
      <c r="I508" s="43" t="str">
        <f t="shared" si="128"/>
        <v>4</v>
      </c>
      <c r="J508" s="43" t="str">
        <f t="shared" si="128"/>
        <v>0</v>
      </c>
      <c r="K508" s="43" t="str">
        <f t="shared" si="128"/>
        <v>0</v>
      </c>
      <c r="L508" s="43" t="str">
        <f t="shared" si="128"/>
        <v>0</v>
      </c>
      <c r="M508" s="43" t="str">
        <f t="shared" si="128"/>
        <v>0</v>
      </c>
      <c r="N508" s="43" t="str">
        <f t="shared" si="128"/>
        <v>1</v>
      </c>
      <c r="O508" s="43" t="str">
        <f t="shared" si="128"/>
        <v>4</v>
      </c>
      <c r="P508" s="43" t="str">
        <f t="shared" si="128"/>
        <v>0</v>
      </c>
      <c r="Q508" s="43" t="str">
        <f t="shared" si="128"/>
        <v>0</v>
      </c>
      <c r="R508" s="43" t="str">
        <f t="shared" si="128"/>
        <v>7</v>
      </c>
      <c r="S508" s="43" t="str">
        <f t="shared" si="128"/>
        <v>0</v>
      </c>
      <c r="T508" s="43" t="str">
        <f t="shared" si="128"/>
        <v>0</v>
      </c>
      <c r="U508" s="43" t="str">
        <f t="shared" si="128"/>
        <v>3</v>
      </c>
      <c r="V508" s="43" t="str">
        <f t="shared" si="128"/>
        <v>8</v>
      </c>
      <c r="W508" s="43" t="str">
        <f t="shared" si="128"/>
        <v>7</v>
      </c>
      <c r="X508" s="43" t="str">
        <f t="shared" si="128"/>
        <v>1</v>
      </c>
      <c r="Y508" s="43" t="str">
        <f t="shared" si="128"/>
        <v>2</v>
      </c>
      <c r="Z508" s="43" t="str">
        <f t="shared" si="128"/>
        <v>3</v>
      </c>
      <c r="AA508" s="43" t="str">
        <f t="shared" si="128"/>
        <v>3</v>
      </c>
      <c r="AB508" s="43" t="str">
        <f t="shared" si="128"/>
        <v>3</v>
      </c>
      <c r="AC508" s="43" t="str">
        <f t="shared" si="128"/>
        <v>6</v>
      </c>
      <c r="AD508" s="43" t="str">
        <f t="shared" si="128"/>
        <v>3</v>
      </c>
      <c r="AE508" s="43" t="str">
        <f t="shared" si="128"/>
        <v>8</v>
      </c>
      <c r="AF508" s="43" t="str">
        <f t="shared" si="128"/>
        <v>2</v>
      </c>
      <c r="AG508" s="43" t="str">
        <f t="shared" si="128"/>
        <v>2</v>
      </c>
      <c r="AH508" s="43" t="str">
        <f t="shared" si="128"/>
        <v>8</v>
      </c>
      <c r="AI508" s="43" t="str">
        <f t="shared" si="128"/>
        <v>5</v>
      </c>
      <c r="AJ508" s="43" t="str">
        <f t="shared" si="128"/>
        <v>2</v>
      </c>
      <c r="AK508" s="43" t="str">
        <f t="shared" si="128"/>
        <v>1</v>
      </c>
      <c r="AL508" s="43" t="str">
        <f t="shared" si="128"/>
        <v>0</v>
      </c>
      <c r="AM508" s="43" t="str">
        <f t="shared" si="128"/>
        <v>6</v>
      </c>
      <c r="AN508" s="43" t="str">
        <f t="shared" si="128"/>
        <v>2</v>
      </c>
      <c r="AO508" s="43" t="str">
        <f t="shared" si="128"/>
        <v>0</v>
      </c>
      <c r="AP508" s="43" t="str">
        <f t="shared" si="128"/>
        <v>2</v>
      </c>
      <c r="AQ508" s="43" t="str">
        <f t="shared" si="128"/>
        <v>3</v>
      </c>
      <c r="AR508" s="150" t="str">
        <f t="shared" si="128"/>
        <v>1</v>
      </c>
      <c r="AS508" s="150" t="str">
        <f t="shared" si="128"/>
        <v>0</v>
      </c>
      <c r="AT508" s="150" t="str">
        <f t="shared" si="128"/>
        <v>7</v>
      </c>
      <c r="AU508" s="150" t="str">
        <f t="shared" si="128"/>
        <v>0</v>
      </c>
      <c r="AV508" s="150" t="str">
        <f t="shared" si="128"/>
        <v>0</v>
      </c>
      <c r="AW508" s="150" t="str">
        <f t="shared" si="128"/>
        <v>0</v>
      </c>
      <c r="AX508" s="150" t="str">
        <f t="shared" si="128"/>
        <v>0</v>
      </c>
      <c r="AY508" s="31"/>
      <c r="AZ508" s="33"/>
      <c r="BA508" s="33"/>
      <c r="BB508" s="33"/>
      <c r="BC508" s="33"/>
      <c r="BD508" s="33"/>
      <c r="BE508" s="33"/>
      <c r="BF508" s="33"/>
      <c r="BG508" s="33"/>
      <c r="BH508" s="33"/>
      <c r="BI508" s="33"/>
      <c r="BJ508" s="33"/>
      <c r="BK508" s="33"/>
      <c r="BL508" s="33"/>
      <c r="BM508" s="33"/>
      <c r="BN508" s="33"/>
      <c r="BO508" s="33"/>
      <c r="BP508" s="33"/>
      <c r="BQ508" s="33"/>
      <c r="BR508" s="33"/>
      <c r="BS508" s="33"/>
      <c r="BT508" s="33"/>
      <c r="BU508" s="33"/>
      <c r="BV508" s="33"/>
      <c r="BW508" s="33"/>
      <c r="BX508" s="33"/>
      <c r="BY508" s="33"/>
      <c r="BZ508" s="33"/>
      <c r="CA508" s="33"/>
      <c r="CB508" s="33"/>
      <c r="CC508" s="33"/>
      <c r="CD508" s="33"/>
      <c r="CE508" s="33"/>
      <c r="CF508" s="33"/>
      <c r="CG508" s="33"/>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c r="BW509" s="31"/>
      <c r="BX509" s="31"/>
      <c r="BY509" s="31"/>
      <c r="BZ509" s="31"/>
      <c r="CA509" s="31"/>
      <c r="CB509" s="31"/>
      <c r="CC509" s="31"/>
      <c r="CD509" s="31"/>
      <c r="CE509" s="31"/>
      <c r="CF509" s="31"/>
      <c r="CG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c r="BS510" s="31"/>
      <c r="BT510" s="31"/>
      <c r="BU510" s="31"/>
      <c r="BV510" s="31"/>
      <c r="BW510" s="31"/>
      <c r="BX510" s="31"/>
      <c r="BY510" s="31"/>
      <c r="BZ510" s="31"/>
      <c r="CA510" s="31"/>
      <c r="CB510" s="31"/>
      <c r="CC510" s="31"/>
      <c r="CD510" s="31"/>
      <c r="CE510" s="31"/>
      <c r="CF510" s="31"/>
      <c r="CG510" s="31"/>
    </row>
    <row r="511" ht="5.2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row>
    <row r="512" ht="15.75" customHeight="1">
      <c r="A512" s="151" t="s">
        <v>430</v>
      </c>
      <c r="B512" s="31"/>
      <c r="C512" s="31"/>
      <c r="D512" s="31"/>
      <c r="E512" s="31"/>
      <c r="F512" s="31"/>
      <c r="G512" s="31"/>
      <c r="H512" s="31"/>
      <c r="I512" s="31"/>
      <c r="J512" s="31"/>
      <c r="K512" s="31"/>
      <c r="L512" s="31"/>
      <c r="M512" s="31"/>
      <c r="N512" s="31"/>
      <c r="O512" s="31"/>
      <c r="P512" s="32" t="s">
        <v>190</v>
      </c>
      <c r="Q512" s="33">
        <f>LEN(A512)</f>
        <v>45</v>
      </c>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0" t="s">
        <v>431</v>
      </c>
      <c r="AX512" s="31"/>
      <c r="AY512" s="31"/>
      <c r="AZ512" s="31"/>
      <c r="BA512" s="31"/>
      <c r="BB512" s="31"/>
      <c r="BC512" s="31"/>
      <c r="BD512" s="31"/>
      <c r="BE512" s="31"/>
      <c r="BF512" s="31"/>
      <c r="BG512" s="31"/>
      <c r="BH512" s="31"/>
      <c r="BI512" s="31"/>
      <c r="BJ512" s="31"/>
      <c r="BK512" s="31"/>
      <c r="BL512" s="31"/>
      <c r="BM512" s="31"/>
      <c r="BN512" s="31"/>
      <c r="BO512" s="31"/>
      <c r="BP512" s="31"/>
      <c r="BQ512" s="31"/>
      <c r="BR512" s="31"/>
      <c r="BS512" s="31"/>
      <c r="BT512" s="31"/>
      <c r="BU512" s="31"/>
      <c r="BV512" s="31"/>
      <c r="BW512" s="31"/>
      <c r="BX512" s="31"/>
      <c r="BY512" s="31"/>
      <c r="BZ512" s="31"/>
      <c r="CA512" s="31"/>
      <c r="CB512" s="31"/>
      <c r="CC512" s="31"/>
      <c r="CD512" s="31"/>
      <c r="CE512" s="31"/>
      <c r="CF512" s="31"/>
      <c r="CG512" s="31"/>
    </row>
    <row r="513" ht="15.75" customHeight="1">
      <c r="A513" s="152" t="s">
        <v>432</v>
      </c>
      <c r="B513" s="153"/>
      <c r="C513" s="153"/>
      <c r="D513" s="153"/>
      <c r="E513" s="153"/>
      <c r="F513" s="153"/>
      <c r="G513" s="153"/>
      <c r="H513" s="153"/>
      <c r="I513" s="153"/>
      <c r="J513" s="153"/>
      <c r="K513" s="153"/>
      <c r="L513" s="153"/>
      <c r="M513" s="153"/>
      <c r="N513" s="153"/>
      <c r="O513" s="154"/>
      <c r="P513" s="153"/>
      <c r="Q513" s="153"/>
      <c r="R513" s="153"/>
      <c r="S513" s="153"/>
      <c r="T513" s="153"/>
      <c r="U513" s="153"/>
      <c r="V513" s="153"/>
      <c r="W513" s="153"/>
      <c r="X513" s="153"/>
      <c r="Y513" s="153"/>
      <c r="Z513" s="153"/>
      <c r="AA513" s="153"/>
      <c r="AB513" s="153"/>
      <c r="AC513" s="153"/>
      <c r="AD513" s="153"/>
      <c r="AE513" s="153"/>
      <c r="AF513" s="153"/>
      <c r="AG513" s="153"/>
      <c r="AH513" s="153"/>
      <c r="AI513" s="153"/>
      <c r="AJ513" s="155"/>
      <c r="AK513" s="153"/>
      <c r="AL513" s="153"/>
      <c r="AM513" s="153"/>
      <c r="AN513" s="153"/>
      <c r="AO513" s="153"/>
      <c r="AP513" s="155"/>
      <c r="AQ513" s="153"/>
      <c r="AR513" s="153"/>
      <c r="AS513" s="153"/>
      <c r="AT513" s="156"/>
      <c r="AU513" s="31"/>
      <c r="AV513" s="31"/>
      <c r="AW513" s="45" t="s">
        <v>433</v>
      </c>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c r="BW513" s="31"/>
      <c r="BX513" s="31"/>
      <c r="BY513" s="31"/>
      <c r="BZ513" s="31"/>
      <c r="CA513" s="31"/>
      <c r="CB513" s="31"/>
      <c r="CC513" s="31"/>
      <c r="CD513" s="31"/>
      <c r="CE513" s="31"/>
      <c r="CF513" s="31"/>
      <c r="CG513" s="31"/>
    </row>
    <row r="514" ht="15.75" customHeight="1">
      <c r="A514" s="71" t="s">
        <v>195</v>
      </c>
      <c r="B514" s="157">
        <v>1.0</v>
      </c>
      <c r="C514" s="158">
        <v>2.0</v>
      </c>
      <c r="D514" s="157">
        <v>3.0</v>
      </c>
      <c r="E514" s="157">
        <v>4.0</v>
      </c>
      <c r="F514" s="157">
        <v>5.0</v>
      </c>
      <c r="G514" s="157">
        <v>6.0</v>
      </c>
      <c r="H514" s="157">
        <v>7.0</v>
      </c>
      <c r="I514" s="157">
        <v>8.0</v>
      </c>
      <c r="J514" s="157">
        <v>9.0</v>
      </c>
      <c r="K514" s="157">
        <v>10.0</v>
      </c>
      <c r="L514" s="157">
        <v>11.0</v>
      </c>
      <c r="M514" s="157">
        <v>12.0</v>
      </c>
      <c r="N514" s="157">
        <v>13.0</v>
      </c>
      <c r="O514" s="157">
        <v>14.0</v>
      </c>
      <c r="P514" s="157">
        <v>15.0</v>
      </c>
      <c r="Q514" s="157">
        <v>16.0</v>
      </c>
      <c r="R514" s="157">
        <v>17.0</v>
      </c>
      <c r="S514" s="157">
        <v>18.0</v>
      </c>
      <c r="T514" s="157">
        <v>19.0</v>
      </c>
      <c r="U514" s="157">
        <v>20.0</v>
      </c>
      <c r="V514" s="157">
        <v>21.0</v>
      </c>
      <c r="W514" s="157">
        <v>22.0</v>
      </c>
      <c r="X514" s="157">
        <v>23.0</v>
      </c>
      <c r="Y514" s="157">
        <v>24.0</v>
      </c>
      <c r="Z514" s="157">
        <v>25.0</v>
      </c>
      <c r="AA514" s="157">
        <v>26.0</v>
      </c>
      <c r="AB514" s="157">
        <v>27.0</v>
      </c>
      <c r="AC514" s="157">
        <v>28.0</v>
      </c>
      <c r="AD514" s="157">
        <v>29.0</v>
      </c>
      <c r="AE514" s="157">
        <v>30.0</v>
      </c>
      <c r="AF514" s="157">
        <v>31.0</v>
      </c>
      <c r="AG514" s="157">
        <v>32.0</v>
      </c>
      <c r="AH514" s="157">
        <v>33.0</v>
      </c>
      <c r="AI514" s="157">
        <v>34.0</v>
      </c>
      <c r="AJ514" s="157">
        <v>35.0</v>
      </c>
      <c r="AK514" s="157">
        <v>36.0</v>
      </c>
      <c r="AL514" s="157">
        <v>37.0</v>
      </c>
      <c r="AM514" s="157">
        <v>38.0</v>
      </c>
      <c r="AN514" s="157">
        <v>39.0</v>
      </c>
      <c r="AO514" s="157">
        <v>40.0</v>
      </c>
      <c r="AP514" s="157">
        <v>41.0</v>
      </c>
      <c r="AQ514" s="157">
        <v>42.0</v>
      </c>
      <c r="AR514" s="157">
        <v>43.0</v>
      </c>
      <c r="AS514" s="157">
        <v>44.0</v>
      </c>
      <c r="AT514" s="157">
        <v>45.0</v>
      </c>
      <c r="AU514" s="31"/>
      <c r="AV514" s="31"/>
      <c r="AW514" s="45" t="s">
        <v>434</v>
      </c>
      <c r="AX514" s="31"/>
      <c r="AY514" s="31"/>
      <c r="AZ514" s="31"/>
      <c r="BA514" s="31"/>
      <c r="BB514" s="31"/>
      <c r="BC514" s="31"/>
      <c r="BD514" s="31"/>
      <c r="BE514" s="31"/>
      <c r="BF514" s="31"/>
      <c r="BG514" s="31"/>
      <c r="BH514" s="31"/>
      <c r="BI514" s="31"/>
      <c r="BJ514" s="31"/>
      <c r="BK514" s="31"/>
      <c r="BL514" s="31"/>
      <c r="BM514" s="31"/>
      <c r="BN514" s="31"/>
      <c r="BO514" s="31"/>
      <c r="BP514" s="31"/>
      <c r="BQ514" s="31"/>
      <c r="BR514" s="31"/>
      <c r="BS514" s="31"/>
      <c r="BT514" s="31"/>
      <c r="BU514" s="31"/>
      <c r="BV514" s="31"/>
      <c r="BW514" s="31"/>
      <c r="BX514" s="31"/>
      <c r="BY514" s="31"/>
      <c r="BZ514" s="31"/>
      <c r="CA514" s="31"/>
      <c r="CB514" s="31"/>
      <c r="CC514" s="31"/>
      <c r="CD514" s="31"/>
      <c r="CE514" s="31"/>
      <c r="CF514" s="31"/>
      <c r="CG514" s="31"/>
    </row>
    <row r="515" ht="15.75" customHeight="1">
      <c r="A515" s="42" t="s">
        <v>196</v>
      </c>
      <c r="B515" s="43" t="str">
        <f t="shared" ref="B515:AT515" si="129">MID($A512,B514,1)</f>
        <v>|</v>
      </c>
      <c r="C515" s="127" t="str">
        <f t="shared" si="129"/>
        <v>0</v>
      </c>
      <c r="D515" s="43" t="str">
        <f t="shared" si="129"/>
        <v>1</v>
      </c>
      <c r="E515" s="43" t="str">
        <f t="shared" si="129"/>
        <v>0</v>
      </c>
      <c r="F515" s="43" t="str">
        <f t="shared" si="129"/>
        <v>5</v>
      </c>
      <c r="G515" s="43" t="str">
        <f t="shared" si="129"/>
        <v>5</v>
      </c>
      <c r="H515" s="43" t="str">
        <f t="shared" si="129"/>
        <v>2</v>
      </c>
      <c r="I515" s="43" t="str">
        <f t="shared" si="129"/>
        <v>8</v>
      </c>
      <c r="J515" s="43" t="str">
        <f t="shared" si="129"/>
        <v>0</v>
      </c>
      <c r="K515" s="43" t="str">
        <f t="shared" si="129"/>
        <v>0</v>
      </c>
      <c r="L515" s="43" t="str">
        <f t="shared" si="129"/>
        <v>9</v>
      </c>
      <c r="M515" s="43" t="str">
        <f t="shared" si="129"/>
        <v>4</v>
      </c>
      <c r="N515" s="43" t="str">
        <f t="shared" si="129"/>
        <v>7</v>
      </c>
      <c r="O515" s="43" t="str">
        <f t="shared" si="129"/>
        <v>1</v>
      </c>
      <c r="P515" s="43" t="str">
        <f t="shared" si="129"/>
        <v>0</v>
      </c>
      <c r="Q515" s="43" t="str">
        <f t="shared" si="129"/>
        <v>0</v>
      </c>
      <c r="R515" s="43" t="str">
        <f t="shared" si="129"/>
        <v>1</v>
      </c>
      <c r="S515" s="43" t="str">
        <f t="shared" si="129"/>
        <v>4</v>
      </c>
      <c r="T515" s="43" t="str">
        <f t="shared" si="129"/>
        <v>1</v>
      </c>
      <c r="U515" s="43" t="str">
        <f t="shared" si="129"/>
        <v>2</v>
      </c>
      <c r="V515" s="43" t="str">
        <f t="shared" si="129"/>
        <v>5</v>
      </c>
      <c r="W515" s="43" t="str">
        <f t="shared" si="129"/>
        <v>4</v>
      </c>
      <c r="X515" s="43" t="str">
        <f t="shared" si="129"/>
        <v>8</v>
      </c>
      <c r="Y515" s="43" t="str">
        <f t="shared" si="129"/>
        <v>5</v>
      </c>
      <c r="Z515" s="43" t="str">
        <f t="shared" si="129"/>
        <v>7</v>
      </c>
      <c r="AA515" s="43" t="str">
        <f t="shared" si="129"/>
        <v>7</v>
      </c>
      <c r="AB515" s="43" t="str">
        <f t="shared" si="129"/>
        <v>2</v>
      </c>
      <c r="AC515" s="43" t="str">
        <f t="shared" si="129"/>
        <v>8</v>
      </c>
      <c r="AD515" s="43" t="str">
        <f t="shared" si="129"/>
        <v>1</v>
      </c>
      <c r="AE515" s="43" t="str">
        <f t="shared" si="129"/>
        <v>6</v>
      </c>
      <c r="AF515" s="43" t="str">
        <f t="shared" si="129"/>
        <v>4</v>
      </c>
      <c r="AG515" s="43" t="str">
        <f t="shared" si="129"/>
        <v>5</v>
      </c>
      <c r="AH515" s="43" t="str">
        <f t="shared" si="129"/>
        <v>7</v>
      </c>
      <c r="AI515" s="43" t="str">
        <f t="shared" si="129"/>
        <v>3</v>
      </c>
      <c r="AJ515" s="43" t="str">
        <f t="shared" si="129"/>
        <v>1</v>
      </c>
      <c r="AK515" s="43" t="str">
        <f t="shared" si="129"/>
        <v>6</v>
      </c>
      <c r="AL515" s="43" t="str">
        <f t="shared" si="129"/>
        <v>0</v>
      </c>
      <c r="AM515" s="43" t="str">
        <f t="shared" si="129"/>
        <v>4</v>
      </c>
      <c r="AN515" s="43" t="str">
        <f t="shared" si="129"/>
        <v>1</v>
      </c>
      <c r="AO515" s="43" t="str">
        <f t="shared" si="129"/>
        <v>1</v>
      </c>
      <c r="AP515" s="43" t="str">
        <f t="shared" si="129"/>
        <v>2</v>
      </c>
      <c r="AQ515" s="43" t="str">
        <f t="shared" si="129"/>
        <v>9</v>
      </c>
      <c r="AR515" s="43" t="str">
        <f t="shared" si="129"/>
        <v>2</v>
      </c>
      <c r="AS515" s="43" t="str">
        <f t="shared" si="129"/>
        <v>0</v>
      </c>
      <c r="AT515" s="43" t="str">
        <f t="shared" si="129"/>
        <v>0</v>
      </c>
      <c r="AU515" s="31"/>
      <c r="AV515" s="31"/>
      <c r="AW515" s="45" t="s">
        <v>433</v>
      </c>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c r="BW515" s="31"/>
      <c r="BX515" s="31"/>
      <c r="BY515" s="31"/>
      <c r="BZ515" s="31"/>
      <c r="CA515" s="31"/>
      <c r="CB515" s="31"/>
      <c r="CC515" s="31"/>
      <c r="CD515" s="31"/>
      <c r="CE515" s="31"/>
      <c r="CF515" s="31"/>
      <c r="CG515" s="31"/>
    </row>
    <row r="516" ht="15.75" customHeight="1">
      <c r="A516" s="159" t="s">
        <v>435</v>
      </c>
      <c r="B516" s="51" t="str">
        <f t="shared" ref="B516:AD516" si="130">IF($C$515="3",O515,R515)</f>
        <v>1</v>
      </c>
      <c r="C516" s="51" t="str">
        <f t="shared" si="130"/>
        <v>4</v>
      </c>
      <c r="D516" s="51" t="str">
        <f t="shared" si="130"/>
        <v>1</v>
      </c>
      <c r="E516" s="51" t="str">
        <f t="shared" si="130"/>
        <v>2</v>
      </c>
      <c r="F516" s="51" t="str">
        <f t="shared" si="130"/>
        <v>5</v>
      </c>
      <c r="G516" s="51" t="str">
        <f t="shared" si="130"/>
        <v>4</v>
      </c>
      <c r="H516" s="51" t="str">
        <f t="shared" si="130"/>
        <v>8</v>
      </c>
      <c r="I516" s="51" t="str">
        <f t="shared" si="130"/>
        <v>5</v>
      </c>
      <c r="J516" s="51" t="str">
        <f t="shared" si="130"/>
        <v>7</v>
      </c>
      <c r="K516" s="51" t="str">
        <f t="shared" si="130"/>
        <v>7</v>
      </c>
      <c r="L516" s="51" t="str">
        <f t="shared" si="130"/>
        <v>2</v>
      </c>
      <c r="M516" s="51" t="str">
        <f t="shared" si="130"/>
        <v>8</v>
      </c>
      <c r="N516" s="51" t="str">
        <f t="shared" si="130"/>
        <v>1</v>
      </c>
      <c r="O516" s="51" t="str">
        <f t="shared" si="130"/>
        <v>6</v>
      </c>
      <c r="P516" s="51" t="str">
        <f t="shared" si="130"/>
        <v>4</v>
      </c>
      <c r="Q516" s="51" t="str">
        <f t="shared" si="130"/>
        <v>5</v>
      </c>
      <c r="R516" s="51" t="str">
        <f t="shared" si="130"/>
        <v>7</v>
      </c>
      <c r="S516" s="51" t="str">
        <f t="shared" si="130"/>
        <v>3</v>
      </c>
      <c r="T516" s="51" t="str">
        <f t="shared" si="130"/>
        <v>1</v>
      </c>
      <c r="U516" s="51" t="str">
        <f t="shared" si="130"/>
        <v>6</v>
      </c>
      <c r="V516" s="51" t="str">
        <f t="shared" si="130"/>
        <v>0</v>
      </c>
      <c r="W516" s="51" t="str">
        <f t="shared" si="130"/>
        <v>4</v>
      </c>
      <c r="X516" s="51" t="str">
        <f t="shared" si="130"/>
        <v>1</v>
      </c>
      <c r="Y516" s="51" t="str">
        <f t="shared" si="130"/>
        <v>1</v>
      </c>
      <c r="Z516" s="51" t="str">
        <f t="shared" si="130"/>
        <v>2</v>
      </c>
      <c r="AA516" s="51" t="str">
        <f t="shared" si="130"/>
        <v>9</v>
      </c>
      <c r="AB516" s="51" t="str">
        <f t="shared" si="130"/>
        <v>2</v>
      </c>
      <c r="AC516" s="51" t="str">
        <f t="shared" si="130"/>
        <v>0</v>
      </c>
      <c r="AD516" s="51" t="str">
        <f t="shared" si="130"/>
        <v>0</v>
      </c>
      <c r="AE516" s="43"/>
      <c r="AF516" s="43"/>
      <c r="AG516" s="43"/>
      <c r="AH516" s="43"/>
      <c r="AI516" s="43"/>
      <c r="AJ516" s="43"/>
      <c r="AK516" s="43"/>
      <c r="AL516" s="43"/>
      <c r="AM516" s="43"/>
      <c r="AN516" s="52"/>
      <c r="AO516" s="52"/>
      <c r="AP516" s="43"/>
      <c r="AQ516" s="43"/>
      <c r="AR516" s="43"/>
      <c r="AS516" s="43"/>
      <c r="AT516" s="43"/>
      <c r="AU516" s="31"/>
      <c r="AV516" s="31"/>
      <c r="AW516" s="45" t="s">
        <v>430</v>
      </c>
      <c r="AX516" s="31"/>
      <c r="AY516" s="31"/>
      <c r="AZ516" s="31"/>
      <c r="BA516" s="31"/>
      <c r="BB516" s="31"/>
      <c r="BC516" s="31"/>
      <c r="BD516" s="31"/>
      <c r="BE516" s="31"/>
      <c r="BF516" s="31"/>
      <c r="BG516" s="31"/>
      <c r="BH516" s="31"/>
      <c r="BI516" s="31"/>
      <c r="BJ516" s="31"/>
      <c r="BK516" s="31"/>
      <c r="BL516" s="31"/>
      <c r="BM516" s="31"/>
      <c r="BN516" s="31"/>
      <c r="BO516" s="31"/>
      <c r="BP516" s="31"/>
      <c r="BQ516" s="31"/>
      <c r="BR516" s="31"/>
      <c r="BS516" s="31"/>
      <c r="BT516" s="31"/>
      <c r="BU516" s="31"/>
      <c r="BV516" s="31"/>
      <c r="BW516" s="31"/>
      <c r="BX516" s="31"/>
      <c r="BY516" s="31"/>
      <c r="BZ516" s="31"/>
      <c r="CA516" s="31"/>
      <c r="CB516" s="31"/>
      <c r="CC516" s="31"/>
      <c r="CD516" s="31"/>
      <c r="CE516" s="31"/>
      <c r="CF516" s="31"/>
      <c r="CG516" s="31"/>
    </row>
    <row r="517" ht="15.75" customHeight="1">
      <c r="A517" s="33" t="s">
        <v>436</v>
      </c>
      <c r="B517" s="160" t="str">
        <f>IF(L517=3,"Go to A","Go to B")</f>
        <v>Go to B</v>
      </c>
      <c r="C517" s="31"/>
      <c r="D517" s="33"/>
      <c r="E517" s="117" t="str">
        <f>CONCATENATE(B516,C516,D516,E516,F516,G516,H516,I516,J516,K516,L516,M516,N516,O516,P516,Q516,R516,S516,T516,U516,V516,W516,X516,Y516,Z516,AA516,AB516,AC516,AD516)</f>
        <v>14125485772816457316041129200</v>
      </c>
      <c r="F517" s="31"/>
      <c r="G517" s="31"/>
      <c r="H517" s="31"/>
      <c r="I517" s="31"/>
      <c r="J517" s="31"/>
      <c r="K517" s="31"/>
      <c r="L517" s="46" t="str">
        <f>MID(E517,LEN(E517)-1,1)</f>
        <v>0</v>
      </c>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45" t="s">
        <v>433</v>
      </c>
      <c r="AX517" s="31"/>
      <c r="AY517" s="31"/>
      <c r="AZ517" s="31"/>
      <c r="BA517" s="31"/>
      <c r="BB517" s="31"/>
      <c r="BC517" s="31"/>
      <c r="BD517" s="31"/>
      <c r="BE517" s="31"/>
      <c r="BF517" s="31"/>
      <c r="BG517" s="31"/>
      <c r="BH517" s="31"/>
      <c r="BI517" s="31"/>
      <c r="BJ517" s="31"/>
      <c r="BK517" s="31"/>
      <c r="BL517" s="31"/>
      <c r="BM517" s="31"/>
      <c r="BN517" s="31"/>
      <c r="BO517" s="31"/>
      <c r="BP517" s="31"/>
      <c r="BQ517" s="31"/>
      <c r="BR517" s="31"/>
      <c r="BS517" s="31"/>
      <c r="BT517" s="31"/>
      <c r="BU517" s="31"/>
      <c r="BV517" s="31"/>
      <c r="BW517" s="31"/>
      <c r="BX517" s="31"/>
      <c r="BY517" s="31"/>
      <c r="BZ517" s="31"/>
      <c r="CA517" s="31"/>
      <c r="CB517" s="31"/>
      <c r="CC517" s="31"/>
      <c r="CD517" s="31"/>
      <c r="CE517" s="31"/>
      <c r="CF517" s="31"/>
      <c r="CG517" s="31"/>
    </row>
    <row r="518" ht="15.75" customHeight="1">
      <c r="A518" s="161"/>
      <c r="B518" s="161"/>
      <c r="C518" s="161"/>
      <c r="D518" s="161"/>
      <c r="E518" s="161"/>
      <c r="F518" s="161"/>
      <c r="G518" s="161"/>
      <c r="H518" s="161"/>
      <c r="I518" s="161"/>
      <c r="J518" s="161"/>
      <c r="K518" s="161"/>
      <c r="L518" s="161"/>
      <c r="M518" s="161"/>
      <c r="N518" s="161"/>
      <c r="O518" s="161"/>
      <c r="P518" s="161"/>
      <c r="Q518" s="161"/>
      <c r="R518" s="161"/>
      <c r="S518" s="161"/>
      <c r="T518" s="161"/>
      <c r="U518" s="161"/>
      <c r="V518" s="161"/>
      <c r="W518" s="161"/>
      <c r="X518" s="161"/>
      <c r="Y518" s="161"/>
      <c r="Z518" s="161"/>
      <c r="AA518" s="161"/>
      <c r="AB518" s="161"/>
      <c r="AC518" s="161"/>
      <c r="AD518" s="161"/>
      <c r="AE518" s="161"/>
      <c r="AF518" s="161"/>
      <c r="AG518" s="161"/>
      <c r="AH518" s="161"/>
      <c r="AI518" s="161"/>
      <c r="AJ518" s="161"/>
      <c r="AK518" s="161"/>
      <c r="AL518" s="161"/>
      <c r="AM518" s="161"/>
      <c r="AN518" s="161"/>
      <c r="AO518" s="161"/>
      <c r="AP518" s="161"/>
      <c r="AQ518" s="161"/>
      <c r="AR518" s="161"/>
      <c r="AS518" s="161"/>
      <c r="AT518" s="161"/>
      <c r="AU518" s="161"/>
      <c r="AV518" s="161"/>
      <c r="AW518" s="161"/>
      <c r="AX518" s="161"/>
      <c r="AY518" s="161"/>
      <c r="AZ518" s="161"/>
      <c r="BA518" s="161"/>
      <c r="BB518" s="161"/>
      <c r="BC518" s="161"/>
      <c r="BD518" s="161"/>
      <c r="BE518" s="161"/>
      <c r="BF518" s="161"/>
      <c r="BG518" s="161"/>
      <c r="BH518" s="161"/>
      <c r="BI518" s="161"/>
      <c r="BJ518" s="161"/>
      <c r="BK518" s="161"/>
      <c r="BL518" s="161"/>
      <c r="BM518" s="161"/>
      <c r="BN518" s="161"/>
      <c r="BO518" s="161"/>
      <c r="BP518" s="161"/>
      <c r="BQ518" s="161"/>
      <c r="BR518" s="161"/>
      <c r="BS518" s="161"/>
      <c r="BT518" s="161"/>
      <c r="BU518" s="161"/>
      <c r="BV518" s="161"/>
      <c r="BW518" s="161"/>
      <c r="BX518" s="161"/>
      <c r="BY518" s="161"/>
      <c r="BZ518" s="161"/>
      <c r="CA518" s="161"/>
      <c r="CB518" s="161"/>
      <c r="CC518" s="161"/>
      <c r="CD518" s="161"/>
      <c r="CE518" s="161"/>
      <c r="CF518" s="161"/>
      <c r="CG518" s="16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0" t="s">
        <v>437</v>
      </c>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c r="BW519" s="31"/>
      <c r="BX519" s="31"/>
      <c r="BY519" s="31"/>
      <c r="BZ519" s="31"/>
      <c r="CA519" s="31"/>
      <c r="CB519" s="31"/>
      <c r="CC519" s="31"/>
      <c r="CD519" s="31"/>
      <c r="CE519" s="31"/>
      <c r="CF519" s="31"/>
      <c r="CG519" s="31"/>
    </row>
    <row r="520" ht="15.75" customHeight="1">
      <c r="A520" s="162" t="s">
        <v>191</v>
      </c>
      <c r="B520" s="163" t="s">
        <v>438</v>
      </c>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c r="AA520" s="163"/>
      <c r="AB520" s="163"/>
      <c r="AC520" s="163"/>
      <c r="AD520" s="163"/>
      <c r="AE520" s="163"/>
      <c r="AF520" s="163"/>
      <c r="AG520" s="163"/>
      <c r="AH520" s="163"/>
      <c r="AI520" s="163"/>
      <c r="AJ520" s="163"/>
      <c r="AK520" s="163"/>
      <c r="AL520" s="163"/>
      <c r="AM520" s="163"/>
      <c r="AN520" s="163"/>
      <c r="AO520" s="164" t="s">
        <v>439</v>
      </c>
      <c r="AP520" s="31"/>
      <c r="AQ520" s="31"/>
      <c r="AR520" s="31"/>
      <c r="AS520" s="31"/>
      <c r="AT520" s="31"/>
      <c r="AU520" s="31"/>
      <c r="AV520" s="31"/>
      <c r="AW520" s="45" t="s">
        <v>440</v>
      </c>
      <c r="AX520" s="31"/>
      <c r="AY520" s="31"/>
      <c r="AZ520" s="31"/>
      <c r="BA520" s="31"/>
      <c r="BB520" s="31"/>
      <c r="BC520" s="31"/>
      <c r="BD520" s="31"/>
      <c r="BE520" s="31"/>
      <c r="BF520" s="31"/>
      <c r="BG520" s="31"/>
      <c r="BH520" s="31"/>
      <c r="BI520" s="31"/>
      <c r="BJ520" s="31"/>
      <c r="BK520" s="31"/>
      <c r="BL520" s="31"/>
      <c r="BM520" s="31"/>
      <c r="BN520" s="31"/>
      <c r="BO520" s="31"/>
      <c r="BP520" s="31"/>
      <c r="BQ520" s="31"/>
      <c r="BR520" s="31"/>
      <c r="BS520" s="31"/>
      <c r="BT520" s="31"/>
      <c r="BU520" s="31"/>
      <c r="BV520" s="31"/>
      <c r="BW520" s="31"/>
      <c r="BX520" s="31"/>
      <c r="BY520" s="31"/>
      <c r="BZ520" s="31"/>
      <c r="CA520" s="31"/>
      <c r="CB520" s="31"/>
      <c r="CC520" s="31"/>
      <c r="CD520" s="31"/>
      <c r="CE520" s="31"/>
      <c r="CF520" s="31"/>
      <c r="CG520" s="31"/>
    </row>
    <row r="521" ht="15.75" customHeight="1">
      <c r="A521" s="165" t="s">
        <v>441</v>
      </c>
      <c r="B521" s="166"/>
      <c r="C521" s="166"/>
      <c r="D521" s="166"/>
      <c r="E521" s="166"/>
      <c r="F521" s="166"/>
      <c r="G521" s="166"/>
      <c r="H521" s="166"/>
      <c r="I521" s="166"/>
      <c r="J521" s="166"/>
      <c r="K521" s="166"/>
      <c r="L521" s="166"/>
      <c r="M521" s="166"/>
      <c r="N521" s="166"/>
      <c r="O521" s="167"/>
      <c r="P521" s="166"/>
      <c r="Q521" s="166"/>
      <c r="R521" s="166"/>
      <c r="S521" s="166"/>
      <c r="T521" s="166"/>
      <c r="U521" s="166"/>
      <c r="V521" s="166"/>
      <c r="W521" s="166"/>
      <c r="X521" s="166"/>
      <c r="Y521" s="166"/>
      <c r="Z521" s="166"/>
      <c r="AA521" s="166"/>
      <c r="AB521" s="166"/>
      <c r="AC521" s="166"/>
      <c r="AD521" s="166"/>
      <c r="AE521" s="166"/>
      <c r="AF521" s="166"/>
      <c r="AG521" s="166"/>
      <c r="AH521" s="166"/>
      <c r="AI521" s="166"/>
      <c r="AJ521" s="168"/>
      <c r="AK521" s="166"/>
      <c r="AL521" s="166"/>
      <c r="AM521" s="166"/>
      <c r="AN521" s="166"/>
      <c r="AO521" s="169"/>
      <c r="AP521" s="31"/>
      <c r="AQ521" s="31"/>
      <c r="AR521" s="31"/>
      <c r="AS521" s="31"/>
      <c r="AT521" s="31"/>
      <c r="AU521" s="31"/>
      <c r="AV521" s="31"/>
      <c r="AW521" s="45" t="s">
        <v>442</v>
      </c>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c r="BW521" s="31"/>
      <c r="BX521" s="31"/>
      <c r="BY521" s="31"/>
      <c r="BZ521" s="31"/>
      <c r="CA521" s="31"/>
      <c r="CB521" s="31"/>
      <c r="CC521" s="31"/>
      <c r="CD521" s="31"/>
      <c r="CE521" s="31"/>
      <c r="CF521" s="31"/>
      <c r="CG521" s="31"/>
    </row>
    <row r="522" ht="15.75" customHeight="1">
      <c r="A522" s="170" t="s">
        <v>195</v>
      </c>
      <c r="B522" s="50">
        <v>1.0</v>
      </c>
      <c r="C522" s="50">
        <v>2.0</v>
      </c>
      <c r="D522" s="50">
        <v>3.0</v>
      </c>
      <c r="E522" s="50">
        <v>4.0</v>
      </c>
      <c r="F522" s="50">
        <v>5.0</v>
      </c>
      <c r="G522" s="50">
        <v>6.0</v>
      </c>
      <c r="H522" s="50">
        <v>7.0</v>
      </c>
      <c r="I522" s="50">
        <v>8.0</v>
      </c>
      <c r="J522" s="50">
        <v>9.0</v>
      </c>
      <c r="K522" s="50">
        <v>10.0</v>
      </c>
      <c r="L522" s="50">
        <v>11.0</v>
      </c>
      <c r="M522" s="50">
        <v>12.0</v>
      </c>
      <c r="N522" s="50">
        <v>13.0</v>
      </c>
      <c r="O522" s="50">
        <v>14.0</v>
      </c>
      <c r="P522" s="40">
        <v>15.0</v>
      </c>
      <c r="Q522" s="40">
        <v>16.0</v>
      </c>
      <c r="R522" s="40">
        <v>17.0</v>
      </c>
      <c r="S522" s="40">
        <v>18.0</v>
      </c>
      <c r="T522" s="40">
        <v>19.0</v>
      </c>
      <c r="U522" s="40">
        <v>20.0</v>
      </c>
      <c r="V522" s="40">
        <v>21.0</v>
      </c>
      <c r="W522" s="40">
        <v>22.0</v>
      </c>
      <c r="X522" s="40">
        <v>23.0</v>
      </c>
      <c r="Y522" s="40">
        <v>24.0</v>
      </c>
      <c r="Z522" s="40">
        <v>25.0</v>
      </c>
      <c r="AA522" s="40">
        <v>26.0</v>
      </c>
      <c r="AB522" s="40">
        <v>27.0</v>
      </c>
      <c r="AC522" s="40">
        <v>28.0</v>
      </c>
      <c r="AD522" s="40">
        <v>29.0</v>
      </c>
      <c r="AE522" s="40">
        <v>30.0</v>
      </c>
      <c r="AF522" s="40">
        <v>31.0</v>
      </c>
      <c r="AG522" s="40">
        <v>32.0</v>
      </c>
      <c r="AH522" s="40">
        <v>33.0</v>
      </c>
      <c r="AI522" s="40">
        <v>34.0</v>
      </c>
      <c r="AJ522" s="40">
        <v>35.0</v>
      </c>
      <c r="AK522" s="40">
        <v>36.0</v>
      </c>
      <c r="AL522" s="40">
        <v>37.0</v>
      </c>
      <c r="AM522" s="40">
        <v>38.0</v>
      </c>
      <c r="AN522" s="40">
        <v>39.0</v>
      </c>
      <c r="AO522" s="171">
        <v>40.0</v>
      </c>
      <c r="AP522" s="31"/>
      <c r="AQ522" s="31"/>
      <c r="AR522" s="31"/>
      <c r="AS522" s="31"/>
      <c r="AT522" s="31"/>
      <c r="AU522" s="31"/>
      <c r="AV522" s="31"/>
      <c r="AW522" s="45" t="s">
        <v>443</v>
      </c>
      <c r="AX522" s="31"/>
      <c r="AY522" s="31"/>
      <c r="AZ522" s="31"/>
      <c r="BA522" s="31"/>
      <c r="BB522" s="31"/>
      <c r="BC522" s="31"/>
      <c r="BD522" s="31"/>
      <c r="BE522" s="31"/>
      <c r="BF522" s="31"/>
      <c r="BG522" s="31"/>
      <c r="BH522" s="31"/>
      <c r="BI522" s="31"/>
      <c r="BJ522" s="31"/>
      <c r="BK522" s="31"/>
      <c r="BL522" s="31"/>
      <c r="BM522" s="31"/>
      <c r="BN522" s="31"/>
      <c r="BO522" s="31"/>
      <c r="BP522" s="31"/>
      <c r="BQ522" s="31"/>
      <c r="BR522" s="31"/>
      <c r="BS522" s="31"/>
      <c r="BT522" s="31"/>
      <c r="BU522" s="31"/>
      <c r="BV522" s="31"/>
      <c r="BW522" s="31"/>
      <c r="BX522" s="31"/>
      <c r="BY522" s="31"/>
      <c r="BZ522" s="31"/>
      <c r="CA522" s="31"/>
      <c r="CB522" s="31"/>
      <c r="CC522" s="31"/>
      <c r="CD522" s="31"/>
      <c r="CE522" s="31"/>
      <c r="CF522" s="31"/>
      <c r="CG522" s="31"/>
    </row>
    <row r="523" ht="15.75" customHeight="1">
      <c r="A523" s="172" t="s">
        <v>199</v>
      </c>
      <c r="B523" s="51" t="str">
        <f t="shared" ref="B523:AL523" si="131">B516</f>
        <v>1</v>
      </c>
      <c r="C523" s="51" t="str">
        <f t="shared" si="131"/>
        <v>4</v>
      </c>
      <c r="D523" s="51" t="str">
        <f t="shared" si="131"/>
        <v>1</v>
      </c>
      <c r="E523" s="51" t="str">
        <f t="shared" si="131"/>
        <v>2</v>
      </c>
      <c r="F523" s="51" t="str">
        <f t="shared" si="131"/>
        <v>5</v>
      </c>
      <c r="G523" s="51" t="str">
        <f t="shared" si="131"/>
        <v>4</v>
      </c>
      <c r="H523" s="51" t="str">
        <f t="shared" si="131"/>
        <v>8</v>
      </c>
      <c r="I523" s="51" t="str">
        <f t="shared" si="131"/>
        <v>5</v>
      </c>
      <c r="J523" s="51" t="str">
        <f t="shared" si="131"/>
        <v>7</v>
      </c>
      <c r="K523" s="51" t="str">
        <f t="shared" si="131"/>
        <v>7</v>
      </c>
      <c r="L523" s="51" t="str">
        <f t="shared" si="131"/>
        <v>2</v>
      </c>
      <c r="M523" s="51" t="str">
        <f t="shared" si="131"/>
        <v>8</v>
      </c>
      <c r="N523" s="51" t="str">
        <f t="shared" si="131"/>
        <v>1</v>
      </c>
      <c r="O523" s="51" t="str">
        <f t="shared" si="131"/>
        <v>6</v>
      </c>
      <c r="P523" s="43" t="str">
        <f t="shared" si="131"/>
        <v>4</v>
      </c>
      <c r="Q523" s="43" t="str">
        <f t="shared" si="131"/>
        <v>5</v>
      </c>
      <c r="R523" s="43" t="str">
        <f t="shared" si="131"/>
        <v>7</v>
      </c>
      <c r="S523" s="43" t="str">
        <f t="shared" si="131"/>
        <v>3</v>
      </c>
      <c r="T523" s="43" t="str">
        <f t="shared" si="131"/>
        <v>1</v>
      </c>
      <c r="U523" s="43" t="str">
        <f t="shared" si="131"/>
        <v>6</v>
      </c>
      <c r="V523" s="43" t="str">
        <f t="shared" si="131"/>
        <v>0</v>
      </c>
      <c r="W523" s="43" t="str">
        <f t="shared" si="131"/>
        <v>4</v>
      </c>
      <c r="X523" s="43" t="str">
        <f t="shared" si="131"/>
        <v>1</v>
      </c>
      <c r="Y523" s="43" t="str">
        <f t="shared" si="131"/>
        <v>1</v>
      </c>
      <c r="Z523" s="43" t="str">
        <f t="shared" si="131"/>
        <v>2</v>
      </c>
      <c r="AA523" s="43" t="str">
        <f t="shared" si="131"/>
        <v>9</v>
      </c>
      <c r="AB523" s="43" t="str">
        <f t="shared" si="131"/>
        <v>2</v>
      </c>
      <c r="AC523" s="43" t="str">
        <f t="shared" si="131"/>
        <v>0</v>
      </c>
      <c r="AD523" s="43" t="str">
        <f t="shared" si="131"/>
        <v>0</v>
      </c>
      <c r="AE523" s="43" t="str">
        <f t="shared" si="131"/>
        <v/>
      </c>
      <c r="AF523" s="43" t="str">
        <f t="shared" si="131"/>
        <v/>
      </c>
      <c r="AG523" s="43" t="str">
        <f t="shared" si="131"/>
        <v/>
      </c>
      <c r="AH523" s="43" t="str">
        <f t="shared" si="131"/>
        <v/>
      </c>
      <c r="AI523" s="43" t="str">
        <f t="shared" si="131"/>
        <v/>
      </c>
      <c r="AJ523" s="43" t="str">
        <f t="shared" si="131"/>
        <v/>
      </c>
      <c r="AK523" s="43" t="str">
        <f t="shared" si="131"/>
        <v/>
      </c>
      <c r="AL523" s="43" t="str">
        <f t="shared" si="131"/>
        <v/>
      </c>
      <c r="AM523" s="43" t="str">
        <f t="shared" ref="AM523:AO523" si="132">MID($A519,AM522,1)</f>
        <v/>
      </c>
      <c r="AN523" s="43" t="str">
        <f t="shared" si="132"/>
        <v/>
      </c>
      <c r="AO523" s="173" t="str">
        <f t="shared" si="132"/>
        <v/>
      </c>
      <c r="AP523" s="31"/>
      <c r="AQ523" s="31"/>
      <c r="AR523" s="31"/>
      <c r="AS523" s="31"/>
      <c r="AT523" s="31"/>
      <c r="AU523" s="31"/>
      <c r="AV523" s="31"/>
      <c r="AW523" s="45" t="s">
        <v>444</v>
      </c>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c r="BW523" s="31"/>
      <c r="BX523" s="31"/>
      <c r="BY523" s="31"/>
      <c r="BZ523" s="31"/>
      <c r="CA523" s="31"/>
      <c r="CB523" s="31"/>
      <c r="CC523" s="31"/>
      <c r="CD523" s="31"/>
      <c r="CE523" s="31"/>
      <c r="CF523" s="31"/>
      <c r="CG523" s="31"/>
    </row>
    <row r="524" ht="15.75" customHeight="1">
      <c r="A524" s="174" t="s">
        <v>196</v>
      </c>
      <c r="B524" s="43" t="str">
        <f t="shared" ref="B524:O524" si="133">B523</f>
        <v>1</v>
      </c>
      <c r="C524" s="43" t="str">
        <f t="shared" si="133"/>
        <v>4</v>
      </c>
      <c r="D524" s="43" t="str">
        <f t="shared" si="133"/>
        <v>1</v>
      </c>
      <c r="E524" s="43" t="str">
        <f t="shared" si="133"/>
        <v>2</v>
      </c>
      <c r="F524" s="43" t="str">
        <f t="shared" si="133"/>
        <v>5</v>
      </c>
      <c r="G524" s="43" t="str">
        <f t="shared" si="133"/>
        <v>4</v>
      </c>
      <c r="H524" s="43" t="str">
        <f t="shared" si="133"/>
        <v>8</v>
      </c>
      <c r="I524" s="43" t="str">
        <f t="shared" si="133"/>
        <v>5</v>
      </c>
      <c r="J524" s="43" t="str">
        <f t="shared" si="133"/>
        <v>7</v>
      </c>
      <c r="K524" s="43" t="str">
        <f t="shared" si="133"/>
        <v>7</v>
      </c>
      <c r="L524" s="43" t="str">
        <f t="shared" si="133"/>
        <v>2</v>
      </c>
      <c r="M524" s="43" t="str">
        <f t="shared" si="133"/>
        <v>8</v>
      </c>
      <c r="N524" s="43" t="str">
        <f t="shared" si="133"/>
        <v>1</v>
      </c>
      <c r="O524" s="175" t="str">
        <f t="shared" si="133"/>
        <v>6</v>
      </c>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t="str">
        <f t="shared" ref="AN524:AO524" si="134">AN523</f>
        <v/>
      </c>
      <c r="AO524" s="173" t="str">
        <f t="shared" si="134"/>
        <v/>
      </c>
      <c r="AP524" s="33"/>
      <c r="AQ524" s="33"/>
      <c r="AR524" s="33"/>
      <c r="AS524" s="31"/>
      <c r="AT524" s="33"/>
      <c r="AU524" s="33"/>
      <c r="AV524" s="33"/>
      <c r="AW524" s="45" t="s">
        <v>445</v>
      </c>
      <c r="AX524" s="33"/>
      <c r="AY524" s="33"/>
      <c r="AZ524" s="33"/>
      <c r="BA524" s="33"/>
      <c r="BB524" s="33"/>
      <c r="BC524" s="31"/>
      <c r="BD524" s="31"/>
      <c r="BE524" s="31"/>
      <c r="BF524" s="31"/>
      <c r="BG524" s="33"/>
      <c r="BH524" s="33"/>
      <c r="BI524" s="33"/>
      <c r="BJ524" s="33"/>
      <c r="BK524" s="33"/>
      <c r="BL524" s="33"/>
      <c r="BM524" s="33"/>
      <c r="BN524" s="33"/>
      <c r="BO524" s="33"/>
      <c r="BP524" s="33"/>
      <c r="BQ524" s="33"/>
      <c r="BR524" s="33"/>
      <c r="BS524" s="33"/>
      <c r="BT524" s="33"/>
      <c r="BU524" s="33"/>
      <c r="BV524" s="33"/>
      <c r="BW524" s="33"/>
      <c r="BX524" s="33"/>
      <c r="BY524" s="33"/>
      <c r="BZ524" s="33"/>
      <c r="CA524" s="33"/>
      <c r="CB524" s="33"/>
      <c r="CC524" s="33"/>
      <c r="CD524" s="33"/>
      <c r="CE524" s="33"/>
      <c r="CF524" s="33"/>
      <c r="CG524" s="33"/>
    </row>
    <row r="525" ht="15.75" customHeight="1">
      <c r="A525" s="17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177"/>
      <c r="AP525" s="33"/>
      <c r="AQ525" s="33"/>
      <c r="AR525" s="33"/>
      <c r="AS525" s="31"/>
      <c r="AT525" s="33"/>
      <c r="AU525" s="33"/>
      <c r="AV525" s="33"/>
      <c r="AW525" s="31"/>
      <c r="AX525" s="33"/>
      <c r="AY525" s="33"/>
      <c r="AZ525" s="33"/>
      <c r="BA525" s="33"/>
      <c r="BB525" s="33"/>
      <c r="BC525" s="31"/>
      <c r="BD525" s="31"/>
      <c r="BE525" s="31"/>
      <c r="BF525" s="31"/>
      <c r="BG525" s="33"/>
      <c r="BH525" s="33"/>
      <c r="BI525" s="33"/>
      <c r="BJ525" s="33"/>
      <c r="BK525" s="33"/>
      <c r="BL525" s="33"/>
      <c r="BM525" s="33"/>
      <c r="BN525" s="33"/>
      <c r="BO525" s="33"/>
      <c r="BP525" s="33"/>
      <c r="BQ525" s="33"/>
      <c r="BR525" s="33"/>
      <c r="BS525" s="33"/>
      <c r="BT525" s="33"/>
      <c r="BU525" s="33"/>
      <c r="BV525" s="33"/>
      <c r="BW525" s="33"/>
      <c r="BX525" s="33"/>
      <c r="BY525" s="33"/>
      <c r="BZ525" s="33"/>
      <c r="CA525" s="33"/>
      <c r="CB525" s="33"/>
      <c r="CC525" s="33"/>
      <c r="CD525" s="33"/>
      <c r="CE525" s="33"/>
      <c r="CF525" s="33"/>
      <c r="CG525" s="33"/>
    </row>
    <row r="526" ht="15.75" customHeight="1">
      <c r="A526" s="17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177"/>
      <c r="AP526" s="31"/>
      <c r="AQ526" s="31"/>
      <c r="AR526" s="31"/>
      <c r="AS526" s="31"/>
      <c r="AT526" s="31"/>
      <c r="AU526" s="31"/>
      <c r="AV526" s="31"/>
      <c r="AW526" s="30" t="s">
        <v>446</v>
      </c>
      <c r="AX526" s="31"/>
      <c r="AY526" s="31"/>
      <c r="AZ526" s="31"/>
      <c r="BA526" s="31"/>
      <c r="BB526" s="31"/>
      <c r="BC526" s="31"/>
      <c r="BD526" s="31"/>
      <c r="BE526" s="31"/>
      <c r="BF526" s="31"/>
      <c r="BG526" s="31"/>
      <c r="BH526" s="31"/>
      <c r="BI526" s="31"/>
      <c r="BJ526" s="31"/>
      <c r="BK526" s="31"/>
      <c r="BL526" s="31"/>
      <c r="BM526" s="31"/>
      <c r="BN526" s="31"/>
      <c r="BO526" s="31"/>
      <c r="BP526" s="31"/>
      <c r="BQ526" s="31"/>
      <c r="BR526" s="31"/>
      <c r="BS526" s="31"/>
      <c r="BT526" s="31"/>
      <c r="BU526" s="31"/>
      <c r="BV526" s="31"/>
      <c r="BW526" s="31"/>
      <c r="BX526" s="31"/>
      <c r="BY526" s="31"/>
      <c r="BZ526" s="31"/>
      <c r="CA526" s="31"/>
      <c r="CB526" s="31"/>
      <c r="CC526" s="31"/>
      <c r="CD526" s="31"/>
      <c r="CE526" s="31"/>
      <c r="CF526" s="31"/>
      <c r="CG526" s="31"/>
    </row>
    <row r="527" ht="15.75" customHeight="1">
      <c r="A527" s="17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177"/>
      <c r="AP527" s="31"/>
      <c r="AQ527" s="31"/>
      <c r="AR527" s="31"/>
      <c r="AS527" s="31"/>
      <c r="AT527" s="31"/>
      <c r="AU527" s="31"/>
      <c r="AV527" s="31"/>
      <c r="AW527" s="45" t="s">
        <v>447</v>
      </c>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c r="BW527" s="31"/>
      <c r="BX527" s="31"/>
      <c r="BY527" s="31"/>
      <c r="BZ527" s="31"/>
      <c r="CA527" s="31"/>
      <c r="CB527" s="31"/>
      <c r="CC527" s="31"/>
      <c r="CD527" s="31"/>
      <c r="CE527" s="31"/>
      <c r="CF527" s="31"/>
      <c r="CG527" s="31"/>
    </row>
    <row r="528" ht="15.75" customHeight="1">
      <c r="A528" s="178" t="s">
        <v>448</v>
      </c>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179"/>
      <c r="AP528" s="31"/>
      <c r="AQ528" s="31"/>
      <c r="AR528" s="31"/>
      <c r="AS528" s="31"/>
      <c r="AT528" s="31"/>
      <c r="AU528" s="31"/>
      <c r="AV528" s="31"/>
      <c r="AW528" s="45" t="s">
        <v>449</v>
      </c>
      <c r="AX528" s="31"/>
      <c r="AY528" s="31"/>
      <c r="AZ528" s="31"/>
      <c r="BA528" s="31"/>
      <c r="BB528" s="31"/>
      <c r="BC528" s="31"/>
      <c r="BD528" s="31"/>
      <c r="BE528" s="31"/>
      <c r="BF528" s="31"/>
      <c r="BG528" s="31"/>
      <c r="BH528" s="31"/>
      <c r="BI528" s="31"/>
      <c r="BJ528" s="31"/>
      <c r="BK528" s="31"/>
      <c r="BL528" s="31"/>
      <c r="BM528" s="31"/>
      <c r="BN528" s="31"/>
      <c r="BO528" s="31"/>
      <c r="BP528" s="31"/>
      <c r="BQ528" s="31"/>
      <c r="BR528" s="31"/>
      <c r="BS528" s="31"/>
      <c r="BT528" s="31"/>
      <c r="BU528" s="31"/>
      <c r="BV528" s="31"/>
      <c r="BW528" s="31"/>
      <c r="BX528" s="31"/>
      <c r="BY528" s="31"/>
      <c r="BZ528" s="31"/>
      <c r="CA528" s="31"/>
      <c r="CB528" s="31"/>
      <c r="CC528" s="31"/>
      <c r="CD528" s="31"/>
      <c r="CE528" s="31"/>
      <c r="CF528" s="31"/>
      <c r="CG528" s="31"/>
    </row>
    <row r="529" ht="15.75" customHeight="1">
      <c r="A529" s="170" t="s">
        <v>195</v>
      </c>
      <c r="B529" s="40">
        <v>1.0</v>
      </c>
      <c r="C529" s="40">
        <v>2.0</v>
      </c>
      <c r="D529" s="50">
        <v>3.0</v>
      </c>
      <c r="E529" s="50">
        <v>4.0</v>
      </c>
      <c r="F529" s="50">
        <v>5.0</v>
      </c>
      <c r="G529" s="50">
        <v>6.0</v>
      </c>
      <c r="H529" s="50">
        <v>7.0</v>
      </c>
      <c r="I529" s="50">
        <v>8.0</v>
      </c>
      <c r="J529" s="50">
        <v>9.0</v>
      </c>
      <c r="K529" s="50">
        <v>10.0</v>
      </c>
      <c r="L529" s="50">
        <v>11.0</v>
      </c>
      <c r="M529" s="50">
        <v>12.0</v>
      </c>
      <c r="N529" s="50">
        <v>13.0</v>
      </c>
      <c r="O529" s="40">
        <v>14.0</v>
      </c>
      <c r="P529" s="40">
        <v>15.0</v>
      </c>
      <c r="Q529" s="40">
        <v>16.0</v>
      </c>
      <c r="R529" s="40">
        <v>16.0</v>
      </c>
      <c r="S529" s="40">
        <v>16.0</v>
      </c>
      <c r="T529" s="40">
        <v>16.0</v>
      </c>
      <c r="U529" s="40">
        <v>16.0</v>
      </c>
      <c r="V529" s="40">
        <v>16.0</v>
      </c>
      <c r="W529" s="40">
        <v>16.0</v>
      </c>
      <c r="X529" s="40">
        <v>16.0</v>
      </c>
      <c r="Y529" s="40">
        <v>24.0</v>
      </c>
      <c r="Z529" s="40">
        <v>25.0</v>
      </c>
      <c r="AA529" s="40">
        <v>26.0</v>
      </c>
      <c r="AB529" s="40">
        <v>27.0</v>
      </c>
      <c r="AC529" s="40">
        <v>28.0</v>
      </c>
      <c r="AD529" s="40">
        <v>29.0</v>
      </c>
      <c r="AE529" s="40">
        <v>30.0</v>
      </c>
      <c r="AF529" s="40">
        <v>31.0</v>
      </c>
      <c r="AG529" s="40">
        <v>32.0</v>
      </c>
      <c r="AH529" s="40">
        <v>33.0</v>
      </c>
      <c r="AI529" s="40">
        <v>34.0</v>
      </c>
      <c r="AJ529" s="40">
        <v>35.0</v>
      </c>
      <c r="AK529" s="40">
        <v>36.0</v>
      </c>
      <c r="AL529" s="40">
        <v>37.0</v>
      </c>
      <c r="AM529" s="40">
        <v>38.0</v>
      </c>
      <c r="AN529" s="40">
        <v>39.0</v>
      </c>
      <c r="AO529" s="171">
        <v>40.0</v>
      </c>
      <c r="AP529" s="31"/>
      <c r="AQ529" s="31"/>
      <c r="AR529" s="31"/>
      <c r="AS529" s="31"/>
      <c r="AT529" s="31"/>
      <c r="AU529" s="31"/>
      <c r="AV529" s="31"/>
      <c r="AW529" s="45" t="s">
        <v>450</v>
      </c>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c r="BV529" s="31"/>
      <c r="BW529" s="31"/>
      <c r="BX529" s="31"/>
      <c r="BY529" s="31"/>
      <c r="BZ529" s="31"/>
      <c r="CA529" s="31"/>
      <c r="CB529" s="31"/>
      <c r="CC529" s="31"/>
      <c r="CD529" s="31"/>
      <c r="CE529" s="31"/>
      <c r="CF529" s="31"/>
      <c r="CG529" s="31"/>
    </row>
    <row r="530" ht="15.75" customHeight="1">
      <c r="A530" s="174" t="s">
        <v>196</v>
      </c>
      <c r="B530" s="43" t="str">
        <f t="shared" ref="B530:AO530" si="135">B524</f>
        <v>1</v>
      </c>
      <c r="C530" s="43" t="str">
        <f t="shared" si="135"/>
        <v>4</v>
      </c>
      <c r="D530" s="51" t="str">
        <f t="shared" si="135"/>
        <v>1</v>
      </c>
      <c r="E530" s="51" t="str">
        <f t="shared" si="135"/>
        <v>2</v>
      </c>
      <c r="F530" s="51" t="str">
        <f t="shared" si="135"/>
        <v>5</v>
      </c>
      <c r="G530" s="51" t="str">
        <f t="shared" si="135"/>
        <v>4</v>
      </c>
      <c r="H530" s="51" t="str">
        <f t="shared" si="135"/>
        <v>8</v>
      </c>
      <c r="I530" s="51" t="str">
        <f t="shared" si="135"/>
        <v>5</v>
      </c>
      <c r="J530" s="51" t="str">
        <f t="shared" si="135"/>
        <v>7</v>
      </c>
      <c r="K530" s="51" t="str">
        <f t="shared" si="135"/>
        <v>7</v>
      </c>
      <c r="L530" s="51" t="str">
        <f t="shared" si="135"/>
        <v>2</v>
      </c>
      <c r="M530" s="51" t="str">
        <f t="shared" si="135"/>
        <v>8</v>
      </c>
      <c r="N530" s="51" t="str">
        <f t="shared" si="135"/>
        <v>1</v>
      </c>
      <c r="O530" s="43" t="str">
        <f t="shared" si="135"/>
        <v>6</v>
      </c>
      <c r="P530" s="43" t="str">
        <f t="shared" si="135"/>
        <v/>
      </c>
      <c r="Q530" s="43" t="str">
        <f t="shared" si="135"/>
        <v/>
      </c>
      <c r="R530" s="43" t="str">
        <f t="shared" si="135"/>
        <v/>
      </c>
      <c r="S530" s="43" t="str">
        <f t="shared" si="135"/>
        <v/>
      </c>
      <c r="T530" s="43" t="str">
        <f t="shared" si="135"/>
        <v/>
      </c>
      <c r="U530" s="43" t="str">
        <f t="shared" si="135"/>
        <v/>
      </c>
      <c r="V530" s="43" t="str">
        <f t="shared" si="135"/>
        <v/>
      </c>
      <c r="W530" s="43" t="str">
        <f t="shared" si="135"/>
        <v/>
      </c>
      <c r="X530" s="43" t="str">
        <f t="shared" si="135"/>
        <v/>
      </c>
      <c r="Y530" s="43" t="str">
        <f t="shared" si="135"/>
        <v/>
      </c>
      <c r="Z530" s="43" t="str">
        <f t="shared" si="135"/>
        <v/>
      </c>
      <c r="AA530" s="43" t="str">
        <f t="shared" si="135"/>
        <v/>
      </c>
      <c r="AB530" s="43" t="str">
        <f t="shared" si="135"/>
        <v/>
      </c>
      <c r="AC530" s="43" t="str">
        <f t="shared" si="135"/>
        <v/>
      </c>
      <c r="AD530" s="43" t="str">
        <f t="shared" si="135"/>
        <v/>
      </c>
      <c r="AE530" s="43" t="str">
        <f t="shared" si="135"/>
        <v/>
      </c>
      <c r="AF530" s="43" t="str">
        <f t="shared" si="135"/>
        <v/>
      </c>
      <c r="AG530" s="43" t="str">
        <f t="shared" si="135"/>
        <v/>
      </c>
      <c r="AH530" s="43" t="str">
        <f t="shared" si="135"/>
        <v/>
      </c>
      <c r="AI530" s="43" t="str">
        <f t="shared" si="135"/>
        <v/>
      </c>
      <c r="AJ530" s="43" t="str">
        <f t="shared" si="135"/>
        <v/>
      </c>
      <c r="AK530" s="43" t="str">
        <f t="shared" si="135"/>
        <v/>
      </c>
      <c r="AL530" s="43" t="str">
        <f t="shared" si="135"/>
        <v/>
      </c>
      <c r="AM530" s="43" t="str">
        <f t="shared" si="135"/>
        <v/>
      </c>
      <c r="AN530" s="43" t="str">
        <f t="shared" si="135"/>
        <v/>
      </c>
      <c r="AO530" s="173" t="str">
        <f t="shared" si="135"/>
        <v/>
      </c>
      <c r="AP530" s="31"/>
      <c r="AQ530" s="31"/>
      <c r="AR530" s="31"/>
      <c r="AS530" s="31"/>
      <c r="AT530" s="31"/>
      <c r="AU530" s="31"/>
      <c r="AV530" s="31"/>
      <c r="AW530" s="45" t="s">
        <v>451</v>
      </c>
      <c r="AX530" s="31"/>
      <c r="AY530" s="31"/>
      <c r="AZ530" s="31"/>
      <c r="BA530" s="31"/>
      <c r="BB530" s="31"/>
      <c r="BC530" s="31"/>
      <c r="BD530" s="31"/>
      <c r="BE530" s="31"/>
      <c r="BF530" s="31"/>
      <c r="BG530" s="31"/>
      <c r="BH530" s="31"/>
      <c r="BI530" s="31"/>
      <c r="BJ530" s="31"/>
      <c r="BK530" s="31"/>
      <c r="BL530" s="31"/>
      <c r="BM530" s="31"/>
      <c r="BN530" s="31"/>
      <c r="BO530" s="31"/>
      <c r="BP530" s="31"/>
      <c r="BQ530" s="31"/>
      <c r="BR530" s="31"/>
      <c r="BS530" s="31"/>
      <c r="BT530" s="31"/>
      <c r="BU530" s="31"/>
      <c r="BV530" s="31"/>
      <c r="BW530" s="31"/>
      <c r="BX530" s="31"/>
      <c r="BY530" s="31"/>
      <c r="BZ530" s="31"/>
      <c r="CA530" s="31"/>
      <c r="CB530" s="31"/>
      <c r="CC530" s="31"/>
      <c r="CD530" s="31"/>
      <c r="CE530" s="31"/>
      <c r="CF530" s="31"/>
      <c r="CG530" s="31"/>
    </row>
    <row r="531" ht="15.75" customHeight="1">
      <c r="A531" s="180" t="s">
        <v>200</v>
      </c>
      <c r="B531" s="43" t="str">
        <f t="shared" ref="B531:B532" si="136">B525</f>
        <v/>
      </c>
      <c r="C531" s="46"/>
      <c r="D531" s="43">
        <v>1.0</v>
      </c>
      <c r="E531" s="43">
        <v>2.0</v>
      </c>
      <c r="F531" s="43">
        <v>3.0</v>
      </c>
      <c r="G531" s="43">
        <v>4.0</v>
      </c>
      <c r="H531" s="43">
        <v>5.0</v>
      </c>
      <c r="I531" s="43">
        <v>6.0</v>
      </c>
      <c r="J531" s="43">
        <v>7.0</v>
      </c>
      <c r="K531" s="43">
        <v>8.0</v>
      </c>
      <c r="L531" s="43">
        <v>9.0</v>
      </c>
      <c r="M531" s="43">
        <v>10.0</v>
      </c>
      <c r="N531" s="43">
        <v>11.0</v>
      </c>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173"/>
      <c r="AP531" s="33"/>
      <c r="AQ531" s="33"/>
      <c r="AR531" s="33"/>
      <c r="AS531" s="31"/>
      <c r="AT531" s="33"/>
      <c r="AU531" s="33"/>
      <c r="AV531" s="33"/>
      <c r="AW531" s="45" t="s">
        <v>452</v>
      </c>
      <c r="AX531" s="33"/>
      <c r="AY531" s="33"/>
      <c r="AZ531" s="33"/>
      <c r="BA531" s="33"/>
      <c r="BB531" s="33"/>
      <c r="BC531" s="31"/>
      <c r="BD531" s="31"/>
      <c r="BE531" s="31"/>
      <c r="BF531" s="31"/>
      <c r="BG531" s="33"/>
      <c r="BH531" s="33"/>
      <c r="BI531" s="33"/>
      <c r="BJ531" s="33"/>
      <c r="BK531" s="33"/>
      <c r="BL531" s="33"/>
      <c r="BM531" s="33"/>
      <c r="BN531" s="33"/>
      <c r="BO531" s="33"/>
      <c r="BP531" s="33"/>
      <c r="BQ531" s="33"/>
      <c r="BR531" s="33"/>
      <c r="BS531" s="33"/>
      <c r="BT531" s="33"/>
      <c r="BU531" s="33"/>
      <c r="BV531" s="33"/>
      <c r="BW531" s="33"/>
      <c r="BX531" s="33"/>
      <c r="BY531" s="33"/>
      <c r="BZ531" s="33"/>
      <c r="CA531" s="33"/>
      <c r="CB531" s="33"/>
      <c r="CC531" s="33"/>
      <c r="CD531" s="33"/>
      <c r="CE531" s="33"/>
      <c r="CF531" s="33"/>
      <c r="CG531" s="33"/>
    </row>
    <row r="532" ht="15.75" customHeight="1">
      <c r="A532" s="180" t="s">
        <v>201</v>
      </c>
      <c r="B532" s="43" t="str">
        <f t="shared" si="136"/>
        <v/>
      </c>
      <c r="C532" s="43"/>
      <c r="D532" s="43">
        <f t="shared" ref="D532:N532" si="137">D531*D530</f>
        <v>1</v>
      </c>
      <c r="E532" s="43">
        <f t="shared" si="137"/>
        <v>4</v>
      </c>
      <c r="F532" s="43">
        <f t="shared" si="137"/>
        <v>15</v>
      </c>
      <c r="G532" s="43">
        <f t="shared" si="137"/>
        <v>16</v>
      </c>
      <c r="H532" s="43">
        <f t="shared" si="137"/>
        <v>40</v>
      </c>
      <c r="I532" s="43">
        <f t="shared" si="137"/>
        <v>30</v>
      </c>
      <c r="J532" s="43">
        <f t="shared" si="137"/>
        <v>49</v>
      </c>
      <c r="K532" s="43">
        <f t="shared" si="137"/>
        <v>56</v>
      </c>
      <c r="L532" s="43">
        <f t="shared" si="137"/>
        <v>18</v>
      </c>
      <c r="M532" s="43">
        <f t="shared" si="137"/>
        <v>80</v>
      </c>
      <c r="N532" s="43">
        <f t="shared" si="137"/>
        <v>11</v>
      </c>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173"/>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c r="BW532" s="31"/>
      <c r="BX532" s="31"/>
      <c r="BY532" s="31"/>
      <c r="BZ532" s="31"/>
      <c r="CA532" s="31"/>
      <c r="CB532" s="31"/>
      <c r="CC532" s="31"/>
      <c r="CD532" s="31"/>
      <c r="CE532" s="31"/>
      <c r="CF532" s="31"/>
      <c r="CG532" s="31"/>
    </row>
    <row r="533" ht="15.75" customHeight="1">
      <c r="A533" s="180" t="s">
        <v>203</v>
      </c>
      <c r="B533" s="52">
        <f>SUM(B532:AO532)</f>
        <v>320</v>
      </c>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181"/>
      <c r="AP533" s="31"/>
      <c r="AQ533" s="31"/>
      <c r="AR533" s="31"/>
      <c r="AS533" s="31"/>
      <c r="AT533" s="31"/>
      <c r="AU533" s="31"/>
      <c r="AV533" s="31"/>
      <c r="AW533" s="30" t="s">
        <v>453</v>
      </c>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c r="BV533" s="31"/>
      <c r="BW533" s="31"/>
      <c r="BX533" s="31"/>
      <c r="BY533" s="31"/>
      <c r="BZ533" s="31"/>
      <c r="CA533" s="31"/>
      <c r="CB533" s="31"/>
      <c r="CC533" s="31"/>
      <c r="CD533" s="31"/>
      <c r="CE533" s="31"/>
      <c r="CF533" s="31"/>
      <c r="CG533" s="31"/>
    </row>
    <row r="534" ht="15.75" customHeight="1">
      <c r="A534" s="182" t="s">
        <v>263</v>
      </c>
      <c r="B534" s="183">
        <f>MOD(B533,10)</f>
        <v>0</v>
      </c>
      <c r="C534" s="184" t="str">
        <f>IF(L517=3,IF(B534=O524,"SUCCESS","Go to A2"),"")</f>
        <v/>
      </c>
      <c r="D534" s="185"/>
      <c r="E534" s="185"/>
      <c r="F534" s="185"/>
      <c r="G534" s="185"/>
      <c r="H534" s="185"/>
      <c r="I534" s="185"/>
      <c r="J534" s="185"/>
      <c r="K534" s="185"/>
      <c r="L534" s="185"/>
      <c r="M534" s="185"/>
      <c r="N534" s="185"/>
      <c r="O534" s="185"/>
      <c r="P534" s="185"/>
      <c r="Q534" s="185"/>
      <c r="R534" s="185"/>
      <c r="S534" s="185"/>
      <c r="T534" s="185"/>
      <c r="U534" s="185"/>
      <c r="V534" s="185"/>
      <c r="W534" s="185"/>
      <c r="X534" s="185"/>
      <c r="Y534" s="185"/>
      <c r="Z534" s="185"/>
      <c r="AA534" s="185"/>
      <c r="AB534" s="185"/>
      <c r="AC534" s="185"/>
      <c r="AD534" s="185"/>
      <c r="AE534" s="185"/>
      <c r="AF534" s="185"/>
      <c r="AG534" s="185"/>
      <c r="AH534" s="185"/>
      <c r="AI534" s="185"/>
      <c r="AJ534" s="185"/>
      <c r="AK534" s="185"/>
      <c r="AL534" s="185"/>
      <c r="AM534" s="185"/>
      <c r="AN534" s="185"/>
      <c r="AO534" s="186"/>
      <c r="AP534" s="31"/>
      <c r="AQ534" s="31"/>
      <c r="AR534" s="31"/>
      <c r="AS534" s="31"/>
      <c r="AT534" s="31"/>
      <c r="AU534" s="31"/>
      <c r="AV534" s="31"/>
      <c r="AW534" s="45" t="s">
        <v>454</v>
      </c>
      <c r="AX534" s="31"/>
      <c r="AY534" s="31"/>
      <c r="AZ534" s="31"/>
      <c r="BA534" s="31"/>
      <c r="BB534" s="31"/>
      <c r="BC534" s="31"/>
      <c r="BD534" s="31"/>
      <c r="BE534" s="31"/>
      <c r="BF534" s="31"/>
      <c r="BG534" s="31"/>
      <c r="BH534" s="31"/>
      <c r="BI534" s="31"/>
      <c r="BJ534" s="31"/>
      <c r="BK534" s="31"/>
      <c r="BL534" s="31"/>
      <c r="BM534" s="31"/>
      <c r="BN534" s="31"/>
      <c r="BO534" s="31"/>
      <c r="BP534" s="31"/>
      <c r="BQ534" s="31"/>
      <c r="BR534" s="31"/>
      <c r="BS534" s="31"/>
      <c r="BT534" s="31"/>
      <c r="BU534" s="31"/>
      <c r="BV534" s="31"/>
      <c r="BW534" s="31"/>
      <c r="BX534" s="31"/>
      <c r="BY534" s="31"/>
      <c r="BZ534" s="31"/>
      <c r="CA534" s="31"/>
      <c r="CB534" s="31"/>
      <c r="CC534" s="31"/>
      <c r="CD534" s="31"/>
      <c r="CE534" s="31"/>
      <c r="CF534" s="31"/>
      <c r="CG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45" t="s">
        <v>455</v>
      </c>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c r="BW535" s="31"/>
      <c r="BX535" s="31"/>
      <c r="BY535" s="31"/>
      <c r="BZ535" s="31"/>
      <c r="CA535" s="31"/>
      <c r="CB535" s="31"/>
      <c r="CC535" s="31"/>
      <c r="CD535" s="31"/>
      <c r="CE535" s="31"/>
      <c r="CF535" s="31"/>
      <c r="CG535" s="31"/>
    </row>
    <row r="536" ht="15.75" customHeight="1">
      <c r="A536" s="165" t="s">
        <v>456</v>
      </c>
      <c r="B536" s="166"/>
      <c r="C536" s="166"/>
      <c r="D536" s="166"/>
      <c r="E536" s="166"/>
      <c r="F536" s="166"/>
      <c r="G536" s="166"/>
      <c r="H536" s="166"/>
      <c r="I536" s="166"/>
      <c r="J536" s="166"/>
      <c r="K536" s="166"/>
      <c r="L536" s="166"/>
      <c r="M536" s="166"/>
      <c r="N536" s="166"/>
      <c r="O536" s="167"/>
      <c r="P536" s="166"/>
      <c r="Q536" s="166"/>
      <c r="R536" s="166"/>
      <c r="S536" s="166"/>
      <c r="T536" s="166"/>
      <c r="U536" s="166"/>
      <c r="V536" s="166"/>
      <c r="W536" s="166"/>
      <c r="X536" s="166"/>
      <c r="Y536" s="166"/>
      <c r="Z536" s="166"/>
      <c r="AA536" s="166"/>
      <c r="AB536" s="166"/>
      <c r="AC536" s="166"/>
      <c r="AD536" s="166"/>
      <c r="AE536" s="166"/>
      <c r="AF536" s="166"/>
      <c r="AG536" s="166"/>
      <c r="AH536" s="166"/>
      <c r="AI536" s="166"/>
      <c r="AJ536" s="168"/>
      <c r="AK536" s="166"/>
      <c r="AL536" s="166"/>
      <c r="AM536" s="166"/>
      <c r="AN536" s="166"/>
      <c r="AO536" s="169"/>
      <c r="AP536" s="31"/>
      <c r="AQ536" s="31"/>
      <c r="AR536" s="31"/>
      <c r="AS536" s="31"/>
      <c r="AT536" s="31"/>
      <c r="AU536" s="31"/>
      <c r="AV536" s="31"/>
      <c r="AW536" s="45" t="s">
        <v>457</v>
      </c>
      <c r="AX536" s="31"/>
      <c r="AY536" s="31"/>
      <c r="AZ536" s="31"/>
      <c r="BA536" s="31"/>
      <c r="BB536" s="31"/>
      <c r="BC536" s="31"/>
      <c r="BD536" s="31"/>
      <c r="BE536" s="31"/>
      <c r="BF536" s="31"/>
      <c r="BG536" s="31"/>
      <c r="BH536" s="31"/>
      <c r="BI536" s="31"/>
      <c r="BJ536" s="31"/>
      <c r="BK536" s="31"/>
      <c r="BL536" s="31"/>
      <c r="BM536" s="31"/>
      <c r="BN536" s="31"/>
      <c r="BO536" s="31"/>
      <c r="BP536" s="31"/>
      <c r="BQ536" s="31"/>
      <c r="BR536" s="31"/>
      <c r="BS536" s="31"/>
      <c r="BT536" s="31"/>
      <c r="BU536" s="31"/>
      <c r="BV536" s="31"/>
      <c r="BW536" s="31"/>
      <c r="BX536" s="31"/>
      <c r="BY536" s="31"/>
      <c r="BZ536" s="31"/>
      <c r="CA536" s="31"/>
      <c r="CB536" s="31"/>
      <c r="CC536" s="31"/>
      <c r="CD536" s="31"/>
      <c r="CE536" s="31"/>
      <c r="CF536" s="31"/>
      <c r="CG536" s="31"/>
    </row>
    <row r="537" ht="15.75" customHeight="1">
      <c r="A537" s="170" t="s">
        <v>195</v>
      </c>
      <c r="B537" s="50">
        <v>1.0</v>
      </c>
      <c r="C537" s="50">
        <v>2.0</v>
      </c>
      <c r="D537" s="50">
        <v>3.0</v>
      </c>
      <c r="E537" s="50">
        <v>4.0</v>
      </c>
      <c r="F537" s="50">
        <v>5.0</v>
      </c>
      <c r="G537" s="50">
        <v>6.0</v>
      </c>
      <c r="H537" s="50">
        <v>7.0</v>
      </c>
      <c r="I537" s="50">
        <v>8.0</v>
      </c>
      <c r="J537" s="50">
        <v>9.0</v>
      </c>
      <c r="K537" s="50">
        <v>10.0</v>
      </c>
      <c r="L537" s="50">
        <v>11.0</v>
      </c>
      <c r="M537" s="50">
        <v>12.0</v>
      </c>
      <c r="N537" s="50">
        <v>13.0</v>
      </c>
      <c r="O537" s="43">
        <v>14.0</v>
      </c>
      <c r="P537" s="40">
        <v>15.0</v>
      </c>
      <c r="Q537" s="40">
        <v>16.0</v>
      </c>
      <c r="R537" s="40">
        <v>17.0</v>
      </c>
      <c r="S537" s="40">
        <v>18.0</v>
      </c>
      <c r="T537" s="40">
        <v>19.0</v>
      </c>
      <c r="U537" s="40">
        <v>20.0</v>
      </c>
      <c r="V537" s="40">
        <v>21.0</v>
      </c>
      <c r="W537" s="40">
        <v>22.0</v>
      </c>
      <c r="X537" s="40">
        <v>23.0</v>
      </c>
      <c r="Y537" s="40">
        <v>24.0</v>
      </c>
      <c r="Z537" s="40">
        <v>25.0</v>
      </c>
      <c r="AA537" s="40">
        <v>26.0</v>
      </c>
      <c r="AB537" s="40">
        <v>27.0</v>
      </c>
      <c r="AC537" s="43">
        <v>28.0</v>
      </c>
      <c r="AD537" s="40">
        <v>29.0</v>
      </c>
      <c r="AE537" s="40">
        <v>30.0</v>
      </c>
      <c r="AF537" s="40">
        <v>31.0</v>
      </c>
      <c r="AG537" s="40">
        <v>32.0</v>
      </c>
      <c r="AH537" s="40">
        <v>33.0</v>
      </c>
      <c r="AI537" s="40">
        <v>34.0</v>
      </c>
      <c r="AJ537" s="40">
        <v>35.0</v>
      </c>
      <c r="AK537" s="40">
        <v>36.0</v>
      </c>
      <c r="AL537" s="40">
        <v>37.0</v>
      </c>
      <c r="AM537" s="40">
        <v>38.0</v>
      </c>
      <c r="AN537" s="40">
        <v>39.0</v>
      </c>
      <c r="AO537" s="171">
        <v>40.0</v>
      </c>
      <c r="AP537" s="31"/>
      <c r="AQ537" s="31"/>
      <c r="AR537" s="31"/>
      <c r="AS537" s="31"/>
      <c r="AT537" s="31"/>
      <c r="AU537" s="31"/>
      <c r="AV537" s="31"/>
      <c r="AW537" s="45" t="s">
        <v>458</v>
      </c>
      <c r="AX537" s="31"/>
      <c r="AY537" s="31"/>
      <c r="AZ537" s="31"/>
      <c r="BA537" s="31"/>
      <c r="BB537" s="31"/>
      <c r="BC537" s="31"/>
      <c r="BD537" s="31"/>
      <c r="BE537" s="31"/>
      <c r="BF537" s="31"/>
      <c r="BG537" s="31"/>
      <c r="BH537" s="31"/>
      <c r="BI537" s="31"/>
      <c r="BJ537" s="31"/>
      <c r="BK537" s="31"/>
      <c r="BL537" s="31"/>
      <c r="BM537" s="31"/>
      <c r="BN537" s="31"/>
      <c r="BO537" s="31"/>
      <c r="BP537" s="31"/>
      <c r="BQ537" s="31"/>
      <c r="BR537" s="31"/>
      <c r="BS537" s="31"/>
      <c r="BT537" s="31"/>
      <c r="BU537" s="31"/>
      <c r="BV537" s="31"/>
      <c r="BW537" s="31"/>
      <c r="BX537" s="31"/>
      <c r="BY537" s="31"/>
      <c r="BZ537" s="31"/>
      <c r="CA537" s="31"/>
      <c r="CB537" s="31"/>
      <c r="CC537" s="31"/>
      <c r="CD537" s="31"/>
      <c r="CE537" s="31"/>
      <c r="CF537" s="31"/>
      <c r="CG537" s="31"/>
    </row>
    <row r="538" ht="15.75" customHeight="1">
      <c r="A538" s="172" t="s">
        <v>199</v>
      </c>
      <c r="B538" s="51" t="str">
        <f t="shared" ref="B538:AO538" si="138">B523</f>
        <v>1</v>
      </c>
      <c r="C538" s="51" t="str">
        <f t="shared" si="138"/>
        <v>4</v>
      </c>
      <c r="D538" s="51" t="str">
        <f t="shared" si="138"/>
        <v>1</v>
      </c>
      <c r="E538" s="51" t="str">
        <f t="shared" si="138"/>
        <v>2</v>
      </c>
      <c r="F538" s="51" t="str">
        <f t="shared" si="138"/>
        <v>5</v>
      </c>
      <c r="G538" s="51" t="str">
        <f t="shared" si="138"/>
        <v>4</v>
      </c>
      <c r="H538" s="51" t="str">
        <f t="shared" si="138"/>
        <v>8</v>
      </c>
      <c r="I538" s="51" t="str">
        <f t="shared" si="138"/>
        <v>5</v>
      </c>
      <c r="J538" s="51" t="str">
        <f t="shared" si="138"/>
        <v>7</v>
      </c>
      <c r="K538" s="51" t="str">
        <f t="shared" si="138"/>
        <v>7</v>
      </c>
      <c r="L538" s="51" t="str">
        <f t="shared" si="138"/>
        <v>2</v>
      </c>
      <c r="M538" s="51" t="str">
        <f t="shared" si="138"/>
        <v>8</v>
      </c>
      <c r="N538" s="51" t="str">
        <f t="shared" si="138"/>
        <v>1</v>
      </c>
      <c r="O538" s="43" t="str">
        <f t="shared" si="138"/>
        <v>6</v>
      </c>
      <c r="P538" s="43" t="str">
        <f t="shared" si="138"/>
        <v>4</v>
      </c>
      <c r="Q538" s="43" t="str">
        <f t="shared" si="138"/>
        <v>5</v>
      </c>
      <c r="R538" s="43" t="str">
        <f t="shared" si="138"/>
        <v>7</v>
      </c>
      <c r="S538" s="43" t="str">
        <f t="shared" si="138"/>
        <v>3</v>
      </c>
      <c r="T538" s="43" t="str">
        <f t="shared" si="138"/>
        <v>1</v>
      </c>
      <c r="U538" s="43" t="str">
        <f t="shared" si="138"/>
        <v>6</v>
      </c>
      <c r="V538" s="43" t="str">
        <f t="shared" si="138"/>
        <v>0</v>
      </c>
      <c r="W538" s="43" t="str">
        <f t="shared" si="138"/>
        <v>4</v>
      </c>
      <c r="X538" s="43" t="str">
        <f t="shared" si="138"/>
        <v>1</v>
      </c>
      <c r="Y538" s="43" t="str">
        <f t="shared" si="138"/>
        <v>1</v>
      </c>
      <c r="Z538" s="43" t="str">
        <f t="shared" si="138"/>
        <v>2</v>
      </c>
      <c r="AA538" s="43" t="str">
        <f t="shared" si="138"/>
        <v>9</v>
      </c>
      <c r="AB538" s="43" t="str">
        <f t="shared" si="138"/>
        <v>2</v>
      </c>
      <c r="AC538" s="43" t="str">
        <f t="shared" si="138"/>
        <v>0</v>
      </c>
      <c r="AD538" s="43" t="str">
        <f t="shared" si="138"/>
        <v>0</v>
      </c>
      <c r="AE538" s="43" t="str">
        <f t="shared" si="138"/>
        <v/>
      </c>
      <c r="AF538" s="43" t="str">
        <f t="shared" si="138"/>
        <v/>
      </c>
      <c r="AG538" s="43" t="str">
        <f t="shared" si="138"/>
        <v/>
      </c>
      <c r="AH538" s="43" t="str">
        <f t="shared" si="138"/>
        <v/>
      </c>
      <c r="AI538" s="43" t="str">
        <f t="shared" si="138"/>
        <v/>
      </c>
      <c r="AJ538" s="43" t="str">
        <f t="shared" si="138"/>
        <v/>
      </c>
      <c r="AK538" s="43" t="str">
        <f t="shared" si="138"/>
        <v/>
      </c>
      <c r="AL538" s="43" t="str">
        <f t="shared" si="138"/>
        <v/>
      </c>
      <c r="AM538" s="43" t="str">
        <f t="shared" si="138"/>
        <v/>
      </c>
      <c r="AN538" s="43" t="str">
        <f t="shared" si="138"/>
        <v/>
      </c>
      <c r="AO538" s="173" t="str">
        <f t="shared" si="138"/>
        <v/>
      </c>
      <c r="AP538" s="31"/>
      <c r="AQ538" s="31"/>
      <c r="AR538" s="31"/>
      <c r="AS538" s="31"/>
      <c r="AT538" s="31"/>
      <c r="AU538" s="31"/>
      <c r="AV538" s="31"/>
      <c r="AW538" s="45" t="s">
        <v>459</v>
      </c>
      <c r="AX538" s="31"/>
      <c r="AY538" s="31"/>
      <c r="AZ538" s="31"/>
      <c r="BA538" s="31"/>
      <c r="BB538" s="31"/>
      <c r="BC538" s="31"/>
      <c r="BD538" s="31"/>
      <c r="BE538" s="31"/>
      <c r="BF538" s="31"/>
      <c r="BG538" s="31"/>
      <c r="BH538" s="31"/>
      <c r="BI538" s="31"/>
      <c r="BJ538" s="31"/>
      <c r="BK538" s="31"/>
      <c r="BL538" s="31"/>
      <c r="BM538" s="31"/>
      <c r="BN538" s="31"/>
      <c r="BO538" s="31"/>
      <c r="BP538" s="31"/>
      <c r="BQ538" s="31"/>
      <c r="BR538" s="31"/>
      <c r="BS538" s="31"/>
      <c r="BT538" s="31"/>
      <c r="BU538" s="31"/>
      <c r="BV538" s="31"/>
      <c r="BW538" s="31"/>
      <c r="BX538" s="31"/>
      <c r="BY538" s="31"/>
      <c r="BZ538" s="31"/>
      <c r="CA538" s="31"/>
      <c r="CB538" s="31"/>
      <c r="CC538" s="31"/>
      <c r="CD538" s="31"/>
      <c r="CE538" s="31"/>
      <c r="CF538" s="31"/>
      <c r="CG538" s="31"/>
    </row>
    <row r="539" ht="15.75" customHeight="1">
      <c r="A539" s="174" t="s">
        <v>196</v>
      </c>
      <c r="B539" s="43" t="str">
        <f t="shared" ref="B539:N539" si="139">B538</f>
        <v>1</v>
      </c>
      <c r="C539" s="43" t="str">
        <f t="shared" si="139"/>
        <v>4</v>
      </c>
      <c r="D539" s="43" t="str">
        <f t="shared" si="139"/>
        <v>1</v>
      </c>
      <c r="E539" s="43" t="str">
        <f t="shared" si="139"/>
        <v>2</v>
      </c>
      <c r="F539" s="43" t="str">
        <f t="shared" si="139"/>
        <v>5</v>
      </c>
      <c r="G539" s="43" t="str">
        <f t="shared" si="139"/>
        <v>4</v>
      </c>
      <c r="H539" s="43" t="str">
        <f t="shared" si="139"/>
        <v>8</v>
      </c>
      <c r="I539" s="43" t="str">
        <f t="shared" si="139"/>
        <v>5</v>
      </c>
      <c r="J539" s="43" t="str">
        <f t="shared" si="139"/>
        <v>7</v>
      </c>
      <c r="K539" s="43" t="str">
        <f t="shared" si="139"/>
        <v>7</v>
      </c>
      <c r="L539" s="43" t="str">
        <f t="shared" si="139"/>
        <v>2</v>
      </c>
      <c r="M539" s="43" t="str">
        <f t="shared" si="139"/>
        <v>8</v>
      </c>
      <c r="N539" s="175" t="str">
        <f t="shared" si="139"/>
        <v>1</v>
      </c>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t="str">
        <f t="shared" ref="AN539:AO539" si="140">AN538</f>
        <v/>
      </c>
      <c r="AO539" s="173" t="str">
        <f t="shared" si="140"/>
        <v/>
      </c>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c r="BW539" s="31"/>
      <c r="BX539" s="31"/>
      <c r="BY539" s="31"/>
      <c r="BZ539" s="31"/>
      <c r="CA539" s="31"/>
      <c r="CB539" s="31"/>
      <c r="CC539" s="31"/>
      <c r="CD539" s="31"/>
      <c r="CE539" s="31"/>
      <c r="CF539" s="31"/>
      <c r="CG539" s="31"/>
    </row>
    <row r="540" ht="15.75" customHeight="1">
      <c r="A540" s="17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177"/>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c r="BS540" s="31"/>
      <c r="BT540" s="31"/>
      <c r="BU540" s="31"/>
      <c r="BV540" s="31"/>
      <c r="BW540" s="31"/>
      <c r="BX540" s="31"/>
      <c r="BY540" s="31"/>
      <c r="BZ540" s="31"/>
      <c r="CA540" s="31"/>
      <c r="CB540" s="31"/>
      <c r="CC540" s="31"/>
      <c r="CD540" s="31"/>
      <c r="CE540" s="31"/>
      <c r="CF540" s="31"/>
      <c r="CG540" s="31"/>
    </row>
    <row r="541" ht="15.75" customHeight="1">
      <c r="A541" s="17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177"/>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c r="BW541" s="31"/>
      <c r="BX541" s="31"/>
      <c r="BY541" s="31"/>
      <c r="BZ541" s="31"/>
      <c r="CA541" s="31"/>
      <c r="CB541" s="31"/>
      <c r="CC541" s="31"/>
      <c r="CD541" s="31"/>
      <c r="CE541" s="31"/>
      <c r="CF541" s="31"/>
      <c r="CG541" s="31"/>
    </row>
    <row r="542" ht="15.75" customHeight="1">
      <c r="A542" s="17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177"/>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c r="BS542" s="31"/>
      <c r="BT542" s="31"/>
      <c r="BU542" s="31"/>
      <c r="BV542" s="31"/>
      <c r="BW542" s="31"/>
      <c r="BX542" s="31"/>
      <c r="BY542" s="31"/>
      <c r="BZ542" s="31"/>
      <c r="CA542" s="31"/>
      <c r="CB542" s="31"/>
      <c r="CC542" s="31"/>
      <c r="CD542" s="31"/>
      <c r="CE542" s="31"/>
      <c r="CF542" s="31"/>
      <c r="CG542" s="31"/>
    </row>
    <row r="543" ht="15.75" customHeight="1">
      <c r="A543" s="178" t="s">
        <v>448</v>
      </c>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179"/>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c r="BW543" s="31"/>
      <c r="BX543" s="31"/>
      <c r="BY543" s="31"/>
      <c r="BZ543" s="31"/>
      <c r="CA543" s="31"/>
      <c r="CB543" s="31"/>
      <c r="CC543" s="31"/>
      <c r="CD543" s="31"/>
      <c r="CE543" s="31"/>
      <c r="CF543" s="31"/>
      <c r="CG543" s="31"/>
    </row>
    <row r="544" ht="15.75" customHeight="1">
      <c r="A544" s="170" t="s">
        <v>195</v>
      </c>
      <c r="B544" s="40">
        <v>1.0</v>
      </c>
      <c r="C544" s="40">
        <v>2.0</v>
      </c>
      <c r="D544" s="50">
        <v>3.0</v>
      </c>
      <c r="E544" s="50">
        <v>4.0</v>
      </c>
      <c r="F544" s="50">
        <v>5.0</v>
      </c>
      <c r="G544" s="50">
        <v>6.0</v>
      </c>
      <c r="H544" s="50">
        <v>7.0</v>
      </c>
      <c r="I544" s="50">
        <v>8.0</v>
      </c>
      <c r="J544" s="50">
        <v>9.0</v>
      </c>
      <c r="K544" s="50">
        <v>10.0</v>
      </c>
      <c r="L544" s="50">
        <v>11.0</v>
      </c>
      <c r="M544" s="50">
        <v>12.0</v>
      </c>
      <c r="N544" s="40">
        <v>13.0</v>
      </c>
      <c r="O544" s="40">
        <v>14.0</v>
      </c>
      <c r="P544" s="40">
        <v>15.0</v>
      </c>
      <c r="Q544" s="40">
        <v>16.0</v>
      </c>
      <c r="R544" s="40">
        <v>16.0</v>
      </c>
      <c r="S544" s="40">
        <v>16.0</v>
      </c>
      <c r="T544" s="40">
        <v>16.0</v>
      </c>
      <c r="U544" s="40">
        <v>16.0</v>
      </c>
      <c r="V544" s="40">
        <v>16.0</v>
      </c>
      <c r="W544" s="40">
        <v>16.0</v>
      </c>
      <c r="X544" s="40">
        <v>16.0</v>
      </c>
      <c r="Y544" s="40">
        <v>24.0</v>
      </c>
      <c r="Z544" s="40">
        <v>25.0</v>
      </c>
      <c r="AA544" s="40">
        <v>26.0</v>
      </c>
      <c r="AB544" s="40">
        <v>27.0</v>
      </c>
      <c r="AC544" s="40">
        <v>28.0</v>
      </c>
      <c r="AD544" s="40">
        <v>29.0</v>
      </c>
      <c r="AE544" s="40">
        <v>30.0</v>
      </c>
      <c r="AF544" s="40">
        <v>31.0</v>
      </c>
      <c r="AG544" s="40">
        <v>32.0</v>
      </c>
      <c r="AH544" s="40">
        <v>33.0</v>
      </c>
      <c r="AI544" s="40">
        <v>34.0</v>
      </c>
      <c r="AJ544" s="40">
        <v>35.0</v>
      </c>
      <c r="AK544" s="40">
        <v>36.0</v>
      </c>
      <c r="AL544" s="40">
        <v>37.0</v>
      </c>
      <c r="AM544" s="40">
        <v>38.0</v>
      </c>
      <c r="AN544" s="40">
        <v>39.0</v>
      </c>
      <c r="AO544" s="171">
        <v>40.0</v>
      </c>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c r="BS544" s="31"/>
      <c r="BT544" s="31"/>
      <c r="BU544" s="31"/>
      <c r="BV544" s="31"/>
      <c r="BW544" s="31"/>
      <c r="BX544" s="31"/>
      <c r="BY544" s="31"/>
      <c r="BZ544" s="31"/>
      <c r="CA544" s="31"/>
      <c r="CB544" s="31"/>
      <c r="CC544" s="31"/>
      <c r="CD544" s="31"/>
      <c r="CE544" s="31"/>
      <c r="CF544" s="31"/>
      <c r="CG544" s="31"/>
    </row>
    <row r="545" ht="15.75" customHeight="1">
      <c r="A545" s="174" t="s">
        <v>196</v>
      </c>
      <c r="B545" s="43" t="str">
        <f t="shared" ref="B545:AO545" si="141">B539</f>
        <v>1</v>
      </c>
      <c r="C545" s="43" t="str">
        <f t="shared" si="141"/>
        <v>4</v>
      </c>
      <c r="D545" s="51" t="str">
        <f t="shared" si="141"/>
        <v>1</v>
      </c>
      <c r="E545" s="51" t="str">
        <f t="shared" si="141"/>
        <v>2</v>
      </c>
      <c r="F545" s="51" t="str">
        <f t="shared" si="141"/>
        <v>5</v>
      </c>
      <c r="G545" s="51" t="str">
        <f t="shared" si="141"/>
        <v>4</v>
      </c>
      <c r="H545" s="51" t="str">
        <f t="shared" si="141"/>
        <v>8</v>
      </c>
      <c r="I545" s="51" t="str">
        <f t="shared" si="141"/>
        <v>5</v>
      </c>
      <c r="J545" s="51" t="str">
        <f t="shared" si="141"/>
        <v>7</v>
      </c>
      <c r="K545" s="51" t="str">
        <f t="shared" si="141"/>
        <v>7</v>
      </c>
      <c r="L545" s="51" t="str">
        <f t="shared" si="141"/>
        <v>2</v>
      </c>
      <c r="M545" s="51" t="str">
        <f t="shared" si="141"/>
        <v>8</v>
      </c>
      <c r="N545" s="43" t="str">
        <f t="shared" si="141"/>
        <v>1</v>
      </c>
      <c r="O545" s="43" t="str">
        <f t="shared" si="141"/>
        <v/>
      </c>
      <c r="P545" s="43" t="str">
        <f t="shared" si="141"/>
        <v/>
      </c>
      <c r="Q545" s="43" t="str">
        <f t="shared" si="141"/>
        <v/>
      </c>
      <c r="R545" s="43" t="str">
        <f t="shared" si="141"/>
        <v/>
      </c>
      <c r="S545" s="43" t="str">
        <f t="shared" si="141"/>
        <v/>
      </c>
      <c r="T545" s="43" t="str">
        <f t="shared" si="141"/>
        <v/>
      </c>
      <c r="U545" s="43" t="str">
        <f t="shared" si="141"/>
        <v/>
      </c>
      <c r="V545" s="43" t="str">
        <f t="shared" si="141"/>
        <v/>
      </c>
      <c r="W545" s="43" t="str">
        <f t="shared" si="141"/>
        <v/>
      </c>
      <c r="X545" s="43" t="str">
        <f t="shared" si="141"/>
        <v/>
      </c>
      <c r="Y545" s="43" t="str">
        <f t="shared" si="141"/>
        <v/>
      </c>
      <c r="Z545" s="43" t="str">
        <f t="shared" si="141"/>
        <v/>
      </c>
      <c r="AA545" s="43" t="str">
        <f t="shared" si="141"/>
        <v/>
      </c>
      <c r="AB545" s="43" t="str">
        <f t="shared" si="141"/>
        <v/>
      </c>
      <c r="AC545" s="43" t="str">
        <f t="shared" si="141"/>
        <v/>
      </c>
      <c r="AD545" s="43" t="str">
        <f t="shared" si="141"/>
        <v/>
      </c>
      <c r="AE545" s="43" t="str">
        <f t="shared" si="141"/>
        <v/>
      </c>
      <c r="AF545" s="43" t="str">
        <f t="shared" si="141"/>
        <v/>
      </c>
      <c r="AG545" s="43" t="str">
        <f t="shared" si="141"/>
        <v/>
      </c>
      <c r="AH545" s="43" t="str">
        <f t="shared" si="141"/>
        <v/>
      </c>
      <c r="AI545" s="43" t="str">
        <f t="shared" si="141"/>
        <v/>
      </c>
      <c r="AJ545" s="43" t="str">
        <f t="shared" si="141"/>
        <v/>
      </c>
      <c r="AK545" s="43" t="str">
        <f t="shared" si="141"/>
        <v/>
      </c>
      <c r="AL545" s="43" t="str">
        <f t="shared" si="141"/>
        <v/>
      </c>
      <c r="AM545" s="43" t="str">
        <f t="shared" si="141"/>
        <v/>
      </c>
      <c r="AN545" s="43" t="str">
        <f t="shared" si="141"/>
        <v/>
      </c>
      <c r="AO545" s="173" t="str">
        <f t="shared" si="141"/>
        <v/>
      </c>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c r="BW545" s="31"/>
      <c r="BX545" s="31"/>
      <c r="BY545" s="31"/>
      <c r="BZ545" s="31"/>
      <c r="CA545" s="31"/>
      <c r="CB545" s="31"/>
      <c r="CC545" s="31"/>
      <c r="CD545" s="31"/>
      <c r="CE545" s="31"/>
      <c r="CF545" s="31"/>
      <c r="CG545" s="31"/>
    </row>
    <row r="546" ht="15.75" customHeight="1">
      <c r="A546" s="180" t="s">
        <v>200</v>
      </c>
      <c r="B546" s="43" t="str">
        <f t="shared" ref="B546:B547" si="142">B540</f>
        <v/>
      </c>
      <c r="C546" s="46"/>
      <c r="D546" s="43">
        <v>1.0</v>
      </c>
      <c r="E546" s="43">
        <v>2.0</v>
      </c>
      <c r="F546" s="43">
        <v>3.0</v>
      </c>
      <c r="G546" s="43">
        <v>4.0</v>
      </c>
      <c r="H546" s="43">
        <v>5.0</v>
      </c>
      <c r="I546" s="43">
        <v>6.0</v>
      </c>
      <c r="J546" s="43">
        <v>7.0</v>
      </c>
      <c r="K546" s="43">
        <v>8.0</v>
      </c>
      <c r="L546" s="43">
        <v>9.0</v>
      </c>
      <c r="M546" s="43">
        <v>10.0</v>
      </c>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173"/>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c r="BS546" s="31"/>
      <c r="BT546" s="31"/>
      <c r="BU546" s="31"/>
      <c r="BV546" s="31"/>
      <c r="BW546" s="31"/>
      <c r="BX546" s="31"/>
      <c r="BY546" s="31"/>
      <c r="BZ546" s="31"/>
      <c r="CA546" s="31"/>
      <c r="CB546" s="31"/>
      <c r="CC546" s="31"/>
      <c r="CD546" s="31"/>
      <c r="CE546" s="31"/>
      <c r="CF546" s="31"/>
      <c r="CG546" s="31"/>
    </row>
    <row r="547" ht="15.75" customHeight="1">
      <c r="A547" s="180" t="s">
        <v>201</v>
      </c>
      <c r="B547" s="43" t="str">
        <f t="shared" si="142"/>
        <v/>
      </c>
      <c r="C547" s="43"/>
      <c r="D547" s="43">
        <f t="shared" ref="D547:M547" si="143">D546*D545</f>
        <v>1</v>
      </c>
      <c r="E547" s="43">
        <f t="shared" si="143"/>
        <v>4</v>
      </c>
      <c r="F547" s="43">
        <f t="shared" si="143"/>
        <v>15</v>
      </c>
      <c r="G547" s="43">
        <f t="shared" si="143"/>
        <v>16</v>
      </c>
      <c r="H547" s="43">
        <f t="shared" si="143"/>
        <v>40</v>
      </c>
      <c r="I547" s="43">
        <f t="shared" si="143"/>
        <v>30</v>
      </c>
      <c r="J547" s="43">
        <f t="shared" si="143"/>
        <v>49</v>
      </c>
      <c r="K547" s="43">
        <f t="shared" si="143"/>
        <v>56</v>
      </c>
      <c r="L547" s="43">
        <f t="shared" si="143"/>
        <v>18</v>
      </c>
      <c r="M547" s="43">
        <f t="shared" si="143"/>
        <v>80</v>
      </c>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173"/>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c r="BW547" s="31"/>
      <c r="BX547" s="31"/>
      <c r="BY547" s="31"/>
      <c r="BZ547" s="31"/>
      <c r="CA547" s="31"/>
      <c r="CB547" s="31"/>
      <c r="CC547" s="31"/>
      <c r="CD547" s="31"/>
      <c r="CE547" s="31"/>
      <c r="CF547" s="31"/>
      <c r="CG547" s="31"/>
    </row>
    <row r="548" ht="15.75" customHeight="1">
      <c r="A548" s="180" t="s">
        <v>203</v>
      </c>
      <c r="B548" s="52">
        <f>SUM(B547:AO547)</f>
        <v>309</v>
      </c>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18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c r="BS548" s="31"/>
      <c r="BT548" s="31"/>
      <c r="BU548" s="31"/>
      <c r="BV548" s="31"/>
      <c r="BW548" s="31"/>
      <c r="BX548" s="31"/>
      <c r="BY548" s="31"/>
      <c r="BZ548" s="31"/>
      <c r="CA548" s="31"/>
      <c r="CB548" s="31"/>
      <c r="CC548" s="31"/>
      <c r="CD548" s="31"/>
      <c r="CE548" s="31"/>
      <c r="CF548" s="31"/>
      <c r="CG548" s="31"/>
    </row>
    <row r="549" ht="15.75" customHeight="1">
      <c r="A549" s="182" t="s">
        <v>263</v>
      </c>
      <c r="B549" s="183">
        <f>MOD(B548,10)</f>
        <v>9</v>
      </c>
      <c r="C549" s="185"/>
      <c r="D549" s="185"/>
      <c r="E549" s="185"/>
      <c r="F549" s="185"/>
      <c r="G549" s="185"/>
      <c r="H549" s="185"/>
      <c r="I549" s="185"/>
      <c r="J549" s="185"/>
      <c r="K549" s="185"/>
      <c r="L549" s="185"/>
      <c r="M549" s="185"/>
      <c r="N549" s="185"/>
      <c r="O549" s="185"/>
      <c r="P549" s="185"/>
      <c r="Q549" s="185"/>
      <c r="R549" s="185"/>
      <c r="S549" s="185"/>
      <c r="T549" s="185"/>
      <c r="U549" s="185"/>
      <c r="V549" s="185"/>
      <c r="W549" s="185"/>
      <c r="X549" s="185"/>
      <c r="Y549" s="185"/>
      <c r="Z549" s="185"/>
      <c r="AA549" s="185"/>
      <c r="AB549" s="185"/>
      <c r="AC549" s="185"/>
      <c r="AD549" s="185"/>
      <c r="AE549" s="185"/>
      <c r="AF549" s="185"/>
      <c r="AG549" s="185"/>
      <c r="AH549" s="185"/>
      <c r="AI549" s="185"/>
      <c r="AJ549" s="185"/>
      <c r="AK549" s="185"/>
      <c r="AL549" s="185"/>
      <c r="AM549" s="185"/>
      <c r="AN549" s="185"/>
      <c r="AO549" s="186"/>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c r="BW549" s="31"/>
      <c r="BX549" s="31"/>
      <c r="BY549" s="31"/>
      <c r="BZ549" s="31"/>
      <c r="CA549" s="31"/>
      <c r="CB549" s="31"/>
      <c r="CC549" s="31"/>
      <c r="CD549" s="31"/>
      <c r="CE549" s="31"/>
      <c r="CF549" s="31"/>
      <c r="CG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c r="BS550" s="31"/>
      <c r="BT550" s="31"/>
      <c r="BU550" s="31"/>
      <c r="BV550" s="31"/>
      <c r="BW550" s="31"/>
      <c r="BX550" s="31"/>
      <c r="BY550" s="31"/>
      <c r="BZ550" s="31"/>
      <c r="CA550" s="31"/>
      <c r="CB550" s="31"/>
      <c r="CC550" s="31"/>
      <c r="CD550" s="31"/>
      <c r="CE550" s="31"/>
      <c r="CF550" s="31"/>
      <c r="CG550" s="31"/>
    </row>
    <row r="551" ht="18.0" customHeight="1">
      <c r="A551" s="161"/>
      <c r="B551" s="161"/>
      <c r="C551" s="161"/>
      <c r="D551" s="161"/>
      <c r="E551" s="161"/>
      <c r="F551" s="161"/>
      <c r="G551" s="161"/>
      <c r="H551" s="161"/>
      <c r="I551" s="161"/>
      <c r="J551" s="161"/>
      <c r="K551" s="161"/>
      <c r="L551" s="161"/>
      <c r="M551" s="161"/>
      <c r="N551" s="161"/>
      <c r="O551" s="161"/>
      <c r="P551" s="161"/>
      <c r="Q551" s="161"/>
      <c r="R551" s="161"/>
      <c r="S551" s="161"/>
      <c r="T551" s="161"/>
      <c r="U551" s="161"/>
      <c r="V551" s="161"/>
      <c r="W551" s="161"/>
      <c r="X551" s="161"/>
      <c r="Y551" s="161"/>
      <c r="Z551" s="161"/>
      <c r="AA551" s="161"/>
      <c r="AB551" s="161"/>
      <c r="AC551" s="161"/>
      <c r="AD551" s="161"/>
      <c r="AE551" s="161"/>
      <c r="AF551" s="161"/>
      <c r="AG551" s="161"/>
      <c r="AH551" s="161"/>
      <c r="AI551" s="161"/>
      <c r="AJ551" s="161"/>
      <c r="AK551" s="161"/>
      <c r="AL551" s="161"/>
      <c r="AM551" s="161"/>
      <c r="AN551" s="161"/>
      <c r="AO551" s="161"/>
      <c r="AP551" s="161"/>
      <c r="AQ551" s="161"/>
      <c r="AR551" s="161"/>
      <c r="AS551" s="161"/>
      <c r="AT551" s="161"/>
      <c r="AU551" s="161"/>
      <c r="AV551" s="161"/>
      <c r="AW551" s="161"/>
      <c r="AX551" s="161"/>
      <c r="AY551" s="161"/>
      <c r="AZ551" s="161"/>
      <c r="BA551" s="161"/>
      <c r="BB551" s="161"/>
      <c r="BC551" s="161"/>
      <c r="BD551" s="161"/>
      <c r="BE551" s="161"/>
      <c r="BF551" s="161"/>
      <c r="BG551" s="161"/>
      <c r="BH551" s="161"/>
      <c r="BI551" s="161"/>
      <c r="BJ551" s="161"/>
      <c r="BK551" s="161"/>
      <c r="BL551" s="161"/>
      <c r="BM551" s="161"/>
      <c r="BN551" s="161"/>
      <c r="BO551" s="161"/>
      <c r="BP551" s="161"/>
      <c r="BQ551" s="161"/>
      <c r="BR551" s="161"/>
      <c r="BS551" s="161"/>
      <c r="BT551" s="161"/>
      <c r="BU551" s="161"/>
      <c r="BV551" s="161"/>
      <c r="BW551" s="161"/>
      <c r="BX551" s="161"/>
      <c r="BY551" s="161"/>
      <c r="BZ551" s="161"/>
      <c r="CA551" s="161"/>
      <c r="CB551" s="161"/>
      <c r="CC551" s="161"/>
      <c r="CD551" s="161"/>
      <c r="CE551" s="161"/>
      <c r="CF551" s="161"/>
      <c r="CG551" s="16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c r="BS552" s="31"/>
      <c r="BT552" s="31"/>
      <c r="BU552" s="31"/>
      <c r="BV552" s="31"/>
      <c r="BW552" s="31"/>
      <c r="BX552" s="31"/>
      <c r="BY552" s="31"/>
      <c r="BZ552" s="31"/>
      <c r="CA552" s="31"/>
      <c r="CB552" s="31"/>
      <c r="CC552" s="31"/>
      <c r="CD552" s="31"/>
      <c r="CE552" s="31"/>
      <c r="CF552" s="31"/>
      <c r="CG552" s="31"/>
    </row>
    <row r="553" ht="15.75" customHeight="1">
      <c r="A553" s="162" t="s">
        <v>191</v>
      </c>
      <c r="B553" s="163" t="s">
        <v>460</v>
      </c>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c r="AA553" s="163"/>
      <c r="AB553" s="163"/>
      <c r="AC553" s="163"/>
      <c r="AD553" s="163"/>
      <c r="AE553" s="163"/>
      <c r="AF553" s="163"/>
      <c r="AG553" s="163"/>
      <c r="AH553" s="163"/>
      <c r="AI553" s="163"/>
      <c r="AJ553" s="163"/>
      <c r="AK553" s="163"/>
      <c r="AL553" s="163"/>
      <c r="AM553" s="163"/>
      <c r="AN553" s="163"/>
      <c r="AO553" s="164" t="s">
        <v>439</v>
      </c>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c r="BS553" s="31"/>
      <c r="BT553" s="31"/>
      <c r="BU553" s="31"/>
      <c r="BV553" s="31"/>
      <c r="BW553" s="31"/>
      <c r="BX553" s="31"/>
      <c r="BY553" s="31"/>
      <c r="BZ553" s="31"/>
      <c r="CA553" s="31"/>
      <c r="CB553" s="31"/>
      <c r="CC553" s="31"/>
      <c r="CD553" s="31"/>
      <c r="CE553" s="31"/>
      <c r="CF553" s="31"/>
      <c r="CG553" s="31"/>
    </row>
    <row r="554" ht="15.75" customHeight="1">
      <c r="A554" s="165" t="s">
        <v>461</v>
      </c>
      <c r="B554" s="166"/>
      <c r="C554" s="166"/>
      <c r="D554" s="166"/>
      <c r="E554" s="166"/>
      <c r="F554" s="166"/>
      <c r="G554" s="166"/>
      <c r="H554" s="166"/>
      <c r="I554" s="166"/>
      <c r="J554" s="166"/>
      <c r="K554" s="166"/>
      <c r="L554" s="166"/>
      <c r="M554" s="166"/>
      <c r="N554" s="166"/>
      <c r="O554" s="166"/>
      <c r="P554" s="166"/>
      <c r="Q554" s="166"/>
      <c r="R554" s="166"/>
      <c r="S554" s="166"/>
      <c r="T554" s="166"/>
      <c r="U554" s="166"/>
      <c r="V554" s="166"/>
      <c r="W554" s="166"/>
      <c r="X554" s="166"/>
      <c r="Y554" s="166"/>
      <c r="Z554" s="166"/>
      <c r="AA554" s="166"/>
      <c r="AB554" s="166"/>
      <c r="AC554" s="166"/>
      <c r="AD554" s="166"/>
      <c r="AE554" s="166"/>
      <c r="AF554" s="166"/>
      <c r="AG554" s="166"/>
      <c r="AH554" s="166"/>
      <c r="AI554" s="166"/>
      <c r="AJ554" s="168"/>
      <c r="AK554" s="166"/>
      <c r="AL554" s="166"/>
      <c r="AM554" s="166"/>
      <c r="AN554" s="166"/>
      <c r="AO554" s="169"/>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c r="BS554" s="31"/>
      <c r="BT554" s="31"/>
      <c r="BU554" s="31"/>
      <c r="BV554" s="31"/>
      <c r="BW554" s="31"/>
      <c r="BX554" s="31"/>
      <c r="BY554" s="31"/>
      <c r="BZ554" s="31"/>
      <c r="CA554" s="31"/>
      <c r="CB554" s="31"/>
      <c r="CC554" s="31"/>
      <c r="CD554" s="31"/>
      <c r="CE554" s="31"/>
      <c r="CF554" s="31"/>
      <c r="CG554" s="31"/>
    </row>
    <row r="555" ht="15.75" customHeight="1">
      <c r="A555" s="187" t="s">
        <v>462</v>
      </c>
      <c r="B555" s="38"/>
      <c r="C555" s="38"/>
      <c r="D555" s="38"/>
      <c r="E555" s="38"/>
      <c r="F555" s="38"/>
      <c r="G555" s="38"/>
      <c r="H555" s="38"/>
      <c r="I555" s="38"/>
      <c r="J555" s="38"/>
      <c r="K555" s="38"/>
      <c r="L555" s="38"/>
      <c r="M555" s="38"/>
      <c r="N555" s="38"/>
      <c r="O555" s="90"/>
      <c r="P555" s="38"/>
      <c r="Q555" s="38"/>
      <c r="R555" s="38"/>
      <c r="S555" s="38"/>
      <c r="T555" s="38"/>
      <c r="U555" s="38"/>
      <c r="V555" s="38"/>
      <c r="W555" s="38"/>
      <c r="X555" s="38"/>
      <c r="Y555" s="38"/>
      <c r="Z555" s="38"/>
      <c r="AA555" s="38"/>
      <c r="AB555" s="38"/>
      <c r="AC555" s="38"/>
      <c r="AD555" s="38"/>
      <c r="AE555" s="38"/>
      <c r="AF555" s="38"/>
      <c r="AG555" s="38"/>
      <c r="AH555" s="38"/>
      <c r="AI555" s="38"/>
      <c r="AJ555" s="37"/>
      <c r="AK555" s="38"/>
      <c r="AL555" s="38"/>
      <c r="AM555" s="38"/>
      <c r="AN555" s="38"/>
      <c r="AO555" s="188"/>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c r="BS555" s="31"/>
      <c r="BT555" s="31"/>
      <c r="BU555" s="31"/>
      <c r="BV555" s="31"/>
      <c r="BW555" s="31"/>
      <c r="BX555" s="31"/>
      <c r="BY555" s="31"/>
      <c r="BZ555" s="31"/>
      <c r="CA555" s="31"/>
      <c r="CB555" s="31"/>
      <c r="CC555" s="31"/>
      <c r="CD555" s="31"/>
      <c r="CE555" s="31"/>
      <c r="CF555" s="31"/>
      <c r="CG555" s="31"/>
    </row>
    <row r="556" ht="15.75" customHeight="1">
      <c r="A556" s="170" t="s">
        <v>195</v>
      </c>
      <c r="B556" s="50">
        <v>1.0</v>
      </c>
      <c r="C556" s="50">
        <v>2.0</v>
      </c>
      <c r="D556" s="50">
        <v>3.0</v>
      </c>
      <c r="E556" s="50">
        <v>4.0</v>
      </c>
      <c r="F556" s="50">
        <v>5.0</v>
      </c>
      <c r="G556" s="50">
        <v>6.0</v>
      </c>
      <c r="H556" s="50">
        <v>7.0</v>
      </c>
      <c r="I556" s="50">
        <v>8.0</v>
      </c>
      <c r="J556" s="50">
        <v>9.0</v>
      </c>
      <c r="K556" s="50">
        <v>10.0</v>
      </c>
      <c r="L556" s="50">
        <v>11.0</v>
      </c>
      <c r="M556" s="50">
        <v>12.0</v>
      </c>
      <c r="N556" s="40">
        <v>13.0</v>
      </c>
      <c r="O556" s="40">
        <v>14.0</v>
      </c>
      <c r="P556" s="40">
        <v>15.0</v>
      </c>
      <c r="Q556" s="40">
        <v>16.0</v>
      </c>
      <c r="R556" s="40">
        <v>17.0</v>
      </c>
      <c r="S556" s="40">
        <v>18.0</v>
      </c>
      <c r="T556" s="40">
        <v>19.0</v>
      </c>
      <c r="U556" s="40">
        <v>20.0</v>
      </c>
      <c r="V556" s="40">
        <v>21.0</v>
      </c>
      <c r="W556" s="40">
        <v>22.0</v>
      </c>
      <c r="X556" s="40">
        <v>23.0</v>
      </c>
      <c r="Y556" s="40">
        <v>24.0</v>
      </c>
      <c r="Z556" s="40">
        <v>25.0</v>
      </c>
      <c r="AA556" s="40">
        <v>26.0</v>
      </c>
      <c r="AB556" s="40">
        <v>27.0</v>
      </c>
      <c r="AC556" s="40">
        <v>28.0</v>
      </c>
      <c r="AD556" s="40">
        <v>29.0</v>
      </c>
      <c r="AE556" s="40">
        <v>30.0</v>
      </c>
      <c r="AF556" s="40">
        <v>31.0</v>
      </c>
      <c r="AG556" s="40">
        <v>32.0</v>
      </c>
      <c r="AH556" s="40">
        <v>33.0</v>
      </c>
      <c r="AI556" s="40">
        <v>34.0</v>
      </c>
      <c r="AJ556" s="40">
        <v>35.0</v>
      </c>
      <c r="AK556" s="40">
        <v>36.0</v>
      </c>
      <c r="AL556" s="40">
        <v>37.0</v>
      </c>
      <c r="AM556" s="40">
        <v>38.0</v>
      </c>
      <c r="AN556" s="40">
        <v>39.0</v>
      </c>
      <c r="AO556" s="171">
        <v>40.0</v>
      </c>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c r="BS556" s="31"/>
      <c r="BT556" s="31"/>
      <c r="BU556" s="31"/>
      <c r="BV556" s="31"/>
      <c r="BW556" s="31"/>
      <c r="BX556" s="31"/>
      <c r="BY556" s="31"/>
      <c r="BZ556" s="31"/>
      <c r="CA556" s="31"/>
      <c r="CB556" s="31"/>
      <c r="CC556" s="31"/>
      <c r="CD556" s="31"/>
      <c r="CE556" s="31"/>
      <c r="CF556" s="31"/>
      <c r="CG556" s="31"/>
    </row>
    <row r="557" ht="15.75" customHeight="1">
      <c r="A557" s="172" t="s">
        <v>199</v>
      </c>
      <c r="B557" s="51" t="str">
        <f t="shared" ref="B557:AO557" si="144">B516</f>
        <v>1</v>
      </c>
      <c r="C557" s="51" t="str">
        <f t="shared" si="144"/>
        <v>4</v>
      </c>
      <c r="D557" s="51" t="str">
        <f t="shared" si="144"/>
        <v>1</v>
      </c>
      <c r="E557" s="51" t="str">
        <f t="shared" si="144"/>
        <v>2</v>
      </c>
      <c r="F557" s="51" t="str">
        <f t="shared" si="144"/>
        <v>5</v>
      </c>
      <c r="G557" s="51" t="str">
        <f t="shared" si="144"/>
        <v>4</v>
      </c>
      <c r="H557" s="51" t="str">
        <f t="shared" si="144"/>
        <v>8</v>
      </c>
      <c r="I557" s="51" t="str">
        <f t="shared" si="144"/>
        <v>5</v>
      </c>
      <c r="J557" s="51" t="str">
        <f t="shared" si="144"/>
        <v>7</v>
      </c>
      <c r="K557" s="51" t="str">
        <f t="shared" si="144"/>
        <v>7</v>
      </c>
      <c r="L557" s="51" t="str">
        <f t="shared" si="144"/>
        <v>2</v>
      </c>
      <c r="M557" s="51" t="str">
        <f t="shared" si="144"/>
        <v>8</v>
      </c>
      <c r="N557" s="43" t="str">
        <f t="shared" si="144"/>
        <v>1</v>
      </c>
      <c r="O557" s="43" t="str">
        <f t="shared" si="144"/>
        <v>6</v>
      </c>
      <c r="P557" s="43" t="str">
        <f t="shared" si="144"/>
        <v>4</v>
      </c>
      <c r="Q557" s="43" t="str">
        <f t="shared" si="144"/>
        <v>5</v>
      </c>
      <c r="R557" s="43" t="str">
        <f t="shared" si="144"/>
        <v>7</v>
      </c>
      <c r="S557" s="43" t="str">
        <f t="shared" si="144"/>
        <v>3</v>
      </c>
      <c r="T557" s="43" t="str">
        <f t="shared" si="144"/>
        <v>1</v>
      </c>
      <c r="U557" s="43" t="str">
        <f t="shared" si="144"/>
        <v>6</v>
      </c>
      <c r="V557" s="43" t="str">
        <f t="shared" si="144"/>
        <v>0</v>
      </c>
      <c r="W557" s="43" t="str">
        <f t="shared" si="144"/>
        <v>4</v>
      </c>
      <c r="X557" s="43" t="str">
        <f t="shared" si="144"/>
        <v>1</v>
      </c>
      <c r="Y557" s="43" t="str">
        <f t="shared" si="144"/>
        <v>1</v>
      </c>
      <c r="Z557" s="43" t="str">
        <f t="shared" si="144"/>
        <v>2</v>
      </c>
      <c r="AA557" s="43" t="str">
        <f t="shared" si="144"/>
        <v>9</v>
      </c>
      <c r="AB557" s="43" t="str">
        <f t="shared" si="144"/>
        <v>2</v>
      </c>
      <c r="AC557" s="43" t="str">
        <f t="shared" si="144"/>
        <v>0</v>
      </c>
      <c r="AD557" s="43" t="str">
        <f t="shared" si="144"/>
        <v>0</v>
      </c>
      <c r="AE557" s="43" t="str">
        <f t="shared" si="144"/>
        <v/>
      </c>
      <c r="AF557" s="43" t="str">
        <f t="shared" si="144"/>
        <v/>
      </c>
      <c r="AG557" s="43" t="str">
        <f t="shared" si="144"/>
        <v/>
      </c>
      <c r="AH557" s="43" t="str">
        <f t="shared" si="144"/>
        <v/>
      </c>
      <c r="AI557" s="43" t="str">
        <f t="shared" si="144"/>
        <v/>
      </c>
      <c r="AJ557" s="43" t="str">
        <f t="shared" si="144"/>
        <v/>
      </c>
      <c r="AK557" s="43" t="str">
        <f t="shared" si="144"/>
        <v/>
      </c>
      <c r="AL557" s="43" t="str">
        <f t="shared" si="144"/>
        <v/>
      </c>
      <c r="AM557" s="43" t="str">
        <f t="shared" si="144"/>
        <v/>
      </c>
      <c r="AN557" s="43" t="str">
        <f t="shared" si="144"/>
        <v/>
      </c>
      <c r="AO557" s="173" t="str">
        <f t="shared" si="144"/>
        <v/>
      </c>
      <c r="AP557" s="33"/>
      <c r="AQ557" s="33"/>
      <c r="AR557" s="33"/>
      <c r="AS557" s="31"/>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c r="BQ557" s="33"/>
      <c r="BR557" s="33"/>
      <c r="BS557" s="33"/>
      <c r="BT557" s="33"/>
      <c r="BU557" s="33"/>
      <c r="BV557" s="33"/>
      <c r="BW557" s="33"/>
      <c r="BX557" s="33"/>
      <c r="BY557" s="33"/>
      <c r="BZ557" s="33"/>
      <c r="CA557" s="33"/>
      <c r="CB557" s="33"/>
      <c r="CC557" s="33"/>
      <c r="CD557" s="33"/>
      <c r="CE557" s="33"/>
      <c r="CF557" s="33"/>
      <c r="CG557" s="33"/>
    </row>
    <row r="558" ht="15.75" customHeight="1">
      <c r="A558" s="174" t="s">
        <v>196</v>
      </c>
      <c r="B558" s="43" t="str">
        <f t="shared" ref="B558:M558" si="145">B557</f>
        <v>1</v>
      </c>
      <c r="C558" s="43" t="str">
        <f t="shared" si="145"/>
        <v>4</v>
      </c>
      <c r="D558" s="43" t="str">
        <f t="shared" si="145"/>
        <v>1</v>
      </c>
      <c r="E558" s="43" t="str">
        <f t="shared" si="145"/>
        <v>2</v>
      </c>
      <c r="F558" s="43" t="str">
        <f t="shared" si="145"/>
        <v>5</v>
      </c>
      <c r="G558" s="43" t="str">
        <f t="shared" si="145"/>
        <v>4</v>
      </c>
      <c r="H558" s="43" t="str">
        <f t="shared" si="145"/>
        <v>8</v>
      </c>
      <c r="I558" s="43" t="str">
        <f t="shared" si="145"/>
        <v>5</v>
      </c>
      <c r="J558" s="43" t="str">
        <f t="shared" si="145"/>
        <v>7</v>
      </c>
      <c r="K558" s="43" t="str">
        <f t="shared" si="145"/>
        <v>7</v>
      </c>
      <c r="L558" s="43" t="str">
        <f t="shared" si="145"/>
        <v>2</v>
      </c>
      <c r="M558" s="189" t="str">
        <f t="shared" si="145"/>
        <v>8</v>
      </c>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t="str">
        <f t="shared" ref="AM558:AO558" si="146">AM557</f>
        <v/>
      </c>
      <c r="AN558" s="43" t="str">
        <f t="shared" si="146"/>
        <v/>
      </c>
      <c r="AO558" s="173" t="str">
        <f t="shared" si="146"/>
        <v/>
      </c>
      <c r="AP558" s="33"/>
      <c r="AQ558" s="33"/>
      <c r="AR558" s="33"/>
      <c r="AS558" s="31"/>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c r="BR558" s="33"/>
      <c r="BS558" s="33"/>
      <c r="BT558" s="33"/>
      <c r="BU558" s="33"/>
      <c r="BV558" s="33"/>
      <c r="BW558" s="33"/>
      <c r="BX558" s="33"/>
      <c r="BY558" s="33"/>
      <c r="BZ558" s="33"/>
      <c r="CA558" s="33"/>
      <c r="CB558" s="33"/>
      <c r="CC558" s="33"/>
      <c r="CD558" s="33"/>
      <c r="CE558" s="33"/>
      <c r="CF558" s="33"/>
      <c r="CG558" s="33"/>
    </row>
    <row r="559" ht="15.75" customHeight="1">
      <c r="A559" s="17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177"/>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c r="BW559" s="31"/>
      <c r="BX559" s="31"/>
      <c r="BY559" s="31"/>
      <c r="BZ559" s="31"/>
      <c r="CA559" s="31"/>
      <c r="CB559" s="31"/>
      <c r="CC559" s="31"/>
      <c r="CD559" s="31"/>
      <c r="CE559" s="31"/>
      <c r="CF559" s="31"/>
      <c r="CG559" s="31"/>
    </row>
    <row r="560" ht="15.75" customHeight="1">
      <c r="A560" s="17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177"/>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c r="BS560" s="31"/>
      <c r="BT560" s="31"/>
      <c r="BU560" s="31"/>
      <c r="BV560" s="31"/>
      <c r="BW560" s="31"/>
      <c r="BX560" s="31"/>
      <c r="BY560" s="31"/>
      <c r="BZ560" s="31"/>
      <c r="CA560" s="31"/>
      <c r="CB560" s="31"/>
      <c r="CC560" s="31"/>
      <c r="CD560" s="31"/>
      <c r="CE560" s="31"/>
      <c r="CF560" s="31"/>
      <c r="CG560" s="31"/>
    </row>
    <row r="561" ht="15.75" customHeight="1">
      <c r="A561" s="17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177"/>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c r="BW561" s="31"/>
      <c r="BX561" s="31"/>
      <c r="BY561" s="31"/>
      <c r="BZ561" s="31"/>
      <c r="CA561" s="31"/>
      <c r="CB561" s="31"/>
      <c r="CC561" s="31"/>
      <c r="CD561" s="31"/>
      <c r="CE561" s="31"/>
      <c r="CF561" s="31"/>
      <c r="CG561" s="31"/>
    </row>
    <row r="562" ht="15.75" customHeight="1">
      <c r="A562" s="178" t="s">
        <v>448</v>
      </c>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179"/>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c r="BS562" s="31"/>
      <c r="BT562" s="31"/>
      <c r="BU562" s="31"/>
      <c r="BV562" s="31"/>
      <c r="BW562" s="31"/>
      <c r="BX562" s="31"/>
      <c r="BY562" s="31"/>
      <c r="BZ562" s="31"/>
      <c r="CA562" s="31"/>
      <c r="CB562" s="31"/>
      <c r="CC562" s="31"/>
      <c r="CD562" s="31"/>
      <c r="CE562" s="31"/>
      <c r="CF562" s="31"/>
      <c r="CG562" s="31"/>
    </row>
    <row r="563" ht="15.75" customHeight="1">
      <c r="A563" s="170" t="s">
        <v>195</v>
      </c>
      <c r="B563" s="40">
        <v>1.0</v>
      </c>
      <c r="C563" s="40">
        <v>2.0</v>
      </c>
      <c r="D563" s="43">
        <v>3.0</v>
      </c>
      <c r="E563" s="43">
        <v>4.0</v>
      </c>
      <c r="F563" s="50">
        <v>5.0</v>
      </c>
      <c r="G563" s="50">
        <v>6.0</v>
      </c>
      <c r="H563" s="50">
        <v>7.0</v>
      </c>
      <c r="I563" s="50">
        <v>8.0</v>
      </c>
      <c r="J563" s="50">
        <v>9.0</v>
      </c>
      <c r="K563" s="50">
        <v>10.0</v>
      </c>
      <c r="L563" s="50">
        <v>11.0</v>
      </c>
      <c r="M563" s="40">
        <v>12.0</v>
      </c>
      <c r="N563" s="40">
        <v>13.0</v>
      </c>
      <c r="O563" s="40">
        <v>14.0</v>
      </c>
      <c r="P563" s="40">
        <v>15.0</v>
      </c>
      <c r="Q563" s="40">
        <v>16.0</v>
      </c>
      <c r="R563" s="40">
        <v>16.0</v>
      </c>
      <c r="S563" s="40">
        <v>16.0</v>
      </c>
      <c r="T563" s="40">
        <v>16.0</v>
      </c>
      <c r="U563" s="40">
        <v>16.0</v>
      </c>
      <c r="V563" s="40">
        <v>16.0</v>
      </c>
      <c r="W563" s="40">
        <v>16.0</v>
      </c>
      <c r="X563" s="40">
        <v>16.0</v>
      </c>
      <c r="Y563" s="40">
        <v>24.0</v>
      </c>
      <c r="Z563" s="40">
        <v>25.0</v>
      </c>
      <c r="AA563" s="40">
        <v>26.0</v>
      </c>
      <c r="AB563" s="40">
        <v>27.0</v>
      </c>
      <c r="AC563" s="40">
        <v>28.0</v>
      </c>
      <c r="AD563" s="40">
        <v>29.0</v>
      </c>
      <c r="AE563" s="40">
        <v>30.0</v>
      </c>
      <c r="AF563" s="40">
        <v>31.0</v>
      </c>
      <c r="AG563" s="40">
        <v>32.0</v>
      </c>
      <c r="AH563" s="40">
        <v>33.0</v>
      </c>
      <c r="AI563" s="40">
        <v>34.0</v>
      </c>
      <c r="AJ563" s="40">
        <v>35.0</v>
      </c>
      <c r="AK563" s="40">
        <v>36.0</v>
      </c>
      <c r="AL563" s="40">
        <v>37.0</v>
      </c>
      <c r="AM563" s="40">
        <v>38.0</v>
      </c>
      <c r="AN563" s="40">
        <v>39.0</v>
      </c>
      <c r="AO563" s="171">
        <v>40.0</v>
      </c>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c r="BS563" s="31"/>
      <c r="BT563" s="31"/>
      <c r="BU563" s="31"/>
      <c r="BV563" s="31"/>
      <c r="BW563" s="31"/>
      <c r="BX563" s="31"/>
      <c r="BY563" s="31"/>
      <c r="BZ563" s="31"/>
      <c r="CA563" s="31"/>
      <c r="CB563" s="31"/>
      <c r="CC563" s="31"/>
      <c r="CD563" s="31"/>
      <c r="CE563" s="31"/>
      <c r="CF563" s="31"/>
      <c r="CG563" s="31"/>
    </row>
    <row r="564" ht="15.75" customHeight="1">
      <c r="A564" s="174" t="s">
        <v>196</v>
      </c>
      <c r="B564" s="43" t="str">
        <f t="shared" ref="B564:L564" si="147">B558</f>
        <v>1</v>
      </c>
      <c r="C564" s="43" t="str">
        <f t="shared" si="147"/>
        <v>4</v>
      </c>
      <c r="D564" s="43" t="str">
        <f t="shared" si="147"/>
        <v>1</v>
      </c>
      <c r="E564" s="43" t="str">
        <f t="shared" si="147"/>
        <v>2</v>
      </c>
      <c r="F564" s="51" t="str">
        <f t="shared" si="147"/>
        <v>5</v>
      </c>
      <c r="G564" s="51" t="str">
        <f t="shared" si="147"/>
        <v>4</v>
      </c>
      <c r="H564" s="51" t="str">
        <f t="shared" si="147"/>
        <v>8</v>
      </c>
      <c r="I564" s="51" t="str">
        <f t="shared" si="147"/>
        <v>5</v>
      </c>
      <c r="J564" s="51" t="str">
        <f t="shared" si="147"/>
        <v>7</v>
      </c>
      <c r="K564" s="51" t="str">
        <f t="shared" si="147"/>
        <v>7</v>
      </c>
      <c r="L564" s="51" t="str">
        <f t="shared" si="147"/>
        <v>2</v>
      </c>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173"/>
      <c r="AP564" s="33"/>
      <c r="AQ564" s="33"/>
      <c r="AR564" s="33"/>
      <c r="AS564" s="31"/>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c r="BU564" s="33"/>
      <c r="BV564" s="33"/>
      <c r="BW564" s="33"/>
      <c r="BX564" s="33"/>
      <c r="BY564" s="33"/>
      <c r="BZ564" s="33"/>
      <c r="CA564" s="33"/>
      <c r="CB564" s="33"/>
      <c r="CC564" s="33"/>
      <c r="CD564" s="33"/>
      <c r="CE564" s="33"/>
      <c r="CF564" s="33"/>
      <c r="CG564" s="33"/>
    </row>
    <row r="565" ht="15.75" customHeight="1">
      <c r="A565" s="180" t="s">
        <v>200</v>
      </c>
      <c r="B565" s="43" t="str">
        <f t="shared" ref="B565:B566" si="148">B551</f>
        <v/>
      </c>
      <c r="C565" s="43"/>
      <c r="D565" s="43"/>
      <c r="E565" s="43"/>
      <c r="F565" s="43">
        <v>1.0</v>
      </c>
      <c r="G565" s="43">
        <v>2.0</v>
      </c>
      <c r="H565" s="43">
        <v>3.0</v>
      </c>
      <c r="I565" s="43">
        <v>4.0</v>
      </c>
      <c r="J565" s="43">
        <v>5.0</v>
      </c>
      <c r="K565" s="43">
        <v>6.0</v>
      </c>
      <c r="L565" s="43">
        <v>7.0</v>
      </c>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173"/>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c r="BW565" s="31"/>
      <c r="BX565" s="31"/>
      <c r="BY565" s="31"/>
      <c r="BZ565" s="31"/>
      <c r="CA565" s="31"/>
      <c r="CB565" s="31"/>
      <c r="CC565" s="31"/>
      <c r="CD565" s="31"/>
      <c r="CE565" s="31"/>
      <c r="CF565" s="31"/>
      <c r="CG565" s="31"/>
    </row>
    <row r="566" ht="15.75" customHeight="1">
      <c r="A566" s="180" t="s">
        <v>201</v>
      </c>
      <c r="B566" s="43" t="str">
        <f t="shared" si="148"/>
        <v/>
      </c>
      <c r="C566" s="43"/>
      <c r="D566" s="43"/>
      <c r="E566" s="43"/>
      <c r="F566" s="43">
        <f t="shared" ref="F566:L566" si="149">F565*F564</f>
        <v>5</v>
      </c>
      <c r="G566" s="43">
        <f t="shared" si="149"/>
        <v>8</v>
      </c>
      <c r="H566" s="43">
        <f t="shared" si="149"/>
        <v>24</v>
      </c>
      <c r="I566" s="43">
        <f t="shared" si="149"/>
        <v>20</v>
      </c>
      <c r="J566" s="43">
        <f t="shared" si="149"/>
        <v>35</v>
      </c>
      <c r="K566" s="43">
        <f t="shared" si="149"/>
        <v>42</v>
      </c>
      <c r="L566" s="43">
        <f t="shared" si="149"/>
        <v>14</v>
      </c>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173"/>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c r="BS566" s="31"/>
      <c r="BT566" s="31"/>
      <c r="BU566" s="31"/>
      <c r="BV566" s="31"/>
      <c r="BW566" s="31"/>
      <c r="BX566" s="31"/>
      <c r="BY566" s="31"/>
      <c r="BZ566" s="31"/>
      <c r="CA566" s="31"/>
      <c r="CB566" s="31"/>
      <c r="CC566" s="31"/>
      <c r="CD566" s="31"/>
      <c r="CE566" s="31"/>
      <c r="CF566" s="31"/>
      <c r="CG566" s="31"/>
    </row>
    <row r="567" ht="15.75" customHeight="1">
      <c r="A567" s="180" t="s">
        <v>203</v>
      </c>
      <c r="B567" s="52">
        <f>SUM(B566:AO566)</f>
        <v>148</v>
      </c>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18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c r="BS567" s="31"/>
      <c r="BT567" s="31"/>
      <c r="BU567" s="31"/>
      <c r="BV567" s="31"/>
      <c r="BW567" s="31"/>
      <c r="BX567" s="31"/>
      <c r="BY567" s="31"/>
      <c r="BZ567" s="31"/>
      <c r="CA567" s="31"/>
      <c r="CB567" s="31"/>
      <c r="CC567" s="31"/>
      <c r="CD567" s="31"/>
      <c r="CE567" s="31"/>
      <c r="CF567" s="31"/>
      <c r="CG567" s="31"/>
    </row>
    <row r="568" ht="15.75" customHeight="1">
      <c r="A568" s="180" t="s">
        <v>263</v>
      </c>
      <c r="B568" s="189">
        <f>MOD(B567,10)</f>
        <v>8</v>
      </c>
      <c r="C568" s="190" t="str">
        <f>IF(TEXT(B568,"0")=TEXT(M558,"0"),"Go to B.1.2","Go to B2")</f>
        <v>Go to B.1.2</v>
      </c>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191"/>
      <c r="AB568" s="191"/>
      <c r="AC568" s="191"/>
      <c r="AD568" s="191"/>
      <c r="AE568" s="191"/>
      <c r="AF568" s="191"/>
      <c r="AG568" s="191"/>
      <c r="AH568" s="191"/>
      <c r="AI568" s="191"/>
      <c r="AJ568" s="191"/>
      <c r="AK568" s="191"/>
      <c r="AL568" s="191"/>
      <c r="AM568" s="191"/>
      <c r="AN568" s="191"/>
      <c r="AO568" s="192"/>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c r="BS568" s="31"/>
      <c r="BT568" s="31"/>
      <c r="BU568" s="31"/>
      <c r="BV568" s="31"/>
      <c r="BW568" s="31"/>
      <c r="BX568" s="31"/>
      <c r="BY568" s="31"/>
      <c r="BZ568" s="31"/>
      <c r="CA568" s="31"/>
      <c r="CB568" s="31"/>
      <c r="CC568" s="31"/>
      <c r="CD568" s="31"/>
      <c r="CE568" s="31"/>
      <c r="CF568" s="31"/>
      <c r="CG568" s="31"/>
    </row>
    <row r="569" ht="15.75" customHeight="1">
      <c r="A569" s="176"/>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18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c r="BW569" s="31"/>
      <c r="BX569" s="31"/>
      <c r="BY569" s="31"/>
      <c r="BZ569" s="31"/>
      <c r="CA569" s="31"/>
      <c r="CB569" s="31"/>
      <c r="CC569" s="31"/>
      <c r="CD569" s="31"/>
      <c r="CE569" s="31"/>
      <c r="CF569" s="31"/>
      <c r="CG569" s="31"/>
    </row>
    <row r="570" ht="15.75" customHeight="1">
      <c r="A570" s="193" t="s">
        <v>463</v>
      </c>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c r="AA570" s="194"/>
      <c r="AB570" s="194"/>
      <c r="AC570" s="194"/>
      <c r="AD570" s="194"/>
      <c r="AE570" s="194"/>
      <c r="AF570" s="194"/>
      <c r="AG570" s="194"/>
      <c r="AH570" s="194"/>
      <c r="AI570" s="194"/>
      <c r="AJ570" s="195"/>
      <c r="AK570" s="194"/>
      <c r="AL570" s="194"/>
      <c r="AM570" s="194"/>
      <c r="AN570" s="194"/>
      <c r="AO570" s="196"/>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c r="BS570" s="31"/>
      <c r="BT570" s="31"/>
      <c r="BU570" s="31"/>
      <c r="BV570" s="31"/>
      <c r="BW570" s="31"/>
      <c r="BX570" s="31"/>
      <c r="BY570" s="31"/>
      <c r="BZ570" s="31"/>
      <c r="CA570" s="31"/>
      <c r="CB570" s="31"/>
      <c r="CC570" s="31"/>
      <c r="CD570" s="31"/>
      <c r="CE570" s="31"/>
      <c r="CF570" s="31"/>
      <c r="CG570" s="31"/>
    </row>
    <row r="571" ht="15.75" customHeight="1">
      <c r="A571" s="170" t="s">
        <v>195</v>
      </c>
      <c r="B571" s="40">
        <v>1.0</v>
      </c>
      <c r="C571" s="40">
        <v>2.0</v>
      </c>
      <c r="D571" s="43">
        <v>3.0</v>
      </c>
      <c r="E571" s="43">
        <v>4.0</v>
      </c>
      <c r="F571" s="50">
        <v>5.0</v>
      </c>
      <c r="G571" s="50">
        <v>6.0</v>
      </c>
      <c r="H571" s="50">
        <v>7.0</v>
      </c>
      <c r="I571" s="50">
        <v>8.0</v>
      </c>
      <c r="J571" s="50">
        <v>9.0</v>
      </c>
      <c r="K571" s="50">
        <v>10.0</v>
      </c>
      <c r="L571" s="50">
        <v>11.0</v>
      </c>
      <c r="M571" s="50">
        <v>12.0</v>
      </c>
      <c r="N571" s="40">
        <v>13.0</v>
      </c>
      <c r="O571" s="40">
        <v>14.0</v>
      </c>
      <c r="P571" s="40">
        <v>15.0</v>
      </c>
      <c r="Q571" s="40">
        <v>16.0</v>
      </c>
      <c r="R571" s="40">
        <v>16.0</v>
      </c>
      <c r="S571" s="40">
        <v>16.0</v>
      </c>
      <c r="T571" s="40">
        <v>16.0</v>
      </c>
      <c r="U571" s="40">
        <v>16.0</v>
      </c>
      <c r="V571" s="40">
        <v>16.0</v>
      </c>
      <c r="W571" s="40">
        <v>16.0</v>
      </c>
      <c r="X571" s="40">
        <v>16.0</v>
      </c>
      <c r="Y571" s="40">
        <v>24.0</v>
      </c>
      <c r="Z571" s="40">
        <v>25.0</v>
      </c>
      <c r="AA571" s="40">
        <v>26.0</v>
      </c>
      <c r="AB571" s="40">
        <v>27.0</v>
      </c>
      <c r="AC571" s="40">
        <v>28.0</v>
      </c>
      <c r="AD571" s="40">
        <v>29.0</v>
      </c>
      <c r="AE571" s="40">
        <v>30.0</v>
      </c>
      <c r="AF571" s="40">
        <v>31.0</v>
      </c>
      <c r="AG571" s="40">
        <v>32.0</v>
      </c>
      <c r="AH571" s="40">
        <v>33.0</v>
      </c>
      <c r="AI571" s="40">
        <v>34.0</v>
      </c>
      <c r="AJ571" s="40">
        <v>35.0</v>
      </c>
      <c r="AK571" s="40">
        <v>36.0</v>
      </c>
      <c r="AL571" s="40">
        <v>37.0</v>
      </c>
      <c r="AM571" s="40">
        <v>38.0</v>
      </c>
      <c r="AN571" s="40">
        <v>39.0</v>
      </c>
      <c r="AO571" s="171">
        <v>40.0</v>
      </c>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c r="BW571" s="31"/>
      <c r="BX571" s="31"/>
      <c r="BY571" s="31"/>
      <c r="BZ571" s="31"/>
      <c r="CA571" s="31"/>
      <c r="CB571" s="31"/>
      <c r="CC571" s="31"/>
      <c r="CD571" s="31"/>
      <c r="CE571" s="31"/>
      <c r="CF571" s="31"/>
      <c r="CG571" s="31"/>
    </row>
    <row r="572" ht="15.75" customHeight="1">
      <c r="A572" s="197" t="s">
        <v>240</v>
      </c>
      <c r="B572" s="40" t="str">
        <f t="shared" ref="B572:Z572" si="150">B516</f>
        <v>1</v>
      </c>
      <c r="C572" s="40" t="str">
        <f t="shared" si="150"/>
        <v>4</v>
      </c>
      <c r="D572" s="40" t="str">
        <f t="shared" si="150"/>
        <v>1</v>
      </c>
      <c r="E572" s="40" t="str">
        <f t="shared" si="150"/>
        <v>2</v>
      </c>
      <c r="F572" s="40" t="str">
        <f t="shared" si="150"/>
        <v>5</v>
      </c>
      <c r="G572" s="40" t="str">
        <f t="shared" si="150"/>
        <v>4</v>
      </c>
      <c r="H572" s="40" t="str">
        <f t="shared" si="150"/>
        <v>8</v>
      </c>
      <c r="I572" s="40" t="str">
        <f t="shared" si="150"/>
        <v>5</v>
      </c>
      <c r="J572" s="40" t="str">
        <f t="shared" si="150"/>
        <v>7</v>
      </c>
      <c r="K572" s="40" t="str">
        <f t="shared" si="150"/>
        <v>7</v>
      </c>
      <c r="L572" s="40" t="str">
        <f t="shared" si="150"/>
        <v>2</v>
      </c>
      <c r="M572" s="40" t="str">
        <f t="shared" si="150"/>
        <v>8</v>
      </c>
      <c r="N572" s="40" t="str">
        <f t="shared" si="150"/>
        <v>1</v>
      </c>
      <c r="O572" s="40" t="str">
        <f t="shared" si="150"/>
        <v>6</v>
      </c>
      <c r="P572" s="40" t="str">
        <f t="shared" si="150"/>
        <v>4</v>
      </c>
      <c r="Q572" s="40" t="str">
        <f t="shared" si="150"/>
        <v>5</v>
      </c>
      <c r="R572" s="40" t="str">
        <f t="shared" si="150"/>
        <v>7</v>
      </c>
      <c r="S572" s="40" t="str">
        <f t="shared" si="150"/>
        <v>3</v>
      </c>
      <c r="T572" s="40" t="str">
        <f t="shared" si="150"/>
        <v>1</v>
      </c>
      <c r="U572" s="40" t="str">
        <f t="shared" si="150"/>
        <v>6</v>
      </c>
      <c r="V572" s="40" t="str">
        <f t="shared" si="150"/>
        <v>0</v>
      </c>
      <c r="W572" s="40" t="str">
        <f t="shared" si="150"/>
        <v>4</v>
      </c>
      <c r="X572" s="40" t="str">
        <f t="shared" si="150"/>
        <v>1</v>
      </c>
      <c r="Y572" s="40" t="str">
        <f t="shared" si="150"/>
        <v>1</v>
      </c>
      <c r="Z572" s="40" t="str">
        <f t="shared" si="150"/>
        <v>2</v>
      </c>
      <c r="AA572" s="40" t="str">
        <f t="shared" ref="AA572:AL572" si="151">AA$557</f>
        <v>9</v>
      </c>
      <c r="AB572" s="40" t="str">
        <f t="shared" si="151"/>
        <v>2</v>
      </c>
      <c r="AC572" s="40" t="str">
        <f t="shared" si="151"/>
        <v>0</v>
      </c>
      <c r="AD572" s="40" t="str">
        <f t="shared" si="151"/>
        <v>0</v>
      </c>
      <c r="AE572" s="40" t="str">
        <f t="shared" si="151"/>
        <v/>
      </c>
      <c r="AF572" s="40" t="str">
        <f t="shared" si="151"/>
        <v/>
      </c>
      <c r="AG572" s="40" t="str">
        <f t="shared" si="151"/>
        <v/>
      </c>
      <c r="AH572" s="40" t="str">
        <f t="shared" si="151"/>
        <v/>
      </c>
      <c r="AI572" s="40" t="str">
        <f t="shared" si="151"/>
        <v/>
      </c>
      <c r="AJ572" s="40" t="str">
        <f t="shared" si="151"/>
        <v/>
      </c>
      <c r="AK572" s="40" t="str">
        <f t="shared" si="151"/>
        <v/>
      </c>
      <c r="AL572" s="40" t="str">
        <f t="shared" si="151"/>
        <v/>
      </c>
      <c r="AM572" s="40" t="str">
        <f t="shared" ref="AM572:AO572" si="152">AM557</f>
        <v/>
      </c>
      <c r="AN572" s="40" t="str">
        <f t="shared" si="152"/>
        <v/>
      </c>
      <c r="AO572" s="171" t="str">
        <f t="shared" si="152"/>
        <v/>
      </c>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c r="BS572" s="31"/>
      <c r="BT572" s="31"/>
      <c r="BU572" s="31"/>
      <c r="BV572" s="31"/>
      <c r="BW572" s="31"/>
      <c r="BX572" s="31"/>
      <c r="BY572" s="31"/>
      <c r="BZ572" s="31"/>
      <c r="CA572" s="31"/>
      <c r="CB572" s="31"/>
      <c r="CC572" s="31"/>
      <c r="CD572" s="31"/>
      <c r="CE572" s="31"/>
      <c r="CF572" s="31"/>
      <c r="CG572" s="31"/>
    </row>
    <row r="573" ht="15.75" customHeight="1">
      <c r="A573" s="174" t="s">
        <v>202</v>
      </c>
      <c r="B573" s="43"/>
      <c r="C573" s="43"/>
      <c r="D573" s="43"/>
      <c r="E573" s="43"/>
      <c r="F573" s="51" t="str">
        <f t="shared" ref="F573:M573" si="153">F572</f>
        <v>5</v>
      </c>
      <c r="G573" s="51" t="str">
        <f t="shared" si="153"/>
        <v>4</v>
      </c>
      <c r="H573" s="51" t="str">
        <f t="shared" si="153"/>
        <v>8</v>
      </c>
      <c r="I573" s="51" t="str">
        <f t="shared" si="153"/>
        <v>5</v>
      </c>
      <c r="J573" s="51" t="str">
        <f t="shared" si="153"/>
        <v>7</v>
      </c>
      <c r="K573" s="51" t="str">
        <f t="shared" si="153"/>
        <v>7</v>
      </c>
      <c r="L573" s="51" t="str">
        <f t="shared" si="153"/>
        <v>2</v>
      </c>
      <c r="M573" s="43" t="str">
        <f t="shared" si="153"/>
        <v>8</v>
      </c>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t="str">
        <f t="shared" ref="AN573:AO573" si="154">AN572</f>
        <v/>
      </c>
      <c r="AO573" s="173" t="str">
        <f t="shared" si="154"/>
        <v/>
      </c>
      <c r="AP573" s="33"/>
      <c r="AQ573" s="33"/>
      <c r="AR573" s="33"/>
      <c r="AS573" s="31"/>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c r="BQ573" s="33"/>
      <c r="BR573" s="33"/>
      <c r="BS573" s="33"/>
      <c r="BT573" s="33"/>
      <c r="BU573" s="33"/>
      <c r="BV573" s="33"/>
      <c r="BW573" s="33"/>
      <c r="BX573" s="33"/>
      <c r="BY573" s="33"/>
      <c r="BZ573" s="33"/>
      <c r="CA573" s="33"/>
      <c r="CB573" s="33"/>
      <c r="CC573" s="33"/>
      <c r="CD573" s="33"/>
      <c r="CE573" s="33"/>
      <c r="CF573" s="33"/>
      <c r="CG573" s="33"/>
    </row>
    <row r="574" ht="15.75" customHeight="1">
      <c r="A574" s="180" t="s">
        <v>464</v>
      </c>
      <c r="B574" s="198" t="str">
        <f>TEXT((CONCATENATE(F573,G573,H573,I573,J573,K573,L573))*3,"0")</f>
        <v>16457316</v>
      </c>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18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c r="BS574" s="31"/>
      <c r="BT574" s="31"/>
      <c r="BU574" s="31"/>
      <c r="BV574" s="31"/>
      <c r="BW574" s="31"/>
      <c r="BX574" s="31"/>
      <c r="BY574" s="31"/>
      <c r="BZ574" s="31"/>
      <c r="CA574" s="31"/>
      <c r="CB574" s="31"/>
      <c r="CC574" s="31"/>
      <c r="CD574" s="31"/>
      <c r="CE574" s="31"/>
      <c r="CF574" s="31"/>
      <c r="CG574" s="31"/>
    </row>
    <row r="575" ht="15.75" customHeight="1">
      <c r="A575" s="180" t="s">
        <v>464</v>
      </c>
      <c r="B575" s="43"/>
      <c r="C575" s="43"/>
      <c r="D575" s="43"/>
      <c r="E575" s="43"/>
      <c r="F575" s="43"/>
      <c r="G575" s="43"/>
      <c r="H575" s="43"/>
      <c r="I575" s="43"/>
      <c r="J575" s="43"/>
      <c r="K575" s="43"/>
      <c r="L575" s="43"/>
      <c r="M575" s="43"/>
      <c r="N575" s="189" t="str">
        <f>MID($B574,1,1)</f>
        <v>1</v>
      </c>
      <c r="O575" s="189" t="str">
        <f>MID($B574,2,1)</f>
        <v>6</v>
      </c>
      <c r="P575" s="189" t="str">
        <f>MID($B574,3,1)</f>
        <v>4</v>
      </c>
      <c r="Q575" s="189" t="str">
        <f>MID($B574,4,1)</f>
        <v>5</v>
      </c>
      <c r="R575" s="189" t="str">
        <f>MID($B574,5,1)</f>
        <v>7</v>
      </c>
      <c r="S575" s="189" t="str">
        <f>MID($B574,6,1)</f>
        <v>3</v>
      </c>
      <c r="T575" s="189" t="str">
        <f>MID($B574,7,1)</f>
        <v>1</v>
      </c>
      <c r="U575" s="189" t="str">
        <f>MID($B574,8,1)</f>
        <v>6</v>
      </c>
      <c r="V575" s="43"/>
      <c r="W575" s="43"/>
      <c r="X575" s="43"/>
      <c r="Y575" s="43"/>
      <c r="Z575" s="43"/>
      <c r="AA575" s="43"/>
      <c r="AB575" s="43"/>
      <c r="AC575" s="43"/>
      <c r="AD575" s="43"/>
      <c r="AE575" s="43"/>
      <c r="AF575" s="43"/>
      <c r="AG575" s="43"/>
      <c r="AH575" s="43"/>
      <c r="AI575" s="43"/>
      <c r="AJ575" s="43"/>
      <c r="AK575" s="43"/>
      <c r="AL575" s="43"/>
      <c r="AM575" s="43"/>
      <c r="AN575" s="43"/>
      <c r="AO575" s="173"/>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c r="BX575" s="31"/>
      <c r="BY575" s="31"/>
      <c r="BZ575" s="31"/>
      <c r="CA575" s="31"/>
      <c r="CB575" s="31"/>
      <c r="CC575" s="31"/>
      <c r="CD575" s="31"/>
      <c r="CE575" s="31"/>
      <c r="CF575" s="31"/>
      <c r="CG575" s="31"/>
    </row>
    <row r="576" ht="15.75" customHeight="1">
      <c r="A576" s="180" t="s">
        <v>240</v>
      </c>
      <c r="B576" s="43"/>
      <c r="C576" s="43"/>
      <c r="D576" s="43"/>
      <c r="E576" s="43"/>
      <c r="F576" s="43"/>
      <c r="G576" s="43"/>
      <c r="H576" s="43"/>
      <c r="I576" s="43"/>
      <c r="J576" s="43"/>
      <c r="K576" s="43"/>
      <c r="L576" s="43"/>
      <c r="M576" s="43"/>
      <c r="N576" s="189" t="str">
        <f t="shared" ref="N576:U576" si="155">IF(N575="","",N572)</f>
        <v>1</v>
      </c>
      <c r="O576" s="189" t="str">
        <f t="shared" si="155"/>
        <v>6</v>
      </c>
      <c r="P576" s="189" t="str">
        <f t="shared" si="155"/>
        <v>4</v>
      </c>
      <c r="Q576" s="189" t="str">
        <f t="shared" si="155"/>
        <v>5</v>
      </c>
      <c r="R576" s="189" t="str">
        <f t="shared" si="155"/>
        <v>7</v>
      </c>
      <c r="S576" s="189" t="str">
        <f t="shared" si="155"/>
        <v>3</v>
      </c>
      <c r="T576" s="189" t="str">
        <f t="shared" si="155"/>
        <v>1</v>
      </c>
      <c r="U576" s="189" t="str">
        <f t="shared" si="155"/>
        <v>6</v>
      </c>
      <c r="V576" s="43"/>
      <c r="W576" s="43"/>
      <c r="X576" s="43"/>
      <c r="Y576" s="43"/>
      <c r="Z576" s="43"/>
      <c r="AA576" s="43"/>
      <c r="AB576" s="43"/>
      <c r="AC576" s="43"/>
      <c r="AD576" s="43"/>
      <c r="AE576" s="43"/>
      <c r="AF576" s="43"/>
      <c r="AG576" s="43"/>
      <c r="AH576" s="43"/>
      <c r="AI576" s="43"/>
      <c r="AJ576" s="43"/>
      <c r="AK576" s="43"/>
      <c r="AL576" s="43"/>
      <c r="AM576" s="43"/>
      <c r="AN576" s="43"/>
      <c r="AO576" s="173"/>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c r="BS576" s="31"/>
      <c r="BT576" s="31"/>
      <c r="BU576" s="31"/>
      <c r="BV576" s="31"/>
      <c r="BW576" s="31"/>
      <c r="BX576" s="31"/>
      <c r="BY576" s="31"/>
      <c r="BZ576" s="31"/>
      <c r="CA576" s="31"/>
      <c r="CB576" s="31"/>
      <c r="CC576" s="31"/>
      <c r="CD576" s="31"/>
      <c r="CE576" s="31"/>
      <c r="CF576" s="31"/>
      <c r="CG576" s="31"/>
    </row>
    <row r="577" ht="15.75" customHeight="1">
      <c r="A577" s="182" t="s">
        <v>465</v>
      </c>
      <c r="B577" s="199" t="str">
        <f>IF(CONCATENATE(N575,O575,P575,Q575,R575,S575,T575,U575)=CONCATENATE(N576,O576,P576,Q576,R576,S576,T576,U576),"TRUE","FALSE")</f>
        <v>TRUE</v>
      </c>
      <c r="C577" s="200" t="str">
        <f>IF(C568="Go to B.1.2",IF(B577="TRUE","SUCCESS!!","Go to B3"),"")</f>
        <v>SUCCESS!!</v>
      </c>
      <c r="D577" s="201"/>
      <c r="E577" s="201"/>
      <c r="F577" s="201" t="str">
        <f>IF(C577="SUCCESS!!",CONCATENATE(B572,C572,D572,E572,F572,G572,H572,I572,J572,K572,L572,M572),"")</f>
        <v>141254857728</v>
      </c>
      <c r="G577" s="201"/>
      <c r="H577" s="201"/>
      <c r="I577" s="201"/>
      <c r="J577" s="201"/>
      <c r="K577" s="201"/>
      <c r="L577" s="201"/>
      <c r="M577" s="201"/>
      <c r="N577" s="201"/>
      <c r="O577" s="201"/>
      <c r="P577" s="201"/>
      <c r="Q577" s="201"/>
      <c r="R577" s="201"/>
      <c r="S577" s="201"/>
      <c r="T577" s="201"/>
      <c r="U577" s="201"/>
      <c r="V577" s="201"/>
      <c r="W577" s="201"/>
      <c r="X577" s="201"/>
      <c r="Y577" s="201"/>
      <c r="Z577" s="201"/>
      <c r="AA577" s="201"/>
      <c r="AB577" s="201"/>
      <c r="AC577" s="201"/>
      <c r="AD577" s="201"/>
      <c r="AE577" s="201"/>
      <c r="AF577" s="201"/>
      <c r="AG577" s="201"/>
      <c r="AH577" s="201"/>
      <c r="AI577" s="201"/>
      <c r="AJ577" s="201"/>
      <c r="AK577" s="201"/>
      <c r="AL577" s="201"/>
      <c r="AM577" s="201"/>
      <c r="AN577" s="201"/>
      <c r="AO577" s="202"/>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c r="BV577" s="31"/>
      <c r="BW577" s="31"/>
      <c r="BX577" s="31"/>
      <c r="BY577" s="31"/>
      <c r="BZ577" s="31"/>
      <c r="CA577" s="31"/>
      <c r="CB577" s="31"/>
      <c r="CC577" s="31"/>
      <c r="CD577" s="31"/>
      <c r="CE577" s="31"/>
      <c r="CF577" s="31"/>
      <c r="CG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c r="BS578" s="31"/>
      <c r="BT578" s="31"/>
      <c r="BU578" s="31"/>
      <c r="BV578" s="31"/>
      <c r="BW578" s="31"/>
      <c r="BX578" s="31"/>
      <c r="BY578" s="31"/>
      <c r="BZ578" s="31"/>
      <c r="CA578" s="31"/>
      <c r="CB578" s="31"/>
      <c r="CC578" s="31"/>
      <c r="CD578" s="31"/>
      <c r="CE578" s="31"/>
      <c r="CF578" s="31"/>
      <c r="CG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c r="BW579" s="31"/>
      <c r="BX579" s="31"/>
      <c r="BY579" s="31"/>
      <c r="BZ579" s="31"/>
      <c r="CA579" s="31"/>
      <c r="CB579" s="31"/>
      <c r="CC579" s="31"/>
      <c r="CD579" s="31"/>
      <c r="CE579" s="31"/>
      <c r="CF579" s="31"/>
      <c r="CG579" s="31"/>
    </row>
    <row r="580" ht="15.75" customHeight="1">
      <c r="A580" s="165" t="s">
        <v>466</v>
      </c>
      <c r="B580" s="166"/>
      <c r="C580" s="166"/>
      <c r="D580" s="166"/>
      <c r="E580" s="166"/>
      <c r="F580" s="166"/>
      <c r="G580" s="166"/>
      <c r="H580" s="166"/>
      <c r="I580" s="166"/>
      <c r="J580" s="166"/>
      <c r="K580" s="166"/>
      <c r="L580" s="166"/>
      <c r="M580" s="166"/>
      <c r="N580" s="166"/>
      <c r="O580" s="166"/>
      <c r="P580" s="166"/>
      <c r="Q580" s="166"/>
      <c r="R580" s="166"/>
      <c r="S580" s="166"/>
      <c r="T580" s="166"/>
      <c r="U580" s="166"/>
      <c r="V580" s="166"/>
      <c r="W580" s="166"/>
      <c r="X580" s="166"/>
      <c r="Y580" s="166"/>
      <c r="Z580" s="166"/>
      <c r="AA580" s="166"/>
      <c r="AB580" s="166"/>
      <c r="AC580" s="166"/>
      <c r="AD580" s="166"/>
      <c r="AE580" s="166"/>
      <c r="AF580" s="166"/>
      <c r="AG580" s="166"/>
      <c r="AH580" s="166"/>
      <c r="AI580" s="166"/>
      <c r="AJ580" s="168"/>
      <c r="AK580" s="166"/>
      <c r="AL580" s="166"/>
      <c r="AM580" s="166"/>
      <c r="AN580" s="166"/>
      <c r="AO580" s="169"/>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c r="BX580" s="31"/>
      <c r="BY580" s="31"/>
      <c r="BZ580" s="31"/>
      <c r="CA580" s="31"/>
      <c r="CB580" s="31"/>
      <c r="CC580" s="31"/>
      <c r="CD580" s="31"/>
      <c r="CE580" s="31"/>
      <c r="CF580" s="31"/>
      <c r="CG580" s="31"/>
    </row>
    <row r="581" ht="15.75" customHeight="1">
      <c r="A581" s="187" t="s">
        <v>467</v>
      </c>
      <c r="B581" s="38"/>
      <c r="C581" s="38"/>
      <c r="D581" s="38"/>
      <c r="E581" s="38"/>
      <c r="F581" s="38"/>
      <c r="G581" s="38"/>
      <c r="H581" s="38"/>
      <c r="I581" s="38"/>
      <c r="J581" s="38"/>
      <c r="K581" s="38"/>
      <c r="L581" s="38"/>
      <c r="M581" s="38"/>
      <c r="N581" s="38"/>
      <c r="O581" s="90"/>
      <c r="P581" s="38"/>
      <c r="Q581" s="38"/>
      <c r="R581" s="38"/>
      <c r="S581" s="38"/>
      <c r="T581" s="38"/>
      <c r="U581" s="38"/>
      <c r="V581" s="38"/>
      <c r="W581" s="38"/>
      <c r="X581" s="38"/>
      <c r="Y581" s="38"/>
      <c r="Z581" s="38"/>
      <c r="AA581" s="38"/>
      <c r="AB581" s="38"/>
      <c r="AC581" s="38"/>
      <c r="AD581" s="38"/>
      <c r="AE581" s="38"/>
      <c r="AF581" s="38"/>
      <c r="AG581" s="38"/>
      <c r="AH581" s="38"/>
      <c r="AI581" s="38"/>
      <c r="AJ581" s="37"/>
      <c r="AK581" s="38"/>
      <c r="AL581" s="38"/>
      <c r="AM581" s="38"/>
      <c r="AN581" s="38"/>
      <c r="AO581" s="188"/>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c r="BS581" s="31"/>
      <c r="BT581" s="31"/>
      <c r="BU581" s="31"/>
      <c r="BV581" s="31"/>
      <c r="BW581" s="31"/>
      <c r="BX581" s="31"/>
      <c r="BY581" s="31"/>
      <c r="BZ581" s="31"/>
      <c r="CA581" s="31"/>
      <c r="CB581" s="31"/>
      <c r="CC581" s="31"/>
      <c r="CD581" s="31"/>
      <c r="CE581" s="31"/>
      <c r="CF581" s="31"/>
      <c r="CG581" s="31"/>
    </row>
    <row r="582" ht="15.75" customHeight="1">
      <c r="A582" s="170" t="s">
        <v>195</v>
      </c>
      <c r="B582" s="50">
        <v>1.0</v>
      </c>
      <c r="C582" s="50">
        <v>2.0</v>
      </c>
      <c r="D582" s="50">
        <v>3.0</v>
      </c>
      <c r="E582" s="50">
        <v>4.0</v>
      </c>
      <c r="F582" s="50">
        <v>5.0</v>
      </c>
      <c r="G582" s="50">
        <v>6.0</v>
      </c>
      <c r="H582" s="50">
        <v>7.0</v>
      </c>
      <c r="I582" s="50">
        <v>8.0</v>
      </c>
      <c r="J582" s="50">
        <v>9.0</v>
      </c>
      <c r="K582" s="50">
        <v>10.0</v>
      </c>
      <c r="L582" s="50">
        <v>11.0</v>
      </c>
      <c r="M582" s="40">
        <v>12.0</v>
      </c>
      <c r="N582" s="40">
        <v>13.0</v>
      </c>
      <c r="O582" s="40">
        <v>14.0</v>
      </c>
      <c r="P582" s="40">
        <v>15.0</v>
      </c>
      <c r="Q582" s="40">
        <v>16.0</v>
      </c>
      <c r="R582" s="40">
        <v>17.0</v>
      </c>
      <c r="S582" s="40">
        <v>18.0</v>
      </c>
      <c r="T582" s="40">
        <v>19.0</v>
      </c>
      <c r="U582" s="40">
        <v>20.0</v>
      </c>
      <c r="V582" s="40">
        <v>21.0</v>
      </c>
      <c r="W582" s="40">
        <v>22.0</v>
      </c>
      <c r="X582" s="40">
        <v>23.0</v>
      </c>
      <c r="Y582" s="40">
        <v>24.0</v>
      </c>
      <c r="Z582" s="40">
        <v>25.0</v>
      </c>
      <c r="AA582" s="40">
        <v>26.0</v>
      </c>
      <c r="AB582" s="40">
        <v>27.0</v>
      </c>
      <c r="AC582" s="40">
        <v>28.0</v>
      </c>
      <c r="AD582" s="40">
        <v>29.0</v>
      </c>
      <c r="AE582" s="40">
        <v>30.0</v>
      </c>
      <c r="AF582" s="40">
        <v>31.0</v>
      </c>
      <c r="AG582" s="40">
        <v>32.0</v>
      </c>
      <c r="AH582" s="40">
        <v>33.0</v>
      </c>
      <c r="AI582" s="40">
        <v>34.0</v>
      </c>
      <c r="AJ582" s="40">
        <v>35.0</v>
      </c>
      <c r="AK582" s="40">
        <v>36.0</v>
      </c>
      <c r="AL582" s="40">
        <v>37.0</v>
      </c>
      <c r="AM582" s="40">
        <v>38.0</v>
      </c>
      <c r="AN582" s="40">
        <v>39.0</v>
      </c>
      <c r="AO582" s="171">
        <v>40.0</v>
      </c>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c r="BS582" s="31"/>
      <c r="BT582" s="31"/>
      <c r="BU582" s="31"/>
      <c r="BV582" s="31"/>
      <c r="BW582" s="31"/>
      <c r="BX582" s="31"/>
      <c r="BY582" s="31"/>
      <c r="BZ582" s="31"/>
      <c r="CA582" s="31"/>
      <c r="CB582" s="31"/>
      <c r="CC582" s="31"/>
      <c r="CD582" s="31"/>
      <c r="CE582" s="31"/>
      <c r="CF582" s="31"/>
      <c r="CG582" s="31"/>
    </row>
    <row r="583" ht="15.75" customHeight="1">
      <c r="A583" s="172" t="s">
        <v>199</v>
      </c>
      <c r="B583" s="51" t="str">
        <f t="shared" ref="B583:L583" si="156">B557</f>
        <v>1</v>
      </c>
      <c r="C583" s="51" t="str">
        <f t="shared" si="156"/>
        <v>4</v>
      </c>
      <c r="D583" s="51" t="str">
        <f t="shared" si="156"/>
        <v>1</v>
      </c>
      <c r="E583" s="51" t="str">
        <f t="shared" si="156"/>
        <v>2</v>
      </c>
      <c r="F583" s="51" t="str">
        <f t="shared" si="156"/>
        <v>5</v>
      </c>
      <c r="G583" s="51" t="str">
        <f t="shared" si="156"/>
        <v>4</v>
      </c>
      <c r="H583" s="51" t="str">
        <f t="shared" si="156"/>
        <v>8</v>
      </c>
      <c r="I583" s="51" t="str">
        <f t="shared" si="156"/>
        <v>5</v>
      </c>
      <c r="J583" s="51" t="str">
        <f t="shared" si="156"/>
        <v>7</v>
      </c>
      <c r="K583" s="51" t="str">
        <f t="shared" si="156"/>
        <v>7</v>
      </c>
      <c r="L583" s="51" t="str">
        <f t="shared" si="156"/>
        <v>2</v>
      </c>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203"/>
      <c r="AP583" s="33"/>
      <c r="AQ583" s="33"/>
      <c r="AR583" s="33"/>
      <c r="AS583" s="31"/>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c r="BR583" s="33"/>
      <c r="BS583" s="33"/>
      <c r="BT583" s="33"/>
      <c r="BU583" s="33"/>
      <c r="BV583" s="33"/>
      <c r="BW583" s="33"/>
      <c r="BX583" s="33"/>
      <c r="BY583" s="33"/>
      <c r="BZ583" s="33"/>
      <c r="CA583" s="33"/>
      <c r="CB583" s="33"/>
      <c r="CC583" s="33"/>
      <c r="CD583" s="33"/>
      <c r="CE583" s="33"/>
      <c r="CF583" s="33"/>
      <c r="CG583" s="33"/>
    </row>
    <row r="584" ht="15.75" customHeight="1">
      <c r="A584" s="174" t="s">
        <v>196</v>
      </c>
      <c r="B584" s="43" t="str">
        <f t="shared" ref="B584:L584" si="157">B583</f>
        <v>1</v>
      </c>
      <c r="C584" s="43" t="str">
        <f t="shared" si="157"/>
        <v>4</v>
      </c>
      <c r="D584" s="43" t="str">
        <f t="shared" si="157"/>
        <v>1</v>
      </c>
      <c r="E584" s="43" t="str">
        <f t="shared" si="157"/>
        <v>2</v>
      </c>
      <c r="F584" s="43" t="str">
        <f t="shared" si="157"/>
        <v>5</v>
      </c>
      <c r="G584" s="43" t="str">
        <f t="shared" si="157"/>
        <v>4</v>
      </c>
      <c r="H584" s="43" t="str">
        <f t="shared" si="157"/>
        <v>8</v>
      </c>
      <c r="I584" s="43" t="str">
        <f t="shared" si="157"/>
        <v>5</v>
      </c>
      <c r="J584" s="43" t="str">
        <f t="shared" si="157"/>
        <v>7</v>
      </c>
      <c r="K584" s="43" t="str">
        <f t="shared" si="157"/>
        <v>7</v>
      </c>
      <c r="L584" s="189" t="str">
        <f t="shared" si="157"/>
        <v>2</v>
      </c>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t="str">
        <f t="shared" ref="AM584:AO584" si="158">AM583</f>
        <v/>
      </c>
      <c r="AN584" s="43" t="str">
        <f t="shared" si="158"/>
        <v/>
      </c>
      <c r="AO584" s="173" t="str">
        <f t="shared" si="158"/>
        <v/>
      </c>
      <c r="AP584" s="33"/>
      <c r="AQ584" s="33"/>
      <c r="AR584" s="33"/>
      <c r="AS584" s="31"/>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c r="BU584" s="33"/>
      <c r="BV584" s="33"/>
      <c r="BW584" s="33"/>
      <c r="BX584" s="33"/>
      <c r="BY584" s="33"/>
      <c r="BZ584" s="33"/>
      <c r="CA584" s="33"/>
      <c r="CB584" s="33"/>
      <c r="CC584" s="33"/>
      <c r="CD584" s="33"/>
      <c r="CE584" s="33"/>
      <c r="CF584" s="33"/>
      <c r="CG584" s="33"/>
    </row>
    <row r="585" ht="15.75" customHeight="1">
      <c r="A585" s="17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177"/>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c r="BW585" s="31"/>
      <c r="BX585" s="31"/>
      <c r="BY585" s="31"/>
      <c r="BZ585" s="31"/>
      <c r="CA585" s="31"/>
      <c r="CB585" s="31"/>
      <c r="CC585" s="31"/>
      <c r="CD585" s="31"/>
      <c r="CE585" s="31"/>
      <c r="CF585" s="31"/>
      <c r="CG585" s="31"/>
    </row>
    <row r="586" ht="15.75" customHeight="1">
      <c r="A586" s="178" t="s">
        <v>448</v>
      </c>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179"/>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c r="BW586" s="31"/>
      <c r="BX586" s="31"/>
      <c r="BY586" s="31"/>
      <c r="BZ586" s="31"/>
      <c r="CA586" s="31"/>
      <c r="CB586" s="31"/>
      <c r="CC586" s="31"/>
      <c r="CD586" s="31"/>
      <c r="CE586" s="31"/>
      <c r="CF586" s="31"/>
      <c r="CG586" s="31"/>
    </row>
    <row r="587" ht="15.75" customHeight="1">
      <c r="A587" s="170" t="s">
        <v>195</v>
      </c>
      <c r="B587" s="40">
        <v>1.0</v>
      </c>
      <c r="C587" s="40">
        <v>2.0</v>
      </c>
      <c r="D587" s="43">
        <v>3.0</v>
      </c>
      <c r="E587" s="43">
        <v>4.0</v>
      </c>
      <c r="F587" s="50">
        <v>5.0</v>
      </c>
      <c r="G587" s="50">
        <v>6.0</v>
      </c>
      <c r="H587" s="50">
        <v>7.0</v>
      </c>
      <c r="I587" s="50">
        <v>8.0</v>
      </c>
      <c r="J587" s="50">
        <v>9.0</v>
      </c>
      <c r="K587" s="50">
        <v>10.0</v>
      </c>
      <c r="L587" s="40">
        <v>11.0</v>
      </c>
      <c r="M587" s="40">
        <v>12.0</v>
      </c>
      <c r="N587" s="40">
        <v>13.0</v>
      </c>
      <c r="O587" s="40">
        <v>14.0</v>
      </c>
      <c r="P587" s="40">
        <v>15.0</v>
      </c>
      <c r="Q587" s="40">
        <v>16.0</v>
      </c>
      <c r="R587" s="40">
        <v>16.0</v>
      </c>
      <c r="S587" s="40">
        <v>16.0</v>
      </c>
      <c r="T587" s="40">
        <v>16.0</v>
      </c>
      <c r="U587" s="40">
        <v>16.0</v>
      </c>
      <c r="V587" s="40">
        <v>16.0</v>
      </c>
      <c r="W587" s="40">
        <v>16.0</v>
      </c>
      <c r="X587" s="40">
        <v>16.0</v>
      </c>
      <c r="Y587" s="40">
        <v>24.0</v>
      </c>
      <c r="Z587" s="40">
        <v>25.0</v>
      </c>
      <c r="AA587" s="40">
        <v>26.0</v>
      </c>
      <c r="AB587" s="40">
        <v>27.0</v>
      </c>
      <c r="AC587" s="40">
        <v>28.0</v>
      </c>
      <c r="AD587" s="40">
        <v>29.0</v>
      </c>
      <c r="AE587" s="40">
        <v>30.0</v>
      </c>
      <c r="AF587" s="40">
        <v>31.0</v>
      </c>
      <c r="AG587" s="40">
        <v>32.0</v>
      </c>
      <c r="AH587" s="40">
        <v>33.0</v>
      </c>
      <c r="AI587" s="40">
        <v>34.0</v>
      </c>
      <c r="AJ587" s="40">
        <v>35.0</v>
      </c>
      <c r="AK587" s="40">
        <v>36.0</v>
      </c>
      <c r="AL587" s="40">
        <v>37.0</v>
      </c>
      <c r="AM587" s="40">
        <v>38.0</v>
      </c>
      <c r="AN587" s="40">
        <v>39.0</v>
      </c>
      <c r="AO587" s="171">
        <v>40.0</v>
      </c>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c r="BW587" s="31"/>
      <c r="BX587" s="31"/>
      <c r="BY587" s="31"/>
      <c r="BZ587" s="31"/>
      <c r="CA587" s="31"/>
      <c r="CB587" s="31"/>
      <c r="CC587" s="31"/>
      <c r="CD587" s="31"/>
      <c r="CE587" s="31"/>
      <c r="CF587" s="31"/>
      <c r="CG587" s="31"/>
    </row>
    <row r="588" ht="15.75" customHeight="1">
      <c r="A588" s="174" t="s">
        <v>196</v>
      </c>
      <c r="B588" s="43" t="str">
        <f t="shared" ref="B588:AO588" si="159">B584</f>
        <v>1</v>
      </c>
      <c r="C588" s="43" t="str">
        <f t="shared" si="159"/>
        <v>4</v>
      </c>
      <c r="D588" s="43" t="str">
        <f t="shared" si="159"/>
        <v>1</v>
      </c>
      <c r="E588" s="43" t="str">
        <f t="shared" si="159"/>
        <v>2</v>
      </c>
      <c r="F588" s="51" t="str">
        <f t="shared" si="159"/>
        <v>5</v>
      </c>
      <c r="G588" s="51" t="str">
        <f t="shared" si="159"/>
        <v>4</v>
      </c>
      <c r="H588" s="51" t="str">
        <f t="shared" si="159"/>
        <v>8</v>
      </c>
      <c r="I588" s="51" t="str">
        <f t="shared" si="159"/>
        <v>5</v>
      </c>
      <c r="J588" s="51" t="str">
        <f t="shared" si="159"/>
        <v>7</v>
      </c>
      <c r="K588" s="51" t="str">
        <f t="shared" si="159"/>
        <v>7</v>
      </c>
      <c r="L588" s="43" t="str">
        <f t="shared" si="159"/>
        <v>2</v>
      </c>
      <c r="M588" s="43" t="str">
        <f t="shared" si="159"/>
        <v/>
      </c>
      <c r="N588" s="43" t="str">
        <f t="shared" si="159"/>
        <v/>
      </c>
      <c r="O588" s="43" t="str">
        <f t="shared" si="159"/>
        <v/>
      </c>
      <c r="P588" s="43" t="str">
        <f t="shared" si="159"/>
        <v/>
      </c>
      <c r="Q588" s="43" t="str">
        <f t="shared" si="159"/>
        <v/>
      </c>
      <c r="R588" s="43" t="str">
        <f t="shared" si="159"/>
        <v/>
      </c>
      <c r="S588" s="43" t="str">
        <f t="shared" si="159"/>
        <v/>
      </c>
      <c r="T588" s="43" t="str">
        <f t="shared" si="159"/>
        <v/>
      </c>
      <c r="U588" s="43" t="str">
        <f t="shared" si="159"/>
        <v/>
      </c>
      <c r="V588" s="43" t="str">
        <f t="shared" si="159"/>
        <v/>
      </c>
      <c r="W588" s="43" t="str">
        <f t="shared" si="159"/>
        <v/>
      </c>
      <c r="X588" s="43" t="str">
        <f t="shared" si="159"/>
        <v/>
      </c>
      <c r="Y588" s="43" t="str">
        <f t="shared" si="159"/>
        <v/>
      </c>
      <c r="Z588" s="43" t="str">
        <f t="shared" si="159"/>
        <v/>
      </c>
      <c r="AA588" s="43" t="str">
        <f t="shared" si="159"/>
        <v/>
      </c>
      <c r="AB588" s="43" t="str">
        <f t="shared" si="159"/>
        <v/>
      </c>
      <c r="AC588" s="43" t="str">
        <f t="shared" si="159"/>
        <v/>
      </c>
      <c r="AD588" s="43" t="str">
        <f t="shared" si="159"/>
        <v/>
      </c>
      <c r="AE588" s="43" t="str">
        <f t="shared" si="159"/>
        <v/>
      </c>
      <c r="AF588" s="43" t="str">
        <f t="shared" si="159"/>
        <v/>
      </c>
      <c r="AG588" s="43" t="str">
        <f t="shared" si="159"/>
        <v/>
      </c>
      <c r="AH588" s="43" t="str">
        <f t="shared" si="159"/>
        <v/>
      </c>
      <c r="AI588" s="43" t="str">
        <f t="shared" si="159"/>
        <v/>
      </c>
      <c r="AJ588" s="43" t="str">
        <f t="shared" si="159"/>
        <v/>
      </c>
      <c r="AK588" s="43" t="str">
        <f t="shared" si="159"/>
        <v/>
      </c>
      <c r="AL588" s="43" t="str">
        <f t="shared" si="159"/>
        <v/>
      </c>
      <c r="AM588" s="43" t="str">
        <f t="shared" si="159"/>
        <v/>
      </c>
      <c r="AN588" s="43" t="str">
        <f t="shared" si="159"/>
        <v/>
      </c>
      <c r="AO588" s="173" t="str">
        <f t="shared" si="159"/>
        <v/>
      </c>
      <c r="AP588" s="33"/>
      <c r="AQ588" s="33"/>
      <c r="AR588" s="33"/>
      <c r="AS588" s="31"/>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c r="BR588" s="33"/>
      <c r="BS588" s="33"/>
      <c r="BT588" s="33"/>
      <c r="BU588" s="33"/>
      <c r="BV588" s="33"/>
      <c r="BW588" s="33"/>
      <c r="BX588" s="33"/>
      <c r="BY588" s="33"/>
      <c r="BZ588" s="33"/>
      <c r="CA588" s="33"/>
      <c r="CB588" s="33"/>
      <c r="CC588" s="33"/>
      <c r="CD588" s="33"/>
      <c r="CE588" s="33"/>
      <c r="CF588" s="33"/>
      <c r="CG588" s="33"/>
    </row>
    <row r="589" ht="15.75" customHeight="1">
      <c r="A589" s="180" t="s">
        <v>200</v>
      </c>
      <c r="B589" s="43" t="str">
        <f>B585</f>
        <v/>
      </c>
      <c r="C589" s="43"/>
      <c r="D589" s="43"/>
      <c r="E589" s="43"/>
      <c r="F589" s="43">
        <v>1.0</v>
      </c>
      <c r="G589" s="43">
        <v>2.0</v>
      </c>
      <c r="H589" s="43">
        <v>3.0</v>
      </c>
      <c r="I589" s="43">
        <v>4.0</v>
      </c>
      <c r="J589" s="43">
        <v>5.0</v>
      </c>
      <c r="K589" s="43">
        <v>6.0</v>
      </c>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173"/>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c r="BW589" s="31"/>
      <c r="BX589" s="31"/>
      <c r="BY589" s="31"/>
      <c r="BZ589" s="31"/>
      <c r="CA589" s="31"/>
      <c r="CB589" s="31"/>
      <c r="CC589" s="31"/>
      <c r="CD589" s="31"/>
      <c r="CE589" s="31"/>
      <c r="CF589" s="31"/>
      <c r="CG589" s="31"/>
    </row>
    <row r="590" ht="15.75" customHeight="1">
      <c r="A590" s="180" t="s">
        <v>201</v>
      </c>
      <c r="B590" s="43"/>
      <c r="C590" s="43"/>
      <c r="D590" s="43"/>
      <c r="E590" s="43"/>
      <c r="F590" s="43">
        <f t="shared" ref="F590:K590" si="160">F589*F588</f>
        <v>5</v>
      </c>
      <c r="G590" s="43">
        <f t="shared" si="160"/>
        <v>8</v>
      </c>
      <c r="H590" s="43">
        <f t="shared" si="160"/>
        <v>24</v>
      </c>
      <c r="I590" s="43">
        <f t="shared" si="160"/>
        <v>20</v>
      </c>
      <c r="J590" s="43">
        <f t="shared" si="160"/>
        <v>35</v>
      </c>
      <c r="K590" s="43">
        <f t="shared" si="160"/>
        <v>42</v>
      </c>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173"/>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c r="BS590" s="31"/>
      <c r="BT590" s="31"/>
      <c r="BU590" s="31"/>
      <c r="BV590" s="31"/>
      <c r="BW590" s="31"/>
      <c r="BX590" s="31"/>
      <c r="BY590" s="31"/>
      <c r="BZ590" s="31"/>
      <c r="CA590" s="31"/>
      <c r="CB590" s="31"/>
      <c r="CC590" s="31"/>
      <c r="CD590" s="31"/>
      <c r="CE590" s="31"/>
      <c r="CF590" s="31"/>
      <c r="CG590" s="31"/>
    </row>
    <row r="591" ht="15.75" customHeight="1">
      <c r="A591" s="180" t="s">
        <v>203</v>
      </c>
      <c r="B591" s="52">
        <f>SUM(B590:AO590)</f>
        <v>134</v>
      </c>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18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c r="BV591" s="31"/>
      <c r="BW591" s="31"/>
      <c r="BX591" s="31"/>
      <c r="BY591" s="31"/>
      <c r="BZ591" s="31"/>
      <c r="CA591" s="31"/>
      <c r="CB591" s="31"/>
      <c r="CC591" s="31"/>
      <c r="CD591" s="31"/>
      <c r="CE591" s="31"/>
      <c r="CF591" s="31"/>
      <c r="CG591" s="31"/>
    </row>
    <row r="592" ht="15.75" customHeight="1">
      <c r="A592" s="180" t="s">
        <v>263</v>
      </c>
      <c r="B592" s="189">
        <f>MOD(B591,10)</f>
        <v>4</v>
      </c>
      <c r="C592" s="190" t="str">
        <f>IF(B577="TRUE","", IF(TEXT(B592,"0")=TEXT(L584,"0"),"Go to B.2.2","Go to B3"))</f>
        <v/>
      </c>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c r="AA592" s="191"/>
      <c r="AB592" s="191"/>
      <c r="AC592" s="191"/>
      <c r="AD592" s="191"/>
      <c r="AE592" s="191"/>
      <c r="AF592" s="191"/>
      <c r="AG592" s="191"/>
      <c r="AH592" s="191"/>
      <c r="AI592" s="191"/>
      <c r="AJ592" s="191"/>
      <c r="AK592" s="191"/>
      <c r="AL592" s="191"/>
      <c r="AM592" s="191"/>
      <c r="AN592" s="191"/>
      <c r="AO592" s="192"/>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c r="BS592" s="31"/>
      <c r="BT592" s="31"/>
      <c r="BU592" s="31"/>
      <c r="BV592" s="31"/>
      <c r="BW592" s="31"/>
      <c r="BX592" s="31"/>
      <c r="BY592" s="31"/>
      <c r="BZ592" s="31"/>
      <c r="CA592" s="31"/>
      <c r="CB592" s="31"/>
      <c r="CC592" s="31"/>
      <c r="CD592" s="31"/>
      <c r="CE592" s="31"/>
      <c r="CF592" s="31"/>
      <c r="CG592" s="31"/>
    </row>
    <row r="593" ht="15.75" customHeight="1">
      <c r="A593" s="176"/>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18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c r="BW593" s="31"/>
      <c r="BX593" s="31"/>
      <c r="BY593" s="31"/>
      <c r="BZ593" s="31"/>
      <c r="CA593" s="31"/>
      <c r="CB593" s="31"/>
      <c r="CC593" s="31"/>
      <c r="CD593" s="31"/>
      <c r="CE593" s="31"/>
      <c r="CF593" s="31"/>
      <c r="CG593" s="31"/>
    </row>
    <row r="594" ht="15.75" customHeight="1">
      <c r="A594" s="193" t="s">
        <v>468</v>
      </c>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c r="AA594" s="194"/>
      <c r="AB594" s="194"/>
      <c r="AC594" s="194"/>
      <c r="AD594" s="194"/>
      <c r="AE594" s="194"/>
      <c r="AF594" s="194"/>
      <c r="AG594" s="194"/>
      <c r="AH594" s="194"/>
      <c r="AI594" s="194"/>
      <c r="AJ594" s="195"/>
      <c r="AK594" s="194"/>
      <c r="AL594" s="194"/>
      <c r="AM594" s="194"/>
      <c r="AN594" s="194"/>
      <c r="AO594" s="196"/>
      <c r="AP594" s="31"/>
      <c r="AQ594" s="31"/>
      <c r="AR594" s="31"/>
      <c r="AS594" s="30"/>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c r="BS594" s="31"/>
      <c r="BT594" s="31"/>
      <c r="BU594" s="31"/>
      <c r="BV594" s="31"/>
      <c r="BW594" s="31"/>
      <c r="BX594" s="31"/>
      <c r="BY594" s="31"/>
      <c r="BZ594" s="31"/>
      <c r="CA594" s="31"/>
      <c r="CB594" s="31"/>
      <c r="CC594" s="31"/>
      <c r="CD594" s="31"/>
      <c r="CE594" s="31"/>
      <c r="CF594" s="31"/>
      <c r="CG594" s="31"/>
    </row>
    <row r="595" ht="15.75" customHeight="1">
      <c r="A595" s="170" t="s">
        <v>195</v>
      </c>
      <c r="B595" s="40">
        <v>1.0</v>
      </c>
      <c r="C595" s="40">
        <v>2.0</v>
      </c>
      <c r="D595" s="43">
        <v>3.0</v>
      </c>
      <c r="E595" s="43">
        <v>4.0</v>
      </c>
      <c r="F595" s="50">
        <v>5.0</v>
      </c>
      <c r="G595" s="50">
        <v>6.0</v>
      </c>
      <c r="H595" s="50">
        <v>7.0</v>
      </c>
      <c r="I595" s="50">
        <v>8.0</v>
      </c>
      <c r="J595" s="50">
        <v>9.0</v>
      </c>
      <c r="K595" s="50">
        <v>10.0</v>
      </c>
      <c r="L595" s="50">
        <v>11.0</v>
      </c>
      <c r="M595" s="40">
        <v>12.0</v>
      </c>
      <c r="N595" s="40">
        <v>13.0</v>
      </c>
      <c r="O595" s="40">
        <v>14.0</v>
      </c>
      <c r="P595" s="40">
        <v>15.0</v>
      </c>
      <c r="Q595" s="40">
        <v>16.0</v>
      </c>
      <c r="R595" s="40">
        <v>17.0</v>
      </c>
      <c r="S595" s="40">
        <v>18.0</v>
      </c>
      <c r="T595" s="40">
        <v>19.0</v>
      </c>
      <c r="U595" s="40">
        <v>20.0</v>
      </c>
      <c r="V595" s="40">
        <v>21.0</v>
      </c>
      <c r="W595" s="40">
        <v>22.0</v>
      </c>
      <c r="X595" s="40">
        <v>23.0</v>
      </c>
      <c r="Y595" s="40">
        <v>24.0</v>
      </c>
      <c r="Z595" s="40">
        <v>25.0</v>
      </c>
      <c r="AA595" s="40">
        <v>26.0</v>
      </c>
      <c r="AB595" s="40">
        <v>27.0</v>
      </c>
      <c r="AC595" s="40">
        <v>28.0</v>
      </c>
      <c r="AD595" s="40">
        <v>29.0</v>
      </c>
      <c r="AE595" s="40">
        <v>30.0</v>
      </c>
      <c r="AF595" s="40">
        <v>31.0</v>
      </c>
      <c r="AG595" s="40">
        <v>32.0</v>
      </c>
      <c r="AH595" s="40">
        <v>33.0</v>
      </c>
      <c r="AI595" s="40">
        <v>34.0</v>
      </c>
      <c r="AJ595" s="40">
        <v>35.0</v>
      </c>
      <c r="AK595" s="40">
        <v>36.0</v>
      </c>
      <c r="AL595" s="40">
        <v>37.0</v>
      </c>
      <c r="AM595" s="40">
        <v>38.0</v>
      </c>
      <c r="AN595" s="40">
        <v>39.0</v>
      </c>
      <c r="AO595" s="171">
        <v>40.0</v>
      </c>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c r="BW595" s="31"/>
      <c r="BX595" s="31"/>
      <c r="BY595" s="31"/>
      <c r="BZ595" s="31"/>
      <c r="CA595" s="31"/>
      <c r="CB595" s="31"/>
      <c r="CC595" s="31"/>
      <c r="CD595" s="31"/>
      <c r="CE595" s="31"/>
      <c r="CF595" s="31"/>
      <c r="CG595" s="31"/>
    </row>
    <row r="596" ht="15.75" customHeight="1">
      <c r="A596" s="197" t="s">
        <v>240</v>
      </c>
      <c r="B596" s="40" t="str">
        <f t="shared" ref="B596:V596" si="161">B516</f>
        <v>1</v>
      </c>
      <c r="C596" s="40" t="str">
        <f t="shared" si="161"/>
        <v>4</v>
      </c>
      <c r="D596" s="40" t="str">
        <f t="shared" si="161"/>
        <v>1</v>
      </c>
      <c r="E596" s="40" t="str">
        <f t="shared" si="161"/>
        <v>2</v>
      </c>
      <c r="F596" s="40" t="str">
        <f t="shared" si="161"/>
        <v>5</v>
      </c>
      <c r="G596" s="40" t="str">
        <f t="shared" si="161"/>
        <v>4</v>
      </c>
      <c r="H596" s="40" t="str">
        <f t="shared" si="161"/>
        <v>8</v>
      </c>
      <c r="I596" s="40" t="str">
        <f t="shared" si="161"/>
        <v>5</v>
      </c>
      <c r="J596" s="40" t="str">
        <f t="shared" si="161"/>
        <v>7</v>
      </c>
      <c r="K596" s="40" t="str">
        <f t="shared" si="161"/>
        <v>7</v>
      </c>
      <c r="L596" s="40" t="str">
        <f t="shared" si="161"/>
        <v>2</v>
      </c>
      <c r="M596" s="40" t="str">
        <f t="shared" si="161"/>
        <v>8</v>
      </c>
      <c r="N596" s="40" t="str">
        <f t="shared" si="161"/>
        <v>1</v>
      </c>
      <c r="O596" s="40" t="str">
        <f t="shared" si="161"/>
        <v>6</v>
      </c>
      <c r="P596" s="40" t="str">
        <f t="shared" si="161"/>
        <v>4</v>
      </c>
      <c r="Q596" s="40" t="str">
        <f t="shared" si="161"/>
        <v>5</v>
      </c>
      <c r="R596" s="40" t="str">
        <f t="shared" si="161"/>
        <v>7</v>
      </c>
      <c r="S596" s="40" t="str">
        <f t="shared" si="161"/>
        <v>3</v>
      </c>
      <c r="T596" s="40" t="str">
        <f t="shared" si="161"/>
        <v>1</v>
      </c>
      <c r="U596" s="40" t="str">
        <f t="shared" si="161"/>
        <v>6</v>
      </c>
      <c r="V596" s="40" t="str">
        <f t="shared" si="161"/>
        <v>0</v>
      </c>
      <c r="W596" s="40" t="str">
        <f t="shared" ref="W596:AL596" si="162">W$557</f>
        <v>4</v>
      </c>
      <c r="X596" s="40" t="str">
        <f t="shared" si="162"/>
        <v>1</v>
      </c>
      <c r="Y596" s="40" t="str">
        <f t="shared" si="162"/>
        <v>1</v>
      </c>
      <c r="Z596" s="40" t="str">
        <f t="shared" si="162"/>
        <v>2</v>
      </c>
      <c r="AA596" s="40" t="str">
        <f t="shared" si="162"/>
        <v>9</v>
      </c>
      <c r="AB596" s="40" t="str">
        <f t="shared" si="162"/>
        <v>2</v>
      </c>
      <c r="AC596" s="40" t="str">
        <f t="shared" si="162"/>
        <v>0</v>
      </c>
      <c r="AD596" s="40" t="str">
        <f t="shared" si="162"/>
        <v>0</v>
      </c>
      <c r="AE596" s="40" t="str">
        <f t="shared" si="162"/>
        <v/>
      </c>
      <c r="AF596" s="40" t="str">
        <f t="shared" si="162"/>
        <v/>
      </c>
      <c r="AG596" s="40" t="str">
        <f t="shared" si="162"/>
        <v/>
      </c>
      <c r="AH596" s="40" t="str">
        <f t="shared" si="162"/>
        <v/>
      </c>
      <c r="AI596" s="40" t="str">
        <f t="shared" si="162"/>
        <v/>
      </c>
      <c r="AJ596" s="40" t="str">
        <f t="shared" si="162"/>
        <v/>
      </c>
      <c r="AK596" s="40" t="str">
        <f t="shared" si="162"/>
        <v/>
      </c>
      <c r="AL596" s="40" t="str">
        <f t="shared" si="162"/>
        <v/>
      </c>
      <c r="AM596" s="40" t="str">
        <f t="shared" ref="AM596:AO596" si="163">AM581</f>
        <v/>
      </c>
      <c r="AN596" s="40" t="str">
        <f t="shared" si="163"/>
        <v/>
      </c>
      <c r="AO596" s="171" t="str">
        <f t="shared" si="163"/>
        <v/>
      </c>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c r="BS596" s="31"/>
      <c r="BT596" s="31"/>
      <c r="BU596" s="31"/>
      <c r="BV596" s="31"/>
      <c r="BW596" s="31"/>
      <c r="BX596" s="31"/>
      <c r="BY596" s="31"/>
      <c r="BZ596" s="31"/>
      <c r="CA596" s="31"/>
      <c r="CB596" s="31"/>
      <c r="CC596" s="31"/>
      <c r="CD596" s="31"/>
      <c r="CE596" s="31"/>
      <c r="CF596" s="31"/>
      <c r="CG596" s="31"/>
    </row>
    <row r="597" ht="15.75" customHeight="1">
      <c r="A597" s="174" t="s">
        <v>202</v>
      </c>
      <c r="B597" s="43"/>
      <c r="C597" s="43"/>
      <c r="D597" s="43"/>
      <c r="E597" s="43"/>
      <c r="F597" s="51" t="str">
        <f t="shared" ref="F597:K597" si="164">F596</f>
        <v>5</v>
      </c>
      <c r="G597" s="51" t="str">
        <f t="shared" si="164"/>
        <v>4</v>
      </c>
      <c r="H597" s="51" t="str">
        <f t="shared" si="164"/>
        <v>8</v>
      </c>
      <c r="I597" s="51" t="str">
        <f t="shared" si="164"/>
        <v>5</v>
      </c>
      <c r="J597" s="51" t="str">
        <f t="shared" si="164"/>
        <v>7</v>
      </c>
      <c r="K597" s="51" t="str">
        <f t="shared" si="164"/>
        <v>7</v>
      </c>
      <c r="L597" s="43" t="str">
        <f>K596</f>
        <v>7</v>
      </c>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t="str">
        <f t="shared" ref="AN597:AO597" si="165">AN596</f>
        <v/>
      </c>
      <c r="AO597" s="173" t="str">
        <f t="shared" si="165"/>
        <v/>
      </c>
      <c r="AP597" s="33"/>
      <c r="AQ597" s="33"/>
      <c r="AR597" s="33"/>
      <c r="AS597" s="31"/>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c r="BQ597" s="33"/>
      <c r="BR597" s="33"/>
      <c r="BS597" s="33"/>
      <c r="BT597" s="33"/>
      <c r="BU597" s="33"/>
      <c r="BV597" s="33"/>
      <c r="BW597" s="33"/>
      <c r="BX597" s="33"/>
      <c r="BY597" s="33"/>
      <c r="BZ597" s="33"/>
      <c r="CA597" s="33"/>
      <c r="CB597" s="33"/>
      <c r="CC597" s="33"/>
      <c r="CD597" s="33"/>
      <c r="CE597" s="33"/>
      <c r="CF597" s="33"/>
      <c r="CG597" s="33"/>
    </row>
    <row r="598" ht="15.75" customHeight="1">
      <c r="A598" s="180" t="s">
        <v>464</v>
      </c>
      <c r="B598" s="198" t="str">
        <f>TEXT((CONCATENATE(F597,G597,H597,I597,J597,K597))*3,"0")</f>
        <v>1645731</v>
      </c>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18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c r="BS598" s="31"/>
      <c r="BT598" s="31"/>
      <c r="BU598" s="31"/>
      <c r="BV598" s="31"/>
      <c r="BW598" s="31"/>
      <c r="BX598" s="31"/>
      <c r="BY598" s="31"/>
      <c r="BZ598" s="31"/>
      <c r="CA598" s="31"/>
      <c r="CB598" s="31"/>
      <c r="CC598" s="31"/>
      <c r="CD598" s="31"/>
      <c r="CE598" s="31"/>
      <c r="CF598" s="31"/>
      <c r="CG598" s="31"/>
    </row>
    <row r="599" ht="15.75" customHeight="1">
      <c r="A599" s="180" t="s">
        <v>464</v>
      </c>
      <c r="B599" s="43"/>
      <c r="C599" s="43"/>
      <c r="D599" s="43"/>
      <c r="E599" s="43"/>
      <c r="F599" s="43"/>
      <c r="G599" s="43"/>
      <c r="H599" s="43"/>
      <c r="I599" s="43"/>
      <c r="J599" s="43"/>
      <c r="K599" s="43"/>
      <c r="L599" s="43"/>
      <c r="M599" s="189" t="str">
        <f>MID($B598,1,1)</f>
        <v>1</v>
      </c>
      <c r="N599" s="189" t="str">
        <f>MID($B598,2,1)</f>
        <v>6</v>
      </c>
      <c r="O599" s="189" t="str">
        <f>MID($B598,3,1)</f>
        <v>4</v>
      </c>
      <c r="P599" s="189" t="str">
        <f>MID($B598,4,1)</f>
        <v>5</v>
      </c>
      <c r="Q599" s="189" t="str">
        <f>MID($B598,5,1)</f>
        <v>7</v>
      </c>
      <c r="R599" s="189" t="str">
        <f>MID($B598,6,1)</f>
        <v>3</v>
      </c>
      <c r="S599" s="189" t="str">
        <f>MID($B598,7,1)</f>
        <v>1</v>
      </c>
      <c r="T599" s="189" t="str">
        <f>MID($B598,8,1)</f>
        <v/>
      </c>
      <c r="U599" s="43"/>
      <c r="V599" s="43"/>
      <c r="W599" s="43"/>
      <c r="X599" s="43"/>
      <c r="Y599" s="43"/>
      <c r="Z599" s="43"/>
      <c r="AA599" s="43"/>
      <c r="AB599" s="43"/>
      <c r="AC599" s="43"/>
      <c r="AD599" s="43"/>
      <c r="AE599" s="43"/>
      <c r="AF599" s="43"/>
      <c r="AG599" s="43"/>
      <c r="AH599" s="43"/>
      <c r="AI599" s="43"/>
      <c r="AJ599" s="43"/>
      <c r="AK599" s="43"/>
      <c r="AL599" s="43"/>
      <c r="AM599" s="43"/>
      <c r="AN599" s="43"/>
      <c r="AO599" s="173"/>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c r="BW599" s="31"/>
      <c r="BX599" s="31"/>
      <c r="BY599" s="31"/>
      <c r="BZ599" s="31"/>
      <c r="CA599" s="31"/>
      <c r="CB599" s="31"/>
      <c r="CC599" s="31"/>
      <c r="CD599" s="31"/>
      <c r="CE599" s="31"/>
      <c r="CF599" s="31"/>
      <c r="CG599" s="31"/>
    </row>
    <row r="600" ht="15.75" customHeight="1">
      <c r="A600" s="180" t="s">
        <v>240</v>
      </c>
      <c r="B600" s="43"/>
      <c r="C600" s="43"/>
      <c r="D600" s="43"/>
      <c r="E600" s="43"/>
      <c r="F600" s="43"/>
      <c r="G600" s="43"/>
      <c r="H600" s="43"/>
      <c r="I600" s="43"/>
      <c r="J600" s="43"/>
      <c r="K600" s="43"/>
      <c r="L600" s="43"/>
      <c r="M600" s="189" t="str">
        <f t="shared" ref="M600:T600" si="166">IF(M599="","",M596)</f>
        <v>8</v>
      </c>
      <c r="N600" s="189" t="str">
        <f t="shared" si="166"/>
        <v>1</v>
      </c>
      <c r="O600" s="189" t="str">
        <f t="shared" si="166"/>
        <v>6</v>
      </c>
      <c r="P600" s="189" t="str">
        <f t="shared" si="166"/>
        <v>4</v>
      </c>
      <c r="Q600" s="189" t="str">
        <f t="shared" si="166"/>
        <v>5</v>
      </c>
      <c r="R600" s="189" t="str">
        <f t="shared" si="166"/>
        <v>7</v>
      </c>
      <c r="S600" s="189" t="str">
        <f t="shared" si="166"/>
        <v>3</v>
      </c>
      <c r="T600" s="189" t="str">
        <f t="shared" si="166"/>
        <v/>
      </c>
      <c r="U600" s="43"/>
      <c r="V600" s="43"/>
      <c r="W600" s="43"/>
      <c r="X600" s="43"/>
      <c r="Y600" s="43"/>
      <c r="Z600" s="43"/>
      <c r="AA600" s="43"/>
      <c r="AB600" s="43"/>
      <c r="AC600" s="43"/>
      <c r="AD600" s="43"/>
      <c r="AE600" s="43"/>
      <c r="AF600" s="43"/>
      <c r="AG600" s="43"/>
      <c r="AH600" s="43"/>
      <c r="AI600" s="43"/>
      <c r="AJ600" s="43"/>
      <c r="AK600" s="43"/>
      <c r="AL600" s="43"/>
      <c r="AM600" s="43"/>
      <c r="AN600" s="43"/>
      <c r="AO600" s="173"/>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c r="BS600" s="31"/>
      <c r="BT600" s="31"/>
      <c r="BU600" s="31"/>
      <c r="BV600" s="31"/>
      <c r="BW600" s="31"/>
      <c r="BX600" s="31"/>
      <c r="BY600" s="31"/>
      <c r="BZ600" s="31"/>
      <c r="CA600" s="31"/>
      <c r="CB600" s="31"/>
      <c r="CC600" s="31"/>
      <c r="CD600" s="31"/>
      <c r="CE600" s="31"/>
      <c r="CF600" s="31"/>
      <c r="CG600" s="31"/>
    </row>
    <row r="601" ht="15.75" customHeight="1">
      <c r="A601" s="182" t="s">
        <v>465</v>
      </c>
      <c r="B601" s="199" t="str">
        <f>IF(CONCATENATE(M599,N599,O599,P599,Q599,R599,S599,U599)=CONCATENATE(M600,N600,O600,P600,Q600,R600,S600,U600),"TRUE","FALSE")</f>
        <v>FALSE</v>
      </c>
      <c r="C601" s="200" t="str">
        <f>IF(C592="Go to B.2.2",IF(B601="TRUE","SUCCESS!!","Go to B3"),"")</f>
        <v/>
      </c>
      <c r="D601" s="201"/>
      <c r="E601" s="201"/>
      <c r="F601" s="201" t="str">
        <f>IF(C601="SUCCESS!!",CONCATENATE(B596,C596,D596,E596,F596,G596,H596,I596,J596,K596,L596),"")</f>
        <v/>
      </c>
      <c r="G601" s="201"/>
      <c r="H601" s="201"/>
      <c r="I601" s="201"/>
      <c r="J601" s="201"/>
      <c r="K601" s="201"/>
      <c r="L601" s="201"/>
      <c r="M601" s="201"/>
      <c r="N601" s="201"/>
      <c r="O601" s="201"/>
      <c r="P601" s="201"/>
      <c r="Q601" s="201"/>
      <c r="R601" s="201"/>
      <c r="S601" s="201"/>
      <c r="T601" s="201"/>
      <c r="U601" s="201"/>
      <c r="V601" s="201"/>
      <c r="W601" s="201"/>
      <c r="X601" s="201"/>
      <c r="Y601" s="201"/>
      <c r="Z601" s="201"/>
      <c r="AA601" s="201"/>
      <c r="AB601" s="201"/>
      <c r="AC601" s="201"/>
      <c r="AD601" s="201"/>
      <c r="AE601" s="201"/>
      <c r="AF601" s="201"/>
      <c r="AG601" s="201"/>
      <c r="AH601" s="201"/>
      <c r="AI601" s="201"/>
      <c r="AJ601" s="201"/>
      <c r="AK601" s="201"/>
      <c r="AL601" s="201"/>
      <c r="AM601" s="201"/>
      <c r="AN601" s="201"/>
      <c r="AO601" s="202"/>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c r="BW601" s="31"/>
      <c r="BX601" s="31"/>
      <c r="BY601" s="31"/>
      <c r="BZ601" s="31"/>
      <c r="CA601" s="31"/>
      <c r="CB601" s="31"/>
      <c r="CC601" s="31"/>
      <c r="CD601" s="31"/>
      <c r="CE601" s="31"/>
      <c r="CF601" s="31"/>
      <c r="CG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c r="BS602" s="31"/>
      <c r="BT602" s="31"/>
      <c r="BU602" s="31"/>
      <c r="BV602" s="31"/>
      <c r="BW602" s="31"/>
      <c r="BX602" s="31"/>
      <c r="BY602" s="31"/>
      <c r="BZ602" s="31"/>
      <c r="CA602" s="31"/>
      <c r="CB602" s="31"/>
      <c r="CC602" s="31"/>
      <c r="CD602" s="31"/>
      <c r="CE602" s="31"/>
      <c r="CF602" s="31"/>
      <c r="CG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c r="BW603" s="31"/>
      <c r="BX603" s="31"/>
      <c r="BY603" s="31"/>
      <c r="BZ603" s="31"/>
      <c r="CA603" s="31"/>
      <c r="CB603" s="31"/>
      <c r="CC603" s="31"/>
      <c r="CD603" s="31"/>
      <c r="CE603" s="31"/>
      <c r="CF603" s="31"/>
      <c r="CG603" s="31"/>
    </row>
    <row r="604" ht="15.75" customHeight="1">
      <c r="A604" s="165" t="s">
        <v>469</v>
      </c>
      <c r="B604" s="166"/>
      <c r="C604" s="166"/>
      <c r="D604" s="166"/>
      <c r="E604" s="166"/>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166"/>
      <c r="AF604" s="166"/>
      <c r="AG604" s="166"/>
      <c r="AH604" s="166"/>
      <c r="AI604" s="166"/>
      <c r="AJ604" s="168"/>
      <c r="AK604" s="166"/>
      <c r="AL604" s="166"/>
      <c r="AM604" s="166"/>
      <c r="AN604" s="166"/>
      <c r="AO604" s="169"/>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c r="BS604" s="31"/>
      <c r="BT604" s="31"/>
      <c r="BU604" s="31"/>
      <c r="BV604" s="31"/>
      <c r="BW604" s="31"/>
      <c r="BX604" s="31"/>
      <c r="BY604" s="31"/>
      <c r="BZ604" s="31"/>
      <c r="CA604" s="31"/>
      <c r="CB604" s="31"/>
      <c r="CC604" s="31"/>
      <c r="CD604" s="31"/>
      <c r="CE604" s="31"/>
      <c r="CF604" s="31"/>
      <c r="CG604" s="31"/>
    </row>
    <row r="605" ht="15.75" customHeight="1">
      <c r="A605" s="187" t="s">
        <v>470</v>
      </c>
      <c r="B605" s="38"/>
      <c r="C605" s="38"/>
      <c r="D605" s="38"/>
      <c r="E605" s="38"/>
      <c r="F605" s="38"/>
      <c r="G605" s="38"/>
      <c r="H605" s="38"/>
      <c r="I605" s="38"/>
      <c r="J605" s="38"/>
      <c r="K605" s="38"/>
      <c r="L605" s="38"/>
      <c r="M605" s="38"/>
      <c r="N605" s="38"/>
      <c r="O605" s="90"/>
      <c r="P605" s="38"/>
      <c r="Q605" s="38"/>
      <c r="R605" s="38"/>
      <c r="S605" s="38"/>
      <c r="T605" s="38"/>
      <c r="U605" s="38"/>
      <c r="V605" s="38"/>
      <c r="W605" s="38"/>
      <c r="X605" s="38"/>
      <c r="Y605" s="38"/>
      <c r="Z605" s="38"/>
      <c r="AA605" s="38"/>
      <c r="AB605" s="38"/>
      <c r="AC605" s="38"/>
      <c r="AD605" s="38"/>
      <c r="AE605" s="38"/>
      <c r="AF605" s="38"/>
      <c r="AG605" s="38"/>
      <c r="AH605" s="38"/>
      <c r="AI605" s="38"/>
      <c r="AJ605" s="37"/>
      <c r="AK605" s="38"/>
      <c r="AL605" s="38"/>
      <c r="AM605" s="38"/>
      <c r="AN605" s="38"/>
      <c r="AO605" s="188"/>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c r="BW605" s="31"/>
      <c r="BX605" s="31"/>
      <c r="BY605" s="31"/>
      <c r="BZ605" s="31"/>
      <c r="CA605" s="31"/>
      <c r="CB605" s="31"/>
      <c r="CC605" s="31"/>
      <c r="CD605" s="31"/>
      <c r="CE605" s="31"/>
      <c r="CF605" s="31"/>
      <c r="CG605" s="31"/>
    </row>
    <row r="606" ht="15.75" customHeight="1">
      <c r="A606" s="170" t="s">
        <v>195</v>
      </c>
      <c r="B606" s="50">
        <v>1.0</v>
      </c>
      <c r="C606" s="50">
        <v>2.0</v>
      </c>
      <c r="D606" s="50">
        <v>3.0</v>
      </c>
      <c r="E606" s="50">
        <v>4.0</v>
      </c>
      <c r="F606" s="50">
        <v>5.0</v>
      </c>
      <c r="G606" s="50">
        <v>6.0</v>
      </c>
      <c r="H606" s="50">
        <v>7.0</v>
      </c>
      <c r="I606" s="50">
        <v>8.0</v>
      </c>
      <c r="J606" s="50">
        <v>9.0</v>
      </c>
      <c r="K606" s="50">
        <v>10.0</v>
      </c>
      <c r="L606" s="40">
        <v>11.0</v>
      </c>
      <c r="M606" s="40">
        <v>12.0</v>
      </c>
      <c r="N606" s="40">
        <v>13.0</v>
      </c>
      <c r="O606" s="40">
        <v>14.0</v>
      </c>
      <c r="P606" s="40">
        <v>15.0</v>
      </c>
      <c r="Q606" s="40">
        <v>16.0</v>
      </c>
      <c r="R606" s="40">
        <v>17.0</v>
      </c>
      <c r="S606" s="40">
        <v>18.0</v>
      </c>
      <c r="T606" s="40">
        <v>19.0</v>
      </c>
      <c r="U606" s="40">
        <v>20.0</v>
      </c>
      <c r="V606" s="40">
        <v>21.0</v>
      </c>
      <c r="W606" s="40">
        <v>22.0</v>
      </c>
      <c r="X606" s="40">
        <v>23.0</v>
      </c>
      <c r="Y606" s="40">
        <v>24.0</v>
      </c>
      <c r="Z606" s="40">
        <v>25.0</v>
      </c>
      <c r="AA606" s="40">
        <v>26.0</v>
      </c>
      <c r="AB606" s="40">
        <v>27.0</v>
      </c>
      <c r="AC606" s="40">
        <v>28.0</v>
      </c>
      <c r="AD606" s="40">
        <v>29.0</v>
      </c>
      <c r="AE606" s="40">
        <v>30.0</v>
      </c>
      <c r="AF606" s="40">
        <v>31.0</v>
      </c>
      <c r="AG606" s="40">
        <v>32.0</v>
      </c>
      <c r="AH606" s="40">
        <v>33.0</v>
      </c>
      <c r="AI606" s="40">
        <v>34.0</v>
      </c>
      <c r="AJ606" s="40">
        <v>35.0</v>
      </c>
      <c r="AK606" s="40">
        <v>36.0</v>
      </c>
      <c r="AL606" s="40">
        <v>37.0</v>
      </c>
      <c r="AM606" s="40">
        <v>38.0</v>
      </c>
      <c r="AN606" s="40">
        <v>39.0</v>
      </c>
      <c r="AO606" s="171">
        <v>40.0</v>
      </c>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c r="BS606" s="31"/>
      <c r="BT606" s="31"/>
      <c r="BU606" s="31"/>
      <c r="BV606" s="31"/>
      <c r="BW606" s="31"/>
      <c r="BX606" s="31"/>
      <c r="BY606" s="31"/>
      <c r="BZ606" s="31"/>
      <c r="CA606" s="31"/>
      <c r="CB606" s="31"/>
      <c r="CC606" s="31"/>
      <c r="CD606" s="31"/>
      <c r="CE606" s="31"/>
      <c r="CF606" s="31"/>
      <c r="CG606" s="31"/>
    </row>
    <row r="607" ht="15.75" customHeight="1">
      <c r="A607" s="172" t="s">
        <v>199</v>
      </c>
      <c r="B607" s="51" t="str">
        <f t="shared" ref="B607:K607" si="167">B583</f>
        <v>1</v>
      </c>
      <c r="C607" s="51" t="str">
        <f t="shared" si="167"/>
        <v>4</v>
      </c>
      <c r="D607" s="51" t="str">
        <f t="shared" si="167"/>
        <v>1</v>
      </c>
      <c r="E607" s="51" t="str">
        <f t="shared" si="167"/>
        <v>2</v>
      </c>
      <c r="F607" s="51" t="str">
        <f t="shared" si="167"/>
        <v>5</v>
      </c>
      <c r="G607" s="51" t="str">
        <f t="shared" si="167"/>
        <v>4</v>
      </c>
      <c r="H607" s="51" t="str">
        <f t="shared" si="167"/>
        <v>8</v>
      </c>
      <c r="I607" s="51" t="str">
        <f t="shared" si="167"/>
        <v>5</v>
      </c>
      <c r="J607" s="51" t="str">
        <f t="shared" si="167"/>
        <v>7</v>
      </c>
      <c r="K607" s="51" t="str">
        <f t="shared" si="167"/>
        <v>7</v>
      </c>
      <c r="L607" s="43" t="str">
        <f t="shared" ref="L607:AO607" si="168">MID($A552,L606,1)</f>
        <v/>
      </c>
      <c r="M607" s="43" t="str">
        <f t="shared" si="168"/>
        <v/>
      </c>
      <c r="N607" s="43" t="str">
        <f t="shared" si="168"/>
        <v/>
      </c>
      <c r="O607" s="43" t="str">
        <f t="shared" si="168"/>
        <v/>
      </c>
      <c r="P607" s="43" t="str">
        <f t="shared" si="168"/>
        <v/>
      </c>
      <c r="Q607" s="43" t="str">
        <f t="shared" si="168"/>
        <v/>
      </c>
      <c r="R607" s="43" t="str">
        <f t="shared" si="168"/>
        <v/>
      </c>
      <c r="S607" s="43" t="str">
        <f t="shared" si="168"/>
        <v/>
      </c>
      <c r="T607" s="43" t="str">
        <f t="shared" si="168"/>
        <v/>
      </c>
      <c r="U607" s="43" t="str">
        <f t="shared" si="168"/>
        <v/>
      </c>
      <c r="V607" s="43" t="str">
        <f t="shared" si="168"/>
        <v/>
      </c>
      <c r="W607" s="43" t="str">
        <f t="shared" si="168"/>
        <v/>
      </c>
      <c r="X607" s="43" t="str">
        <f t="shared" si="168"/>
        <v/>
      </c>
      <c r="Y607" s="43" t="str">
        <f t="shared" si="168"/>
        <v/>
      </c>
      <c r="Z607" s="43" t="str">
        <f t="shared" si="168"/>
        <v/>
      </c>
      <c r="AA607" s="43" t="str">
        <f t="shared" si="168"/>
        <v/>
      </c>
      <c r="AB607" s="43" t="str">
        <f t="shared" si="168"/>
        <v/>
      </c>
      <c r="AC607" s="43" t="str">
        <f t="shared" si="168"/>
        <v/>
      </c>
      <c r="AD607" s="43" t="str">
        <f t="shared" si="168"/>
        <v/>
      </c>
      <c r="AE607" s="43" t="str">
        <f t="shared" si="168"/>
        <v/>
      </c>
      <c r="AF607" s="43" t="str">
        <f t="shared" si="168"/>
        <v/>
      </c>
      <c r="AG607" s="43" t="str">
        <f t="shared" si="168"/>
        <v/>
      </c>
      <c r="AH607" s="43" t="str">
        <f t="shared" si="168"/>
        <v/>
      </c>
      <c r="AI607" s="43" t="str">
        <f t="shared" si="168"/>
        <v/>
      </c>
      <c r="AJ607" s="43" t="str">
        <f t="shared" si="168"/>
        <v/>
      </c>
      <c r="AK607" s="43" t="str">
        <f t="shared" si="168"/>
        <v/>
      </c>
      <c r="AL607" s="43" t="str">
        <f t="shared" si="168"/>
        <v/>
      </c>
      <c r="AM607" s="43" t="str">
        <f t="shared" si="168"/>
        <v/>
      </c>
      <c r="AN607" s="43" t="str">
        <f t="shared" si="168"/>
        <v/>
      </c>
      <c r="AO607" s="173" t="str">
        <f t="shared" si="168"/>
        <v/>
      </c>
      <c r="AP607" s="33"/>
      <c r="AQ607" s="33"/>
      <c r="AR607" s="33"/>
      <c r="AS607" s="31"/>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c r="BR607" s="33"/>
      <c r="BS607" s="33"/>
      <c r="BT607" s="33"/>
      <c r="BU607" s="33"/>
      <c r="BV607" s="33"/>
      <c r="BW607" s="33"/>
      <c r="BX607" s="33"/>
      <c r="BY607" s="33"/>
      <c r="BZ607" s="33"/>
      <c r="CA607" s="33"/>
      <c r="CB607" s="33"/>
      <c r="CC607" s="33"/>
      <c r="CD607" s="33"/>
      <c r="CE607" s="33"/>
      <c r="CF607" s="33"/>
      <c r="CG607" s="33"/>
    </row>
    <row r="608" ht="15.75" customHeight="1">
      <c r="A608" s="174" t="s">
        <v>196</v>
      </c>
      <c r="B608" s="43" t="str">
        <f t="shared" ref="B608:K608" si="169">B607</f>
        <v>1</v>
      </c>
      <c r="C608" s="43" t="str">
        <f t="shared" si="169"/>
        <v>4</v>
      </c>
      <c r="D608" s="43" t="str">
        <f t="shared" si="169"/>
        <v>1</v>
      </c>
      <c r="E608" s="43" t="str">
        <f t="shared" si="169"/>
        <v>2</v>
      </c>
      <c r="F608" s="43" t="str">
        <f t="shared" si="169"/>
        <v>5</v>
      </c>
      <c r="G608" s="43" t="str">
        <f t="shared" si="169"/>
        <v>4</v>
      </c>
      <c r="H608" s="43" t="str">
        <f t="shared" si="169"/>
        <v>8</v>
      </c>
      <c r="I608" s="43" t="str">
        <f t="shared" si="169"/>
        <v>5</v>
      </c>
      <c r="J608" s="43" t="str">
        <f t="shared" si="169"/>
        <v>7</v>
      </c>
      <c r="K608" s="189" t="str">
        <f t="shared" si="169"/>
        <v>7</v>
      </c>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t="str">
        <f t="shared" ref="AM608:AO608" si="170">AM607</f>
        <v/>
      </c>
      <c r="AN608" s="43" t="str">
        <f t="shared" si="170"/>
        <v/>
      </c>
      <c r="AO608" s="173" t="str">
        <f t="shared" si="170"/>
        <v/>
      </c>
      <c r="AP608" s="33"/>
      <c r="AQ608" s="33"/>
      <c r="AR608" s="33"/>
      <c r="AS608" s="31"/>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c r="BR608" s="33"/>
      <c r="BS608" s="33"/>
      <c r="BT608" s="33"/>
      <c r="BU608" s="33"/>
      <c r="BV608" s="33"/>
      <c r="BW608" s="33"/>
      <c r="BX608" s="33"/>
      <c r="BY608" s="33"/>
      <c r="BZ608" s="33"/>
      <c r="CA608" s="33"/>
      <c r="CB608" s="33"/>
      <c r="CC608" s="33"/>
      <c r="CD608" s="33"/>
      <c r="CE608" s="33"/>
      <c r="CF608" s="33"/>
      <c r="CG608" s="33"/>
    </row>
    <row r="609" ht="15.75" customHeight="1">
      <c r="A609" s="17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177"/>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c r="BW609" s="31"/>
      <c r="BX609" s="31"/>
      <c r="BY609" s="31"/>
      <c r="BZ609" s="31"/>
      <c r="CA609" s="31"/>
      <c r="CB609" s="31"/>
      <c r="CC609" s="31"/>
      <c r="CD609" s="31"/>
      <c r="CE609" s="31"/>
      <c r="CF609" s="31"/>
      <c r="CG609" s="31"/>
    </row>
    <row r="610" ht="15.75" customHeight="1">
      <c r="A610" s="178" t="s">
        <v>448</v>
      </c>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179"/>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c r="BS610" s="31"/>
      <c r="BT610" s="31"/>
      <c r="BU610" s="31"/>
      <c r="BV610" s="31"/>
      <c r="BW610" s="31"/>
      <c r="BX610" s="31"/>
      <c r="BY610" s="31"/>
      <c r="BZ610" s="31"/>
      <c r="CA610" s="31"/>
      <c r="CB610" s="31"/>
      <c r="CC610" s="31"/>
      <c r="CD610" s="31"/>
      <c r="CE610" s="31"/>
      <c r="CF610" s="31"/>
      <c r="CG610" s="31"/>
    </row>
    <row r="611" ht="15.75" customHeight="1">
      <c r="A611" s="170" t="s">
        <v>195</v>
      </c>
      <c r="B611" s="40">
        <v>1.0</v>
      </c>
      <c r="C611" s="40">
        <v>2.0</v>
      </c>
      <c r="D611" s="43">
        <v>3.0</v>
      </c>
      <c r="E611" s="43">
        <v>4.0</v>
      </c>
      <c r="F611" s="50">
        <v>5.0</v>
      </c>
      <c r="G611" s="50">
        <v>6.0</v>
      </c>
      <c r="H611" s="50">
        <v>7.0</v>
      </c>
      <c r="I611" s="50">
        <v>8.0</v>
      </c>
      <c r="J611" s="50">
        <v>9.0</v>
      </c>
      <c r="K611" s="50">
        <v>10.0</v>
      </c>
      <c r="L611" s="40">
        <v>11.0</v>
      </c>
      <c r="M611" s="40">
        <v>12.0</v>
      </c>
      <c r="N611" s="40">
        <v>13.0</v>
      </c>
      <c r="O611" s="40">
        <v>14.0</v>
      </c>
      <c r="P611" s="40">
        <v>15.0</v>
      </c>
      <c r="Q611" s="40">
        <v>16.0</v>
      </c>
      <c r="R611" s="40">
        <v>17.0</v>
      </c>
      <c r="S611" s="40">
        <v>18.0</v>
      </c>
      <c r="T611" s="40">
        <v>19.0</v>
      </c>
      <c r="U611" s="40">
        <v>20.0</v>
      </c>
      <c r="V611" s="40">
        <v>21.0</v>
      </c>
      <c r="W611" s="40">
        <v>22.0</v>
      </c>
      <c r="X611" s="40">
        <v>23.0</v>
      </c>
      <c r="Y611" s="40">
        <v>24.0</v>
      </c>
      <c r="Z611" s="40">
        <v>25.0</v>
      </c>
      <c r="AA611" s="40">
        <v>26.0</v>
      </c>
      <c r="AB611" s="40">
        <v>27.0</v>
      </c>
      <c r="AC611" s="40">
        <v>28.0</v>
      </c>
      <c r="AD611" s="40">
        <v>29.0</v>
      </c>
      <c r="AE611" s="40">
        <v>30.0</v>
      </c>
      <c r="AF611" s="40">
        <v>31.0</v>
      </c>
      <c r="AG611" s="40">
        <v>32.0</v>
      </c>
      <c r="AH611" s="40">
        <v>33.0</v>
      </c>
      <c r="AI611" s="40">
        <v>34.0</v>
      </c>
      <c r="AJ611" s="40">
        <v>35.0</v>
      </c>
      <c r="AK611" s="40">
        <v>36.0</v>
      </c>
      <c r="AL611" s="40">
        <v>37.0</v>
      </c>
      <c r="AM611" s="40">
        <v>38.0</v>
      </c>
      <c r="AN611" s="40">
        <v>39.0</v>
      </c>
      <c r="AO611" s="171">
        <v>40.0</v>
      </c>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c r="BS611" s="31"/>
      <c r="BT611" s="31"/>
      <c r="BU611" s="31"/>
      <c r="BV611" s="31"/>
      <c r="BW611" s="31"/>
      <c r="BX611" s="31"/>
      <c r="BY611" s="31"/>
      <c r="BZ611" s="31"/>
      <c r="CA611" s="31"/>
      <c r="CB611" s="31"/>
      <c r="CC611" s="31"/>
      <c r="CD611" s="31"/>
      <c r="CE611" s="31"/>
      <c r="CF611" s="31"/>
      <c r="CG611" s="31"/>
    </row>
    <row r="612" ht="15.75" customHeight="1">
      <c r="A612" s="174" t="s">
        <v>196</v>
      </c>
      <c r="B612" s="43" t="str">
        <f t="shared" ref="B612:AO612" si="171">B608</f>
        <v>1</v>
      </c>
      <c r="C612" s="43" t="str">
        <f t="shared" si="171"/>
        <v>4</v>
      </c>
      <c r="D612" s="43" t="str">
        <f t="shared" si="171"/>
        <v>1</v>
      </c>
      <c r="E612" s="43" t="str">
        <f t="shared" si="171"/>
        <v>2</v>
      </c>
      <c r="F612" s="51" t="str">
        <f t="shared" si="171"/>
        <v>5</v>
      </c>
      <c r="G612" s="51" t="str">
        <f t="shared" si="171"/>
        <v>4</v>
      </c>
      <c r="H612" s="51" t="str">
        <f t="shared" si="171"/>
        <v>8</v>
      </c>
      <c r="I612" s="51" t="str">
        <f t="shared" si="171"/>
        <v>5</v>
      </c>
      <c r="J612" s="51" t="str">
        <f t="shared" si="171"/>
        <v>7</v>
      </c>
      <c r="K612" s="43" t="str">
        <f t="shared" si="171"/>
        <v>7</v>
      </c>
      <c r="L612" s="43" t="str">
        <f t="shared" si="171"/>
        <v/>
      </c>
      <c r="M612" s="43" t="str">
        <f t="shared" si="171"/>
        <v/>
      </c>
      <c r="N612" s="43" t="str">
        <f t="shared" si="171"/>
        <v/>
      </c>
      <c r="O612" s="43" t="str">
        <f t="shared" si="171"/>
        <v/>
      </c>
      <c r="P612" s="43" t="str">
        <f t="shared" si="171"/>
        <v/>
      </c>
      <c r="Q612" s="43" t="str">
        <f t="shared" si="171"/>
        <v/>
      </c>
      <c r="R612" s="43" t="str">
        <f t="shared" si="171"/>
        <v/>
      </c>
      <c r="S612" s="43" t="str">
        <f t="shared" si="171"/>
        <v/>
      </c>
      <c r="T612" s="43" t="str">
        <f t="shared" si="171"/>
        <v/>
      </c>
      <c r="U612" s="43" t="str">
        <f t="shared" si="171"/>
        <v/>
      </c>
      <c r="V612" s="43" t="str">
        <f t="shared" si="171"/>
        <v/>
      </c>
      <c r="W612" s="43" t="str">
        <f t="shared" si="171"/>
        <v/>
      </c>
      <c r="X612" s="43" t="str">
        <f t="shared" si="171"/>
        <v/>
      </c>
      <c r="Y612" s="43" t="str">
        <f t="shared" si="171"/>
        <v/>
      </c>
      <c r="Z612" s="43" t="str">
        <f t="shared" si="171"/>
        <v/>
      </c>
      <c r="AA612" s="43" t="str">
        <f t="shared" si="171"/>
        <v/>
      </c>
      <c r="AB612" s="43" t="str">
        <f t="shared" si="171"/>
        <v/>
      </c>
      <c r="AC612" s="43" t="str">
        <f t="shared" si="171"/>
        <v/>
      </c>
      <c r="AD612" s="43" t="str">
        <f t="shared" si="171"/>
        <v/>
      </c>
      <c r="AE612" s="43" t="str">
        <f t="shared" si="171"/>
        <v/>
      </c>
      <c r="AF612" s="43" t="str">
        <f t="shared" si="171"/>
        <v/>
      </c>
      <c r="AG612" s="43" t="str">
        <f t="shared" si="171"/>
        <v/>
      </c>
      <c r="AH612" s="43" t="str">
        <f t="shared" si="171"/>
        <v/>
      </c>
      <c r="AI612" s="43" t="str">
        <f t="shared" si="171"/>
        <v/>
      </c>
      <c r="AJ612" s="43" t="str">
        <f t="shared" si="171"/>
        <v/>
      </c>
      <c r="AK612" s="43" t="str">
        <f t="shared" si="171"/>
        <v/>
      </c>
      <c r="AL612" s="43" t="str">
        <f t="shared" si="171"/>
        <v/>
      </c>
      <c r="AM612" s="43" t="str">
        <f t="shared" si="171"/>
        <v/>
      </c>
      <c r="AN612" s="43" t="str">
        <f t="shared" si="171"/>
        <v/>
      </c>
      <c r="AO612" s="173" t="str">
        <f t="shared" si="171"/>
        <v/>
      </c>
      <c r="AP612" s="33"/>
      <c r="AQ612" s="33"/>
      <c r="AR612" s="33"/>
      <c r="AS612" s="31"/>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c r="BQ612" s="33"/>
      <c r="BR612" s="33"/>
      <c r="BS612" s="33"/>
      <c r="BT612" s="33"/>
      <c r="BU612" s="33"/>
      <c r="BV612" s="33"/>
      <c r="BW612" s="33"/>
      <c r="BX612" s="33"/>
      <c r="BY612" s="33"/>
      <c r="BZ612" s="33"/>
      <c r="CA612" s="33"/>
      <c r="CB612" s="33"/>
      <c r="CC612" s="33"/>
      <c r="CD612" s="33"/>
      <c r="CE612" s="33"/>
      <c r="CF612" s="33"/>
      <c r="CG612" s="33"/>
    </row>
    <row r="613" ht="15.75" customHeight="1">
      <c r="A613" s="180" t="s">
        <v>200</v>
      </c>
      <c r="B613" s="43" t="str">
        <f>B609</f>
        <v/>
      </c>
      <c r="C613" s="43"/>
      <c r="D613" s="43"/>
      <c r="E613" s="43"/>
      <c r="F613" s="43">
        <v>1.0</v>
      </c>
      <c r="G613" s="43">
        <v>2.0</v>
      </c>
      <c r="H613" s="43">
        <v>3.0</v>
      </c>
      <c r="I613" s="43">
        <v>4.0</v>
      </c>
      <c r="J613" s="43">
        <v>5.0</v>
      </c>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173"/>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c r="BW613" s="31"/>
      <c r="BX613" s="31"/>
      <c r="BY613" s="31"/>
      <c r="BZ613" s="31"/>
      <c r="CA613" s="31"/>
      <c r="CB613" s="31"/>
      <c r="CC613" s="31"/>
      <c r="CD613" s="31"/>
      <c r="CE613" s="31"/>
      <c r="CF613" s="31"/>
      <c r="CG613" s="31"/>
    </row>
    <row r="614" ht="15.75" customHeight="1">
      <c r="A614" s="180" t="s">
        <v>201</v>
      </c>
      <c r="B614" s="43"/>
      <c r="C614" s="43"/>
      <c r="D614" s="43"/>
      <c r="E614" s="43"/>
      <c r="F614" s="43">
        <f t="shared" ref="F614:J614" si="172">F613*F612</f>
        <v>5</v>
      </c>
      <c r="G614" s="43">
        <f t="shared" si="172"/>
        <v>8</v>
      </c>
      <c r="H614" s="43">
        <f t="shared" si="172"/>
        <v>24</v>
      </c>
      <c r="I614" s="43">
        <f t="shared" si="172"/>
        <v>20</v>
      </c>
      <c r="J614" s="43">
        <f t="shared" si="172"/>
        <v>35</v>
      </c>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173"/>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c r="BS614" s="31"/>
      <c r="BT614" s="31"/>
      <c r="BU614" s="31"/>
      <c r="BV614" s="31"/>
      <c r="BW614" s="31"/>
      <c r="BX614" s="31"/>
      <c r="BY614" s="31"/>
      <c r="BZ614" s="31"/>
      <c r="CA614" s="31"/>
      <c r="CB614" s="31"/>
      <c r="CC614" s="31"/>
      <c r="CD614" s="31"/>
      <c r="CE614" s="31"/>
      <c r="CF614" s="31"/>
      <c r="CG614" s="31"/>
    </row>
    <row r="615" ht="15.75" customHeight="1">
      <c r="A615" s="180" t="s">
        <v>203</v>
      </c>
      <c r="B615" s="52">
        <f>SUM(B614:AO614)</f>
        <v>92</v>
      </c>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18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c r="BW615" s="31"/>
      <c r="BX615" s="31"/>
      <c r="BY615" s="31"/>
      <c r="BZ615" s="31"/>
      <c r="CA615" s="31"/>
      <c r="CB615" s="31"/>
      <c r="CC615" s="31"/>
      <c r="CD615" s="31"/>
      <c r="CE615" s="31"/>
      <c r="CF615" s="31"/>
      <c r="CG615" s="31"/>
    </row>
    <row r="616" ht="15.75" customHeight="1">
      <c r="A616" s="180" t="s">
        <v>263</v>
      </c>
      <c r="B616" s="189">
        <f>MOD(B615,10)</f>
        <v>2</v>
      </c>
      <c r="C616" s="190" t="str">
        <f>IF(AND(B601="FALSE",B577="FALSE"),IF(TEXT(B616,"0")=TEXT(K608,"0"),"Go to B.3.2","ref_no1 ไม่ถูกต้อง"),"")</f>
        <v/>
      </c>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c r="AA616" s="191"/>
      <c r="AB616" s="191"/>
      <c r="AC616" s="191"/>
      <c r="AD616" s="191"/>
      <c r="AE616" s="191"/>
      <c r="AF616" s="191"/>
      <c r="AG616" s="191"/>
      <c r="AH616" s="191"/>
      <c r="AI616" s="191"/>
      <c r="AJ616" s="191"/>
      <c r="AK616" s="191"/>
      <c r="AL616" s="191"/>
      <c r="AM616" s="191"/>
      <c r="AN616" s="191"/>
      <c r="AO616" s="192"/>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c r="BS616" s="31"/>
      <c r="BT616" s="31"/>
      <c r="BU616" s="31"/>
      <c r="BV616" s="31"/>
      <c r="BW616" s="31"/>
      <c r="BX616" s="31"/>
      <c r="BY616" s="31"/>
      <c r="BZ616" s="31"/>
      <c r="CA616" s="31"/>
      <c r="CB616" s="31"/>
      <c r="CC616" s="31"/>
      <c r="CD616" s="31"/>
      <c r="CE616" s="31"/>
      <c r="CF616" s="31"/>
      <c r="CG616" s="31"/>
    </row>
    <row r="617" ht="15.75" customHeight="1">
      <c r="A617" s="176"/>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18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c r="BW617" s="31"/>
      <c r="BX617" s="31"/>
      <c r="BY617" s="31"/>
      <c r="BZ617" s="31"/>
      <c r="CA617" s="31"/>
      <c r="CB617" s="31"/>
      <c r="CC617" s="31"/>
      <c r="CD617" s="31"/>
      <c r="CE617" s="31"/>
      <c r="CF617" s="31"/>
      <c r="CG617" s="31"/>
    </row>
    <row r="618" ht="15.75" customHeight="1">
      <c r="A618" s="193" t="s">
        <v>471</v>
      </c>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c r="AA618" s="194"/>
      <c r="AB618" s="194"/>
      <c r="AC618" s="194"/>
      <c r="AD618" s="194"/>
      <c r="AE618" s="194"/>
      <c r="AF618" s="194"/>
      <c r="AG618" s="194"/>
      <c r="AH618" s="194"/>
      <c r="AI618" s="194"/>
      <c r="AJ618" s="195"/>
      <c r="AK618" s="194"/>
      <c r="AL618" s="194"/>
      <c r="AM618" s="194"/>
      <c r="AN618" s="194"/>
      <c r="AO618" s="196"/>
      <c r="AP618" s="31"/>
      <c r="AQ618" s="31"/>
      <c r="AR618" s="31"/>
      <c r="AS618" s="30"/>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c r="BS618" s="31"/>
      <c r="BT618" s="31"/>
      <c r="BU618" s="31"/>
      <c r="BV618" s="31"/>
      <c r="BW618" s="31"/>
      <c r="BX618" s="31"/>
      <c r="BY618" s="31"/>
      <c r="BZ618" s="31"/>
      <c r="CA618" s="31"/>
      <c r="CB618" s="31"/>
      <c r="CC618" s="31"/>
      <c r="CD618" s="31"/>
      <c r="CE618" s="31"/>
      <c r="CF618" s="31"/>
      <c r="CG618" s="31"/>
    </row>
    <row r="619" ht="15.75" customHeight="1">
      <c r="A619" s="170" t="s">
        <v>195</v>
      </c>
      <c r="B619" s="40">
        <v>1.0</v>
      </c>
      <c r="C619" s="40">
        <v>2.0</v>
      </c>
      <c r="D619" s="43">
        <v>3.0</v>
      </c>
      <c r="E619" s="43">
        <v>4.0</v>
      </c>
      <c r="F619" s="50">
        <v>5.0</v>
      </c>
      <c r="G619" s="50">
        <v>6.0</v>
      </c>
      <c r="H619" s="50">
        <v>7.0</v>
      </c>
      <c r="I619" s="50">
        <v>8.0</v>
      </c>
      <c r="J619" s="50">
        <v>9.0</v>
      </c>
      <c r="K619" s="50">
        <v>10.0</v>
      </c>
      <c r="L619" s="40">
        <v>11.0</v>
      </c>
      <c r="M619" s="40">
        <v>12.0</v>
      </c>
      <c r="N619" s="40">
        <v>13.0</v>
      </c>
      <c r="O619" s="40">
        <v>14.0</v>
      </c>
      <c r="P619" s="40">
        <v>15.0</v>
      </c>
      <c r="Q619" s="40">
        <v>16.0</v>
      </c>
      <c r="R619" s="40">
        <v>17.0</v>
      </c>
      <c r="S619" s="40">
        <v>18.0</v>
      </c>
      <c r="T619" s="40">
        <v>19.0</v>
      </c>
      <c r="U619" s="40">
        <v>20.0</v>
      </c>
      <c r="V619" s="40">
        <v>21.0</v>
      </c>
      <c r="W619" s="40">
        <v>22.0</v>
      </c>
      <c r="X619" s="40">
        <v>23.0</v>
      </c>
      <c r="Y619" s="40">
        <v>24.0</v>
      </c>
      <c r="Z619" s="40">
        <v>25.0</v>
      </c>
      <c r="AA619" s="40">
        <v>26.0</v>
      </c>
      <c r="AB619" s="40">
        <v>27.0</v>
      </c>
      <c r="AC619" s="40">
        <v>28.0</v>
      </c>
      <c r="AD619" s="40">
        <v>29.0</v>
      </c>
      <c r="AE619" s="40">
        <v>30.0</v>
      </c>
      <c r="AF619" s="40">
        <v>31.0</v>
      </c>
      <c r="AG619" s="40">
        <v>32.0</v>
      </c>
      <c r="AH619" s="40">
        <v>33.0</v>
      </c>
      <c r="AI619" s="40">
        <v>34.0</v>
      </c>
      <c r="AJ619" s="40">
        <v>35.0</v>
      </c>
      <c r="AK619" s="40">
        <v>36.0</v>
      </c>
      <c r="AL619" s="40">
        <v>37.0</v>
      </c>
      <c r="AM619" s="40">
        <v>38.0</v>
      </c>
      <c r="AN619" s="40">
        <v>39.0</v>
      </c>
      <c r="AO619" s="171">
        <v>40.0</v>
      </c>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c r="BW619" s="31"/>
      <c r="BX619" s="31"/>
      <c r="BY619" s="31"/>
      <c r="BZ619" s="31"/>
      <c r="CA619" s="31"/>
      <c r="CB619" s="31"/>
      <c r="CC619" s="31"/>
      <c r="CD619" s="31"/>
      <c r="CE619" s="31"/>
      <c r="CF619" s="31"/>
      <c r="CG619" s="31"/>
    </row>
    <row r="620" ht="15.75" customHeight="1">
      <c r="A620" s="197" t="s">
        <v>240</v>
      </c>
      <c r="B620" s="40" t="str">
        <f t="shared" ref="B620:W620" si="173">B516</f>
        <v>1</v>
      </c>
      <c r="C620" s="40" t="str">
        <f t="shared" si="173"/>
        <v>4</v>
      </c>
      <c r="D620" s="40" t="str">
        <f t="shared" si="173"/>
        <v>1</v>
      </c>
      <c r="E620" s="40" t="str">
        <f t="shared" si="173"/>
        <v>2</v>
      </c>
      <c r="F620" s="40" t="str">
        <f t="shared" si="173"/>
        <v>5</v>
      </c>
      <c r="G620" s="40" t="str">
        <f t="shared" si="173"/>
        <v>4</v>
      </c>
      <c r="H620" s="40" t="str">
        <f t="shared" si="173"/>
        <v>8</v>
      </c>
      <c r="I620" s="40" t="str">
        <f t="shared" si="173"/>
        <v>5</v>
      </c>
      <c r="J620" s="40" t="str">
        <f t="shared" si="173"/>
        <v>7</v>
      </c>
      <c r="K620" s="40" t="str">
        <f t="shared" si="173"/>
        <v>7</v>
      </c>
      <c r="L620" s="40" t="str">
        <f t="shared" si="173"/>
        <v>2</v>
      </c>
      <c r="M620" s="40" t="str">
        <f t="shared" si="173"/>
        <v>8</v>
      </c>
      <c r="N620" s="40" t="str">
        <f t="shared" si="173"/>
        <v>1</v>
      </c>
      <c r="O620" s="40" t="str">
        <f t="shared" si="173"/>
        <v>6</v>
      </c>
      <c r="P620" s="40" t="str">
        <f t="shared" si="173"/>
        <v>4</v>
      </c>
      <c r="Q620" s="40" t="str">
        <f t="shared" si="173"/>
        <v>5</v>
      </c>
      <c r="R620" s="40" t="str">
        <f t="shared" si="173"/>
        <v>7</v>
      </c>
      <c r="S620" s="40" t="str">
        <f t="shared" si="173"/>
        <v>3</v>
      </c>
      <c r="T620" s="40" t="str">
        <f t="shared" si="173"/>
        <v>1</v>
      </c>
      <c r="U620" s="40" t="str">
        <f t="shared" si="173"/>
        <v>6</v>
      </c>
      <c r="V620" s="40" t="str">
        <f t="shared" si="173"/>
        <v>0</v>
      </c>
      <c r="W620" s="40" t="str">
        <f t="shared" si="173"/>
        <v>4</v>
      </c>
      <c r="X620" s="40" t="str">
        <f t="shared" ref="X620:AL620" si="174">X$557</f>
        <v>1</v>
      </c>
      <c r="Y620" s="40" t="str">
        <f t="shared" si="174"/>
        <v>1</v>
      </c>
      <c r="Z620" s="40" t="str">
        <f t="shared" si="174"/>
        <v>2</v>
      </c>
      <c r="AA620" s="40" t="str">
        <f t="shared" si="174"/>
        <v>9</v>
      </c>
      <c r="AB620" s="40" t="str">
        <f t="shared" si="174"/>
        <v>2</v>
      </c>
      <c r="AC620" s="40" t="str">
        <f t="shared" si="174"/>
        <v>0</v>
      </c>
      <c r="AD620" s="40" t="str">
        <f t="shared" si="174"/>
        <v>0</v>
      </c>
      <c r="AE620" s="40" t="str">
        <f t="shared" si="174"/>
        <v/>
      </c>
      <c r="AF620" s="40" t="str">
        <f t="shared" si="174"/>
        <v/>
      </c>
      <c r="AG620" s="40" t="str">
        <f t="shared" si="174"/>
        <v/>
      </c>
      <c r="AH620" s="40" t="str">
        <f t="shared" si="174"/>
        <v/>
      </c>
      <c r="AI620" s="40" t="str">
        <f t="shared" si="174"/>
        <v/>
      </c>
      <c r="AJ620" s="40" t="str">
        <f t="shared" si="174"/>
        <v/>
      </c>
      <c r="AK620" s="40" t="str">
        <f t="shared" si="174"/>
        <v/>
      </c>
      <c r="AL620" s="40" t="str">
        <f t="shared" si="174"/>
        <v/>
      </c>
      <c r="AM620" s="40"/>
      <c r="AN620" s="40"/>
      <c r="AO620" s="17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c r="BS620" s="31"/>
      <c r="BT620" s="31"/>
      <c r="BU620" s="31"/>
      <c r="BV620" s="31"/>
      <c r="BW620" s="31"/>
      <c r="BX620" s="31"/>
      <c r="BY620" s="31"/>
      <c r="BZ620" s="31"/>
      <c r="CA620" s="31"/>
      <c r="CB620" s="31"/>
      <c r="CC620" s="31"/>
      <c r="CD620" s="31"/>
      <c r="CE620" s="31"/>
      <c r="CF620" s="31"/>
      <c r="CG620" s="31"/>
    </row>
    <row r="621" ht="15.75" customHeight="1">
      <c r="A621" s="174" t="s">
        <v>202</v>
      </c>
      <c r="B621" s="43"/>
      <c r="C621" s="43"/>
      <c r="D621" s="43"/>
      <c r="E621" s="43"/>
      <c r="F621" s="51" t="str">
        <f t="shared" ref="F621:K621" si="175">F620</f>
        <v>5</v>
      </c>
      <c r="G621" s="51" t="str">
        <f t="shared" si="175"/>
        <v>4</v>
      </c>
      <c r="H621" s="51" t="str">
        <f t="shared" si="175"/>
        <v>8</v>
      </c>
      <c r="I621" s="51" t="str">
        <f t="shared" si="175"/>
        <v>5</v>
      </c>
      <c r="J621" s="51" t="str">
        <f t="shared" si="175"/>
        <v>7</v>
      </c>
      <c r="K621" s="43" t="str">
        <f t="shared" si="175"/>
        <v>7</v>
      </c>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173"/>
      <c r="AP621" s="33"/>
      <c r="AQ621" s="33"/>
      <c r="AR621" s="33"/>
      <c r="AS621" s="31"/>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c r="BR621" s="33"/>
      <c r="BS621" s="33"/>
      <c r="BT621" s="33"/>
      <c r="BU621" s="33"/>
      <c r="BV621" s="33"/>
      <c r="BW621" s="33"/>
      <c r="BX621" s="33"/>
      <c r="BY621" s="33"/>
      <c r="BZ621" s="33"/>
      <c r="CA621" s="33"/>
      <c r="CB621" s="33"/>
      <c r="CC621" s="33"/>
      <c r="CD621" s="33"/>
      <c r="CE621" s="33"/>
      <c r="CF621" s="33"/>
      <c r="CG621" s="33"/>
    </row>
    <row r="622" ht="15.75" customHeight="1">
      <c r="A622" s="180" t="s">
        <v>464</v>
      </c>
      <c r="B622" s="198" t="str">
        <f>TEXT((CONCATENATE(F621,G621,H621,I621,J621))*3,"0")</f>
        <v>164571</v>
      </c>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18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c r="BS622" s="31"/>
      <c r="BT622" s="31"/>
      <c r="BU622" s="31"/>
      <c r="BV622" s="31"/>
      <c r="BW622" s="31"/>
      <c r="BX622" s="31"/>
      <c r="BY622" s="31"/>
      <c r="BZ622" s="31"/>
      <c r="CA622" s="31"/>
      <c r="CB622" s="31"/>
      <c r="CC622" s="31"/>
      <c r="CD622" s="31"/>
      <c r="CE622" s="31"/>
      <c r="CF622" s="31"/>
      <c r="CG622" s="31"/>
    </row>
    <row r="623" ht="15.75" customHeight="1">
      <c r="A623" s="180" t="s">
        <v>464</v>
      </c>
      <c r="B623" s="43"/>
      <c r="C623" s="43"/>
      <c r="D623" s="43"/>
      <c r="E623" s="43"/>
      <c r="F623" s="43"/>
      <c r="G623" s="43"/>
      <c r="H623" s="43"/>
      <c r="I623" s="43"/>
      <c r="J623" s="43"/>
      <c r="K623" s="43"/>
      <c r="L623" s="189" t="str">
        <f>MID($B622,1,1)</f>
        <v>1</v>
      </c>
      <c r="M623" s="189" t="str">
        <f>MID($B622,2,1)</f>
        <v>6</v>
      </c>
      <c r="N623" s="189" t="str">
        <f>MID($B622,3,1)</f>
        <v>4</v>
      </c>
      <c r="O623" s="189" t="str">
        <f>MID($B622,4,1)</f>
        <v>5</v>
      </c>
      <c r="P623" s="189" t="str">
        <f>MID($B622,5,1)</f>
        <v>7</v>
      </c>
      <c r="Q623" s="189" t="str">
        <f>MID($B622,6,1)</f>
        <v>1</v>
      </c>
      <c r="R623" s="189" t="str">
        <f>MID($B622,7,1)</f>
        <v/>
      </c>
      <c r="S623" s="204" t="str">
        <f>MID($B622,8,1)</f>
        <v/>
      </c>
      <c r="T623" s="43" t="str">
        <f>MID($B622,9,1)</f>
        <v/>
      </c>
      <c r="U623" s="43"/>
      <c r="V623" s="43"/>
      <c r="W623" s="43"/>
      <c r="X623" s="43"/>
      <c r="Y623" s="43"/>
      <c r="Z623" s="43"/>
      <c r="AA623" s="43"/>
      <c r="AB623" s="43"/>
      <c r="AC623" s="43"/>
      <c r="AD623" s="43"/>
      <c r="AE623" s="43"/>
      <c r="AF623" s="43"/>
      <c r="AG623" s="43"/>
      <c r="AH623" s="43"/>
      <c r="AI623" s="43"/>
      <c r="AJ623" s="43"/>
      <c r="AK623" s="43"/>
      <c r="AL623" s="43"/>
      <c r="AM623" s="43"/>
      <c r="AN623" s="43"/>
      <c r="AO623" s="173"/>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c r="BW623" s="31"/>
      <c r="BX623" s="31"/>
      <c r="BY623" s="31"/>
      <c r="BZ623" s="31"/>
      <c r="CA623" s="31"/>
      <c r="CB623" s="31"/>
      <c r="CC623" s="31"/>
      <c r="CD623" s="31"/>
      <c r="CE623" s="31"/>
      <c r="CF623" s="31"/>
      <c r="CG623" s="31"/>
    </row>
    <row r="624" ht="15.75" customHeight="1">
      <c r="A624" s="180" t="s">
        <v>240</v>
      </c>
      <c r="B624" s="43"/>
      <c r="C624" s="43"/>
      <c r="D624" s="43"/>
      <c r="E624" s="43"/>
      <c r="F624" s="43"/>
      <c r="G624" s="43"/>
      <c r="H624" s="43"/>
      <c r="I624" s="43"/>
      <c r="J624" s="43"/>
      <c r="K624" s="43"/>
      <c r="L624" s="189" t="str">
        <f t="shared" ref="L624:S624" si="176">IF(L623="","",L620)</f>
        <v>2</v>
      </c>
      <c r="M624" s="189" t="str">
        <f t="shared" si="176"/>
        <v>8</v>
      </c>
      <c r="N624" s="189" t="str">
        <f t="shared" si="176"/>
        <v>1</v>
      </c>
      <c r="O624" s="189" t="str">
        <f t="shared" si="176"/>
        <v>6</v>
      </c>
      <c r="P624" s="189" t="str">
        <f t="shared" si="176"/>
        <v>4</v>
      </c>
      <c r="Q624" s="189" t="str">
        <f t="shared" si="176"/>
        <v>5</v>
      </c>
      <c r="R624" s="189" t="str">
        <f t="shared" si="176"/>
        <v/>
      </c>
      <c r="S624" s="189" t="str">
        <f t="shared" si="176"/>
        <v/>
      </c>
      <c r="T624" s="43"/>
      <c r="U624" s="43"/>
      <c r="V624" s="43"/>
      <c r="W624" s="43"/>
      <c r="X624" s="43"/>
      <c r="Y624" s="43"/>
      <c r="Z624" s="43"/>
      <c r="AA624" s="43"/>
      <c r="AB624" s="43"/>
      <c r="AC624" s="43"/>
      <c r="AD624" s="43"/>
      <c r="AE624" s="43"/>
      <c r="AF624" s="43"/>
      <c r="AG624" s="43"/>
      <c r="AH624" s="43"/>
      <c r="AI624" s="43"/>
      <c r="AJ624" s="43"/>
      <c r="AK624" s="43"/>
      <c r="AL624" s="43"/>
      <c r="AM624" s="43"/>
      <c r="AN624" s="43"/>
      <c r="AO624" s="173"/>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c r="BS624" s="31"/>
      <c r="BT624" s="31"/>
      <c r="BU624" s="31"/>
      <c r="BV624" s="31"/>
      <c r="BW624" s="31"/>
      <c r="BX624" s="31"/>
      <c r="BY624" s="31"/>
      <c r="BZ624" s="31"/>
      <c r="CA624" s="31"/>
      <c r="CB624" s="31"/>
      <c r="CC624" s="31"/>
      <c r="CD624" s="31"/>
      <c r="CE624" s="31"/>
      <c r="CF624" s="31"/>
      <c r="CG624" s="31"/>
    </row>
    <row r="625" ht="15.75" customHeight="1">
      <c r="A625" s="182" t="s">
        <v>465</v>
      </c>
      <c r="B625" s="199" t="str">
        <f>IF(CONCATENATE(L623,M623,N623,O623,P623,Q623,R623,S623,T623,U623)=CONCATENATE(L624,M624,N624,O624,P624,Q624,R624,S624,T624,U624),"TRUE","FALSE")</f>
        <v>FALSE</v>
      </c>
      <c r="C625" s="200" t="str">
        <f>IF(C616="Go to B.3.2",IF(B625="TRUE","SUCCESS!!","ref_no1 ไม่ถูกต้อง"),"")</f>
        <v/>
      </c>
      <c r="D625" s="201"/>
      <c r="E625" s="201"/>
      <c r="F625" s="201" t="str">
        <f>IF(C625="SUCCESS!!",CONCATENATE(B620,C620,D620,E620,F620,G620,H620,I620,J620,K620),"")</f>
        <v/>
      </c>
      <c r="G625" s="201"/>
      <c r="H625" s="201"/>
      <c r="I625" s="201"/>
      <c r="J625" s="201"/>
      <c r="K625" s="201"/>
      <c r="L625" s="201"/>
      <c r="M625" s="201"/>
      <c r="N625" s="201"/>
      <c r="O625" s="201"/>
      <c r="P625" s="201"/>
      <c r="Q625" s="201"/>
      <c r="R625" s="201"/>
      <c r="S625" s="201"/>
      <c r="T625" s="201"/>
      <c r="U625" s="201"/>
      <c r="V625" s="201"/>
      <c r="W625" s="201"/>
      <c r="X625" s="201"/>
      <c r="Y625" s="201"/>
      <c r="Z625" s="201"/>
      <c r="AA625" s="201"/>
      <c r="AB625" s="201"/>
      <c r="AC625" s="201"/>
      <c r="AD625" s="201"/>
      <c r="AE625" s="201"/>
      <c r="AF625" s="201"/>
      <c r="AG625" s="201"/>
      <c r="AH625" s="201"/>
      <c r="AI625" s="201"/>
      <c r="AJ625" s="201"/>
      <c r="AK625" s="201"/>
      <c r="AL625" s="201"/>
      <c r="AM625" s="201"/>
      <c r="AN625" s="201"/>
      <c r="AO625" s="202"/>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c r="BW625" s="31"/>
      <c r="BX625" s="31"/>
      <c r="BY625" s="31"/>
      <c r="BZ625" s="31"/>
      <c r="CA625" s="31"/>
      <c r="CB625" s="31"/>
      <c r="CC625" s="31"/>
      <c r="CD625" s="31"/>
      <c r="CE625" s="31"/>
      <c r="CF625" s="31"/>
      <c r="CG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c r="BS626" s="31"/>
      <c r="BT626" s="31"/>
      <c r="BU626" s="31"/>
      <c r="BV626" s="31"/>
      <c r="BW626" s="31"/>
      <c r="BX626" s="31"/>
      <c r="BY626" s="31"/>
      <c r="BZ626" s="31"/>
      <c r="CA626" s="31"/>
      <c r="CB626" s="31"/>
      <c r="CC626" s="31"/>
      <c r="CD626" s="31"/>
      <c r="CE626" s="31"/>
      <c r="CF626" s="31"/>
      <c r="CG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c r="BW627" s="31"/>
      <c r="BX627" s="31"/>
      <c r="BY627" s="31"/>
      <c r="BZ627" s="31"/>
      <c r="CA627" s="31"/>
      <c r="CB627" s="31"/>
      <c r="CC627" s="31"/>
      <c r="CD627" s="31"/>
      <c r="CE627" s="31"/>
      <c r="CF627" s="31"/>
      <c r="CG627" s="31"/>
    </row>
    <row r="628" ht="5.2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c r="BD628" s="54"/>
      <c r="BE628" s="54"/>
      <c r="BF628" s="54"/>
      <c r="BG628" s="54"/>
      <c r="BH628" s="54"/>
      <c r="BI628" s="54"/>
      <c r="BJ628" s="54"/>
      <c r="BK628" s="54"/>
      <c r="BL628" s="54"/>
      <c r="BM628" s="54"/>
      <c r="BN628" s="54"/>
      <c r="BO628" s="54"/>
      <c r="BP628" s="54"/>
      <c r="BQ628" s="54"/>
      <c r="BR628" s="54"/>
      <c r="BS628" s="54"/>
      <c r="BT628" s="54"/>
      <c r="BU628" s="54"/>
      <c r="BV628" s="54"/>
      <c r="BW628" s="54"/>
      <c r="BX628" s="54"/>
      <c r="BY628" s="54"/>
      <c r="BZ628" s="54"/>
      <c r="CA628" s="54"/>
      <c r="CB628" s="54"/>
      <c r="CC628" s="54"/>
      <c r="CD628" s="54"/>
      <c r="CE628" s="54"/>
      <c r="CF628" s="54"/>
      <c r="CG628" s="54"/>
    </row>
    <row r="629" ht="15.75" customHeight="1">
      <c r="A629" s="30" t="str">
        <f>IF(C577="SUCCESS!!",F577,IF(B601="SUCCESS!!",F601,IF(C625="SUCCESS!!",F625,"")))</f>
        <v>141254857728</v>
      </c>
      <c r="B629" s="31"/>
      <c r="C629" s="31"/>
      <c r="D629" s="31"/>
      <c r="E629" s="31"/>
      <c r="F629" s="31"/>
      <c r="G629" s="31"/>
      <c r="H629" s="31"/>
      <c r="I629" s="31"/>
      <c r="J629" s="31"/>
      <c r="K629" s="31"/>
      <c r="L629" s="31"/>
      <c r="M629" s="31"/>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c r="BW629" s="31"/>
      <c r="BX629" s="31"/>
      <c r="BY629" s="31"/>
      <c r="BZ629" s="31"/>
      <c r="CA629" s="31"/>
      <c r="CB629" s="31"/>
      <c r="CC629" s="31"/>
      <c r="CD629" s="31"/>
      <c r="CE629" s="31"/>
      <c r="CF629" s="31"/>
      <c r="CG629" s="31"/>
    </row>
    <row r="630" ht="15.75" customHeight="1">
      <c r="A630" s="34" t="s">
        <v>191</v>
      </c>
      <c r="B630" s="35" t="s">
        <v>144</v>
      </c>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6" t="s">
        <v>439</v>
      </c>
      <c r="AP630" s="30"/>
      <c r="AQ630" s="30"/>
      <c r="AR630" s="30"/>
      <c r="AS630" s="30"/>
      <c r="AT630" s="30"/>
      <c r="AU630" s="30"/>
      <c r="AV630" s="30"/>
      <c r="AW630" s="30"/>
      <c r="AX630" s="30"/>
      <c r="AY630" s="30"/>
      <c r="AZ630" s="31"/>
      <c r="BA630" s="31"/>
      <c r="BB630" s="31"/>
      <c r="BC630" s="31"/>
      <c r="BD630" s="31"/>
      <c r="BE630" s="31"/>
      <c r="BF630" s="31"/>
      <c r="BG630" s="31"/>
      <c r="BH630" s="31"/>
      <c r="BI630" s="31"/>
      <c r="BJ630" s="31"/>
      <c r="BK630" s="31"/>
      <c r="BL630" s="31"/>
      <c r="BM630" s="31"/>
      <c r="BN630" s="31"/>
      <c r="BO630" s="31"/>
      <c r="BP630" s="31"/>
      <c r="BQ630" s="31"/>
      <c r="BR630" s="31"/>
      <c r="BS630" s="31"/>
      <c r="BT630" s="31"/>
      <c r="BU630" s="31"/>
      <c r="BV630" s="31"/>
      <c r="BW630" s="31"/>
      <c r="BX630" s="31"/>
      <c r="BY630" s="31"/>
      <c r="BZ630" s="31"/>
      <c r="CA630" s="31"/>
      <c r="CB630" s="31"/>
      <c r="CC630" s="31"/>
      <c r="CD630" s="31"/>
      <c r="CE630" s="31"/>
      <c r="CF630" s="31"/>
      <c r="CG630" s="31"/>
    </row>
    <row r="631" ht="15.75" customHeight="1">
      <c r="A631" s="37" t="s">
        <v>199</v>
      </c>
      <c r="B631" s="38"/>
      <c r="C631" s="38"/>
      <c r="D631" s="38"/>
      <c r="E631" s="38"/>
      <c r="F631" s="38"/>
      <c r="G631" s="38"/>
      <c r="H631" s="38"/>
      <c r="I631" s="38"/>
      <c r="J631" s="38"/>
      <c r="K631" s="38"/>
      <c r="L631" s="38"/>
      <c r="M631" s="38"/>
      <c r="N631" s="38"/>
      <c r="O631" s="90"/>
      <c r="P631" s="38"/>
      <c r="Q631" s="38"/>
      <c r="R631" s="38"/>
      <c r="S631" s="38"/>
      <c r="T631" s="38"/>
      <c r="U631" s="38"/>
      <c r="V631" s="38"/>
      <c r="W631" s="38"/>
      <c r="X631" s="38"/>
      <c r="Y631" s="38"/>
      <c r="Z631" s="38"/>
      <c r="AA631" s="38"/>
      <c r="AB631" s="38"/>
      <c r="AC631" s="38"/>
      <c r="AD631" s="38"/>
      <c r="AE631" s="38"/>
      <c r="AF631" s="38"/>
      <c r="AG631" s="38"/>
      <c r="AH631" s="38"/>
      <c r="AI631" s="38"/>
      <c r="AJ631" s="37"/>
      <c r="AK631" s="38"/>
      <c r="AL631" s="38"/>
      <c r="AM631" s="38"/>
      <c r="AN631" s="38"/>
      <c r="AO631" s="38"/>
      <c r="AP631" s="30"/>
      <c r="AQ631" s="30"/>
      <c r="AR631" s="30"/>
      <c r="AS631" s="30"/>
      <c r="AT631" s="30"/>
      <c r="AU631" s="30"/>
      <c r="AV631" s="30"/>
      <c r="AW631" s="30"/>
      <c r="AX631" s="30"/>
      <c r="AY631" s="30"/>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c r="BW631" s="31"/>
      <c r="BX631" s="31"/>
      <c r="BY631" s="31"/>
      <c r="BZ631" s="31"/>
      <c r="CA631" s="31"/>
      <c r="CB631" s="31"/>
      <c r="CC631" s="31"/>
      <c r="CD631" s="31"/>
      <c r="CE631" s="31"/>
      <c r="CF631" s="31"/>
      <c r="CG631" s="31"/>
    </row>
    <row r="632" ht="15.75" customHeight="1">
      <c r="A632" s="39" t="s">
        <v>195</v>
      </c>
      <c r="B632" s="40">
        <v>1.0</v>
      </c>
      <c r="C632" s="40">
        <v>2.0</v>
      </c>
      <c r="D632" s="40">
        <v>3.0</v>
      </c>
      <c r="E632" s="40">
        <v>4.0</v>
      </c>
      <c r="F632" s="40">
        <v>5.0</v>
      </c>
      <c r="G632" s="40">
        <v>6.0</v>
      </c>
      <c r="H632" s="40">
        <v>7.0</v>
      </c>
      <c r="I632" s="40">
        <v>8.0</v>
      </c>
      <c r="J632" s="40">
        <v>9.0</v>
      </c>
      <c r="K632" s="40">
        <v>10.0</v>
      </c>
      <c r="L632" s="40">
        <v>11.0</v>
      </c>
      <c r="M632" s="40">
        <v>12.0</v>
      </c>
      <c r="N632" s="40">
        <v>13.0</v>
      </c>
      <c r="O632" s="40">
        <v>14.0</v>
      </c>
      <c r="P632" s="40">
        <v>15.0</v>
      </c>
      <c r="Q632" s="40">
        <v>16.0</v>
      </c>
      <c r="R632" s="40">
        <v>17.0</v>
      </c>
      <c r="S632" s="40">
        <v>18.0</v>
      </c>
      <c r="T632" s="40">
        <v>19.0</v>
      </c>
      <c r="U632" s="40">
        <v>20.0</v>
      </c>
      <c r="V632" s="40">
        <v>21.0</v>
      </c>
      <c r="W632" s="40">
        <v>22.0</v>
      </c>
      <c r="X632" s="40">
        <v>23.0</v>
      </c>
      <c r="Y632" s="40">
        <v>24.0</v>
      </c>
      <c r="Z632" s="40">
        <v>25.0</v>
      </c>
      <c r="AA632" s="40">
        <v>26.0</v>
      </c>
      <c r="AB632" s="40">
        <v>27.0</v>
      </c>
      <c r="AC632" s="40">
        <v>28.0</v>
      </c>
      <c r="AD632" s="40">
        <v>29.0</v>
      </c>
      <c r="AE632" s="40">
        <v>30.0</v>
      </c>
      <c r="AF632" s="40">
        <v>31.0</v>
      </c>
      <c r="AG632" s="40">
        <v>32.0</v>
      </c>
      <c r="AH632" s="40">
        <v>33.0</v>
      </c>
      <c r="AI632" s="40">
        <v>34.0</v>
      </c>
      <c r="AJ632" s="40">
        <v>35.0</v>
      </c>
      <c r="AK632" s="40">
        <v>36.0</v>
      </c>
      <c r="AL632" s="40">
        <v>37.0</v>
      </c>
      <c r="AM632" s="40">
        <v>38.0</v>
      </c>
      <c r="AN632" s="40">
        <v>39.0</v>
      </c>
      <c r="AO632" s="40">
        <v>40.0</v>
      </c>
      <c r="AP632" s="30"/>
      <c r="AQ632" s="30"/>
      <c r="AR632" s="30"/>
      <c r="AS632" s="30"/>
      <c r="AT632" s="30"/>
      <c r="AU632" s="30"/>
      <c r="AV632" s="30"/>
      <c r="AW632" s="30"/>
      <c r="AX632" s="30"/>
      <c r="AY632" s="30"/>
      <c r="AZ632" s="33"/>
      <c r="BA632" s="33"/>
      <c r="BB632" s="33"/>
      <c r="BC632" s="33"/>
      <c r="BD632" s="33"/>
      <c r="BE632" s="33"/>
      <c r="BF632" s="33"/>
      <c r="BG632" s="33"/>
      <c r="BH632" s="33"/>
      <c r="BI632" s="33"/>
      <c r="BJ632" s="33"/>
      <c r="BK632" s="33"/>
      <c r="BL632" s="33"/>
      <c r="BM632" s="33"/>
      <c r="BN632" s="33"/>
      <c r="BO632" s="33"/>
      <c r="BP632" s="33"/>
      <c r="BQ632" s="33"/>
      <c r="BR632" s="33"/>
      <c r="BS632" s="33"/>
      <c r="BT632" s="33"/>
      <c r="BU632" s="33"/>
      <c r="BV632" s="33"/>
      <c r="BW632" s="33"/>
      <c r="BX632" s="33"/>
      <c r="BY632" s="33"/>
      <c r="BZ632" s="33"/>
      <c r="CA632" s="33"/>
      <c r="CB632" s="33"/>
      <c r="CC632" s="33"/>
      <c r="CD632" s="33"/>
      <c r="CE632" s="33"/>
      <c r="CF632" s="33"/>
      <c r="CG632" s="33"/>
    </row>
    <row r="633" ht="15.75" customHeight="1">
      <c r="A633" s="120" t="s">
        <v>240</v>
      </c>
      <c r="B633" s="42" t="str">
        <f t="shared" ref="B633:AO633" si="177">B516</f>
        <v>1</v>
      </c>
      <c r="C633" s="42" t="str">
        <f t="shared" si="177"/>
        <v>4</v>
      </c>
      <c r="D633" s="42" t="str">
        <f t="shared" si="177"/>
        <v>1</v>
      </c>
      <c r="E633" s="42" t="str">
        <f t="shared" si="177"/>
        <v>2</v>
      </c>
      <c r="F633" s="42" t="str">
        <f t="shared" si="177"/>
        <v>5</v>
      </c>
      <c r="G633" s="42" t="str">
        <f t="shared" si="177"/>
        <v>4</v>
      </c>
      <c r="H633" s="42" t="str">
        <f t="shared" si="177"/>
        <v>8</v>
      </c>
      <c r="I633" s="42" t="str">
        <f t="shared" si="177"/>
        <v>5</v>
      </c>
      <c r="J633" s="42" t="str">
        <f t="shared" si="177"/>
        <v>7</v>
      </c>
      <c r="K633" s="42" t="str">
        <f t="shared" si="177"/>
        <v>7</v>
      </c>
      <c r="L633" s="42" t="str">
        <f t="shared" si="177"/>
        <v>2</v>
      </c>
      <c r="M633" s="42" t="str">
        <f t="shared" si="177"/>
        <v>8</v>
      </c>
      <c r="N633" s="42" t="str">
        <f t="shared" si="177"/>
        <v>1</v>
      </c>
      <c r="O633" s="42" t="str">
        <f t="shared" si="177"/>
        <v>6</v>
      </c>
      <c r="P633" s="42" t="str">
        <f t="shared" si="177"/>
        <v>4</v>
      </c>
      <c r="Q633" s="42" t="str">
        <f t="shared" si="177"/>
        <v>5</v>
      </c>
      <c r="R633" s="42" t="str">
        <f t="shared" si="177"/>
        <v>7</v>
      </c>
      <c r="S633" s="42" t="str">
        <f t="shared" si="177"/>
        <v>3</v>
      </c>
      <c r="T633" s="42" t="str">
        <f t="shared" si="177"/>
        <v>1</v>
      </c>
      <c r="U633" s="42" t="str">
        <f t="shared" si="177"/>
        <v>6</v>
      </c>
      <c r="V633" s="42" t="str">
        <f t="shared" si="177"/>
        <v>0</v>
      </c>
      <c r="W633" s="42" t="str">
        <f t="shared" si="177"/>
        <v>4</v>
      </c>
      <c r="X633" s="42" t="str">
        <f t="shared" si="177"/>
        <v>1</v>
      </c>
      <c r="Y633" s="42" t="str">
        <f t="shared" si="177"/>
        <v>1</v>
      </c>
      <c r="Z633" s="42" t="str">
        <f t="shared" si="177"/>
        <v>2</v>
      </c>
      <c r="AA633" s="42" t="str">
        <f t="shared" si="177"/>
        <v>9</v>
      </c>
      <c r="AB633" s="42" t="str">
        <f t="shared" si="177"/>
        <v>2</v>
      </c>
      <c r="AC633" s="42" t="str">
        <f t="shared" si="177"/>
        <v>0</v>
      </c>
      <c r="AD633" s="42" t="str">
        <f t="shared" si="177"/>
        <v>0</v>
      </c>
      <c r="AE633" s="42" t="str">
        <f t="shared" si="177"/>
        <v/>
      </c>
      <c r="AF633" s="42" t="str">
        <f t="shared" si="177"/>
        <v/>
      </c>
      <c r="AG633" s="42" t="str">
        <f t="shared" si="177"/>
        <v/>
      </c>
      <c r="AH633" s="42" t="str">
        <f t="shared" si="177"/>
        <v/>
      </c>
      <c r="AI633" s="42" t="str">
        <f t="shared" si="177"/>
        <v/>
      </c>
      <c r="AJ633" s="42" t="str">
        <f t="shared" si="177"/>
        <v/>
      </c>
      <c r="AK633" s="42" t="str">
        <f t="shared" si="177"/>
        <v/>
      </c>
      <c r="AL633" s="42" t="str">
        <f t="shared" si="177"/>
        <v/>
      </c>
      <c r="AM633" s="42" t="str">
        <f t="shared" si="177"/>
        <v/>
      </c>
      <c r="AN633" s="42" t="str">
        <f t="shared" si="177"/>
        <v/>
      </c>
      <c r="AO633" s="42" t="str">
        <f t="shared" si="177"/>
        <v/>
      </c>
      <c r="AP633" s="30"/>
      <c r="AQ633" s="30"/>
      <c r="AR633" s="30"/>
      <c r="AS633" s="30"/>
      <c r="AT633" s="30"/>
      <c r="AU633" s="30"/>
      <c r="AV633" s="30"/>
      <c r="AW633" s="30"/>
      <c r="AX633" s="30"/>
      <c r="AY633" s="30"/>
      <c r="AZ633" s="31"/>
      <c r="BA633" s="31"/>
      <c r="BB633" s="31"/>
      <c r="BC633" s="31"/>
      <c r="BD633" s="31"/>
      <c r="BE633" s="31"/>
      <c r="BF633" s="31"/>
      <c r="BG633" s="31"/>
      <c r="BH633" s="31"/>
      <c r="BI633" s="31"/>
      <c r="BJ633" s="31"/>
      <c r="BK633" s="31"/>
      <c r="BL633" s="31"/>
      <c r="BM633" s="31"/>
      <c r="BN633" s="31"/>
      <c r="BO633" s="31"/>
      <c r="BP633" s="31"/>
      <c r="BQ633" s="31"/>
      <c r="BR633" s="31"/>
      <c r="BS633" s="31"/>
      <c r="BT633" s="31"/>
      <c r="BU633" s="31"/>
      <c r="BV633" s="31"/>
      <c r="BW633" s="31"/>
      <c r="BX633" s="31"/>
      <c r="BY633" s="31"/>
      <c r="BZ633" s="31"/>
      <c r="CA633" s="31"/>
      <c r="CB633" s="31"/>
      <c r="CC633" s="31"/>
      <c r="CD633" s="31"/>
      <c r="CE633" s="31"/>
      <c r="CF633" s="31"/>
      <c r="CG633" s="31"/>
    </row>
    <row r="634" ht="15.75" customHeight="1">
      <c r="A634" s="120" t="s">
        <v>199</v>
      </c>
      <c r="B634" s="55" t="str">
        <f t="shared" ref="B634:AO634" si="178">MID($A629,B632,1)</f>
        <v>1</v>
      </c>
      <c r="C634" s="55" t="str">
        <f t="shared" si="178"/>
        <v>4</v>
      </c>
      <c r="D634" s="55" t="str">
        <f t="shared" si="178"/>
        <v>1</v>
      </c>
      <c r="E634" s="55" t="str">
        <f t="shared" si="178"/>
        <v>2</v>
      </c>
      <c r="F634" s="55" t="str">
        <f t="shared" si="178"/>
        <v>5</v>
      </c>
      <c r="G634" s="55" t="str">
        <f t="shared" si="178"/>
        <v>4</v>
      </c>
      <c r="H634" s="55" t="str">
        <f t="shared" si="178"/>
        <v>8</v>
      </c>
      <c r="I634" s="55" t="str">
        <f t="shared" si="178"/>
        <v>5</v>
      </c>
      <c r="J634" s="55" t="str">
        <f t="shared" si="178"/>
        <v>7</v>
      </c>
      <c r="K634" s="55" t="str">
        <f t="shared" si="178"/>
        <v>7</v>
      </c>
      <c r="L634" s="55" t="str">
        <f t="shared" si="178"/>
        <v>2</v>
      </c>
      <c r="M634" s="55" t="str">
        <f t="shared" si="178"/>
        <v>8</v>
      </c>
      <c r="N634" s="42" t="str">
        <f t="shared" si="178"/>
        <v/>
      </c>
      <c r="O634" s="42" t="str">
        <f t="shared" si="178"/>
        <v/>
      </c>
      <c r="P634" s="42" t="str">
        <f t="shared" si="178"/>
        <v/>
      </c>
      <c r="Q634" s="42" t="str">
        <f t="shared" si="178"/>
        <v/>
      </c>
      <c r="R634" s="42" t="str">
        <f t="shared" si="178"/>
        <v/>
      </c>
      <c r="S634" s="42" t="str">
        <f t="shared" si="178"/>
        <v/>
      </c>
      <c r="T634" s="42" t="str">
        <f t="shared" si="178"/>
        <v/>
      </c>
      <c r="U634" s="42" t="str">
        <f t="shared" si="178"/>
        <v/>
      </c>
      <c r="V634" s="42" t="str">
        <f t="shared" si="178"/>
        <v/>
      </c>
      <c r="W634" s="42" t="str">
        <f t="shared" si="178"/>
        <v/>
      </c>
      <c r="X634" s="42" t="str">
        <f t="shared" si="178"/>
        <v/>
      </c>
      <c r="Y634" s="42" t="str">
        <f t="shared" si="178"/>
        <v/>
      </c>
      <c r="Z634" s="42" t="str">
        <f t="shared" si="178"/>
        <v/>
      </c>
      <c r="AA634" s="42" t="str">
        <f t="shared" si="178"/>
        <v/>
      </c>
      <c r="AB634" s="42" t="str">
        <f t="shared" si="178"/>
        <v/>
      </c>
      <c r="AC634" s="42" t="str">
        <f t="shared" si="178"/>
        <v/>
      </c>
      <c r="AD634" s="42" t="str">
        <f t="shared" si="178"/>
        <v/>
      </c>
      <c r="AE634" s="42" t="str">
        <f t="shared" si="178"/>
        <v/>
      </c>
      <c r="AF634" s="42" t="str">
        <f t="shared" si="178"/>
        <v/>
      </c>
      <c r="AG634" s="42" t="str">
        <f t="shared" si="178"/>
        <v/>
      </c>
      <c r="AH634" s="42" t="str">
        <f t="shared" si="178"/>
        <v/>
      </c>
      <c r="AI634" s="42" t="str">
        <f t="shared" si="178"/>
        <v/>
      </c>
      <c r="AJ634" s="42" t="str">
        <f t="shared" si="178"/>
        <v/>
      </c>
      <c r="AK634" s="42" t="str">
        <f t="shared" si="178"/>
        <v/>
      </c>
      <c r="AL634" s="42" t="str">
        <f t="shared" si="178"/>
        <v/>
      </c>
      <c r="AM634" s="42" t="str">
        <f t="shared" si="178"/>
        <v/>
      </c>
      <c r="AN634" s="42" t="str">
        <f t="shared" si="178"/>
        <v/>
      </c>
      <c r="AO634" s="42" t="str">
        <f t="shared" si="178"/>
        <v/>
      </c>
      <c r="AP634" s="30"/>
      <c r="AQ634" s="30"/>
      <c r="AR634" s="30"/>
      <c r="AS634" s="30"/>
      <c r="AT634" s="30"/>
      <c r="AU634" s="30"/>
      <c r="AV634" s="30"/>
      <c r="AW634" s="30"/>
      <c r="AX634" s="30"/>
      <c r="AY634" s="30"/>
      <c r="AZ634" s="31"/>
      <c r="BA634" s="31"/>
      <c r="BB634" s="31"/>
      <c r="BC634" s="31"/>
      <c r="BD634" s="31"/>
      <c r="BE634" s="31"/>
      <c r="BF634" s="31"/>
      <c r="BG634" s="31"/>
      <c r="BH634" s="31"/>
      <c r="BI634" s="31"/>
      <c r="BJ634" s="31"/>
      <c r="BK634" s="31"/>
      <c r="BL634" s="31"/>
      <c r="BM634" s="31"/>
      <c r="BN634" s="31"/>
      <c r="BO634" s="31"/>
      <c r="BP634" s="31"/>
      <c r="BQ634" s="31"/>
      <c r="BR634" s="31"/>
      <c r="BS634" s="31"/>
      <c r="BT634" s="31"/>
      <c r="BU634" s="31"/>
      <c r="BV634" s="31"/>
      <c r="BW634" s="31"/>
      <c r="BX634" s="31"/>
      <c r="BY634" s="31"/>
      <c r="BZ634" s="31"/>
      <c r="CA634" s="31"/>
      <c r="CB634" s="31"/>
      <c r="CC634" s="31"/>
      <c r="CD634" s="31"/>
      <c r="CE634" s="31"/>
      <c r="CF634" s="31"/>
      <c r="CG634" s="31"/>
    </row>
    <row r="635" ht="15.75" customHeight="1">
      <c r="A635" s="52" t="s">
        <v>472</v>
      </c>
      <c r="B635" s="42">
        <f>LEN(A629)</f>
        <v>12</v>
      </c>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30"/>
      <c r="AQ635" s="30"/>
      <c r="AR635" s="30"/>
      <c r="AS635" s="30"/>
      <c r="AT635" s="30"/>
      <c r="AU635" s="30"/>
      <c r="AV635" s="30"/>
      <c r="AW635" s="30"/>
      <c r="AX635" s="30"/>
      <c r="AY635" s="30"/>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c r="BW635" s="31"/>
      <c r="BX635" s="31"/>
      <c r="BY635" s="31"/>
      <c r="BZ635" s="31"/>
      <c r="CA635" s="31"/>
      <c r="CB635" s="31"/>
      <c r="CC635" s="31"/>
      <c r="CD635" s="31"/>
      <c r="CE635" s="31"/>
      <c r="CF635" s="31"/>
      <c r="CG635" s="31"/>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30"/>
      <c r="AQ636" s="30"/>
      <c r="AR636" s="30"/>
      <c r="AS636" s="30"/>
      <c r="AT636" s="30"/>
      <c r="AU636" s="30"/>
      <c r="AV636" s="30"/>
      <c r="AW636" s="30"/>
      <c r="AX636" s="30"/>
      <c r="AY636" s="30"/>
      <c r="AZ636" s="31"/>
      <c r="BA636" s="31"/>
      <c r="BB636" s="31"/>
      <c r="BC636" s="31"/>
      <c r="BD636" s="31"/>
      <c r="BE636" s="31"/>
      <c r="BF636" s="31"/>
      <c r="BG636" s="31"/>
      <c r="BH636" s="31"/>
      <c r="BI636" s="31"/>
      <c r="BJ636" s="31"/>
      <c r="BK636" s="31"/>
      <c r="BL636" s="31"/>
      <c r="BM636" s="31"/>
      <c r="BN636" s="31"/>
      <c r="BO636" s="31"/>
      <c r="BP636" s="31"/>
      <c r="BQ636" s="31"/>
      <c r="BR636" s="31"/>
      <c r="BS636" s="31"/>
      <c r="BT636" s="31"/>
      <c r="BU636" s="31"/>
      <c r="BV636" s="31"/>
      <c r="BW636" s="31"/>
      <c r="BX636" s="31"/>
      <c r="BY636" s="31"/>
      <c r="BZ636" s="31"/>
      <c r="CA636" s="31"/>
      <c r="CB636" s="31"/>
      <c r="CC636" s="31"/>
      <c r="CD636" s="31"/>
      <c r="CE636" s="31"/>
      <c r="CF636" s="31"/>
      <c r="CG636" s="31"/>
    </row>
    <row r="637" ht="15.75" customHeight="1">
      <c r="A637" s="31"/>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30"/>
      <c r="AQ637" s="30"/>
      <c r="AR637" s="30"/>
      <c r="AS637" s="30"/>
      <c r="AT637" s="30"/>
      <c r="AU637" s="30"/>
      <c r="AV637" s="30"/>
      <c r="AW637" s="30"/>
      <c r="AX637" s="30"/>
      <c r="AY637" s="30"/>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c r="BW637" s="31"/>
      <c r="BX637" s="31"/>
      <c r="BY637" s="31"/>
      <c r="BZ637" s="31"/>
      <c r="CA637" s="31"/>
      <c r="CB637" s="31"/>
      <c r="CC637" s="31"/>
      <c r="CD637" s="31"/>
      <c r="CE637" s="31"/>
      <c r="CF637" s="31"/>
      <c r="CG637" s="31"/>
    </row>
    <row r="638" ht="15.75" customHeight="1">
      <c r="A638" s="47" t="s">
        <v>202</v>
      </c>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30"/>
      <c r="AQ638" s="30"/>
      <c r="AR638" s="30"/>
      <c r="AS638" s="30"/>
      <c r="AT638" s="30"/>
      <c r="AU638" s="30"/>
      <c r="AV638" s="30"/>
      <c r="AW638" s="30"/>
      <c r="AX638" s="30"/>
      <c r="AY638" s="30"/>
      <c r="AZ638" s="31"/>
      <c r="BA638" s="33"/>
      <c r="BB638" s="33"/>
      <c r="BC638" s="33"/>
      <c r="BD638" s="33"/>
      <c r="BE638" s="33"/>
      <c r="BF638" s="33"/>
      <c r="BG638" s="33"/>
      <c r="BH638" s="33"/>
      <c r="BI638" s="33"/>
      <c r="BJ638" s="33"/>
      <c r="BK638" s="33"/>
      <c r="BL638" s="33"/>
      <c r="BM638" s="33"/>
      <c r="BN638" s="33"/>
      <c r="BO638" s="33"/>
      <c r="BP638" s="33"/>
      <c r="BQ638" s="33"/>
      <c r="BR638" s="33"/>
      <c r="BS638" s="33"/>
      <c r="BT638" s="33"/>
      <c r="BU638" s="33"/>
      <c r="BV638" s="33"/>
      <c r="BW638" s="33"/>
      <c r="BX638" s="33"/>
      <c r="BY638" s="33"/>
      <c r="BZ638" s="33"/>
      <c r="CA638" s="33"/>
      <c r="CB638" s="33"/>
      <c r="CC638" s="33"/>
      <c r="CD638" s="33"/>
      <c r="CE638" s="33"/>
      <c r="CF638" s="33"/>
      <c r="CG638" s="33"/>
    </row>
    <row r="639" ht="15.75" customHeight="1">
      <c r="A639" s="39" t="s">
        <v>195</v>
      </c>
      <c r="B639" s="40">
        <v>1.0</v>
      </c>
      <c r="C639" s="40">
        <v>2.0</v>
      </c>
      <c r="D639" s="43">
        <v>3.0</v>
      </c>
      <c r="E639" s="43">
        <v>4.0</v>
      </c>
      <c r="F639" s="50">
        <v>5.0</v>
      </c>
      <c r="G639" s="50">
        <v>6.0</v>
      </c>
      <c r="H639" s="50">
        <v>7.0</v>
      </c>
      <c r="I639" s="50">
        <v>8.0</v>
      </c>
      <c r="J639" s="50">
        <v>9.0</v>
      </c>
      <c r="K639" s="50">
        <v>10.0</v>
      </c>
      <c r="L639" s="50">
        <v>11.0</v>
      </c>
      <c r="M639" s="50">
        <v>12.0</v>
      </c>
      <c r="N639" s="40">
        <v>13.0</v>
      </c>
      <c r="O639" s="40">
        <v>14.0</v>
      </c>
      <c r="P639" s="40">
        <v>15.0</v>
      </c>
      <c r="Q639" s="40">
        <v>16.0</v>
      </c>
      <c r="R639" s="40">
        <v>16.0</v>
      </c>
      <c r="S639" s="40">
        <v>16.0</v>
      </c>
      <c r="T639" s="40">
        <v>16.0</v>
      </c>
      <c r="U639" s="40">
        <v>16.0</v>
      </c>
      <c r="V639" s="40">
        <v>16.0</v>
      </c>
      <c r="W639" s="40">
        <v>16.0</v>
      </c>
      <c r="X639" s="40">
        <v>16.0</v>
      </c>
      <c r="Y639" s="40">
        <v>24.0</v>
      </c>
      <c r="Z639" s="40">
        <v>25.0</v>
      </c>
      <c r="AA639" s="40">
        <v>26.0</v>
      </c>
      <c r="AB639" s="40">
        <v>27.0</v>
      </c>
      <c r="AC639" s="40">
        <v>28.0</v>
      </c>
      <c r="AD639" s="40">
        <v>29.0</v>
      </c>
      <c r="AE639" s="40">
        <v>30.0</v>
      </c>
      <c r="AF639" s="40">
        <v>31.0</v>
      </c>
      <c r="AG639" s="40">
        <v>32.0</v>
      </c>
      <c r="AH639" s="40">
        <v>33.0</v>
      </c>
      <c r="AI639" s="40">
        <v>34.0</v>
      </c>
      <c r="AJ639" s="40">
        <v>35.0</v>
      </c>
      <c r="AK639" s="40">
        <v>36.0</v>
      </c>
      <c r="AL639" s="40">
        <v>37.0</v>
      </c>
      <c r="AM639" s="40">
        <v>38.0</v>
      </c>
      <c r="AN639" s="40">
        <v>39.0</v>
      </c>
      <c r="AO639" s="40">
        <v>40.0</v>
      </c>
      <c r="AP639" s="30"/>
      <c r="AQ639" s="30"/>
      <c r="AR639" s="30"/>
      <c r="AS639" s="30"/>
      <c r="AT639" s="30"/>
      <c r="AU639" s="30"/>
      <c r="AV639" s="30"/>
      <c r="AW639" s="30"/>
      <c r="AX639" s="30"/>
      <c r="AY639" s="30"/>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c r="BW639" s="31"/>
      <c r="BX639" s="31"/>
      <c r="BY639" s="31"/>
      <c r="BZ639" s="31"/>
      <c r="CA639" s="31"/>
      <c r="CB639" s="31"/>
      <c r="CC639" s="31"/>
      <c r="CD639" s="31"/>
      <c r="CE639" s="31"/>
      <c r="CF639" s="31"/>
      <c r="CG639" s="31"/>
    </row>
    <row r="640" ht="15.75" customHeight="1">
      <c r="A640" s="42" t="s">
        <v>196</v>
      </c>
      <c r="B640" s="43" t="str">
        <f t="shared" ref="B640:M640" si="179">B634</f>
        <v>1</v>
      </c>
      <c r="C640" s="43" t="str">
        <f t="shared" si="179"/>
        <v>4</v>
      </c>
      <c r="D640" s="43" t="str">
        <f t="shared" si="179"/>
        <v>1</v>
      </c>
      <c r="E640" s="43" t="str">
        <f t="shared" si="179"/>
        <v>2</v>
      </c>
      <c r="F640" s="51" t="str">
        <f t="shared" si="179"/>
        <v>5</v>
      </c>
      <c r="G640" s="51" t="str">
        <f t="shared" si="179"/>
        <v>4</v>
      </c>
      <c r="H640" s="51" t="str">
        <f t="shared" si="179"/>
        <v>8</v>
      </c>
      <c r="I640" s="51" t="str">
        <f t="shared" si="179"/>
        <v>5</v>
      </c>
      <c r="J640" s="51" t="str">
        <f t="shared" si="179"/>
        <v>7</v>
      </c>
      <c r="K640" s="51" t="str">
        <f t="shared" si="179"/>
        <v>7</v>
      </c>
      <c r="L640" s="51" t="str">
        <f t="shared" si="179"/>
        <v>2</v>
      </c>
      <c r="M640" s="51" t="str">
        <f t="shared" si="179"/>
        <v>8</v>
      </c>
      <c r="N640" s="43" t="str">
        <f t="shared" ref="N640:AO640" si="180">N627</f>
        <v/>
      </c>
      <c r="O640" s="43" t="str">
        <f t="shared" si="180"/>
        <v/>
      </c>
      <c r="P640" s="43" t="str">
        <f t="shared" si="180"/>
        <v/>
      </c>
      <c r="Q640" s="43" t="str">
        <f t="shared" si="180"/>
        <v/>
      </c>
      <c r="R640" s="43" t="str">
        <f t="shared" si="180"/>
        <v/>
      </c>
      <c r="S640" s="43" t="str">
        <f t="shared" si="180"/>
        <v/>
      </c>
      <c r="T640" s="43" t="str">
        <f t="shared" si="180"/>
        <v/>
      </c>
      <c r="U640" s="43" t="str">
        <f t="shared" si="180"/>
        <v/>
      </c>
      <c r="V640" s="43" t="str">
        <f t="shared" si="180"/>
        <v/>
      </c>
      <c r="W640" s="43" t="str">
        <f t="shared" si="180"/>
        <v/>
      </c>
      <c r="X640" s="43" t="str">
        <f t="shared" si="180"/>
        <v/>
      </c>
      <c r="Y640" s="43" t="str">
        <f t="shared" si="180"/>
        <v/>
      </c>
      <c r="Z640" s="43" t="str">
        <f t="shared" si="180"/>
        <v/>
      </c>
      <c r="AA640" s="43" t="str">
        <f t="shared" si="180"/>
        <v/>
      </c>
      <c r="AB640" s="43" t="str">
        <f t="shared" si="180"/>
        <v/>
      </c>
      <c r="AC640" s="43" t="str">
        <f t="shared" si="180"/>
        <v/>
      </c>
      <c r="AD640" s="43" t="str">
        <f t="shared" si="180"/>
        <v/>
      </c>
      <c r="AE640" s="43" t="str">
        <f t="shared" si="180"/>
        <v/>
      </c>
      <c r="AF640" s="43" t="str">
        <f t="shared" si="180"/>
        <v/>
      </c>
      <c r="AG640" s="43" t="str">
        <f t="shared" si="180"/>
        <v/>
      </c>
      <c r="AH640" s="43" t="str">
        <f t="shared" si="180"/>
        <v/>
      </c>
      <c r="AI640" s="43" t="str">
        <f t="shared" si="180"/>
        <v/>
      </c>
      <c r="AJ640" s="43" t="str">
        <f t="shared" si="180"/>
        <v/>
      </c>
      <c r="AK640" s="43" t="str">
        <f t="shared" si="180"/>
        <v/>
      </c>
      <c r="AL640" s="43" t="str">
        <f t="shared" si="180"/>
        <v/>
      </c>
      <c r="AM640" s="43" t="str">
        <f t="shared" si="180"/>
        <v/>
      </c>
      <c r="AN640" s="43" t="str">
        <f t="shared" si="180"/>
        <v/>
      </c>
      <c r="AO640" s="43" t="str">
        <f t="shared" si="180"/>
        <v/>
      </c>
      <c r="AP640" s="30"/>
      <c r="AQ640" s="30"/>
      <c r="AR640" s="30"/>
      <c r="AS640" s="30"/>
      <c r="AT640" s="30"/>
      <c r="AU640" s="30"/>
      <c r="AV640" s="30"/>
      <c r="AW640" s="30"/>
      <c r="AX640" s="30"/>
      <c r="AY640" s="30"/>
      <c r="AZ640" s="31"/>
      <c r="BA640" s="31"/>
      <c r="BB640" s="31"/>
      <c r="BC640" s="31"/>
      <c r="BD640" s="31"/>
      <c r="BE640" s="31"/>
      <c r="BF640" s="31"/>
      <c r="BG640" s="31"/>
      <c r="BH640" s="31"/>
      <c r="BI640" s="31"/>
      <c r="BJ640" s="31"/>
      <c r="BK640" s="31"/>
      <c r="BL640" s="31"/>
      <c r="BM640" s="31"/>
      <c r="BN640" s="31"/>
      <c r="BO640" s="31"/>
      <c r="BP640" s="31"/>
      <c r="BQ640" s="31"/>
      <c r="BR640" s="31"/>
      <c r="BS640" s="31"/>
      <c r="BT640" s="31"/>
      <c r="BU640" s="31"/>
      <c r="BV640" s="31"/>
      <c r="BW640" s="31"/>
      <c r="BX640" s="31"/>
      <c r="BY640" s="31"/>
      <c r="BZ640" s="31"/>
      <c r="CA640" s="31"/>
      <c r="CB640" s="31"/>
      <c r="CC640" s="31"/>
      <c r="CD640" s="31"/>
      <c r="CE640" s="31"/>
      <c r="CF640" s="31"/>
      <c r="CG640" s="31"/>
    </row>
    <row r="641" ht="15.75" customHeight="1">
      <c r="A641" s="52" t="s">
        <v>473</v>
      </c>
      <c r="B641" s="205" t="str">
        <f>TEXT(VALUE(MID(A629,5,B635-5))*3,"0")</f>
        <v>16457316</v>
      </c>
      <c r="C641" s="206"/>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c r="BW641" s="31"/>
      <c r="BX641" s="31"/>
      <c r="BY641" s="31"/>
      <c r="BZ641" s="31"/>
      <c r="CA641" s="31"/>
      <c r="CB641" s="31"/>
      <c r="CC641" s="31"/>
      <c r="CD641" s="31"/>
      <c r="CE641" s="31"/>
      <c r="CF641" s="31"/>
      <c r="CG641" s="31"/>
    </row>
    <row r="642" ht="15.75" customHeight="1">
      <c r="A642" s="52" t="s">
        <v>474</v>
      </c>
      <c r="B642" s="42">
        <f>LEN(B641)</f>
        <v>8</v>
      </c>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c r="BS642" s="31"/>
      <c r="BT642" s="31"/>
      <c r="BU642" s="31"/>
      <c r="BV642" s="31"/>
      <c r="BW642" s="31"/>
      <c r="BX642" s="31"/>
      <c r="BY642" s="31"/>
      <c r="BZ642" s="31"/>
      <c r="CA642" s="31"/>
      <c r="CB642" s="31"/>
      <c r="CC642" s="31"/>
      <c r="CD642" s="31"/>
      <c r="CE642" s="31"/>
      <c r="CF642" s="31"/>
      <c r="CG642" s="31"/>
    </row>
    <row r="643" ht="15.75" customHeight="1">
      <c r="A643" s="52" t="s">
        <v>475</v>
      </c>
      <c r="B643" s="205" t="str">
        <f>MID(E517,B635+1,B642)</f>
        <v>16457316</v>
      </c>
      <c r="C643" s="44"/>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c r="BW643" s="31"/>
      <c r="BX643" s="31"/>
      <c r="BY643" s="31"/>
      <c r="BZ643" s="31"/>
      <c r="CA643" s="31"/>
      <c r="CB643" s="31"/>
      <c r="CC643" s="31"/>
      <c r="CD643" s="31"/>
      <c r="CE643" s="31"/>
      <c r="CF643" s="31"/>
      <c r="CG643" s="31"/>
    </row>
    <row r="644" ht="15.75" customHeight="1">
      <c r="A644" s="30"/>
      <c r="B644" s="31"/>
      <c r="C644" s="30"/>
      <c r="D644" s="30"/>
      <c r="E644" s="30"/>
      <c r="F644" s="30"/>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c r="BS644" s="31"/>
      <c r="BT644" s="31"/>
      <c r="BU644" s="31"/>
      <c r="BV644" s="31"/>
      <c r="BW644" s="31"/>
      <c r="BX644" s="31"/>
      <c r="BY644" s="31"/>
      <c r="BZ644" s="31"/>
      <c r="CA644" s="31"/>
      <c r="CB644" s="31"/>
      <c r="CC644" s="31"/>
      <c r="CD644" s="31"/>
      <c r="CE644" s="31"/>
      <c r="CF644" s="31"/>
      <c r="CG644" s="31"/>
    </row>
  </sheetData>
  <mergeCells count="15">
    <mergeCell ref="D389:E389"/>
    <mergeCell ref="F389:G389"/>
    <mergeCell ref="H389:I389"/>
    <mergeCell ref="J389:K389"/>
    <mergeCell ref="Q389:R389"/>
    <mergeCell ref="Q395:R395"/>
    <mergeCell ref="Q402:R402"/>
    <mergeCell ref="B388:C388"/>
    <mergeCell ref="D388:E388"/>
    <mergeCell ref="F388:G388"/>
    <mergeCell ref="H388:I388"/>
    <mergeCell ref="J388:K388"/>
    <mergeCell ref="L388:N388"/>
    <mergeCell ref="B389:C389"/>
    <mergeCell ref="L389:N389"/>
  </mergeCells>
  <printOptions/>
  <pageMargins bottom="0.0" footer="0.0" header="0.0" left="0.0" right="0.0" top="0.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47.29"/>
    <col customWidth="1" min="4" max="4" width="34.0"/>
    <col customWidth="1" min="8" max="8" width="132.29"/>
  </cols>
  <sheetData>
    <row r="1" ht="18.0" customHeight="1">
      <c r="A1" s="207"/>
      <c r="B1" s="208"/>
      <c r="C1" s="207"/>
      <c r="D1" s="208"/>
      <c r="E1" s="208"/>
      <c r="F1" s="208"/>
      <c r="G1" s="208"/>
      <c r="H1" s="209"/>
      <c r="I1" s="208"/>
      <c r="J1" s="210"/>
      <c r="K1" s="210"/>
      <c r="L1" s="210"/>
      <c r="M1" s="210"/>
      <c r="N1" s="210"/>
      <c r="O1" s="210"/>
      <c r="P1" s="210"/>
      <c r="Q1" s="210"/>
      <c r="R1" s="210"/>
      <c r="S1" s="210"/>
      <c r="T1" s="210"/>
      <c r="U1" s="210"/>
      <c r="V1" s="210"/>
      <c r="W1" s="210"/>
      <c r="X1" s="210"/>
      <c r="Y1" s="210"/>
      <c r="Z1" s="210"/>
    </row>
    <row r="2" ht="18.0" customHeight="1">
      <c r="A2" s="207"/>
      <c r="B2" s="208"/>
      <c r="C2" s="207"/>
      <c r="D2" s="208"/>
      <c r="E2" s="208"/>
      <c r="F2" s="208"/>
      <c r="G2" s="208"/>
      <c r="H2" s="208"/>
      <c r="I2" s="208"/>
      <c r="J2" s="210"/>
      <c r="K2" s="210"/>
      <c r="L2" s="210"/>
      <c r="M2" s="210"/>
      <c r="N2" s="210"/>
      <c r="O2" s="210"/>
      <c r="P2" s="210"/>
      <c r="Q2" s="210"/>
      <c r="R2" s="210"/>
      <c r="S2" s="210"/>
      <c r="T2" s="210"/>
      <c r="U2" s="210"/>
      <c r="V2" s="210"/>
      <c r="W2" s="210"/>
      <c r="X2" s="210"/>
      <c r="Y2" s="210"/>
      <c r="Z2" s="210"/>
    </row>
    <row r="3" ht="18.0" customHeight="1">
      <c r="A3" s="211" t="s">
        <v>476</v>
      </c>
      <c r="B3" s="211" t="s">
        <v>477</v>
      </c>
      <c r="C3" s="211" t="s">
        <v>478</v>
      </c>
      <c r="D3" s="211" t="s">
        <v>479</v>
      </c>
      <c r="E3" s="211" t="s">
        <v>480</v>
      </c>
      <c r="F3" s="211" t="s">
        <v>481</v>
      </c>
      <c r="G3" s="211" t="s">
        <v>482</v>
      </c>
      <c r="H3" s="211" t="s">
        <v>483</v>
      </c>
      <c r="I3" s="212"/>
      <c r="J3" s="213"/>
      <c r="K3" s="213"/>
      <c r="L3" s="213"/>
      <c r="M3" s="213"/>
      <c r="N3" s="213"/>
      <c r="O3" s="213"/>
      <c r="P3" s="213"/>
      <c r="Q3" s="213"/>
      <c r="R3" s="213"/>
      <c r="S3" s="213"/>
      <c r="T3" s="213"/>
      <c r="U3" s="213"/>
      <c r="V3" s="213"/>
      <c r="W3" s="213"/>
      <c r="X3" s="213"/>
      <c r="Y3" s="213"/>
      <c r="Z3" s="213"/>
    </row>
    <row r="4" ht="21.75" customHeight="1">
      <c r="A4" s="214">
        <v>1.0</v>
      </c>
      <c r="B4" s="215" t="s">
        <v>484</v>
      </c>
      <c r="C4" s="216"/>
      <c r="D4" s="217"/>
      <c r="E4" s="217"/>
      <c r="F4" s="217"/>
      <c r="G4" s="217"/>
      <c r="H4" s="217"/>
      <c r="I4" s="208"/>
      <c r="J4" s="210"/>
      <c r="K4" s="210"/>
      <c r="L4" s="210"/>
      <c r="M4" s="210"/>
      <c r="N4" s="210"/>
      <c r="O4" s="210"/>
      <c r="P4" s="210"/>
      <c r="Q4" s="210"/>
      <c r="R4" s="210"/>
      <c r="S4" s="210"/>
      <c r="T4" s="210"/>
      <c r="U4" s="210"/>
      <c r="V4" s="210"/>
      <c r="W4" s="210"/>
      <c r="X4" s="210"/>
      <c r="Y4" s="210"/>
      <c r="Z4" s="210"/>
    </row>
    <row r="5" ht="21.75" customHeight="1">
      <c r="A5" s="214"/>
      <c r="B5" s="218" t="s">
        <v>485</v>
      </c>
      <c r="C5" s="219">
        <v>50478.0</v>
      </c>
      <c r="D5" s="220"/>
      <c r="E5" s="220"/>
      <c r="F5" s="220"/>
      <c r="G5" s="220"/>
      <c r="H5" s="220"/>
      <c r="I5" s="208"/>
      <c r="J5" s="210"/>
      <c r="K5" s="210"/>
      <c r="L5" s="210"/>
      <c r="M5" s="210"/>
      <c r="N5" s="210"/>
      <c r="O5" s="210"/>
      <c r="P5" s="210"/>
      <c r="Q5" s="210"/>
      <c r="R5" s="210"/>
      <c r="S5" s="210"/>
      <c r="T5" s="210"/>
      <c r="U5" s="210"/>
      <c r="V5" s="210"/>
      <c r="W5" s="210"/>
      <c r="X5" s="210"/>
      <c r="Y5" s="210"/>
      <c r="Z5" s="210"/>
    </row>
    <row r="6" ht="21.75" customHeight="1">
      <c r="A6" s="214"/>
      <c r="B6" s="221"/>
      <c r="C6" s="222">
        <v>100.0</v>
      </c>
      <c r="D6" s="223" t="s">
        <v>486</v>
      </c>
      <c r="E6" s="223" t="s">
        <v>487</v>
      </c>
      <c r="F6" s="223" t="s">
        <v>488</v>
      </c>
      <c r="G6" s="223" t="s">
        <v>489</v>
      </c>
      <c r="H6" s="224" t="s">
        <v>490</v>
      </c>
      <c r="I6" s="208"/>
      <c r="J6" s="210"/>
      <c r="K6" s="210"/>
      <c r="L6" s="210"/>
      <c r="M6" s="210"/>
      <c r="N6" s="210"/>
      <c r="O6" s="210"/>
      <c r="P6" s="210"/>
      <c r="Q6" s="210"/>
      <c r="R6" s="210"/>
      <c r="S6" s="210"/>
      <c r="T6" s="210"/>
      <c r="U6" s="210"/>
      <c r="V6" s="210"/>
      <c r="W6" s="210"/>
      <c r="X6" s="210"/>
      <c r="Y6" s="210"/>
      <c r="Z6" s="210"/>
    </row>
    <row r="7" ht="21.75" customHeight="1">
      <c r="A7" s="214"/>
      <c r="B7" s="221"/>
      <c r="C7" s="222">
        <v>101.0</v>
      </c>
      <c r="D7" s="223" t="s">
        <v>491</v>
      </c>
      <c r="E7" s="223" t="s">
        <v>487</v>
      </c>
      <c r="F7" s="223" t="s">
        <v>492</v>
      </c>
      <c r="G7" s="223" t="s">
        <v>493</v>
      </c>
      <c r="H7" s="225" t="s">
        <v>494</v>
      </c>
      <c r="I7" s="208"/>
      <c r="J7" s="210"/>
      <c r="K7" s="210"/>
      <c r="L7" s="210"/>
      <c r="M7" s="210"/>
      <c r="N7" s="210"/>
      <c r="O7" s="210"/>
      <c r="P7" s="210"/>
      <c r="Q7" s="210"/>
      <c r="R7" s="210"/>
      <c r="S7" s="210"/>
      <c r="T7" s="210"/>
      <c r="U7" s="210"/>
      <c r="V7" s="210"/>
      <c r="W7" s="210"/>
      <c r="X7" s="210"/>
      <c r="Y7" s="210"/>
      <c r="Z7" s="210"/>
    </row>
    <row r="8" ht="21.75" customHeight="1">
      <c r="A8" s="214"/>
      <c r="B8" s="221"/>
      <c r="C8" s="222">
        <v>102.0</v>
      </c>
      <c r="D8" s="223" t="s">
        <v>495</v>
      </c>
      <c r="E8" s="223" t="s">
        <v>487</v>
      </c>
      <c r="F8" s="223" t="s">
        <v>496</v>
      </c>
      <c r="G8" s="223" t="s">
        <v>497</v>
      </c>
      <c r="H8" s="225" t="s">
        <v>498</v>
      </c>
      <c r="I8" s="208"/>
      <c r="J8" s="210"/>
      <c r="K8" s="210"/>
      <c r="L8" s="210"/>
      <c r="M8" s="210"/>
      <c r="N8" s="210"/>
      <c r="O8" s="210"/>
      <c r="P8" s="210"/>
      <c r="Q8" s="210"/>
      <c r="R8" s="210"/>
      <c r="S8" s="210"/>
      <c r="T8" s="210"/>
      <c r="U8" s="210"/>
      <c r="V8" s="210"/>
      <c r="W8" s="210"/>
      <c r="X8" s="210"/>
      <c r="Y8" s="210"/>
      <c r="Z8" s="210"/>
    </row>
    <row r="9" ht="21.75" customHeight="1">
      <c r="A9" s="214"/>
      <c r="B9" s="221"/>
      <c r="C9" s="222">
        <v>103.0</v>
      </c>
      <c r="D9" s="223" t="s">
        <v>499</v>
      </c>
      <c r="E9" s="223" t="s">
        <v>487</v>
      </c>
      <c r="F9" s="223" t="s">
        <v>500</v>
      </c>
      <c r="G9" s="223" t="s">
        <v>501</v>
      </c>
      <c r="H9" s="225" t="s">
        <v>502</v>
      </c>
      <c r="I9" s="208"/>
      <c r="J9" s="210"/>
      <c r="K9" s="210"/>
      <c r="L9" s="210"/>
      <c r="M9" s="210"/>
      <c r="N9" s="210"/>
      <c r="O9" s="210"/>
      <c r="P9" s="210"/>
      <c r="Q9" s="210"/>
      <c r="R9" s="210"/>
      <c r="S9" s="210"/>
      <c r="T9" s="210"/>
      <c r="U9" s="210"/>
      <c r="V9" s="210"/>
      <c r="W9" s="210"/>
      <c r="X9" s="210"/>
      <c r="Y9" s="210"/>
      <c r="Z9" s="210"/>
    </row>
    <row r="10" ht="21.75" customHeight="1">
      <c r="A10" s="214"/>
      <c r="B10" s="221"/>
      <c r="C10" s="222">
        <v>104.0</v>
      </c>
      <c r="D10" s="223" t="s">
        <v>503</v>
      </c>
      <c r="E10" s="223" t="s">
        <v>504</v>
      </c>
      <c r="F10" s="223" t="s">
        <v>505</v>
      </c>
      <c r="G10" s="218" t="s">
        <v>490</v>
      </c>
      <c r="H10" s="225" t="s">
        <v>506</v>
      </c>
      <c r="I10" s="208"/>
      <c r="J10" s="210"/>
      <c r="K10" s="210"/>
      <c r="L10" s="210"/>
      <c r="M10" s="210"/>
      <c r="N10" s="210"/>
      <c r="O10" s="210"/>
      <c r="P10" s="210"/>
      <c r="Q10" s="210"/>
      <c r="R10" s="210"/>
      <c r="S10" s="210"/>
      <c r="T10" s="210"/>
      <c r="U10" s="210"/>
      <c r="V10" s="210"/>
      <c r="W10" s="210"/>
      <c r="X10" s="210"/>
      <c r="Y10" s="210"/>
      <c r="Z10" s="210"/>
    </row>
    <row r="11" ht="21.75" customHeight="1">
      <c r="A11" s="214"/>
      <c r="B11" s="221"/>
      <c r="C11" s="222">
        <v>105.0</v>
      </c>
      <c r="D11" s="223" t="s">
        <v>507</v>
      </c>
      <c r="E11" s="223" t="s">
        <v>508</v>
      </c>
      <c r="F11" s="223" t="s">
        <v>509</v>
      </c>
      <c r="G11" s="223" t="s">
        <v>510</v>
      </c>
      <c r="H11" s="225" t="s">
        <v>511</v>
      </c>
      <c r="I11" s="208"/>
      <c r="J11" s="210"/>
      <c r="K11" s="210"/>
      <c r="L11" s="210"/>
      <c r="M11" s="210"/>
      <c r="N11" s="210"/>
      <c r="O11" s="210"/>
      <c r="P11" s="210"/>
      <c r="Q11" s="210"/>
      <c r="R11" s="210"/>
      <c r="S11" s="210"/>
      <c r="T11" s="210"/>
      <c r="U11" s="210"/>
      <c r="V11" s="210"/>
      <c r="W11" s="210"/>
      <c r="X11" s="210"/>
      <c r="Y11" s="210"/>
      <c r="Z11" s="210"/>
    </row>
    <row r="12" ht="21.75" customHeight="1">
      <c r="A12" s="214"/>
      <c r="B12" s="217"/>
      <c r="C12" s="222">
        <v>106.0</v>
      </c>
      <c r="D12" s="215" t="s">
        <v>503</v>
      </c>
      <c r="E12" s="215" t="s">
        <v>487</v>
      </c>
      <c r="F12" s="215" t="s">
        <v>512</v>
      </c>
      <c r="G12" s="215" t="s">
        <v>513</v>
      </c>
      <c r="H12" s="224" t="s">
        <v>490</v>
      </c>
      <c r="I12" s="208"/>
      <c r="J12" s="210"/>
      <c r="K12" s="210"/>
      <c r="L12" s="210"/>
      <c r="M12" s="210"/>
      <c r="N12" s="210"/>
      <c r="O12" s="210"/>
      <c r="P12" s="210"/>
      <c r="Q12" s="210"/>
      <c r="R12" s="210"/>
      <c r="S12" s="210"/>
      <c r="T12" s="210"/>
      <c r="U12" s="210"/>
      <c r="V12" s="210"/>
      <c r="W12" s="210"/>
      <c r="X12" s="210"/>
      <c r="Y12" s="210"/>
      <c r="Z12" s="210"/>
    </row>
    <row r="13" ht="21.75" customHeight="1">
      <c r="A13" s="214"/>
      <c r="B13" s="218" t="s">
        <v>514</v>
      </c>
      <c r="C13" s="226">
        <v>50597.0</v>
      </c>
      <c r="D13" s="220"/>
      <c r="E13" s="220"/>
      <c r="F13" s="220"/>
      <c r="G13" s="220"/>
      <c r="H13" s="221"/>
      <c r="I13" s="208"/>
      <c r="J13" s="210"/>
      <c r="K13" s="210"/>
      <c r="L13" s="210"/>
      <c r="M13" s="210"/>
      <c r="N13" s="210"/>
      <c r="O13" s="210"/>
      <c r="P13" s="210"/>
      <c r="Q13" s="210"/>
      <c r="R13" s="210"/>
      <c r="S13" s="210"/>
      <c r="T13" s="210"/>
      <c r="U13" s="210"/>
      <c r="V13" s="210"/>
      <c r="W13" s="210"/>
      <c r="X13" s="210"/>
      <c r="Y13" s="210"/>
      <c r="Z13" s="210"/>
    </row>
    <row r="14" ht="21.75" customHeight="1">
      <c r="A14" s="214"/>
      <c r="B14" s="221"/>
      <c r="C14" s="222">
        <v>100.0</v>
      </c>
      <c r="D14" s="223" t="s">
        <v>486</v>
      </c>
      <c r="E14" s="223" t="s">
        <v>487</v>
      </c>
      <c r="F14" s="223" t="s">
        <v>488</v>
      </c>
      <c r="G14" s="223" t="s">
        <v>489</v>
      </c>
      <c r="H14" s="224" t="s">
        <v>490</v>
      </c>
      <c r="I14" s="208"/>
      <c r="J14" s="210"/>
      <c r="K14" s="210"/>
      <c r="L14" s="210"/>
      <c r="M14" s="210"/>
      <c r="N14" s="210"/>
      <c r="O14" s="210"/>
      <c r="P14" s="210"/>
      <c r="Q14" s="210"/>
      <c r="R14" s="210"/>
      <c r="S14" s="210"/>
      <c r="T14" s="210"/>
      <c r="U14" s="210"/>
      <c r="V14" s="210"/>
      <c r="W14" s="210"/>
      <c r="X14" s="210"/>
      <c r="Y14" s="210"/>
      <c r="Z14" s="210"/>
    </row>
    <row r="15" ht="21.75" customHeight="1">
      <c r="A15" s="214"/>
      <c r="B15" s="221"/>
      <c r="C15" s="222">
        <v>101.0</v>
      </c>
      <c r="D15" s="223" t="s">
        <v>495</v>
      </c>
      <c r="E15" s="223" t="s">
        <v>487</v>
      </c>
      <c r="F15" s="223" t="s">
        <v>492</v>
      </c>
      <c r="G15" s="223" t="s">
        <v>497</v>
      </c>
      <c r="H15" s="225" t="s">
        <v>515</v>
      </c>
      <c r="I15" s="208"/>
      <c r="J15" s="210"/>
      <c r="K15" s="210"/>
      <c r="L15" s="210"/>
      <c r="M15" s="210"/>
      <c r="N15" s="210"/>
      <c r="O15" s="210"/>
      <c r="P15" s="210"/>
      <c r="Q15" s="210"/>
      <c r="R15" s="210"/>
      <c r="S15" s="210"/>
      <c r="T15" s="210"/>
      <c r="U15" s="210"/>
      <c r="V15" s="210"/>
      <c r="W15" s="210"/>
      <c r="X15" s="210"/>
      <c r="Y15" s="210"/>
      <c r="Z15" s="210"/>
    </row>
    <row r="16" ht="21.75" customHeight="1">
      <c r="A16" s="214"/>
      <c r="B16" s="221"/>
      <c r="C16" s="222">
        <v>102.0</v>
      </c>
      <c r="D16" s="223" t="s">
        <v>516</v>
      </c>
      <c r="E16" s="223" t="s">
        <v>487</v>
      </c>
      <c r="F16" s="223" t="s">
        <v>496</v>
      </c>
      <c r="G16" s="223" t="s">
        <v>501</v>
      </c>
      <c r="H16" s="225" t="s">
        <v>517</v>
      </c>
      <c r="I16" s="208"/>
      <c r="J16" s="210"/>
      <c r="K16" s="210"/>
      <c r="L16" s="210"/>
      <c r="M16" s="210"/>
      <c r="N16" s="210"/>
      <c r="O16" s="210"/>
      <c r="P16" s="210"/>
      <c r="Q16" s="210"/>
      <c r="R16" s="210"/>
      <c r="S16" s="210"/>
      <c r="T16" s="210"/>
      <c r="U16" s="210"/>
      <c r="V16" s="210"/>
      <c r="W16" s="210"/>
      <c r="X16" s="210"/>
      <c r="Y16" s="210"/>
      <c r="Z16" s="210"/>
    </row>
    <row r="17" ht="21.75" customHeight="1">
      <c r="A17" s="214"/>
      <c r="B17" s="221"/>
      <c r="C17" s="222">
        <v>103.0</v>
      </c>
      <c r="D17" s="223" t="s">
        <v>491</v>
      </c>
      <c r="E17" s="223" t="s">
        <v>487</v>
      </c>
      <c r="F17" s="223" t="s">
        <v>500</v>
      </c>
      <c r="G17" s="223" t="s">
        <v>493</v>
      </c>
      <c r="H17" s="225" t="s">
        <v>518</v>
      </c>
      <c r="I17" s="208"/>
      <c r="J17" s="210"/>
      <c r="K17" s="210"/>
      <c r="L17" s="210"/>
      <c r="M17" s="210"/>
      <c r="N17" s="210"/>
      <c r="O17" s="210"/>
      <c r="P17" s="210"/>
      <c r="Q17" s="210"/>
      <c r="R17" s="210"/>
      <c r="S17" s="210"/>
      <c r="T17" s="210"/>
      <c r="U17" s="210"/>
      <c r="V17" s="210"/>
      <c r="W17" s="210"/>
      <c r="X17" s="210"/>
      <c r="Y17" s="210"/>
      <c r="Z17" s="210"/>
    </row>
    <row r="18" ht="21.75" customHeight="1">
      <c r="A18" s="214"/>
      <c r="B18" s="217"/>
      <c r="C18" s="222">
        <v>104.0</v>
      </c>
      <c r="D18" s="215" t="s">
        <v>519</v>
      </c>
      <c r="E18" s="215" t="s">
        <v>508</v>
      </c>
      <c r="F18" s="215" t="s">
        <v>509</v>
      </c>
      <c r="G18" s="215" t="s">
        <v>510</v>
      </c>
      <c r="H18" s="225" t="s">
        <v>520</v>
      </c>
      <c r="I18" s="208"/>
      <c r="J18" s="210"/>
      <c r="K18" s="210"/>
      <c r="L18" s="210"/>
      <c r="M18" s="210"/>
      <c r="N18" s="210"/>
      <c r="O18" s="210"/>
      <c r="P18" s="210"/>
      <c r="Q18" s="210"/>
      <c r="R18" s="210"/>
      <c r="S18" s="210"/>
      <c r="T18" s="210"/>
      <c r="U18" s="210"/>
      <c r="V18" s="210"/>
      <c r="W18" s="210"/>
      <c r="X18" s="210"/>
      <c r="Y18" s="210"/>
      <c r="Z18" s="210"/>
    </row>
    <row r="19" ht="21.75" customHeight="1">
      <c r="A19" s="214"/>
      <c r="B19" s="218" t="s">
        <v>521</v>
      </c>
      <c r="C19" s="226">
        <v>50541.0</v>
      </c>
      <c r="D19" s="220"/>
      <c r="E19" s="220"/>
      <c r="F19" s="220"/>
      <c r="G19" s="220"/>
      <c r="H19" s="221"/>
      <c r="I19" s="208"/>
      <c r="J19" s="210"/>
      <c r="K19" s="210"/>
      <c r="L19" s="210"/>
      <c r="M19" s="210"/>
      <c r="N19" s="210"/>
      <c r="O19" s="210"/>
      <c r="P19" s="210"/>
      <c r="Q19" s="210"/>
      <c r="R19" s="210"/>
      <c r="S19" s="210"/>
      <c r="T19" s="210"/>
      <c r="U19" s="210"/>
      <c r="V19" s="210"/>
      <c r="W19" s="210"/>
      <c r="X19" s="210"/>
      <c r="Y19" s="210"/>
      <c r="Z19" s="210"/>
    </row>
    <row r="20" ht="21.75" customHeight="1">
      <c r="A20" s="214"/>
      <c r="B20" s="221"/>
      <c r="C20" s="222">
        <v>100.0</v>
      </c>
      <c r="D20" s="223" t="s">
        <v>486</v>
      </c>
      <c r="E20" s="223" t="s">
        <v>487</v>
      </c>
      <c r="F20" s="223" t="s">
        <v>488</v>
      </c>
      <c r="G20" s="223" t="s">
        <v>489</v>
      </c>
      <c r="H20" s="224" t="s">
        <v>490</v>
      </c>
      <c r="I20" s="208"/>
      <c r="J20" s="210"/>
      <c r="K20" s="210"/>
      <c r="L20" s="210"/>
      <c r="M20" s="210"/>
      <c r="N20" s="210"/>
      <c r="O20" s="210"/>
      <c r="P20" s="210"/>
      <c r="Q20" s="210"/>
      <c r="R20" s="210"/>
      <c r="S20" s="210"/>
      <c r="T20" s="210"/>
      <c r="U20" s="210"/>
      <c r="V20" s="210"/>
      <c r="W20" s="210"/>
      <c r="X20" s="210"/>
      <c r="Y20" s="210"/>
      <c r="Z20" s="210"/>
    </row>
    <row r="21" ht="21.75" customHeight="1">
      <c r="A21" s="214"/>
      <c r="B21" s="221"/>
      <c r="C21" s="222">
        <v>101.0</v>
      </c>
      <c r="D21" s="223" t="s">
        <v>495</v>
      </c>
      <c r="E21" s="223" t="s">
        <v>487</v>
      </c>
      <c r="F21" s="223" t="s">
        <v>492</v>
      </c>
      <c r="G21" s="223" t="s">
        <v>497</v>
      </c>
      <c r="H21" s="225" t="s">
        <v>522</v>
      </c>
      <c r="I21" s="208"/>
      <c r="J21" s="210"/>
      <c r="K21" s="210"/>
      <c r="L21" s="210"/>
      <c r="M21" s="210"/>
      <c r="N21" s="210"/>
      <c r="O21" s="210"/>
      <c r="P21" s="210"/>
      <c r="Q21" s="210"/>
      <c r="R21" s="210"/>
      <c r="S21" s="210"/>
      <c r="T21" s="210"/>
      <c r="U21" s="210"/>
      <c r="V21" s="210"/>
      <c r="W21" s="210"/>
      <c r="X21" s="210"/>
      <c r="Y21" s="210"/>
      <c r="Z21" s="210"/>
    </row>
    <row r="22" ht="21.75" customHeight="1">
      <c r="A22" s="214"/>
      <c r="B22" s="221"/>
      <c r="C22" s="222">
        <v>102.0</v>
      </c>
      <c r="D22" s="223" t="s">
        <v>516</v>
      </c>
      <c r="E22" s="223" t="s">
        <v>487</v>
      </c>
      <c r="F22" s="223" t="s">
        <v>496</v>
      </c>
      <c r="G22" s="223" t="s">
        <v>501</v>
      </c>
      <c r="H22" s="225" t="s">
        <v>523</v>
      </c>
      <c r="I22" s="208"/>
      <c r="J22" s="210"/>
      <c r="K22" s="210"/>
      <c r="L22" s="210"/>
      <c r="M22" s="210"/>
      <c r="N22" s="210"/>
      <c r="O22" s="210"/>
      <c r="P22" s="210"/>
      <c r="Q22" s="210"/>
      <c r="R22" s="210"/>
      <c r="S22" s="210"/>
      <c r="T22" s="210"/>
      <c r="U22" s="210"/>
      <c r="V22" s="210"/>
      <c r="W22" s="210"/>
      <c r="X22" s="210"/>
      <c r="Y22" s="210"/>
      <c r="Z22" s="210"/>
    </row>
    <row r="23" ht="21.75" customHeight="1">
      <c r="A23" s="214"/>
      <c r="B23" s="221"/>
      <c r="C23" s="222">
        <v>103.0</v>
      </c>
      <c r="D23" s="223" t="s">
        <v>491</v>
      </c>
      <c r="E23" s="223" t="s">
        <v>487</v>
      </c>
      <c r="F23" s="223" t="s">
        <v>500</v>
      </c>
      <c r="G23" s="223" t="s">
        <v>493</v>
      </c>
      <c r="H23" s="225" t="s">
        <v>524</v>
      </c>
      <c r="I23" s="208"/>
      <c r="J23" s="210"/>
      <c r="K23" s="210"/>
      <c r="L23" s="210"/>
      <c r="M23" s="210"/>
      <c r="N23" s="210"/>
      <c r="O23" s="210"/>
      <c r="P23" s="210"/>
      <c r="Q23" s="210"/>
      <c r="R23" s="210"/>
      <c r="S23" s="210"/>
      <c r="T23" s="210"/>
      <c r="U23" s="210"/>
      <c r="V23" s="210"/>
      <c r="W23" s="210"/>
      <c r="X23" s="210"/>
      <c r="Y23" s="210"/>
      <c r="Z23" s="210"/>
    </row>
    <row r="24" ht="21.75" customHeight="1">
      <c r="A24" s="214"/>
      <c r="B24" s="221"/>
      <c r="C24" s="222">
        <v>104.0</v>
      </c>
      <c r="D24" s="223" t="s">
        <v>525</v>
      </c>
      <c r="E24" s="223" t="s">
        <v>487</v>
      </c>
      <c r="F24" s="223" t="s">
        <v>512</v>
      </c>
      <c r="G24" s="223" t="s">
        <v>526</v>
      </c>
      <c r="H24" s="225" t="s">
        <v>527</v>
      </c>
      <c r="I24" s="208"/>
      <c r="J24" s="210"/>
      <c r="K24" s="210"/>
      <c r="L24" s="210"/>
      <c r="M24" s="210"/>
      <c r="N24" s="210"/>
      <c r="O24" s="210"/>
      <c r="P24" s="210"/>
      <c r="Q24" s="210"/>
      <c r="R24" s="210"/>
      <c r="S24" s="210"/>
      <c r="T24" s="210"/>
      <c r="U24" s="210"/>
      <c r="V24" s="210"/>
      <c r="W24" s="210"/>
      <c r="X24" s="210"/>
      <c r="Y24" s="210"/>
      <c r="Z24" s="210"/>
    </row>
    <row r="25" ht="21.75" customHeight="1">
      <c r="A25" s="214"/>
      <c r="B25" s="221"/>
      <c r="C25" s="222">
        <v>105.0</v>
      </c>
      <c r="D25" s="223" t="s">
        <v>528</v>
      </c>
      <c r="E25" s="223" t="s">
        <v>529</v>
      </c>
      <c r="F25" s="223" t="s">
        <v>530</v>
      </c>
      <c r="G25" s="218" t="s">
        <v>490</v>
      </c>
      <c r="H25" s="225" t="s">
        <v>531</v>
      </c>
      <c r="I25" s="208"/>
      <c r="J25" s="210"/>
      <c r="K25" s="210"/>
      <c r="L25" s="210"/>
      <c r="M25" s="210"/>
      <c r="N25" s="210"/>
      <c r="O25" s="210"/>
      <c r="P25" s="210"/>
      <c r="Q25" s="210"/>
      <c r="R25" s="210"/>
      <c r="S25" s="210"/>
      <c r="T25" s="210"/>
      <c r="U25" s="210"/>
      <c r="V25" s="210"/>
      <c r="W25" s="210"/>
      <c r="X25" s="210"/>
      <c r="Y25" s="210"/>
      <c r="Z25" s="210"/>
    </row>
    <row r="26" ht="21.75" customHeight="1">
      <c r="A26" s="214"/>
      <c r="B26" s="221"/>
      <c r="C26" s="222">
        <v>106.0</v>
      </c>
      <c r="D26" s="223" t="s">
        <v>528</v>
      </c>
      <c r="E26" s="223" t="s">
        <v>487</v>
      </c>
      <c r="F26" s="223" t="s">
        <v>532</v>
      </c>
      <c r="G26" s="223" t="s">
        <v>513</v>
      </c>
      <c r="H26" s="224" t="s">
        <v>490</v>
      </c>
      <c r="I26" s="208"/>
      <c r="J26" s="210"/>
      <c r="K26" s="210"/>
      <c r="L26" s="210"/>
      <c r="M26" s="210"/>
      <c r="N26" s="210"/>
      <c r="O26" s="210"/>
      <c r="P26" s="210"/>
      <c r="Q26" s="210"/>
      <c r="R26" s="210"/>
      <c r="S26" s="210"/>
      <c r="T26" s="210"/>
      <c r="U26" s="210"/>
      <c r="V26" s="210"/>
      <c r="W26" s="210"/>
      <c r="X26" s="210"/>
      <c r="Y26" s="210"/>
      <c r="Z26" s="210"/>
    </row>
    <row r="27" ht="21.75" customHeight="1">
      <c r="A27" s="214"/>
      <c r="B27" s="217"/>
      <c r="C27" s="222">
        <v>107.0</v>
      </c>
      <c r="D27" s="215" t="s">
        <v>519</v>
      </c>
      <c r="E27" s="215" t="s">
        <v>508</v>
      </c>
      <c r="F27" s="215" t="s">
        <v>509</v>
      </c>
      <c r="G27" s="215" t="s">
        <v>510</v>
      </c>
      <c r="H27" s="225" t="s">
        <v>533</v>
      </c>
      <c r="I27" s="208"/>
      <c r="J27" s="210"/>
      <c r="K27" s="210"/>
      <c r="L27" s="210"/>
      <c r="M27" s="210"/>
      <c r="N27" s="210"/>
      <c r="O27" s="210"/>
      <c r="P27" s="210"/>
      <c r="Q27" s="210"/>
      <c r="R27" s="210"/>
      <c r="S27" s="210"/>
      <c r="T27" s="210"/>
      <c r="U27" s="210"/>
      <c r="V27" s="210"/>
      <c r="W27" s="210"/>
      <c r="X27" s="210"/>
      <c r="Y27" s="210"/>
      <c r="Z27" s="210"/>
    </row>
    <row r="28" ht="21.75" customHeight="1">
      <c r="A28" s="214"/>
      <c r="B28" s="218" t="s">
        <v>534</v>
      </c>
      <c r="C28" s="226">
        <v>52033.0</v>
      </c>
      <c r="D28" s="220"/>
      <c r="E28" s="220"/>
      <c r="F28" s="220"/>
      <c r="G28" s="220"/>
      <c r="H28" s="221"/>
      <c r="I28" s="208"/>
      <c r="J28" s="210"/>
      <c r="K28" s="210"/>
      <c r="L28" s="210"/>
      <c r="M28" s="210"/>
      <c r="N28" s="210"/>
      <c r="O28" s="210"/>
      <c r="P28" s="210"/>
      <c r="Q28" s="210"/>
      <c r="R28" s="210"/>
      <c r="S28" s="210"/>
      <c r="T28" s="210"/>
      <c r="U28" s="210"/>
      <c r="V28" s="210"/>
      <c r="W28" s="210"/>
      <c r="X28" s="210"/>
      <c r="Y28" s="210"/>
      <c r="Z28" s="210"/>
    </row>
    <row r="29" ht="21.75" customHeight="1">
      <c r="A29" s="214"/>
      <c r="B29" s="221"/>
      <c r="C29" s="222">
        <v>100.0</v>
      </c>
      <c r="D29" s="223" t="s">
        <v>486</v>
      </c>
      <c r="E29" s="223" t="s">
        <v>487</v>
      </c>
      <c r="F29" s="223" t="s">
        <v>488</v>
      </c>
      <c r="G29" s="223" t="s">
        <v>489</v>
      </c>
      <c r="H29" s="224" t="s">
        <v>490</v>
      </c>
      <c r="I29" s="208"/>
      <c r="J29" s="210"/>
      <c r="K29" s="210"/>
      <c r="L29" s="210"/>
      <c r="M29" s="210"/>
      <c r="N29" s="210"/>
      <c r="O29" s="210"/>
      <c r="P29" s="210"/>
      <c r="Q29" s="210"/>
      <c r="R29" s="210"/>
      <c r="S29" s="210"/>
      <c r="T29" s="210"/>
      <c r="U29" s="210"/>
      <c r="V29" s="210"/>
      <c r="W29" s="210"/>
      <c r="X29" s="210"/>
      <c r="Y29" s="210"/>
      <c r="Z29" s="210"/>
    </row>
    <row r="30" ht="21.75" customHeight="1">
      <c r="A30" s="214"/>
      <c r="B30" s="221"/>
      <c r="C30" s="222">
        <v>101.0</v>
      </c>
      <c r="D30" s="223" t="s">
        <v>495</v>
      </c>
      <c r="E30" s="223" t="s">
        <v>487</v>
      </c>
      <c r="F30" s="223" t="s">
        <v>492</v>
      </c>
      <c r="G30" s="223" t="s">
        <v>497</v>
      </c>
      <c r="H30" s="225" t="s">
        <v>535</v>
      </c>
      <c r="I30" s="208"/>
      <c r="J30" s="210"/>
      <c r="K30" s="210"/>
      <c r="L30" s="210"/>
      <c r="M30" s="210"/>
      <c r="N30" s="210"/>
      <c r="O30" s="210"/>
      <c r="P30" s="210"/>
      <c r="Q30" s="210"/>
      <c r="R30" s="210"/>
      <c r="S30" s="210"/>
      <c r="T30" s="210"/>
      <c r="U30" s="210"/>
      <c r="V30" s="210"/>
      <c r="W30" s="210"/>
      <c r="X30" s="210"/>
      <c r="Y30" s="210"/>
      <c r="Z30" s="210"/>
    </row>
    <row r="31" ht="21.75" customHeight="1">
      <c r="A31" s="214"/>
      <c r="B31" s="221"/>
      <c r="C31" s="222">
        <v>102.0</v>
      </c>
      <c r="D31" s="223" t="s">
        <v>516</v>
      </c>
      <c r="E31" s="223" t="s">
        <v>487</v>
      </c>
      <c r="F31" s="223" t="s">
        <v>496</v>
      </c>
      <c r="G31" s="223" t="s">
        <v>501</v>
      </c>
      <c r="H31" s="225" t="s">
        <v>536</v>
      </c>
      <c r="I31" s="208"/>
      <c r="J31" s="210"/>
      <c r="K31" s="210"/>
      <c r="L31" s="210"/>
      <c r="M31" s="210"/>
      <c r="N31" s="210"/>
      <c r="O31" s="210"/>
      <c r="P31" s="210"/>
      <c r="Q31" s="210"/>
      <c r="R31" s="210"/>
      <c r="S31" s="210"/>
      <c r="T31" s="210"/>
      <c r="U31" s="210"/>
      <c r="V31" s="210"/>
      <c r="W31" s="210"/>
      <c r="X31" s="210"/>
      <c r="Y31" s="210"/>
      <c r="Z31" s="210"/>
    </row>
    <row r="32" ht="21.75" customHeight="1">
      <c r="A32" s="214"/>
      <c r="B32" s="221"/>
      <c r="C32" s="222">
        <v>103.0</v>
      </c>
      <c r="D32" s="223" t="s">
        <v>491</v>
      </c>
      <c r="E32" s="223" t="s">
        <v>487</v>
      </c>
      <c r="F32" s="223" t="s">
        <v>500</v>
      </c>
      <c r="G32" s="223" t="s">
        <v>493</v>
      </c>
      <c r="H32" s="225" t="s">
        <v>537</v>
      </c>
      <c r="I32" s="208"/>
      <c r="J32" s="210"/>
      <c r="K32" s="210"/>
      <c r="L32" s="210"/>
      <c r="M32" s="210"/>
      <c r="N32" s="210"/>
      <c r="O32" s="210"/>
      <c r="P32" s="210"/>
      <c r="Q32" s="210"/>
      <c r="R32" s="210"/>
      <c r="S32" s="210"/>
      <c r="T32" s="210"/>
      <c r="U32" s="210"/>
      <c r="V32" s="210"/>
      <c r="W32" s="210"/>
      <c r="X32" s="210"/>
      <c r="Y32" s="210"/>
      <c r="Z32" s="210"/>
    </row>
    <row r="33" ht="21.75" customHeight="1">
      <c r="A33" s="214"/>
      <c r="B33" s="221"/>
      <c r="C33" s="222">
        <v>104.0</v>
      </c>
      <c r="D33" s="223" t="s">
        <v>538</v>
      </c>
      <c r="E33" s="223" t="s">
        <v>539</v>
      </c>
      <c r="F33" s="223" t="s">
        <v>505</v>
      </c>
      <c r="G33" s="223" t="s">
        <v>526</v>
      </c>
      <c r="H33" s="225" t="s">
        <v>540</v>
      </c>
      <c r="I33" s="208"/>
      <c r="J33" s="210"/>
      <c r="K33" s="210"/>
      <c r="L33" s="210"/>
      <c r="M33" s="210"/>
      <c r="N33" s="210"/>
      <c r="O33" s="210"/>
      <c r="P33" s="210"/>
      <c r="Q33" s="210"/>
      <c r="R33" s="210"/>
      <c r="S33" s="210"/>
      <c r="T33" s="210"/>
      <c r="U33" s="210"/>
      <c r="V33" s="210"/>
      <c r="W33" s="210"/>
      <c r="X33" s="210"/>
      <c r="Y33" s="210"/>
      <c r="Z33" s="210"/>
    </row>
    <row r="34" ht="21.75" customHeight="1">
      <c r="A34" s="214"/>
      <c r="B34" s="221"/>
      <c r="C34" s="222">
        <v>105.0</v>
      </c>
      <c r="D34" s="223" t="s">
        <v>541</v>
      </c>
      <c r="E34" s="223" t="s">
        <v>539</v>
      </c>
      <c r="F34" s="223" t="s">
        <v>542</v>
      </c>
      <c r="G34" s="223" t="s">
        <v>513</v>
      </c>
      <c r="H34" s="224" t="s">
        <v>490</v>
      </c>
      <c r="I34" s="208"/>
      <c r="J34" s="210"/>
      <c r="K34" s="210"/>
      <c r="L34" s="210"/>
      <c r="M34" s="210"/>
      <c r="N34" s="210"/>
      <c r="O34" s="210"/>
      <c r="P34" s="210"/>
      <c r="Q34" s="210"/>
      <c r="R34" s="210"/>
      <c r="S34" s="210"/>
      <c r="T34" s="210"/>
      <c r="U34" s="210"/>
      <c r="V34" s="210"/>
      <c r="W34" s="210"/>
      <c r="X34" s="210"/>
      <c r="Y34" s="210"/>
      <c r="Z34" s="210"/>
    </row>
    <row r="35" ht="21.75" customHeight="1">
      <c r="A35" s="214"/>
      <c r="B35" s="217"/>
      <c r="C35" s="222">
        <v>106.0</v>
      </c>
      <c r="D35" s="215" t="s">
        <v>519</v>
      </c>
      <c r="E35" s="215" t="s">
        <v>508</v>
      </c>
      <c r="F35" s="215" t="s">
        <v>509</v>
      </c>
      <c r="G35" s="215" t="s">
        <v>510</v>
      </c>
      <c r="H35" s="225" t="s">
        <v>543</v>
      </c>
      <c r="I35" s="208"/>
      <c r="J35" s="210"/>
      <c r="K35" s="210"/>
      <c r="L35" s="210"/>
      <c r="M35" s="210"/>
      <c r="N35" s="210"/>
      <c r="O35" s="210"/>
      <c r="P35" s="210"/>
      <c r="Q35" s="210"/>
      <c r="R35" s="210"/>
      <c r="S35" s="210"/>
      <c r="T35" s="210"/>
      <c r="U35" s="210"/>
      <c r="V35" s="210"/>
      <c r="W35" s="210"/>
      <c r="X35" s="210"/>
      <c r="Y35" s="210"/>
      <c r="Z35" s="210"/>
    </row>
    <row r="36" ht="21.75" customHeight="1">
      <c r="A36" s="214"/>
      <c r="B36" s="218" t="s">
        <v>544</v>
      </c>
      <c r="C36" s="226">
        <v>52035.0</v>
      </c>
      <c r="D36" s="220"/>
      <c r="E36" s="220"/>
      <c r="F36" s="220"/>
      <c r="G36" s="220"/>
      <c r="H36" s="221"/>
      <c r="I36" s="208"/>
      <c r="J36" s="210"/>
      <c r="K36" s="210"/>
      <c r="L36" s="210"/>
      <c r="M36" s="210"/>
      <c r="N36" s="210"/>
      <c r="O36" s="210"/>
      <c r="P36" s="210"/>
      <c r="Q36" s="210"/>
      <c r="R36" s="210"/>
      <c r="S36" s="210"/>
      <c r="T36" s="210"/>
      <c r="U36" s="210"/>
      <c r="V36" s="210"/>
      <c r="W36" s="210"/>
      <c r="X36" s="210"/>
      <c r="Y36" s="210"/>
      <c r="Z36" s="210"/>
    </row>
    <row r="37" ht="21.75" customHeight="1">
      <c r="A37" s="214"/>
      <c r="B37" s="221"/>
      <c r="C37" s="222">
        <v>100.0</v>
      </c>
      <c r="D37" s="223" t="s">
        <v>486</v>
      </c>
      <c r="E37" s="223" t="s">
        <v>487</v>
      </c>
      <c r="F37" s="223" t="s">
        <v>488</v>
      </c>
      <c r="G37" s="223" t="s">
        <v>489</v>
      </c>
      <c r="H37" s="224" t="s">
        <v>490</v>
      </c>
      <c r="I37" s="208"/>
      <c r="J37" s="210"/>
      <c r="K37" s="210"/>
      <c r="L37" s="210"/>
      <c r="M37" s="210"/>
      <c r="N37" s="210"/>
      <c r="O37" s="210"/>
      <c r="P37" s="210"/>
      <c r="Q37" s="210"/>
      <c r="R37" s="210"/>
      <c r="S37" s="210"/>
      <c r="T37" s="210"/>
      <c r="U37" s="210"/>
      <c r="V37" s="210"/>
      <c r="W37" s="210"/>
      <c r="X37" s="210"/>
      <c r="Y37" s="210"/>
      <c r="Z37" s="210"/>
    </row>
    <row r="38" ht="21.75" customHeight="1">
      <c r="A38" s="214"/>
      <c r="B38" s="221"/>
      <c r="C38" s="222">
        <v>101.0</v>
      </c>
      <c r="D38" s="223" t="s">
        <v>495</v>
      </c>
      <c r="E38" s="223" t="s">
        <v>487</v>
      </c>
      <c r="F38" s="223" t="s">
        <v>492</v>
      </c>
      <c r="G38" s="223" t="s">
        <v>497</v>
      </c>
      <c r="H38" s="225" t="s">
        <v>535</v>
      </c>
      <c r="I38" s="208"/>
      <c r="J38" s="210"/>
      <c r="K38" s="210"/>
      <c r="L38" s="210"/>
      <c r="M38" s="210"/>
      <c r="N38" s="210"/>
      <c r="O38" s="210"/>
      <c r="P38" s="210"/>
      <c r="Q38" s="210"/>
      <c r="R38" s="210"/>
      <c r="S38" s="210"/>
      <c r="T38" s="210"/>
      <c r="U38" s="210"/>
      <c r="V38" s="210"/>
      <c r="W38" s="210"/>
      <c r="X38" s="210"/>
      <c r="Y38" s="210"/>
      <c r="Z38" s="210"/>
    </row>
    <row r="39" ht="21.75" customHeight="1">
      <c r="A39" s="214"/>
      <c r="B39" s="221"/>
      <c r="C39" s="222">
        <v>102.0</v>
      </c>
      <c r="D39" s="223" t="s">
        <v>516</v>
      </c>
      <c r="E39" s="223" t="s">
        <v>487</v>
      </c>
      <c r="F39" s="223" t="s">
        <v>496</v>
      </c>
      <c r="G39" s="223" t="s">
        <v>501</v>
      </c>
      <c r="H39" s="225" t="s">
        <v>536</v>
      </c>
      <c r="I39" s="208"/>
      <c r="J39" s="210"/>
      <c r="K39" s="210"/>
      <c r="L39" s="210"/>
      <c r="M39" s="210"/>
      <c r="N39" s="210"/>
      <c r="O39" s="210"/>
      <c r="P39" s="210"/>
      <c r="Q39" s="210"/>
      <c r="R39" s="210"/>
      <c r="S39" s="210"/>
      <c r="T39" s="210"/>
      <c r="U39" s="210"/>
      <c r="V39" s="210"/>
      <c r="W39" s="210"/>
      <c r="X39" s="210"/>
      <c r="Y39" s="210"/>
      <c r="Z39" s="210"/>
    </row>
    <row r="40" ht="21.75" customHeight="1">
      <c r="A40" s="214"/>
      <c r="B40" s="221"/>
      <c r="C40" s="222">
        <v>103.0</v>
      </c>
      <c r="D40" s="223" t="s">
        <v>491</v>
      </c>
      <c r="E40" s="223" t="s">
        <v>487</v>
      </c>
      <c r="F40" s="223" t="s">
        <v>500</v>
      </c>
      <c r="G40" s="223" t="s">
        <v>493</v>
      </c>
      <c r="H40" s="225" t="s">
        <v>537</v>
      </c>
      <c r="I40" s="208"/>
      <c r="J40" s="210"/>
      <c r="K40" s="210"/>
      <c r="L40" s="210"/>
      <c r="M40" s="210"/>
      <c r="N40" s="210"/>
      <c r="O40" s="210"/>
      <c r="P40" s="210"/>
      <c r="Q40" s="210"/>
      <c r="R40" s="210"/>
      <c r="S40" s="210"/>
      <c r="T40" s="210"/>
      <c r="U40" s="210"/>
      <c r="V40" s="210"/>
      <c r="W40" s="210"/>
      <c r="X40" s="210"/>
      <c r="Y40" s="210"/>
      <c r="Z40" s="210"/>
    </row>
    <row r="41" ht="21.75" customHeight="1">
      <c r="A41" s="214"/>
      <c r="B41" s="221"/>
      <c r="C41" s="222">
        <v>104.0</v>
      </c>
      <c r="D41" s="223" t="s">
        <v>538</v>
      </c>
      <c r="E41" s="223" t="s">
        <v>539</v>
      </c>
      <c r="F41" s="223" t="s">
        <v>505</v>
      </c>
      <c r="G41" s="223" t="s">
        <v>526</v>
      </c>
      <c r="H41" s="225" t="s">
        <v>545</v>
      </c>
      <c r="I41" s="208"/>
      <c r="J41" s="210"/>
      <c r="K41" s="210"/>
      <c r="L41" s="210"/>
      <c r="M41" s="210"/>
      <c r="N41" s="210"/>
      <c r="O41" s="210"/>
      <c r="P41" s="210"/>
      <c r="Q41" s="210"/>
      <c r="R41" s="210"/>
      <c r="S41" s="210"/>
      <c r="T41" s="210"/>
      <c r="U41" s="210"/>
      <c r="V41" s="210"/>
      <c r="W41" s="210"/>
      <c r="X41" s="210"/>
      <c r="Y41" s="210"/>
      <c r="Z41" s="210"/>
    </row>
    <row r="42" ht="21.75" customHeight="1">
      <c r="A42" s="214"/>
      <c r="B42" s="221"/>
      <c r="C42" s="222">
        <v>105.0</v>
      </c>
      <c r="D42" s="223" t="s">
        <v>541</v>
      </c>
      <c r="E42" s="223" t="s">
        <v>539</v>
      </c>
      <c r="F42" s="223" t="s">
        <v>542</v>
      </c>
      <c r="G42" s="223" t="s">
        <v>513</v>
      </c>
      <c r="H42" s="224" t="s">
        <v>490</v>
      </c>
      <c r="I42" s="208"/>
      <c r="J42" s="210"/>
      <c r="K42" s="210"/>
      <c r="L42" s="210"/>
      <c r="M42" s="210"/>
      <c r="N42" s="210"/>
      <c r="O42" s="210"/>
      <c r="P42" s="210"/>
      <c r="Q42" s="210"/>
      <c r="R42" s="210"/>
      <c r="S42" s="210"/>
      <c r="T42" s="210"/>
      <c r="U42" s="210"/>
      <c r="V42" s="210"/>
      <c r="W42" s="210"/>
      <c r="X42" s="210"/>
      <c r="Y42" s="210"/>
      <c r="Z42" s="210"/>
    </row>
    <row r="43" ht="21.75" customHeight="1">
      <c r="A43" s="214"/>
      <c r="B43" s="217"/>
      <c r="C43" s="222">
        <v>106.0</v>
      </c>
      <c r="D43" s="215" t="s">
        <v>519</v>
      </c>
      <c r="E43" s="215" t="s">
        <v>508</v>
      </c>
      <c r="F43" s="215" t="s">
        <v>509</v>
      </c>
      <c r="G43" s="215" t="s">
        <v>510</v>
      </c>
      <c r="H43" s="225" t="s">
        <v>543</v>
      </c>
      <c r="I43" s="208"/>
      <c r="J43" s="210"/>
      <c r="K43" s="210"/>
      <c r="L43" s="210"/>
      <c r="M43" s="210"/>
      <c r="N43" s="210"/>
      <c r="O43" s="210"/>
      <c r="P43" s="210"/>
      <c r="Q43" s="210"/>
      <c r="R43" s="210"/>
      <c r="S43" s="210"/>
      <c r="T43" s="210"/>
      <c r="U43" s="210"/>
      <c r="V43" s="210"/>
      <c r="W43" s="210"/>
      <c r="X43" s="210"/>
      <c r="Y43" s="210"/>
      <c r="Z43" s="210"/>
    </row>
    <row r="44" ht="21.75" customHeight="1">
      <c r="A44" s="214"/>
      <c r="B44" s="218" t="s">
        <v>546</v>
      </c>
      <c r="C44" s="226">
        <v>52032.0</v>
      </c>
      <c r="D44" s="220"/>
      <c r="E44" s="220"/>
      <c r="F44" s="220"/>
      <c r="G44" s="220"/>
      <c r="H44" s="221"/>
      <c r="I44" s="208"/>
      <c r="J44" s="210"/>
      <c r="K44" s="210"/>
      <c r="L44" s="210"/>
      <c r="M44" s="210"/>
      <c r="N44" s="210"/>
      <c r="O44" s="210"/>
      <c r="P44" s="210"/>
      <c r="Q44" s="210"/>
      <c r="R44" s="210"/>
      <c r="S44" s="210"/>
      <c r="T44" s="210"/>
      <c r="U44" s="210"/>
      <c r="V44" s="210"/>
      <c r="W44" s="210"/>
      <c r="X44" s="210"/>
      <c r="Y44" s="210"/>
      <c r="Z44" s="210"/>
    </row>
    <row r="45" ht="21.75" customHeight="1">
      <c r="A45" s="214"/>
      <c r="B45" s="221"/>
      <c r="C45" s="222">
        <v>100.0</v>
      </c>
      <c r="D45" s="223" t="s">
        <v>486</v>
      </c>
      <c r="E45" s="223" t="s">
        <v>487</v>
      </c>
      <c r="F45" s="223" t="s">
        <v>488</v>
      </c>
      <c r="G45" s="223" t="s">
        <v>489</v>
      </c>
      <c r="H45" s="224" t="s">
        <v>490</v>
      </c>
      <c r="I45" s="208"/>
      <c r="J45" s="210"/>
      <c r="K45" s="210"/>
      <c r="L45" s="210"/>
      <c r="M45" s="210"/>
      <c r="N45" s="210"/>
      <c r="O45" s="210"/>
      <c r="P45" s="210"/>
      <c r="Q45" s="210"/>
      <c r="R45" s="210"/>
      <c r="S45" s="210"/>
      <c r="T45" s="210"/>
      <c r="U45" s="210"/>
      <c r="V45" s="210"/>
      <c r="W45" s="210"/>
      <c r="X45" s="210"/>
      <c r="Y45" s="210"/>
      <c r="Z45" s="210"/>
    </row>
    <row r="46" ht="21.75" customHeight="1">
      <c r="A46" s="214"/>
      <c r="B46" s="221"/>
      <c r="C46" s="222">
        <v>101.0</v>
      </c>
      <c r="D46" s="223" t="s">
        <v>495</v>
      </c>
      <c r="E46" s="223" t="s">
        <v>487</v>
      </c>
      <c r="F46" s="223" t="s">
        <v>492</v>
      </c>
      <c r="G46" s="223" t="s">
        <v>497</v>
      </c>
      <c r="H46" s="225" t="s">
        <v>535</v>
      </c>
      <c r="I46" s="208"/>
      <c r="J46" s="210"/>
      <c r="K46" s="210"/>
      <c r="L46" s="210"/>
      <c r="M46" s="210"/>
      <c r="N46" s="210"/>
      <c r="O46" s="210"/>
      <c r="P46" s="210"/>
      <c r="Q46" s="210"/>
      <c r="R46" s="210"/>
      <c r="S46" s="210"/>
      <c r="T46" s="210"/>
      <c r="U46" s="210"/>
      <c r="V46" s="210"/>
      <c r="W46" s="210"/>
      <c r="X46" s="210"/>
      <c r="Y46" s="210"/>
      <c r="Z46" s="210"/>
    </row>
    <row r="47" ht="21.75" customHeight="1">
      <c r="A47" s="214"/>
      <c r="B47" s="221"/>
      <c r="C47" s="222">
        <v>102.0</v>
      </c>
      <c r="D47" s="223" t="s">
        <v>516</v>
      </c>
      <c r="E47" s="223" t="s">
        <v>487</v>
      </c>
      <c r="F47" s="223" t="s">
        <v>496</v>
      </c>
      <c r="G47" s="223" t="s">
        <v>501</v>
      </c>
      <c r="H47" s="225" t="s">
        <v>536</v>
      </c>
      <c r="I47" s="208"/>
      <c r="J47" s="210"/>
      <c r="K47" s="210"/>
      <c r="L47" s="210"/>
      <c r="M47" s="210"/>
      <c r="N47" s="210"/>
      <c r="O47" s="210"/>
      <c r="P47" s="210"/>
      <c r="Q47" s="210"/>
      <c r="R47" s="210"/>
      <c r="S47" s="210"/>
      <c r="T47" s="210"/>
      <c r="U47" s="210"/>
      <c r="V47" s="210"/>
      <c r="W47" s="210"/>
      <c r="X47" s="210"/>
      <c r="Y47" s="210"/>
      <c r="Z47" s="210"/>
    </row>
    <row r="48" ht="21.75" customHeight="1">
      <c r="A48" s="214"/>
      <c r="B48" s="221"/>
      <c r="C48" s="222">
        <v>103.0</v>
      </c>
      <c r="D48" s="223" t="s">
        <v>491</v>
      </c>
      <c r="E48" s="223" t="s">
        <v>487</v>
      </c>
      <c r="F48" s="223" t="s">
        <v>500</v>
      </c>
      <c r="G48" s="223" t="s">
        <v>493</v>
      </c>
      <c r="H48" s="225" t="s">
        <v>537</v>
      </c>
      <c r="I48" s="208"/>
      <c r="J48" s="210"/>
      <c r="K48" s="210"/>
      <c r="L48" s="210"/>
      <c r="M48" s="210"/>
      <c r="N48" s="210"/>
      <c r="O48" s="210"/>
      <c r="P48" s="210"/>
      <c r="Q48" s="210"/>
      <c r="R48" s="210"/>
      <c r="S48" s="210"/>
      <c r="T48" s="210"/>
      <c r="U48" s="210"/>
      <c r="V48" s="210"/>
      <c r="W48" s="210"/>
      <c r="X48" s="210"/>
      <c r="Y48" s="210"/>
      <c r="Z48" s="210"/>
    </row>
    <row r="49" ht="21.75" customHeight="1">
      <c r="A49" s="214"/>
      <c r="B49" s="221"/>
      <c r="C49" s="222">
        <v>104.0</v>
      </c>
      <c r="D49" s="223" t="s">
        <v>538</v>
      </c>
      <c r="E49" s="223" t="s">
        <v>539</v>
      </c>
      <c r="F49" s="223" t="s">
        <v>505</v>
      </c>
      <c r="G49" s="223" t="s">
        <v>526</v>
      </c>
      <c r="H49" s="225" t="s">
        <v>547</v>
      </c>
      <c r="I49" s="208"/>
      <c r="J49" s="210"/>
      <c r="K49" s="210"/>
      <c r="L49" s="210"/>
      <c r="M49" s="210"/>
      <c r="N49" s="210"/>
      <c r="O49" s="210"/>
      <c r="P49" s="210"/>
      <c r="Q49" s="210"/>
      <c r="R49" s="210"/>
      <c r="S49" s="210"/>
      <c r="T49" s="210"/>
      <c r="U49" s="210"/>
      <c r="V49" s="210"/>
      <c r="W49" s="210"/>
      <c r="X49" s="210"/>
      <c r="Y49" s="210"/>
      <c r="Z49" s="210"/>
    </row>
    <row r="50" ht="21.75" customHeight="1">
      <c r="A50" s="214"/>
      <c r="B50" s="221"/>
      <c r="C50" s="222">
        <v>105.0</v>
      </c>
      <c r="D50" s="223" t="s">
        <v>541</v>
      </c>
      <c r="E50" s="223" t="s">
        <v>539</v>
      </c>
      <c r="F50" s="223" t="s">
        <v>542</v>
      </c>
      <c r="G50" s="223" t="s">
        <v>513</v>
      </c>
      <c r="H50" s="224" t="s">
        <v>490</v>
      </c>
      <c r="I50" s="208"/>
      <c r="J50" s="210"/>
      <c r="K50" s="210"/>
      <c r="L50" s="210"/>
      <c r="M50" s="210"/>
      <c r="N50" s="210"/>
      <c r="O50" s="210"/>
      <c r="P50" s="210"/>
      <c r="Q50" s="210"/>
      <c r="R50" s="210"/>
      <c r="S50" s="210"/>
      <c r="T50" s="210"/>
      <c r="U50" s="210"/>
      <c r="V50" s="210"/>
      <c r="W50" s="210"/>
      <c r="X50" s="210"/>
      <c r="Y50" s="210"/>
      <c r="Z50" s="210"/>
    </row>
    <row r="51" ht="21.75" customHeight="1">
      <c r="A51" s="214"/>
      <c r="B51" s="217"/>
      <c r="C51" s="222">
        <v>106.0</v>
      </c>
      <c r="D51" s="215" t="s">
        <v>519</v>
      </c>
      <c r="E51" s="215" t="s">
        <v>508</v>
      </c>
      <c r="F51" s="215" t="s">
        <v>509</v>
      </c>
      <c r="G51" s="215" t="s">
        <v>510</v>
      </c>
      <c r="H51" s="225" t="s">
        <v>543</v>
      </c>
      <c r="I51" s="208"/>
      <c r="J51" s="210"/>
      <c r="K51" s="210"/>
      <c r="L51" s="210"/>
      <c r="M51" s="210"/>
      <c r="N51" s="210"/>
      <c r="O51" s="210"/>
      <c r="P51" s="210"/>
      <c r="Q51" s="210"/>
      <c r="R51" s="210"/>
      <c r="S51" s="210"/>
      <c r="T51" s="210"/>
      <c r="U51" s="210"/>
      <c r="V51" s="210"/>
      <c r="W51" s="210"/>
      <c r="X51" s="210"/>
      <c r="Y51" s="210"/>
      <c r="Z51" s="210"/>
    </row>
    <row r="52" ht="21.75" customHeight="1">
      <c r="A52" s="214"/>
      <c r="B52" s="218" t="s">
        <v>548</v>
      </c>
      <c r="C52" s="226">
        <v>50540.0</v>
      </c>
      <c r="D52" s="220"/>
      <c r="E52" s="220"/>
      <c r="F52" s="220"/>
      <c r="G52" s="220"/>
      <c r="H52" s="221"/>
      <c r="I52" s="208"/>
      <c r="J52" s="210"/>
      <c r="K52" s="210"/>
      <c r="L52" s="210"/>
      <c r="M52" s="210"/>
      <c r="N52" s="210"/>
      <c r="O52" s="210"/>
      <c r="P52" s="210"/>
      <c r="Q52" s="210"/>
      <c r="R52" s="210"/>
      <c r="S52" s="210"/>
      <c r="T52" s="210"/>
      <c r="U52" s="210"/>
      <c r="V52" s="210"/>
      <c r="W52" s="210"/>
      <c r="X52" s="210"/>
      <c r="Y52" s="210"/>
      <c r="Z52" s="210"/>
    </row>
    <row r="53" ht="21.75" customHeight="1">
      <c r="A53" s="214"/>
      <c r="B53" s="221"/>
      <c r="C53" s="222">
        <v>100.0</v>
      </c>
      <c r="D53" s="223" t="s">
        <v>486</v>
      </c>
      <c r="E53" s="223" t="s">
        <v>487</v>
      </c>
      <c r="F53" s="223" t="s">
        <v>488</v>
      </c>
      <c r="G53" s="223" t="s">
        <v>489</v>
      </c>
      <c r="H53" s="224" t="s">
        <v>490</v>
      </c>
      <c r="I53" s="208"/>
      <c r="J53" s="210"/>
      <c r="K53" s="210"/>
      <c r="L53" s="210"/>
      <c r="M53" s="210"/>
      <c r="N53" s="210"/>
      <c r="O53" s="210"/>
      <c r="P53" s="210"/>
      <c r="Q53" s="210"/>
      <c r="R53" s="210"/>
      <c r="S53" s="210"/>
      <c r="T53" s="210"/>
      <c r="U53" s="210"/>
      <c r="V53" s="210"/>
      <c r="W53" s="210"/>
      <c r="X53" s="210"/>
      <c r="Y53" s="210"/>
      <c r="Z53" s="210"/>
    </row>
    <row r="54" ht="21.75" customHeight="1">
      <c r="A54" s="214"/>
      <c r="B54" s="221"/>
      <c r="C54" s="222">
        <v>101.0</v>
      </c>
      <c r="D54" s="223" t="s">
        <v>495</v>
      </c>
      <c r="E54" s="223" t="s">
        <v>487</v>
      </c>
      <c r="F54" s="223" t="s">
        <v>492</v>
      </c>
      <c r="G54" s="223" t="s">
        <v>497</v>
      </c>
      <c r="H54" s="225" t="s">
        <v>535</v>
      </c>
      <c r="I54" s="208"/>
      <c r="J54" s="210"/>
      <c r="K54" s="210"/>
      <c r="L54" s="210"/>
      <c r="M54" s="210"/>
      <c r="N54" s="210"/>
      <c r="O54" s="210"/>
      <c r="P54" s="210"/>
      <c r="Q54" s="210"/>
      <c r="R54" s="210"/>
      <c r="S54" s="210"/>
      <c r="T54" s="210"/>
      <c r="U54" s="210"/>
      <c r="V54" s="210"/>
      <c r="W54" s="210"/>
      <c r="X54" s="210"/>
      <c r="Y54" s="210"/>
      <c r="Z54" s="210"/>
    </row>
    <row r="55" ht="21.75" customHeight="1">
      <c r="A55" s="214"/>
      <c r="B55" s="221"/>
      <c r="C55" s="222">
        <v>102.0</v>
      </c>
      <c r="D55" s="223" t="s">
        <v>516</v>
      </c>
      <c r="E55" s="223" t="s">
        <v>487</v>
      </c>
      <c r="F55" s="223" t="s">
        <v>496</v>
      </c>
      <c r="G55" s="223" t="s">
        <v>501</v>
      </c>
      <c r="H55" s="225" t="s">
        <v>536</v>
      </c>
      <c r="I55" s="208"/>
      <c r="J55" s="210"/>
      <c r="K55" s="210"/>
      <c r="L55" s="210"/>
      <c r="M55" s="210"/>
      <c r="N55" s="210"/>
      <c r="O55" s="210"/>
      <c r="P55" s="210"/>
      <c r="Q55" s="210"/>
      <c r="R55" s="210"/>
      <c r="S55" s="210"/>
      <c r="T55" s="210"/>
      <c r="U55" s="210"/>
      <c r="V55" s="210"/>
      <c r="W55" s="210"/>
      <c r="X55" s="210"/>
      <c r="Y55" s="210"/>
      <c r="Z55" s="210"/>
    </row>
    <row r="56" ht="21.75" customHeight="1">
      <c r="A56" s="214"/>
      <c r="B56" s="221"/>
      <c r="C56" s="222">
        <v>103.0</v>
      </c>
      <c r="D56" s="223" t="s">
        <v>491</v>
      </c>
      <c r="E56" s="223" t="s">
        <v>487</v>
      </c>
      <c r="F56" s="223" t="s">
        <v>500</v>
      </c>
      <c r="G56" s="223" t="s">
        <v>493</v>
      </c>
      <c r="H56" s="225" t="s">
        <v>549</v>
      </c>
      <c r="I56" s="208"/>
      <c r="J56" s="210"/>
      <c r="K56" s="210"/>
      <c r="L56" s="210"/>
      <c r="M56" s="210"/>
      <c r="N56" s="210"/>
      <c r="O56" s="210"/>
      <c r="P56" s="210"/>
      <c r="Q56" s="210"/>
      <c r="R56" s="210"/>
      <c r="S56" s="210"/>
      <c r="T56" s="210"/>
      <c r="U56" s="210"/>
      <c r="V56" s="210"/>
      <c r="W56" s="210"/>
      <c r="X56" s="210"/>
      <c r="Y56" s="210"/>
      <c r="Z56" s="210"/>
    </row>
    <row r="57" ht="21.75" customHeight="1">
      <c r="A57" s="214"/>
      <c r="B57" s="221"/>
      <c r="C57" s="222">
        <v>104.0</v>
      </c>
      <c r="D57" s="223" t="s">
        <v>538</v>
      </c>
      <c r="E57" s="223" t="s">
        <v>539</v>
      </c>
      <c r="F57" s="223" t="s">
        <v>505</v>
      </c>
      <c r="G57" s="223" t="s">
        <v>526</v>
      </c>
      <c r="H57" s="225" t="s">
        <v>550</v>
      </c>
      <c r="I57" s="208"/>
      <c r="J57" s="210"/>
      <c r="K57" s="210"/>
      <c r="L57" s="210"/>
      <c r="M57" s="210"/>
      <c r="N57" s="210"/>
      <c r="O57" s="210"/>
      <c r="P57" s="210"/>
      <c r="Q57" s="210"/>
      <c r="R57" s="210"/>
      <c r="S57" s="210"/>
      <c r="T57" s="210"/>
      <c r="U57" s="210"/>
      <c r="V57" s="210"/>
      <c r="W57" s="210"/>
      <c r="X57" s="210"/>
      <c r="Y57" s="210"/>
      <c r="Z57" s="210"/>
    </row>
    <row r="58" ht="21.75" customHeight="1">
      <c r="A58" s="214"/>
      <c r="B58" s="221"/>
      <c r="C58" s="222">
        <v>105.0</v>
      </c>
      <c r="D58" s="223" t="s">
        <v>541</v>
      </c>
      <c r="E58" s="223" t="s">
        <v>539</v>
      </c>
      <c r="F58" s="223" t="s">
        <v>542</v>
      </c>
      <c r="G58" s="223" t="s">
        <v>513</v>
      </c>
      <c r="H58" s="224" t="s">
        <v>490</v>
      </c>
      <c r="I58" s="208"/>
      <c r="J58" s="210"/>
      <c r="K58" s="210"/>
      <c r="L58" s="210"/>
      <c r="M58" s="210"/>
      <c r="N58" s="210"/>
      <c r="O58" s="210"/>
      <c r="P58" s="210"/>
      <c r="Q58" s="210"/>
      <c r="R58" s="210"/>
      <c r="S58" s="210"/>
      <c r="T58" s="210"/>
      <c r="U58" s="210"/>
      <c r="V58" s="210"/>
      <c r="W58" s="210"/>
      <c r="X58" s="210"/>
      <c r="Y58" s="210"/>
      <c r="Z58" s="210"/>
    </row>
    <row r="59" ht="21.75" customHeight="1">
      <c r="A59" s="214"/>
      <c r="B59" s="217"/>
      <c r="C59" s="222">
        <v>106.0</v>
      </c>
      <c r="D59" s="215" t="s">
        <v>519</v>
      </c>
      <c r="E59" s="215" t="s">
        <v>508</v>
      </c>
      <c r="F59" s="215" t="s">
        <v>509</v>
      </c>
      <c r="G59" s="215" t="s">
        <v>510</v>
      </c>
      <c r="H59" s="225" t="s">
        <v>543</v>
      </c>
      <c r="I59" s="208"/>
      <c r="J59" s="210"/>
      <c r="K59" s="210"/>
      <c r="L59" s="210"/>
      <c r="M59" s="210"/>
      <c r="N59" s="210"/>
      <c r="O59" s="210"/>
      <c r="P59" s="210"/>
      <c r="Q59" s="210"/>
      <c r="R59" s="210"/>
      <c r="S59" s="210"/>
      <c r="T59" s="210"/>
      <c r="U59" s="210"/>
      <c r="V59" s="210"/>
      <c r="W59" s="210"/>
      <c r="X59" s="210"/>
      <c r="Y59" s="210"/>
      <c r="Z59" s="210"/>
    </row>
    <row r="60" ht="21.75" customHeight="1">
      <c r="A60" s="214"/>
      <c r="B60" s="218" t="s">
        <v>551</v>
      </c>
      <c r="C60" s="226">
        <v>50328.0</v>
      </c>
      <c r="D60" s="220"/>
      <c r="E60" s="220"/>
      <c r="F60" s="220"/>
      <c r="G60" s="220"/>
      <c r="H60" s="221"/>
      <c r="I60" s="208"/>
      <c r="J60" s="210"/>
      <c r="K60" s="210"/>
      <c r="L60" s="210"/>
      <c r="M60" s="210"/>
      <c r="N60" s="210"/>
      <c r="O60" s="210"/>
      <c r="P60" s="210"/>
      <c r="Q60" s="210"/>
      <c r="R60" s="210"/>
      <c r="S60" s="210"/>
      <c r="T60" s="210"/>
      <c r="U60" s="210"/>
      <c r="V60" s="210"/>
      <c r="W60" s="210"/>
      <c r="X60" s="210"/>
      <c r="Y60" s="210"/>
      <c r="Z60" s="210"/>
    </row>
    <row r="61" ht="21.75" customHeight="1">
      <c r="A61" s="214"/>
      <c r="B61" s="221"/>
      <c r="C61" s="222">
        <v>100.0</v>
      </c>
      <c r="D61" s="223" t="s">
        <v>486</v>
      </c>
      <c r="E61" s="223" t="s">
        <v>487</v>
      </c>
      <c r="F61" s="223" t="s">
        <v>488</v>
      </c>
      <c r="G61" s="223" t="s">
        <v>489</v>
      </c>
      <c r="H61" s="224" t="s">
        <v>490</v>
      </c>
      <c r="I61" s="208"/>
      <c r="J61" s="210"/>
      <c r="K61" s="210"/>
      <c r="L61" s="210"/>
      <c r="M61" s="210"/>
      <c r="N61" s="210"/>
      <c r="O61" s="210"/>
      <c r="P61" s="210"/>
      <c r="Q61" s="210"/>
      <c r="R61" s="210"/>
      <c r="S61" s="210"/>
      <c r="T61" s="210"/>
      <c r="U61" s="210"/>
      <c r="V61" s="210"/>
      <c r="W61" s="210"/>
      <c r="X61" s="210"/>
      <c r="Y61" s="210"/>
      <c r="Z61" s="210"/>
    </row>
    <row r="62" ht="21.75" customHeight="1">
      <c r="A62" s="214"/>
      <c r="B62" s="221"/>
      <c r="C62" s="222">
        <v>101.0</v>
      </c>
      <c r="D62" s="223" t="s">
        <v>495</v>
      </c>
      <c r="E62" s="223" t="s">
        <v>487</v>
      </c>
      <c r="F62" s="223" t="s">
        <v>492</v>
      </c>
      <c r="G62" s="223" t="s">
        <v>497</v>
      </c>
      <c r="H62" s="225" t="s">
        <v>552</v>
      </c>
      <c r="I62" s="208"/>
      <c r="J62" s="210"/>
      <c r="K62" s="210"/>
      <c r="L62" s="210"/>
      <c r="M62" s="210"/>
      <c r="N62" s="210"/>
      <c r="O62" s="210"/>
      <c r="P62" s="210"/>
      <c r="Q62" s="210"/>
      <c r="R62" s="210"/>
      <c r="S62" s="210"/>
      <c r="T62" s="210"/>
      <c r="U62" s="210"/>
      <c r="V62" s="210"/>
      <c r="W62" s="210"/>
      <c r="X62" s="210"/>
      <c r="Y62" s="210"/>
      <c r="Z62" s="210"/>
    </row>
    <row r="63" ht="21.75" customHeight="1">
      <c r="A63" s="214"/>
      <c r="B63" s="221"/>
      <c r="C63" s="222">
        <v>102.0</v>
      </c>
      <c r="D63" s="223" t="s">
        <v>553</v>
      </c>
      <c r="E63" s="223" t="s">
        <v>487</v>
      </c>
      <c r="F63" s="223" t="s">
        <v>496</v>
      </c>
      <c r="G63" s="223" t="s">
        <v>501</v>
      </c>
      <c r="H63" s="225" t="s">
        <v>554</v>
      </c>
      <c r="I63" s="208"/>
      <c r="J63" s="210"/>
      <c r="K63" s="210"/>
      <c r="L63" s="210"/>
      <c r="M63" s="210"/>
      <c r="N63" s="210"/>
      <c r="O63" s="210"/>
      <c r="P63" s="210"/>
      <c r="Q63" s="210"/>
      <c r="R63" s="210"/>
      <c r="S63" s="210"/>
      <c r="T63" s="210"/>
      <c r="U63" s="210"/>
      <c r="V63" s="210"/>
      <c r="W63" s="210"/>
      <c r="X63" s="210"/>
      <c r="Y63" s="210"/>
      <c r="Z63" s="210"/>
    </row>
    <row r="64" ht="21.75" customHeight="1">
      <c r="A64" s="214"/>
      <c r="B64" s="221"/>
      <c r="C64" s="222">
        <v>103.0</v>
      </c>
      <c r="D64" s="223" t="s">
        <v>555</v>
      </c>
      <c r="E64" s="223" t="s">
        <v>487</v>
      </c>
      <c r="F64" s="223" t="s">
        <v>500</v>
      </c>
      <c r="G64" s="223" t="s">
        <v>493</v>
      </c>
      <c r="H64" s="225" t="s">
        <v>556</v>
      </c>
      <c r="I64" s="208"/>
      <c r="J64" s="210"/>
      <c r="K64" s="210"/>
      <c r="L64" s="210"/>
      <c r="M64" s="210"/>
      <c r="N64" s="210"/>
      <c r="O64" s="210"/>
      <c r="P64" s="210"/>
      <c r="Q64" s="210"/>
      <c r="R64" s="210"/>
      <c r="S64" s="210"/>
      <c r="T64" s="210"/>
      <c r="U64" s="210"/>
      <c r="V64" s="210"/>
      <c r="W64" s="210"/>
      <c r="X64" s="210"/>
      <c r="Y64" s="210"/>
      <c r="Z64" s="210"/>
    </row>
    <row r="65" ht="21.75" customHeight="1">
      <c r="A65" s="214"/>
      <c r="B65" s="221"/>
      <c r="C65" s="222">
        <v>104.0</v>
      </c>
      <c r="D65" s="223" t="s">
        <v>499</v>
      </c>
      <c r="E65" s="223" t="s">
        <v>487</v>
      </c>
      <c r="F65" s="223" t="s">
        <v>512</v>
      </c>
      <c r="G65" s="223" t="s">
        <v>526</v>
      </c>
      <c r="H65" s="225" t="s">
        <v>557</v>
      </c>
      <c r="I65" s="208"/>
      <c r="J65" s="210"/>
      <c r="K65" s="210"/>
      <c r="L65" s="210"/>
      <c r="M65" s="210"/>
      <c r="N65" s="210"/>
      <c r="O65" s="210"/>
      <c r="P65" s="210"/>
      <c r="Q65" s="210"/>
      <c r="R65" s="210"/>
      <c r="S65" s="210"/>
      <c r="T65" s="210"/>
      <c r="U65" s="210"/>
      <c r="V65" s="210"/>
      <c r="W65" s="210"/>
      <c r="X65" s="210"/>
      <c r="Y65" s="210"/>
      <c r="Z65" s="210"/>
    </row>
    <row r="66" ht="21.75" customHeight="1">
      <c r="A66" s="214"/>
      <c r="B66" s="217"/>
      <c r="C66" s="222">
        <v>105.0</v>
      </c>
      <c r="D66" s="215" t="s">
        <v>541</v>
      </c>
      <c r="E66" s="215" t="s">
        <v>508</v>
      </c>
      <c r="F66" s="215" t="s">
        <v>509</v>
      </c>
      <c r="G66" s="215" t="s">
        <v>510</v>
      </c>
      <c r="H66" s="224" t="s">
        <v>490</v>
      </c>
      <c r="I66" s="208"/>
      <c r="J66" s="210"/>
      <c r="K66" s="210"/>
      <c r="L66" s="210"/>
      <c r="M66" s="210"/>
      <c r="N66" s="210"/>
      <c r="O66" s="210"/>
      <c r="P66" s="210"/>
      <c r="Q66" s="210"/>
      <c r="R66" s="210"/>
      <c r="S66" s="210"/>
      <c r="T66" s="210"/>
      <c r="U66" s="210"/>
      <c r="V66" s="210"/>
      <c r="W66" s="210"/>
      <c r="X66" s="210"/>
      <c r="Y66" s="210"/>
      <c r="Z66" s="210"/>
    </row>
    <row r="67" ht="21.75" customHeight="1">
      <c r="A67" s="214"/>
      <c r="B67" s="218" t="s">
        <v>558</v>
      </c>
      <c r="C67" s="226">
        <v>50704.0</v>
      </c>
      <c r="D67" s="220"/>
      <c r="E67" s="220"/>
      <c r="F67" s="220"/>
      <c r="G67" s="220"/>
      <c r="H67" s="221"/>
      <c r="I67" s="208"/>
      <c r="J67" s="210"/>
      <c r="K67" s="210"/>
      <c r="L67" s="210"/>
      <c r="M67" s="210"/>
      <c r="N67" s="210"/>
      <c r="O67" s="210"/>
      <c r="P67" s="210"/>
      <c r="Q67" s="210"/>
      <c r="R67" s="210"/>
      <c r="S67" s="210"/>
      <c r="T67" s="210"/>
      <c r="U67" s="210"/>
      <c r="V67" s="210"/>
      <c r="W67" s="210"/>
      <c r="X67" s="210"/>
      <c r="Y67" s="210"/>
      <c r="Z67" s="210"/>
    </row>
    <row r="68" ht="21.75" customHeight="1">
      <c r="A68" s="214"/>
      <c r="B68" s="221"/>
      <c r="C68" s="222">
        <v>100.0</v>
      </c>
      <c r="D68" s="223" t="s">
        <v>486</v>
      </c>
      <c r="E68" s="223" t="s">
        <v>487</v>
      </c>
      <c r="F68" s="223" t="s">
        <v>488</v>
      </c>
      <c r="G68" s="223" t="s">
        <v>489</v>
      </c>
      <c r="H68" s="224" t="s">
        <v>490</v>
      </c>
      <c r="I68" s="208"/>
      <c r="J68" s="210"/>
      <c r="K68" s="210"/>
      <c r="L68" s="210"/>
      <c r="M68" s="210"/>
      <c r="N68" s="210"/>
      <c r="O68" s="210"/>
      <c r="P68" s="210"/>
      <c r="Q68" s="210"/>
      <c r="R68" s="210"/>
      <c r="S68" s="210"/>
      <c r="T68" s="210"/>
      <c r="U68" s="210"/>
      <c r="V68" s="210"/>
      <c r="W68" s="210"/>
      <c r="X68" s="210"/>
      <c r="Y68" s="210"/>
      <c r="Z68" s="210"/>
    </row>
    <row r="69" ht="21.75" customHeight="1">
      <c r="A69" s="214"/>
      <c r="B69" s="221"/>
      <c r="C69" s="222">
        <v>101.0</v>
      </c>
      <c r="D69" s="223" t="s">
        <v>495</v>
      </c>
      <c r="E69" s="223" t="s">
        <v>487</v>
      </c>
      <c r="F69" s="223" t="s">
        <v>492</v>
      </c>
      <c r="G69" s="223" t="s">
        <v>497</v>
      </c>
      <c r="H69" s="225" t="s">
        <v>559</v>
      </c>
      <c r="I69" s="208"/>
      <c r="J69" s="210"/>
      <c r="K69" s="210"/>
      <c r="L69" s="210"/>
      <c r="M69" s="210"/>
      <c r="N69" s="210"/>
      <c r="O69" s="210"/>
      <c r="P69" s="210"/>
      <c r="Q69" s="210"/>
      <c r="R69" s="210"/>
      <c r="S69" s="210"/>
      <c r="T69" s="210"/>
      <c r="U69" s="210"/>
      <c r="V69" s="210"/>
      <c r="W69" s="210"/>
      <c r="X69" s="210"/>
      <c r="Y69" s="210"/>
      <c r="Z69" s="210"/>
    </row>
    <row r="70" ht="21.75" customHeight="1">
      <c r="A70" s="214"/>
      <c r="B70" s="221"/>
      <c r="C70" s="222">
        <v>102.0</v>
      </c>
      <c r="D70" s="223" t="s">
        <v>499</v>
      </c>
      <c r="E70" s="223" t="s">
        <v>487</v>
      </c>
      <c r="F70" s="223" t="s">
        <v>560</v>
      </c>
      <c r="G70" s="223" t="s">
        <v>561</v>
      </c>
      <c r="H70" s="225" t="s">
        <v>562</v>
      </c>
      <c r="I70" s="208"/>
      <c r="J70" s="210"/>
      <c r="K70" s="210"/>
      <c r="L70" s="210"/>
      <c r="M70" s="210"/>
      <c r="N70" s="210"/>
      <c r="O70" s="210"/>
      <c r="P70" s="210"/>
      <c r="Q70" s="210"/>
      <c r="R70" s="210"/>
      <c r="S70" s="210"/>
      <c r="T70" s="210"/>
      <c r="U70" s="210"/>
      <c r="V70" s="210"/>
      <c r="W70" s="210"/>
      <c r="X70" s="210"/>
      <c r="Y70" s="210"/>
      <c r="Z70" s="210"/>
    </row>
    <row r="71" ht="21.75" customHeight="1">
      <c r="A71" s="214"/>
      <c r="B71" s="221"/>
      <c r="C71" s="222">
        <v>103.0</v>
      </c>
      <c r="D71" s="223" t="s">
        <v>563</v>
      </c>
      <c r="E71" s="223" t="s">
        <v>504</v>
      </c>
      <c r="F71" s="223" t="s">
        <v>564</v>
      </c>
      <c r="G71" s="223" t="s">
        <v>501</v>
      </c>
      <c r="H71" s="225" t="s">
        <v>565</v>
      </c>
      <c r="I71" s="208"/>
      <c r="J71" s="210"/>
      <c r="K71" s="210"/>
      <c r="L71" s="210"/>
      <c r="M71" s="210"/>
      <c r="N71" s="210"/>
      <c r="O71" s="210"/>
      <c r="P71" s="210"/>
      <c r="Q71" s="210"/>
      <c r="R71" s="210"/>
      <c r="S71" s="210"/>
      <c r="T71" s="210"/>
      <c r="U71" s="210"/>
      <c r="V71" s="210"/>
      <c r="W71" s="210"/>
      <c r="X71" s="210"/>
      <c r="Y71" s="210"/>
      <c r="Z71" s="210"/>
    </row>
    <row r="72" ht="21.75" customHeight="1">
      <c r="A72" s="214"/>
      <c r="B72" s="221"/>
      <c r="C72" s="222">
        <v>104.0</v>
      </c>
      <c r="D72" s="223" t="s">
        <v>566</v>
      </c>
      <c r="E72" s="223" t="s">
        <v>504</v>
      </c>
      <c r="F72" s="223" t="s">
        <v>567</v>
      </c>
      <c r="G72" s="218" t="s">
        <v>490</v>
      </c>
      <c r="H72" s="225" t="s">
        <v>568</v>
      </c>
      <c r="I72" s="208"/>
      <c r="J72" s="210"/>
      <c r="K72" s="210"/>
      <c r="L72" s="210"/>
      <c r="M72" s="210"/>
      <c r="N72" s="210"/>
      <c r="O72" s="210"/>
      <c r="P72" s="210"/>
      <c r="Q72" s="210"/>
      <c r="R72" s="210"/>
      <c r="S72" s="210"/>
      <c r="T72" s="210"/>
      <c r="U72" s="210"/>
      <c r="V72" s="210"/>
      <c r="W72" s="210"/>
      <c r="X72" s="210"/>
      <c r="Y72" s="210"/>
      <c r="Z72" s="210"/>
    </row>
    <row r="73" ht="21.75" customHeight="1">
      <c r="A73" s="214"/>
      <c r="B73" s="221"/>
      <c r="C73" s="222">
        <v>105.0</v>
      </c>
      <c r="D73" s="223" t="s">
        <v>569</v>
      </c>
      <c r="E73" s="223" t="s">
        <v>504</v>
      </c>
      <c r="F73" s="223" t="s">
        <v>570</v>
      </c>
      <c r="G73" s="218" t="s">
        <v>490</v>
      </c>
      <c r="H73" s="225" t="s">
        <v>571</v>
      </c>
      <c r="I73" s="208"/>
      <c r="J73" s="210"/>
      <c r="K73" s="210"/>
      <c r="L73" s="210"/>
      <c r="M73" s="210"/>
      <c r="N73" s="210"/>
      <c r="O73" s="210"/>
      <c r="P73" s="210"/>
      <c r="Q73" s="210"/>
      <c r="R73" s="210"/>
      <c r="S73" s="210"/>
      <c r="T73" s="210"/>
      <c r="U73" s="210"/>
      <c r="V73" s="210"/>
      <c r="W73" s="210"/>
      <c r="X73" s="210"/>
      <c r="Y73" s="210"/>
      <c r="Z73" s="210"/>
    </row>
    <row r="74" ht="21.75" customHeight="1">
      <c r="A74" s="214"/>
      <c r="B74" s="221"/>
      <c r="C74" s="222">
        <v>106.0</v>
      </c>
      <c r="D74" s="223" t="s">
        <v>503</v>
      </c>
      <c r="E74" s="223" t="s">
        <v>487</v>
      </c>
      <c r="F74" s="223" t="s">
        <v>496</v>
      </c>
      <c r="G74" s="223" t="s">
        <v>526</v>
      </c>
      <c r="H74" s="225" t="s">
        <v>572</v>
      </c>
      <c r="I74" s="208"/>
      <c r="J74" s="210"/>
      <c r="K74" s="210"/>
      <c r="L74" s="210"/>
      <c r="M74" s="210"/>
      <c r="N74" s="210"/>
      <c r="O74" s="210"/>
      <c r="P74" s="210"/>
      <c r="Q74" s="210"/>
      <c r="R74" s="210"/>
      <c r="S74" s="210"/>
      <c r="T74" s="210"/>
      <c r="U74" s="210"/>
      <c r="V74" s="210"/>
      <c r="W74" s="210"/>
      <c r="X74" s="210"/>
      <c r="Y74" s="210"/>
      <c r="Z74" s="210"/>
    </row>
    <row r="75" ht="21.75" customHeight="1">
      <c r="A75" s="214"/>
      <c r="B75" s="221"/>
      <c r="C75" s="222">
        <v>200.0</v>
      </c>
      <c r="D75" s="223" t="s">
        <v>555</v>
      </c>
      <c r="E75" s="223" t="s">
        <v>487</v>
      </c>
      <c r="F75" s="223" t="s">
        <v>500</v>
      </c>
      <c r="G75" s="223" t="s">
        <v>493</v>
      </c>
      <c r="H75" s="224" t="s">
        <v>490</v>
      </c>
      <c r="I75" s="208"/>
      <c r="J75" s="210"/>
      <c r="K75" s="210"/>
      <c r="L75" s="210"/>
      <c r="M75" s="210"/>
      <c r="N75" s="210"/>
      <c r="O75" s="210"/>
      <c r="P75" s="210"/>
      <c r="Q75" s="210"/>
      <c r="R75" s="210"/>
      <c r="S75" s="210"/>
      <c r="T75" s="210"/>
      <c r="U75" s="210"/>
      <c r="V75" s="210"/>
      <c r="W75" s="210"/>
      <c r="X75" s="210"/>
      <c r="Y75" s="210"/>
      <c r="Z75" s="210"/>
    </row>
    <row r="76" ht="21.75" customHeight="1">
      <c r="A76" s="214"/>
      <c r="B76" s="221"/>
      <c r="C76" s="222">
        <v>300.0</v>
      </c>
      <c r="D76" s="223" t="s">
        <v>573</v>
      </c>
      <c r="E76" s="223" t="s">
        <v>504</v>
      </c>
      <c r="F76" s="223" t="s">
        <v>574</v>
      </c>
      <c r="G76" s="218" t="s">
        <v>490</v>
      </c>
      <c r="H76" s="225" t="s">
        <v>575</v>
      </c>
      <c r="I76" s="208"/>
      <c r="J76" s="210"/>
      <c r="K76" s="210"/>
      <c r="L76" s="210"/>
      <c r="M76" s="210"/>
      <c r="N76" s="210"/>
      <c r="O76" s="210"/>
      <c r="P76" s="210"/>
      <c r="Q76" s="210"/>
      <c r="R76" s="210"/>
      <c r="S76" s="210"/>
      <c r="T76" s="210"/>
      <c r="U76" s="210"/>
      <c r="V76" s="210"/>
      <c r="W76" s="210"/>
      <c r="X76" s="210"/>
      <c r="Y76" s="210"/>
      <c r="Z76" s="210"/>
    </row>
    <row r="77" ht="21.75" customHeight="1">
      <c r="A77" s="214"/>
      <c r="B77" s="221"/>
      <c r="C77" s="222">
        <v>301.0</v>
      </c>
      <c r="D77" s="223" t="s">
        <v>576</v>
      </c>
      <c r="E77" s="223" t="s">
        <v>504</v>
      </c>
      <c r="F77" s="223" t="s">
        <v>505</v>
      </c>
      <c r="G77" s="218" t="s">
        <v>490</v>
      </c>
      <c r="H77" s="225" t="s">
        <v>577</v>
      </c>
      <c r="I77" s="208"/>
      <c r="J77" s="210"/>
      <c r="K77" s="210"/>
      <c r="L77" s="210"/>
      <c r="M77" s="210"/>
      <c r="N77" s="210"/>
      <c r="O77" s="210"/>
      <c r="P77" s="210"/>
      <c r="Q77" s="210"/>
      <c r="R77" s="210"/>
      <c r="S77" s="210"/>
      <c r="T77" s="210"/>
      <c r="U77" s="210"/>
      <c r="V77" s="210"/>
      <c r="W77" s="210"/>
      <c r="X77" s="210"/>
      <c r="Y77" s="210"/>
      <c r="Z77" s="210"/>
    </row>
    <row r="78" ht="21.75" customHeight="1">
      <c r="A78" s="214"/>
      <c r="B78" s="221"/>
      <c r="C78" s="222">
        <v>302.0</v>
      </c>
      <c r="D78" s="223" t="s">
        <v>578</v>
      </c>
      <c r="E78" s="223" t="s">
        <v>487</v>
      </c>
      <c r="F78" s="223" t="s">
        <v>579</v>
      </c>
      <c r="G78" s="223" t="s">
        <v>580</v>
      </c>
      <c r="H78" s="224" t="s">
        <v>490</v>
      </c>
      <c r="I78" s="208"/>
      <c r="J78" s="210"/>
      <c r="K78" s="210"/>
      <c r="L78" s="210"/>
      <c r="M78" s="210"/>
      <c r="N78" s="210"/>
      <c r="O78" s="210"/>
      <c r="P78" s="210"/>
      <c r="Q78" s="210"/>
      <c r="R78" s="210"/>
      <c r="S78" s="210"/>
      <c r="T78" s="210"/>
      <c r="U78" s="210"/>
      <c r="V78" s="210"/>
      <c r="W78" s="210"/>
      <c r="X78" s="210"/>
      <c r="Y78" s="210"/>
      <c r="Z78" s="210"/>
    </row>
    <row r="79" ht="21.75" customHeight="1">
      <c r="A79" s="214"/>
      <c r="B79" s="221"/>
      <c r="C79" s="222">
        <v>303.0</v>
      </c>
      <c r="D79" s="223" t="s">
        <v>581</v>
      </c>
      <c r="E79" s="223" t="s">
        <v>487</v>
      </c>
      <c r="F79" s="223" t="s">
        <v>512</v>
      </c>
      <c r="G79" s="218" t="s">
        <v>490</v>
      </c>
      <c r="H79" s="224" t="s">
        <v>490</v>
      </c>
      <c r="I79" s="208"/>
      <c r="J79" s="210"/>
      <c r="K79" s="210"/>
      <c r="L79" s="210"/>
      <c r="M79" s="210"/>
      <c r="N79" s="210"/>
      <c r="O79" s="210"/>
      <c r="P79" s="210"/>
      <c r="Q79" s="210"/>
      <c r="R79" s="210"/>
      <c r="S79" s="210"/>
      <c r="T79" s="210"/>
      <c r="U79" s="210"/>
      <c r="V79" s="210"/>
      <c r="W79" s="210"/>
      <c r="X79" s="210"/>
      <c r="Y79" s="210"/>
      <c r="Z79" s="210"/>
    </row>
    <row r="80" ht="21.75" customHeight="1">
      <c r="A80" s="214"/>
      <c r="B80" s="221"/>
      <c r="C80" s="222">
        <v>304.0</v>
      </c>
      <c r="D80" s="223" t="s">
        <v>582</v>
      </c>
      <c r="E80" s="223" t="s">
        <v>487</v>
      </c>
      <c r="F80" s="223" t="s">
        <v>583</v>
      </c>
      <c r="G80" s="223" t="s">
        <v>513</v>
      </c>
      <c r="H80" s="225" t="s">
        <v>584</v>
      </c>
      <c r="I80" s="208"/>
      <c r="J80" s="210"/>
      <c r="K80" s="210"/>
      <c r="L80" s="210"/>
      <c r="M80" s="210"/>
      <c r="N80" s="210"/>
      <c r="O80" s="210"/>
      <c r="P80" s="210"/>
      <c r="Q80" s="210"/>
      <c r="R80" s="210"/>
      <c r="S80" s="210"/>
      <c r="T80" s="210"/>
      <c r="U80" s="210"/>
      <c r="V80" s="210"/>
      <c r="W80" s="210"/>
      <c r="X80" s="210"/>
      <c r="Y80" s="210"/>
      <c r="Z80" s="210"/>
    </row>
    <row r="81" ht="21.75" customHeight="1">
      <c r="A81" s="214"/>
      <c r="B81" s="221"/>
      <c r="C81" s="222">
        <v>400.0</v>
      </c>
      <c r="D81" s="223" t="s">
        <v>585</v>
      </c>
      <c r="E81" s="223" t="s">
        <v>504</v>
      </c>
      <c r="F81" s="223" t="s">
        <v>586</v>
      </c>
      <c r="G81" s="218" t="s">
        <v>490</v>
      </c>
      <c r="H81" s="225" t="s">
        <v>587</v>
      </c>
      <c r="I81" s="208"/>
      <c r="J81" s="210"/>
      <c r="K81" s="210"/>
      <c r="L81" s="210"/>
      <c r="M81" s="210"/>
      <c r="N81" s="210"/>
      <c r="O81" s="210"/>
      <c r="P81" s="210"/>
      <c r="Q81" s="210"/>
      <c r="R81" s="210"/>
      <c r="S81" s="210"/>
      <c r="T81" s="210"/>
      <c r="U81" s="210"/>
      <c r="V81" s="210"/>
      <c r="W81" s="210"/>
      <c r="X81" s="210"/>
      <c r="Y81" s="210"/>
      <c r="Z81" s="210"/>
    </row>
    <row r="82" ht="21.75" customHeight="1">
      <c r="A82" s="214"/>
      <c r="B82" s="221"/>
      <c r="C82" s="222">
        <v>401.0</v>
      </c>
      <c r="D82" s="223" t="s">
        <v>576</v>
      </c>
      <c r="E82" s="223" t="s">
        <v>504</v>
      </c>
      <c r="F82" s="223" t="s">
        <v>588</v>
      </c>
      <c r="G82" s="218" t="s">
        <v>490</v>
      </c>
      <c r="H82" s="225" t="s">
        <v>589</v>
      </c>
      <c r="I82" s="208"/>
      <c r="J82" s="210"/>
      <c r="K82" s="210"/>
      <c r="L82" s="210"/>
      <c r="M82" s="210"/>
      <c r="N82" s="210"/>
      <c r="O82" s="210"/>
      <c r="P82" s="210"/>
      <c r="Q82" s="210"/>
      <c r="R82" s="210"/>
      <c r="S82" s="210"/>
      <c r="T82" s="210"/>
      <c r="U82" s="210"/>
      <c r="V82" s="210"/>
      <c r="W82" s="210"/>
      <c r="X82" s="210"/>
      <c r="Y82" s="210"/>
      <c r="Z82" s="210"/>
    </row>
    <row r="83" ht="21.75" customHeight="1">
      <c r="A83" s="214"/>
      <c r="B83" s="221"/>
      <c r="C83" s="222">
        <v>402.0</v>
      </c>
      <c r="D83" s="223" t="s">
        <v>578</v>
      </c>
      <c r="E83" s="223" t="s">
        <v>487</v>
      </c>
      <c r="F83" s="223" t="s">
        <v>590</v>
      </c>
      <c r="G83" s="223" t="s">
        <v>591</v>
      </c>
      <c r="H83" s="224" t="s">
        <v>490</v>
      </c>
      <c r="I83" s="208"/>
      <c r="J83" s="210"/>
      <c r="K83" s="210"/>
      <c r="L83" s="210"/>
      <c r="M83" s="210"/>
      <c r="N83" s="210"/>
      <c r="O83" s="210"/>
      <c r="P83" s="210"/>
      <c r="Q83" s="210"/>
      <c r="R83" s="210"/>
      <c r="S83" s="210"/>
      <c r="T83" s="210"/>
      <c r="U83" s="210"/>
      <c r="V83" s="210"/>
      <c r="W83" s="210"/>
      <c r="X83" s="210"/>
      <c r="Y83" s="210"/>
      <c r="Z83" s="210"/>
    </row>
    <row r="84" ht="21.75" customHeight="1">
      <c r="A84" s="214"/>
      <c r="B84" s="221"/>
      <c r="C84" s="222">
        <v>403.0</v>
      </c>
      <c r="D84" s="223" t="s">
        <v>581</v>
      </c>
      <c r="E84" s="223" t="s">
        <v>487</v>
      </c>
      <c r="F84" s="223" t="s">
        <v>532</v>
      </c>
      <c r="G84" s="218" t="s">
        <v>490</v>
      </c>
      <c r="H84" s="224" t="s">
        <v>490</v>
      </c>
      <c r="I84" s="208"/>
      <c r="J84" s="210"/>
      <c r="K84" s="210"/>
      <c r="L84" s="210"/>
      <c r="M84" s="210"/>
      <c r="N84" s="210"/>
      <c r="O84" s="210"/>
      <c r="P84" s="210"/>
      <c r="Q84" s="210"/>
      <c r="R84" s="210"/>
      <c r="S84" s="210"/>
      <c r="T84" s="210"/>
      <c r="U84" s="210"/>
      <c r="V84" s="210"/>
      <c r="W84" s="210"/>
      <c r="X84" s="210"/>
      <c r="Y84" s="210"/>
      <c r="Z84" s="210"/>
    </row>
    <row r="85" ht="21.75" customHeight="1">
      <c r="A85" s="214"/>
      <c r="B85" s="221"/>
      <c r="C85" s="222">
        <v>404.0</v>
      </c>
      <c r="D85" s="223" t="s">
        <v>592</v>
      </c>
      <c r="E85" s="223" t="s">
        <v>487</v>
      </c>
      <c r="F85" s="223" t="s">
        <v>593</v>
      </c>
      <c r="G85" s="223" t="s">
        <v>594</v>
      </c>
      <c r="H85" s="225" t="s">
        <v>595</v>
      </c>
      <c r="I85" s="208"/>
      <c r="J85" s="210"/>
      <c r="K85" s="210"/>
      <c r="L85" s="210"/>
      <c r="M85" s="210"/>
      <c r="N85" s="210"/>
      <c r="O85" s="210"/>
      <c r="P85" s="210"/>
      <c r="Q85" s="210"/>
      <c r="R85" s="210"/>
      <c r="S85" s="210"/>
      <c r="T85" s="210"/>
      <c r="U85" s="210"/>
      <c r="V85" s="210"/>
      <c r="W85" s="210"/>
      <c r="X85" s="210"/>
      <c r="Y85" s="210"/>
      <c r="Z85" s="210"/>
    </row>
    <row r="86" ht="21.75" customHeight="1">
      <c r="A86" s="214"/>
      <c r="B86" s="221"/>
      <c r="C86" s="222">
        <v>500.0</v>
      </c>
      <c r="D86" s="223" t="s">
        <v>596</v>
      </c>
      <c r="E86" s="223" t="s">
        <v>504</v>
      </c>
      <c r="F86" s="223" t="s">
        <v>597</v>
      </c>
      <c r="G86" s="218" t="s">
        <v>490</v>
      </c>
      <c r="H86" s="225" t="s">
        <v>598</v>
      </c>
      <c r="I86" s="208"/>
      <c r="J86" s="210"/>
      <c r="K86" s="210"/>
      <c r="L86" s="210"/>
      <c r="M86" s="210"/>
      <c r="N86" s="210"/>
      <c r="O86" s="210"/>
      <c r="P86" s="210"/>
      <c r="Q86" s="210"/>
      <c r="R86" s="210"/>
      <c r="S86" s="210"/>
      <c r="T86" s="210"/>
      <c r="U86" s="210"/>
      <c r="V86" s="210"/>
      <c r="W86" s="210"/>
      <c r="X86" s="210"/>
      <c r="Y86" s="210"/>
      <c r="Z86" s="210"/>
    </row>
    <row r="87" ht="21.75" customHeight="1">
      <c r="A87" s="214"/>
      <c r="B87" s="221"/>
      <c r="C87" s="222">
        <v>501.0</v>
      </c>
      <c r="D87" s="223" t="s">
        <v>576</v>
      </c>
      <c r="E87" s="223" t="s">
        <v>504</v>
      </c>
      <c r="F87" s="223" t="s">
        <v>599</v>
      </c>
      <c r="G87" s="218" t="s">
        <v>490</v>
      </c>
      <c r="H87" s="225" t="s">
        <v>600</v>
      </c>
      <c r="I87" s="208"/>
      <c r="J87" s="210"/>
      <c r="K87" s="210"/>
      <c r="L87" s="210"/>
      <c r="M87" s="210"/>
      <c r="N87" s="210"/>
      <c r="O87" s="210"/>
      <c r="P87" s="210"/>
      <c r="Q87" s="210"/>
      <c r="R87" s="210"/>
      <c r="S87" s="210"/>
      <c r="T87" s="210"/>
      <c r="U87" s="210"/>
      <c r="V87" s="210"/>
      <c r="W87" s="210"/>
      <c r="X87" s="210"/>
      <c r="Y87" s="210"/>
      <c r="Z87" s="210"/>
    </row>
    <row r="88" ht="21.75" customHeight="1">
      <c r="A88" s="214"/>
      <c r="B88" s="221"/>
      <c r="C88" s="222">
        <v>502.0</v>
      </c>
      <c r="D88" s="223" t="s">
        <v>578</v>
      </c>
      <c r="E88" s="223" t="s">
        <v>487</v>
      </c>
      <c r="F88" s="223" t="s">
        <v>601</v>
      </c>
      <c r="G88" s="223" t="s">
        <v>602</v>
      </c>
      <c r="H88" s="224" t="s">
        <v>490</v>
      </c>
      <c r="I88" s="208"/>
      <c r="J88" s="210"/>
      <c r="K88" s="210"/>
      <c r="L88" s="210"/>
      <c r="M88" s="210"/>
      <c r="N88" s="210"/>
      <c r="O88" s="210"/>
      <c r="P88" s="210"/>
      <c r="Q88" s="210"/>
      <c r="R88" s="210"/>
      <c r="S88" s="210"/>
      <c r="T88" s="210"/>
      <c r="U88" s="210"/>
      <c r="V88" s="210"/>
      <c r="W88" s="210"/>
      <c r="X88" s="210"/>
      <c r="Y88" s="210"/>
      <c r="Z88" s="210"/>
    </row>
    <row r="89" ht="21.75" customHeight="1">
      <c r="A89" s="214"/>
      <c r="B89" s="221"/>
      <c r="C89" s="222">
        <v>503.0</v>
      </c>
      <c r="D89" s="223" t="s">
        <v>581</v>
      </c>
      <c r="E89" s="223" t="s">
        <v>487</v>
      </c>
      <c r="F89" s="223" t="s">
        <v>603</v>
      </c>
      <c r="G89" s="218" t="s">
        <v>490</v>
      </c>
      <c r="H89" s="224" t="s">
        <v>490</v>
      </c>
      <c r="I89" s="208"/>
      <c r="J89" s="210"/>
      <c r="K89" s="210"/>
      <c r="L89" s="210"/>
      <c r="M89" s="210"/>
      <c r="N89" s="210"/>
      <c r="O89" s="210"/>
      <c r="P89" s="210"/>
      <c r="Q89" s="210"/>
      <c r="R89" s="210"/>
      <c r="S89" s="210"/>
      <c r="T89" s="210"/>
      <c r="U89" s="210"/>
      <c r="V89" s="210"/>
      <c r="W89" s="210"/>
      <c r="X89" s="210"/>
      <c r="Y89" s="210"/>
      <c r="Z89" s="210"/>
    </row>
    <row r="90" ht="21.75" customHeight="1">
      <c r="A90" s="214"/>
      <c r="B90" s="221"/>
      <c r="C90" s="222">
        <v>504.0</v>
      </c>
      <c r="D90" s="223" t="s">
        <v>604</v>
      </c>
      <c r="E90" s="223" t="s">
        <v>487</v>
      </c>
      <c r="F90" s="223" t="s">
        <v>605</v>
      </c>
      <c r="G90" s="223" t="s">
        <v>606</v>
      </c>
      <c r="H90" s="225" t="s">
        <v>607</v>
      </c>
      <c r="I90" s="208"/>
      <c r="J90" s="210"/>
      <c r="K90" s="210"/>
      <c r="L90" s="210"/>
      <c r="M90" s="210"/>
      <c r="N90" s="210"/>
      <c r="O90" s="210"/>
      <c r="P90" s="210"/>
      <c r="Q90" s="210"/>
      <c r="R90" s="210"/>
      <c r="S90" s="210"/>
      <c r="T90" s="210"/>
      <c r="U90" s="210"/>
      <c r="V90" s="210"/>
      <c r="W90" s="210"/>
      <c r="X90" s="210"/>
      <c r="Y90" s="210"/>
      <c r="Z90" s="210"/>
    </row>
    <row r="91" ht="21.75" customHeight="1">
      <c r="A91" s="214"/>
      <c r="B91" s="221"/>
      <c r="C91" s="222">
        <v>600.0</v>
      </c>
      <c r="D91" s="223" t="s">
        <v>541</v>
      </c>
      <c r="E91" s="223" t="s">
        <v>539</v>
      </c>
      <c r="F91" s="223" t="s">
        <v>542</v>
      </c>
      <c r="G91" s="223" t="s">
        <v>608</v>
      </c>
      <c r="H91" s="224" t="s">
        <v>490</v>
      </c>
      <c r="I91" s="208"/>
      <c r="J91" s="210"/>
      <c r="K91" s="210"/>
      <c r="L91" s="210"/>
      <c r="M91" s="210"/>
      <c r="N91" s="210"/>
      <c r="O91" s="210"/>
      <c r="P91" s="210"/>
      <c r="Q91" s="210"/>
      <c r="R91" s="210"/>
      <c r="S91" s="210"/>
      <c r="T91" s="210"/>
      <c r="U91" s="210"/>
      <c r="V91" s="210"/>
      <c r="W91" s="210"/>
      <c r="X91" s="210"/>
      <c r="Y91" s="210"/>
      <c r="Z91" s="210"/>
    </row>
    <row r="92" ht="21.75" customHeight="1">
      <c r="A92" s="214"/>
      <c r="B92" s="217"/>
      <c r="C92" s="222">
        <v>601.0</v>
      </c>
      <c r="D92" s="215" t="s">
        <v>519</v>
      </c>
      <c r="E92" s="215" t="s">
        <v>508</v>
      </c>
      <c r="F92" s="215" t="s">
        <v>509</v>
      </c>
      <c r="G92" s="215" t="s">
        <v>510</v>
      </c>
      <c r="H92" s="225" t="s">
        <v>609</v>
      </c>
      <c r="I92" s="208"/>
      <c r="J92" s="210"/>
      <c r="K92" s="210"/>
      <c r="L92" s="210"/>
      <c r="M92" s="210"/>
      <c r="N92" s="210"/>
      <c r="O92" s="210"/>
      <c r="P92" s="210"/>
      <c r="Q92" s="210"/>
      <c r="R92" s="210"/>
      <c r="S92" s="210"/>
      <c r="T92" s="210"/>
      <c r="U92" s="210"/>
      <c r="V92" s="210"/>
      <c r="W92" s="210"/>
      <c r="X92" s="210"/>
      <c r="Y92" s="210"/>
      <c r="Z92" s="210"/>
    </row>
    <row r="93" ht="21.75" customHeight="1">
      <c r="A93" s="214"/>
      <c r="B93" s="218" t="s">
        <v>610</v>
      </c>
      <c r="C93" s="226">
        <v>50329.0</v>
      </c>
      <c r="D93" s="220"/>
      <c r="E93" s="220"/>
      <c r="F93" s="220"/>
      <c r="G93" s="220"/>
      <c r="H93" s="221"/>
      <c r="I93" s="208"/>
      <c r="J93" s="210"/>
      <c r="K93" s="210"/>
      <c r="L93" s="210"/>
      <c r="M93" s="210"/>
      <c r="N93" s="210"/>
      <c r="O93" s="210"/>
      <c r="P93" s="210"/>
      <c r="Q93" s="210"/>
      <c r="R93" s="210"/>
      <c r="S93" s="210"/>
      <c r="T93" s="210"/>
      <c r="U93" s="210"/>
      <c r="V93" s="210"/>
      <c r="W93" s="210"/>
      <c r="X93" s="210"/>
      <c r="Y93" s="210"/>
      <c r="Z93" s="210"/>
    </row>
    <row r="94" ht="21.75" customHeight="1">
      <c r="A94" s="214"/>
      <c r="B94" s="221"/>
      <c r="C94" s="222">
        <v>100.0</v>
      </c>
      <c r="D94" s="223" t="s">
        <v>486</v>
      </c>
      <c r="E94" s="223" t="s">
        <v>487</v>
      </c>
      <c r="F94" s="223" t="s">
        <v>488</v>
      </c>
      <c r="G94" s="223" t="s">
        <v>489</v>
      </c>
      <c r="H94" s="224" t="s">
        <v>490</v>
      </c>
      <c r="I94" s="208"/>
      <c r="J94" s="210"/>
      <c r="K94" s="210"/>
      <c r="L94" s="210"/>
      <c r="M94" s="210"/>
      <c r="N94" s="210"/>
      <c r="O94" s="210"/>
      <c r="P94" s="210"/>
      <c r="Q94" s="210"/>
      <c r="R94" s="210"/>
      <c r="S94" s="210"/>
      <c r="T94" s="210"/>
      <c r="U94" s="210"/>
      <c r="V94" s="210"/>
      <c r="W94" s="210"/>
      <c r="X94" s="210"/>
      <c r="Y94" s="210"/>
      <c r="Z94" s="210"/>
    </row>
    <row r="95" ht="21.75" customHeight="1">
      <c r="A95" s="214"/>
      <c r="B95" s="221"/>
      <c r="C95" s="222">
        <v>101.0</v>
      </c>
      <c r="D95" s="223" t="s">
        <v>495</v>
      </c>
      <c r="E95" s="223" t="s">
        <v>487</v>
      </c>
      <c r="F95" s="223" t="s">
        <v>496</v>
      </c>
      <c r="G95" s="223" t="s">
        <v>497</v>
      </c>
      <c r="H95" s="225" t="s">
        <v>611</v>
      </c>
      <c r="I95" s="208"/>
      <c r="J95" s="210"/>
      <c r="K95" s="210"/>
      <c r="L95" s="210"/>
      <c r="M95" s="210"/>
      <c r="N95" s="210"/>
      <c r="O95" s="210"/>
      <c r="P95" s="210"/>
      <c r="Q95" s="210"/>
      <c r="R95" s="210"/>
      <c r="S95" s="210"/>
      <c r="T95" s="210"/>
      <c r="U95" s="210"/>
      <c r="V95" s="210"/>
      <c r="W95" s="210"/>
      <c r="X95" s="210"/>
      <c r="Y95" s="210"/>
      <c r="Z95" s="210"/>
    </row>
    <row r="96" ht="21.75" customHeight="1">
      <c r="A96" s="214"/>
      <c r="B96" s="221"/>
      <c r="C96" s="222">
        <v>102.0</v>
      </c>
      <c r="D96" s="223" t="s">
        <v>612</v>
      </c>
      <c r="E96" s="223" t="s">
        <v>487</v>
      </c>
      <c r="F96" s="223" t="s">
        <v>613</v>
      </c>
      <c r="G96" s="223" t="s">
        <v>561</v>
      </c>
      <c r="H96" s="224" t="s">
        <v>490</v>
      </c>
      <c r="I96" s="208"/>
      <c r="J96" s="210"/>
      <c r="K96" s="210"/>
      <c r="L96" s="210"/>
      <c r="M96" s="210"/>
      <c r="N96" s="210"/>
      <c r="O96" s="210"/>
      <c r="P96" s="210"/>
      <c r="Q96" s="210"/>
      <c r="R96" s="210"/>
      <c r="S96" s="210"/>
      <c r="T96" s="210"/>
      <c r="U96" s="210"/>
      <c r="V96" s="210"/>
      <c r="W96" s="210"/>
      <c r="X96" s="210"/>
      <c r="Y96" s="210"/>
      <c r="Z96" s="210"/>
    </row>
    <row r="97" ht="21.75" customHeight="1">
      <c r="A97" s="214"/>
      <c r="B97" s="221"/>
      <c r="C97" s="222">
        <v>103.0</v>
      </c>
      <c r="D97" s="223" t="s">
        <v>563</v>
      </c>
      <c r="E97" s="223" t="s">
        <v>504</v>
      </c>
      <c r="F97" s="223" t="s">
        <v>505</v>
      </c>
      <c r="G97" s="223" t="s">
        <v>501</v>
      </c>
      <c r="H97" s="225" t="s">
        <v>614</v>
      </c>
      <c r="I97" s="208"/>
      <c r="J97" s="210"/>
      <c r="K97" s="210"/>
      <c r="L97" s="210"/>
      <c r="M97" s="210"/>
      <c r="N97" s="210"/>
      <c r="O97" s="210"/>
      <c r="P97" s="210"/>
      <c r="Q97" s="210"/>
      <c r="R97" s="210"/>
      <c r="S97" s="210"/>
      <c r="T97" s="210"/>
      <c r="U97" s="210"/>
      <c r="V97" s="210"/>
      <c r="W97" s="210"/>
      <c r="X97" s="210"/>
      <c r="Y97" s="210"/>
      <c r="Z97" s="210"/>
    </row>
    <row r="98" ht="21.75" customHeight="1">
      <c r="A98" s="214"/>
      <c r="B98" s="221"/>
      <c r="C98" s="222">
        <v>104.0</v>
      </c>
      <c r="D98" s="223" t="s">
        <v>566</v>
      </c>
      <c r="E98" s="223" t="s">
        <v>504</v>
      </c>
      <c r="F98" s="223" t="s">
        <v>588</v>
      </c>
      <c r="G98" s="218" t="s">
        <v>490</v>
      </c>
      <c r="H98" s="225" t="s">
        <v>615</v>
      </c>
      <c r="I98" s="208"/>
      <c r="J98" s="210"/>
      <c r="K98" s="210"/>
      <c r="L98" s="210"/>
      <c r="M98" s="210"/>
      <c r="N98" s="210"/>
      <c r="O98" s="210"/>
      <c r="P98" s="210"/>
      <c r="Q98" s="210"/>
      <c r="R98" s="210"/>
      <c r="S98" s="210"/>
      <c r="T98" s="210"/>
      <c r="U98" s="210"/>
      <c r="V98" s="210"/>
      <c r="W98" s="210"/>
      <c r="X98" s="210"/>
      <c r="Y98" s="210"/>
      <c r="Z98" s="210"/>
    </row>
    <row r="99" ht="21.75" customHeight="1">
      <c r="A99" s="214"/>
      <c r="B99" s="221"/>
      <c r="C99" s="222">
        <v>105.0</v>
      </c>
      <c r="D99" s="223" t="s">
        <v>616</v>
      </c>
      <c r="E99" s="223" t="s">
        <v>504</v>
      </c>
      <c r="F99" s="223" t="s">
        <v>599</v>
      </c>
      <c r="G99" s="218" t="s">
        <v>490</v>
      </c>
      <c r="H99" s="225" t="s">
        <v>617</v>
      </c>
      <c r="I99" s="208"/>
      <c r="J99" s="210"/>
      <c r="K99" s="210"/>
      <c r="L99" s="210"/>
      <c r="M99" s="210"/>
      <c r="N99" s="210"/>
      <c r="O99" s="210"/>
      <c r="P99" s="210"/>
      <c r="Q99" s="210"/>
      <c r="R99" s="210"/>
      <c r="S99" s="210"/>
      <c r="T99" s="210"/>
      <c r="U99" s="210"/>
      <c r="V99" s="210"/>
      <c r="W99" s="210"/>
      <c r="X99" s="210"/>
      <c r="Y99" s="210"/>
      <c r="Z99" s="210"/>
    </row>
    <row r="100" ht="21.75" customHeight="1">
      <c r="A100" s="214"/>
      <c r="B100" s="221"/>
      <c r="C100" s="222">
        <v>106.0</v>
      </c>
      <c r="D100" s="223" t="s">
        <v>618</v>
      </c>
      <c r="E100" s="223" t="s">
        <v>487</v>
      </c>
      <c r="F100" s="223" t="s">
        <v>560</v>
      </c>
      <c r="G100" s="223" t="s">
        <v>526</v>
      </c>
      <c r="H100" s="225" t="s">
        <v>619</v>
      </c>
      <c r="I100" s="208"/>
      <c r="J100" s="210"/>
      <c r="K100" s="210"/>
      <c r="L100" s="210"/>
      <c r="M100" s="210"/>
      <c r="N100" s="210"/>
      <c r="O100" s="210"/>
      <c r="P100" s="210"/>
      <c r="Q100" s="210"/>
      <c r="R100" s="210"/>
      <c r="S100" s="210"/>
      <c r="T100" s="210"/>
      <c r="U100" s="210"/>
      <c r="V100" s="210"/>
      <c r="W100" s="210"/>
      <c r="X100" s="210"/>
      <c r="Y100" s="210"/>
      <c r="Z100" s="210"/>
    </row>
    <row r="101" ht="21.75" customHeight="1">
      <c r="A101" s="214"/>
      <c r="B101" s="221"/>
      <c r="C101" s="222">
        <v>107.0</v>
      </c>
      <c r="D101" s="223" t="s">
        <v>620</v>
      </c>
      <c r="E101" s="223" t="s">
        <v>539</v>
      </c>
      <c r="F101" s="223" t="s">
        <v>621</v>
      </c>
      <c r="G101" s="218" t="s">
        <v>490</v>
      </c>
      <c r="H101" s="224" t="s">
        <v>490</v>
      </c>
      <c r="I101" s="208"/>
      <c r="J101" s="210"/>
      <c r="K101" s="210"/>
      <c r="L101" s="210"/>
      <c r="M101" s="210"/>
      <c r="N101" s="210"/>
      <c r="O101" s="210"/>
      <c r="P101" s="210"/>
      <c r="Q101" s="210"/>
      <c r="R101" s="210"/>
      <c r="S101" s="210"/>
      <c r="T101" s="210"/>
      <c r="U101" s="210"/>
      <c r="V101" s="210"/>
      <c r="W101" s="210"/>
      <c r="X101" s="210"/>
      <c r="Y101" s="210"/>
      <c r="Z101" s="210"/>
    </row>
    <row r="102" ht="21.75" customHeight="1">
      <c r="A102" s="214"/>
      <c r="B102" s="221"/>
      <c r="C102" s="222">
        <v>108.0</v>
      </c>
      <c r="D102" s="223" t="s">
        <v>555</v>
      </c>
      <c r="E102" s="223" t="s">
        <v>487</v>
      </c>
      <c r="F102" s="223" t="s">
        <v>500</v>
      </c>
      <c r="G102" s="223" t="s">
        <v>493</v>
      </c>
      <c r="H102" s="225" t="s">
        <v>622</v>
      </c>
      <c r="I102" s="208"/>
      <c r="J102" s="210"/>
      <c r="K102" s="210"/>
      <c r="L102" s="210"/>
      <c r="M102" s="210"/>
      <c r="N102" s="210"/>
      <c r="O102" s="210"/>
      <c r="P102" s="210"/>
      <c r="Q102" s="210"/>
      <c r="R102" s="210"/>
      <c r="S102" s="210"/>
      <c r="T102" s="210"/>
      <c r="U102" s="210"/>
      <c r="V102" s="210"/>
      <c r="W102" s="210"/>
      <c r="X102" s="210"/>
      <c r="Y102" s="210"/>
      <c r="Z102" s="210"/>
    </row>
    <row r="103" ht="21.75" customHeight="1">
      <c r="A103" s="214"/>
      <c r="B103" s="221"/>
      <c r="C103" s="222">
        <v>109.0</v>
      </c>
      <c r="D103" s="223" t="s">
        <v>623</v>
      </c>
      <c r="E103" s="223" t="s">
        <v>487</v>
      </c>
      <c r="F103" s="223" t="s">
        <v>492</v>
      </c>
      <c r="G103" s="218" t="s">
        <v>490</v>
      </c>
      <c r="H103" s="224" t="s">
        <v>490</v>
      </c>
      <c r="I103" s="208"/>
      <c r="J103" s="210"/>
      <c r="K103" s="210"/>
      <c r="L103" s="210"/>
      <c r="M103" s="210"/>
      <c r="N103" s="210"/>
      <c r="O103" s="210"/>
      <c r="P103" s="210"/>
      <c r="Q103" s="210"/>
      <c r="R103" s="210"/>
      <c r="S103" s="210"/>
      <c r="T103" s="210"/>
      <c r="U103" s="210"/>
      <c r="V103" s="210"/>
      <c r="W103" s="210"/>
      <c r="X103" s="210"/>
      <c r="Y103" s="210"/>
      <c r="Z103" s="210"/>
    </row>
    <row r="104" ht="21.75" customHeight="1">
      <c r="A104" s="214"/>
      <c r="B104" s="221"/>
      <c r="C104" s="222">
        <v>110.0</v>
      </c>
      <c r="D104" s="223" t="s">
        <v>624</v>
      </c>
      <c r="E104" s="223" t="s">
        <v>539</v>
      </c>
      <c r="F104" s="223" t="s">
        <v>625</v>
      </c>
      <c r="G104" s="218" t="s">
        <v>490</v>
      </c>
      <c r="H104" s="224" t="s">
        <v>490</v>
      </c>
      <c r="I104" s="208"/>
      <c r="J104" s="210"/>
      <c r="K104" s="210"/>
      <c r="L104" s="210"/>
      <c r="M104" s="210"/>
      <c r="N104" s="210"/>
      <c r="O104" s="210"/>
      <c r="P104" s="210"/>
      <c r="Q104" s="210"/>
      <c r="R104" s="210"/>
      <c r="S104" s="210"/>
      <c r="T104" s="210"/>
      <c r="U104" s="210"/>
      <c r="V104" s="210"/>
      <c r="W104" s="210"/>
      <c r="X104" s="210"/>
      <c r="Y104" s="210"/>
      <c r="Z104" s="210"/>
    </row>
    <row r="105" ht="21.75" customHeight="1">
      <c r="A105" s="214"/>
      <c r="B105" s="221"/>
      <c r="C105" s="222">
        <v>200.0</v>
      </c>
      <c r="D105" s="223" t="s">
        <v>626</v>
      </c>
      <c r="E105" s="223" t="s">
        <v>487</v>
      </c>
      <c r="F105" s="223" t="s">
        <v>512</v>
      </c>
      <c r="G105" s="218" t="s">
        <v>490</v>
      </c>
      <c r="H105" s="225" t="s">
        <v>627</v>
      </c>
      <c r="I105" s="208"/>
      <c r="J105" s="210"/>
      <c r="K105" s="210"/>
      <c r="L105" s="210"/>
      <c r="M105" s="210"/>
      <c r="N105" s="210"/>
      <c r="O105" s="210"/>
      <c r="P105" s="210"/>
      <c r="Q105" s="210"/>
      <c r="R105" s="210"/>
      <c r="S105" s="210"/>
      <c r="T105" s="210"/>
      <c r="U105" s="210"/>
      <c r="V105" s="210"/>
      <c r="W105" s="210"/>
      <c r="X105" s="210"/>
      <c r="Y105" s="210"/>
      <c r="Z105" s="210"/>
    </row>
    <row r="106" ht="21.75" customHeight="1">
      <c r="A106" s="214"/>
      <c r="B106" s="221"/>
      <c r="C106" s="222">
        <v>300.0</v>
      </c>
      <c r="D106" s="223" t="s">
        <v>573</v>
      </c>
      <c r="E106" s="223" t="s">
        <v>504</v>
      </c>
      <c r="F106" s="223" t="s">
        <v>564</v>
      </c>
      <c r="G106" s="218" t="s">
        <v>490</v>
      </c>
      <c r="H106" s="225" t="s">
        <v>628</v>
      </c>
      <c r="I106" s="208"/>
      <c r="J106" s="210"/>
      <c r="K106" s="210"/>
      <c r="L106" s="210"/>
      <c r="M106" s="210"/>
      <c r="N106" s="210"/>
      <c r="O106" s="210"/>
      <c r="P106" s="210"/>
      <c r="Q106" s="210"/>
      <c r="R106" s="210"/>
      <c r="S106" s="210"/>
      <c r="T106" s="210"/>
      <c r="U106" s="210"/>
      <c r="V106" s="210"/>
      <c r="W106" s="210"/>
      <c r="X106" s="210"/>
      <c r="Y106" s="210"/>
      <c r="Z106" s="210"/>
    </row>
    <row r="107" ht="21.75" customHeight="1">
      <c r="A107" s="214"/>
      <c r="B107" s="221"/>
      <c r="C107" s="222">
        <v>301.0</v>
      </c>
      <c r="D107" s="223" t="s">
        <v>576</v>
      </c>
      <c r="E107" s="223" t="s">
        <v>504</v>
      </c>
      <c r="F107" s="223" t="s">
        <v>567</v>
      </c>
      <c r="G107" s="218" t="s">
        <v>490</v>
      </c>
      <c r="H107" s="225" t="s">
        <v>629</v>
      </c>
      <c r="I107" s="208"/>
      <c r="J107" s="210"/>
      <c r="K107" s="210"/>
      <c r="L107" s="210"/>
      <c r="M107" s="210"/>
      <c r="N107" s="210"/>
      <c r="O107" s="210"/>
      <c r="P107" s="210"/>
      <c r="Q107" s="210"/>
      <c r="R107" s="210"/>
      <c r="S107" s="210"/>
      <c r="T107" s="210"/>
      <c r="U107" s="210"/>
      <c r="V107" s="210"/>
      <c r="W107" s="210"/>
      <c r="X107" s="210"/>
      <c r="Y107" s="210"/>
      <c r="Z107" s="210"/>
    </row>
    <row r="108" ht="21.75" customHeight="1">
      <c r="A108" s="214"/>
      <c r="B108" s="221"/>
      <c r="C108" s="222">
        <v>302.0</v>
      </c>
      <c r="D108" s="223" t="s">
        <v>582</v>
      </c>
      <c r="E108" s="223" t="s">
        <v>487</v>
      </c>
      <c r="F108" s="223" t="s">
        <v>532</v>
      </c>
      <c r="G108" s="223" t="s">
        <v>513</v>
      </c>
      <c r="H108" s="225" t="s">
        <v>630</v>
      </c>
      <c r="I108" s="208"/>
      <c r="J108" s="210"/>
      <c r="K108" s="210"/>
      <c r="L108" s="210"/>
      <c r="M108" s="210"/>
      <c r="N108" s="210"/>
      <c r="O108" s="210"/>
      <c r="P108" s="210"/>
      <c r="Q108" s="210"/>
      <c r="R108" s="210"/>
      <c r="S108" s="210"/>
      <c r="T108" s="210"/>
      <c r="U108" s="210"/>
      <c r="V108" s="210"/>
      <c r="W108" s="210"/>
      <c r="X108" s="210"/>
      <c r="Y108" s="210"/>
      <c r="Z108" s="210"/>
    </row>
    <row r="109" ht="21.75" customHeight="1">
      <c r="A109" s="214"/>
      <c r="B109" s="221"/>
      <c r="C109" s="222">
        <v>303.0</v>
      </c>
      <c r="D109" s="223" t="s">
        <v>631</v>
      </c>
      <c r="E109" s="223" t="s">
        <v>487</v>
      </c>
      <c r="F109" s="223" t="s">
        <v>590</v>
      </c>
      <c r="G109" s="218" t="s">
        <v>490</v>
      </c>
      <c r="H109" s="224" t="s">
        <v>490</v>
      </c>
      <c r="I109" s="208"/>
      <c r="J109" s="210"/>
      <c r="K109" s="210"/>
      <c r="L109" s="210"/>
      <c r="M109" s="210"/>
      <c r="N109" s="210"/>
      <c r="O109" s="210"/>
      <c r="P109" s="210"/>
      <c r="Q109" s="210"/>
      <c r="R109" s="210"/>
      <c r="S109" s="210"/>
      <c r="T109" s="210"/>
      <c r="U109" s="210"/>
      <c r="V109" s="210"/>
      <c r="W109" s="210"/>
      <c r="X109" s="210"/>
      <c r="Y109" s="210"/>
      <c r="Z109" s="210"/>
    </row>
    <row r="110" ht="21.75" customHeight="1">
      <c r="A110" s="214"/>
      <c r="B110" s="221"/>
      <c r="C110" s="222">
        <v>304.0</v>
      </c>
      <c r="D110" s="223" t="s">
        <v>578</v>
      </c>
      <c r="E110" s="223" t="s">
        <v>487</v>
      </c>
      <c r="F110" s="223" t="s">
        <v>593</v>
      </c>
      <c r="G110" s="223" t="s">
        <v>580</v>
      </c>
      <c r="H110" s="224" t="s">
        <v>490</v>
      </c>
      <c r="I110" s="208"/>
      <c r="J110" s="210"/>
      <c r="K110" s="210"/>
      <c r="L110" s="210"/>
      <c r="M110" s="210"/>
      <c r="N110" s="210"/>
      <c r="O110" s="210"/>
      <c r="P110" s="210"/>
      <c r="Q110" s="210"/>
      <c r="R110" s="210"/>
      <c r="S110" s="210"/>
      <c r="T110" s="210"/>
      <c r="U110" s="210"/>
      <c r="V110" s="210"/>
      <c r="W110" s="210"/>
      <c r="X110" s="210"/>
      <c r="Y110" s="210"/>
      <c r="Z110" s="210"/>
    </row>
    <row r="111" ht="21.75" customHeight="1">
      <c r="A111" s="214"/>
      <c r="B111" s="221"/>
      <c r="C111" s="222">
        <v>400.0</v>
      </c>
      <c r="D111" s="223" t="s">
        <v>585</v>
      </c>
      <c r="E111" s="223" t="s">
        <v>504</v>
      </c>
      <c r="F111" s="223" t="s">
        <v>574</v>
      </c>
      <c r="G111" s="218" t="s">
        <v>490</v>
      </c>
      <c r="H111" s="225" t="s">
        <v>632</v>
      </c>
      <c r="I111" s="208"/>
      <c r="J111" s="210"/>
      <c r="K111" s="210"/>
      <c r="L111" s="210"/>
      <c r="M111" s="210"/>
      <c r="N111" s="210"/>
      <c r="O111" s="210"/>
      <c r="P111" s="210"/>
      <c r="Q111" s="210"/>
      <c r="R111" s="210"/>
      <c r="S111" s="210"/>
      <c r="T111" s="210"/>
      <c r="U111" s="210"/>
      <c r="V111" s="210"/>
      <c r="W111" s="210"/>
      <c r="X111" s="210"/>
      <c r="Y111" s="210"/>
      <c r="Z111" s="210"/>
    </row>
    <row r="112" ht="21.75" customHeight="1">
      <c r="A112" s="214"/>
      <c r="B112" s="221"/>
      <c r="C112" s="222">
        <v>401.0</v>
      </c>
      <c r="D112" s="223" t="s">
        <v>576</v>
      </c>
      <c r="E112" s="223" t="s">
        <v>504</v>
      </c>
      <c r="F112" s="223" t="s">
        <v>586</v>
      </c>
      <c r="G112" s="218" t="s">
        <v>490</v>
      </c>
      <c r="H112" s="225" t="s">
        <v>633</v>
      </c>
      <c r="I112" s="208"/>
      <c r="J112" s="210"/>
      <c r="K112" s="210"/>
      <c r="L112" s="210"/>
      <c r="M112" s="210"/>
      <c r="N112" s="210"/>
      <c r="O112" s="210"/>
      <c r="P112" s="210"/>
      <c r="Q112" s="210"/>
      <c r="R112" s="210"/>
      <c r="S112" s="210"/>
      <c r="T112" s="210"/>
      <c r="U112" s="210"/>
      <c r="V112" s="210"/>
      <c r="W112" s="210"/>
      <c r="X112" s="210"/>
      <c r="Y112" s="210"/>
      <c r="Z112" s="210"/>
    </row>
    <row r="113" ht="21.75" customHeight="1">
      <c r="A113" s="214"/>
      <c r="B113" s="221"/>
      <c r="C113" s="222">
        <v>402.0</v>
      </c>
      <c r="D113" s="223" t="s">
        <v>592</v>
      </c>
      <c r="E113" s="223" t="s">
        <v>487</v>
      </c>
      <c r="F113" s="223" t="s">
        <v>603</v>
      </c>
      <c r="G113" s="223" t="s">
        <v>594</v>
      </c>
      <c r="H113" s="225" t="s">
        <v>634</v>
      </c>
      <c r="I113" s="208"/>
      <c r="J113" s="210"/>
      <c r="K113" s="210"/>
      <c r="L113" s="210"/>
      <c r="M113" s="210"/>
      <c r="N113" s="210"/>
      <c r="O113" s="210"/>
      <c r="P113" s="210"/>
      <c r="Q113" s="210"/>
      <c r="R113" s="210"/>
      <c r="S113" s="210"/>
      <c r="T113" s="210"/>
      <c r="U113" s="210"/>
      <c r="V113" s="210"/>
      <c r="W113" s="210"/>
      <c r="X113" s="210"/>
      <c r="Y113" s="210"/>
      <c r="Z113" s="210"/>
    </row>
    <row r="114" ht="21.75" customHeight="1">
      <c r="A114" s="214"/>
      <c r="B114" s="221"/>
      <c r="C114" s="222">
        <v>403.0</v>
      </c>
      <c r="D114" s="223" t="s">
        <v>631</v>
      </c>
      <c r="E114" s="223" t="s">
        <v>487</v>
      </c>
      <c r="F114" s="223" t="s">
        <v>579</v>
      </c>
      <c r="G114" s="218" t="s">
        <v>490</v>
      </c>
      <c r="H114" s="224" t="s">
        <v>490</v>
      </c>
      <c r="I114" s="208"/>
      <c r="J114" s="210"/>
      <c r="K114" s="210"/>
      <c r="L114" s="210"/>
      <c r="M114" s="210"/>
      <c r="N114" s="210"/>
      <c r="O114" s="210"/>
      <c r="P114" s="210"/>
      <c r="Q114" s="210"/>
      <c r="R114" s="210"/>
      <c r="S114" s="210"/>
      <c r="T114" s="210"/>
      <c r="U114" s="210"/>
      <c r="V114" s="210"/>
      <c r="W114" s="210"/>
      <c r="X114" s="210"/>
      <c r="Y114" s="210"/>
      <c r="Z114" s="210"/>
    </row>
    <row r="115" ht="21.75" customHeight="1">
      <c r="A115" s="214"/>
      <c r="B115" s="221"/>
      <c r="C115" s="222">
        <v>404.0</v>
      </c>
      <c r="D115" s="223" t="s">
        <v>578</v>
      </c>
      <c r="E115" s="223" t="s">
        <v>487</v>
      </c>
      <c r="F115" s="223" t="s">
        <v>605</v>
      </c>
      <c r="G115" s="223" t="s">
        <v>591</v>
      </c>
      <c r="H115" s="224" t="s">
        <v>490</v>
      </c>
      <c r="I115" s="208"/>
      <c r="J115" s="210"/>
      <c r="K115" s="210"/>
      <c r="L115" s="210"/>
      <c r="M115" s="210"/>
      <c r="N115" s="210"/>
      <c r="O115" s="210"/>
      <c r="P115" s="210"/>
      <c r="Q115" s="210"/>
      <c r="R115" s="210"/>
      <c r="S115" s="210"/>
      <c r="T115" s="210"/>
      <c r="U115" s="210"/>
      <c r="V115" s="210"/>
      <c r="W115" s="210"/>
      <c r="X115" s="210"/>
      <c r="Y115" s="210"/>
      <c r="Z115" s="210"/>
    </row>
    <row r="116" ht="21.75" customHeight="1">
      <c r="A116" s="214"/>
      <c r="B116" s="221"/>
      <c r="C116" s="222">
        <v>500.0</v>
      </c>
      <c r="D116" s="223" t="s">
        <v>596</v>
      </c>
      <c r="E116" s="223" t="s">
        <v>504</v>
      </c>
      <c r="F116" s="223" t="s">
        <v>597</v>
      </c>
      <c r="G116" s="218" t="s">
        <v>490</v>
      </c>
      <c r="H116" s="225" t="s">
        <v>635</v>
      </c>
      <c r="I116" s="208"/>
      <c r="J116" s="210"/>
      <c r="K116" s="210"/>
      <c r="L116" s="210"/>
      <c r="M116" s="210"/>
      <c r="N116" s="210"/>
      <c r="O116" s="210"/>
      <c r="P116" s="210"/>
      <c r="Q116" s="210"/>
      <c r="R116" s="210"/>
      <c r="S116" s="210"/>
      <c r="T116" s="210"/>
      <c r="U116" s="210"/>
      <c r="V116" s="210"/>
      <c r="W116" s="210"/>
      <c r="X116" s="210"/>
      <c r="Y116" s="210"/>
      <c r="Z116" s="210"/>
    </row>
    <row r="117" ht="21.75" customHeight="1">
      <c r="A117" s="214"/>
      <c r="B117" s="221"/>
      <c r="C117" s="222">
        <v>501.0</v>
      </c>
      <c r="D117" s="223" t="s">
        <v>576</v>
      </c>
      <c r="E117" s="223" t="s">
        <v>504</v>
      </c>
      <c r="F117" s="223" t="s">
        <v>570</v>
      </c>
      <c r="G117" s="218" t="s">
        <v>490</v>
      </c>
      <c r="H117" s="225" t="s">
        <v>636</v>
      </c>
      <c r="I117" s="208"/>
      <c r="J117" s="210"/>
      <c r="K117" s="210"/>
      <c r="L117" s="210"/>
      <c r="M117" s="210"/>
      <c r="N117" s="210"/>
      <c r="O117" s="210"/>
      <c r="P117" s="210"/>
      <c r="Q117" s="210"/>
      <c r="R117" s="210"/>
      <c r="S117" s="210"/>
      <c r="T117" s="210"/>
      <c r="U117" s="210"/>
      <c r="V117" s="210"/>
      <c r="W117" s="210"/>
      <c r="X117" s="210"/>
      <c r="Y117" s="210"/>
      <c r="Z117" s="210"/>
    </row>
    <row r="118" ht="21.75" customHeight="1">
      <c r="A118" s="214"/>
      <c r="B118" s="221"/>
      <c r="C118" s="222">
        <v>502.0</v>
      </c>
      <c r="D118" s="223" t="s">
        <v>604</v>
      </c>
      <c r="E118" s="223" t="s">
        <v>487</v>
      </c>
      <c r="F118" s="223" t="s">
        <v>583</v>
      </c>
      <c r="G118" s="223" t="s">
        <v>606</v>
      </c>
      <c r="H118" s="225" t="s">
        <v>637</v>
      </c>
      <c r="I118" s="208"/>
      <c r="J118" s="210"/>
      <c r="K118" s="210"/>
      <c r="L118" s="210"/>
      <c r="M118" s="210"/>
      <c r="N118" s="210"/>
      <c r="O118" s="210"/>
      <c r="P118" s="210"/>
      <c r="Q118" s="210"/>
      <c r="R118" s="210"/>
      <c r="S118" s="210"/>
      <c r="T118" s="210"/>
      <c r="U118" s="210"/>
      <c r="V118" s="210"/>
      <c r="W118" s="210"/>
      <c r="X118" s="210"/>
      <c r="Y118" s="210"/>
      <c r="Z118" s="210"/>
    </row>
    <row r="119" ht="21.75" customHeight="1">
      <c r="A119" s="214"/>
      <c r="B119" s="221"/>
      <c r="C119" s="222">
        <v>503.0</v>
      </c>
      <c r="D119" s="223" t="s">
        <v>631</v>
      </c>
      <c r="E119" s="223" t="s">
        <v>487</v>
      </c>
      <c r="F119" s="223" t="s">
        <v>601</v>
      </c>
      <c r="G119" s="218" t="s">
        <v>490</v>
      </c>
      <c r="H119" s="224" t="s">
        <v>490</v>
      </c>
      <c r="I119" s="208"/>
      <c r="J119" s="210"/>
      <c r="K119" s="210"/>
      <c r="L119" s="210"/>
      <c r="M119" s="210"/>
      <c r="N119" s="210"/>
      <c r="O119" s="210"/>
      <c r="P119" s="210"/>
      <c r="Q119" s="210"/>
      <c r="R119" s="210"/>
      <c r="S119" s="210"/>
      <c r="T119" s="210"/>
      <c r="U119" s="210"/>
      <c r="V119" s="210"/>
      <c r="W119" s="210"/>
      <c r="X119" s="210"/>
      <c r="Y119" s="210"/>
      <c r="Z119" s="210"/>
    </row>
    <row r="120" ht="21.75" customHeight="1">
      <c r="A120" s="214"/>
      <c r="B120" s="221"/>
      <c r="C120" s="222">
        <v>504.0</v>
      </c>
      <c r="D120" s="223" t="s">
        <v>578</v>
      </c>
      <c r="E120" s="223" t="s">
        <v>487</v>
      </c>
      <c r="F120" s="223" t="s">
        <v>638</v>
      </c>
      <c r="G120" s="223" t="s">
        <v>602</v>
      </c>
      <c r="H120" s="224" t="s">
        <v>490</v>
      </c>
      <c r="I120" s="208"/>
      <c r="J120" s="210"/>
      <c r="K120" s="210"/>
      <c r="L120" s="210"/>
      <c r="M120" s="210"/>
      <c r="N120" s="210"/>
      <c r="O120" s="210"/>
      <c r="P120" s="210"/>
      <c r="Q120" s="210"/>
      <c r="R120" s="210"/>
      <c r="S120" s="210"/>
      <c r="T120" s="210"/>
      <c r="U120" s="210"/>
      <c r="V120" s="210"/>
      <c r="W120" s="210"/>
      <c r="X120" s="210"/>
      <c r="Y120" s="210"/>
      <c r="Z120" s="210"/>
    </row>
    <row r="121" ht="21.75" customHeight="1">
      <c r="A121" s="214"/>
      <c r="B121" s="221"/>
      <c r="C121" s="222">
        <v>600.0</v>
      </c>
      <c r="D121" s="223" t="s">
        <v>541</v>
      </c>
      <c r="E121" s="223" t="s">
        <v>539</v>
      </c>
      <c r="F121" s="223" t="s">
        <v>542</v>
      </c>
      <c r="G121" s="223" t="s">
        <v>608</v>
      </c>
      <c r="H121" s="225" t="s">
        <v>639</v>
      </c>
      <c r="I121" s="208"/>
      <c r="J121" s="210"/>
      <c r="K121" s="210"/>
      <c r="L121" s="210"/>
      <c r="M121" s="210"/>
      <c r="N121" s="210"/>
      <c r="O121" s="210"/>
      <c r="P121" s="210"/>
      <c r="Q121" s="210"/>
      <c r="R121" s="210"/>
      <c r="S121" s="210"/>
      <c r="T121" s="210"/>
      <c r="U121" s="210"/>
      <c r="V121" s="210"/>
      <c r="W121" s="210"/>
      <c r="X121" s="210"/>
      <c r="Y121" s="210"/>
      <c r="Z121" s="210"/>
    </row>
    <row r="122" ht="21.75" customHeight="1">
      <c r="A122" s="214"/>
      <c r="B122" s="217"/>
      <c r="C122" s="222">
        <v>601.0</v>
      </c>
      <c r="D122" s="215" t="s">
        <v>519</v>
      </c>
      <c r="E122" s="215" t="s">
        <v>508</v>
      </c>
      <c r="F122" s="215" t="s">
        <v>509</v>
      </c>
      <c r="G122" s="215" t="s">
        <v>510</v>
      </c>
      <c r="H122" s="225" t="s">
        <v>640</v>
      </c>
      <c r="I122" s="208"/>
      <c r="J122" s="210"/>
      <c r="K122" s="210"/>
      <c r="L122" s="210"/>
      <c r="M122" s="210"/>
      <c r="N122" s="210"/>
      <c r="O122" s="210"/>
      <c r="P122" s="210"/>
      <c r="Q122" s="210"/>
      <c r="R122" s="210"/>
      <c r="S122" s="210"/>
      <c r="T122" s="210"/>
      <c r="U122" s="210"/>
      <c r="V122" s="210"/>
      <c r="W122" s="210"/>
      <c r="X122" s="210"/>
      <c r="Y122" s="210"/>
      <c r="Z122" s="210"/>
    </row>
    <row r="123" ht="21.75" customHeight="1">
      <c r="A123" s="214"/>
      <c r="B123" s="218" t="s">
        <v>641</v>
      </c>
      <c r="C123" s="226">
        <v>50479.0</v>
      </c>
      <c r="D123" s="220"/>
      <c r="E123" s="220"/>
      <c r="F123" s="220"/>
      <c r="G123" s="220"/>
      <c r="H123" s="221"/>
      <c r="I123" s="208"/>
      <c r="J123" s="210"/>
      <c r="K123" s="210"/>
      <c r="L123" s="210"/>
      <c r="M123" s="210"/>
      <c r="N123" s="210"/>
      <c r="O123" s="210"/>
      <c r="P123" s="210"/>
      <c r="Q123" s="210"/>
      <c r="R123" s="210"/>
      <c r="S123" s="210"/>
      <c r="T123" s="210"/>
      <c r="U123" s="210"/>
      <c r="V123" s="210"/>
      <c r="W123" s="210"/>
      <c r="X123" s="210"/>
      <c r="Y123" s="210"/>
      <c r="Z123" s="210"/>
    </row>
    <row r="124" ht="21.75" customHeight="1">
      <c r="A124" s="214"/>
      <c r="B124" s="221"/>
      <c r="C124" s="222">
        <v>100.0</v>
      </c>
      <c r="D124" s="223" t="s">
        <v>486</v>
      </c>
      <c r="E124" s="223" t="s">
        <v>487</v>
      </c>
      <c r="F124" s="223" t="s">
        <v>488</v>
      </c>
      <c r="G124" s="223" t="s">
        <v>489</v>
      </c>
      <c r="H124" s="224" t="s">
        <v>490</v>
      </c>
      <c r="I124" s="208"/>
      <c r="J124" s="210"/>
      <c r="K124" s="210"/>
      <c r="L124" s="210"/>
      <c r="M124" s="210"/>
      <c r="N124" s="210"/>
      <c r="O124" s="210"/>
      <c r="P124" s="210"/>
      <c r="Q124" s="210"/>
      <c r="R124" s="210"/>
      <c r="S124" s="210"/>
      <c r="T124" s="210"/>
      <c r="U124" s="210"/>
      <c r="V124" s="210"/>
      <c r="W124" s="210"/>
      <c r="X124" s="210"/>
      <c r="Y124" s="210"/>
      <c r="Z124" s="210"/>
    </row>
    <row r="125" ht="21.75" customHeight="1">
      <c r="A125" s="214"/>
      <c r="B125" s="221"/>
      <c r="C125" s="222">
        <v>200.0</v>
      </c>
      <c r="D125" s="223" t="s">
        <v>495</v>
      </c>
      <c r="E125" s="223" t="s">
        <v>487</v>
      </c>
      <c r="F125" s="223" t="s">
        <v>492</v>
      </c>
      <c r="G125" s="223" t="s">
        <v>497</v>
      </c>
      <c r="H125" s="225" t="s">
        <v>642</v>
      </c>
      <c r="I125" s="208"/>
      <c r="J125" s="210"/>
      <c r="K125" s="210"/>
      <c r="L125" s="210"/>
      <c r="M125" s="210"/>
      <c r="N125" s="210"/>
      <c r="O125" s="210"/>
      <c r="P125" s="210"/>
      <c r="Q125" s="210"/>
      <c r="R125" s="210"/>
      <c r="S125" s="210"/>
      <c r="T125" s="210"/>
      <c r="U125" s="210"/>
      <c r="V125" s="210"/>
      <c r="W125" s="210"/>
      <c r="X125" s="210"/>
      <c r="Y125" s="210"/>
      <c r="Z125" s="210"/>
    </row>
    <row r="126" ht="21.75" customHeight="1">
      <c r="A126" s="214"/>
      <c r="B126" s="221"/>
      <c r="C126" s="222">
        <v>201.0</v>
      </c>
      <c r="D126" s="223" t="s">
        <v>643</v>
      </c>
      <c r="E126" s="223" t="s">
        <v>487</v>
      </c>
      <c r="F126" s="223" t="s">
        <v>496</v>
      </c>
      <c r="G126" s="223" t="s">
        <v>644</v>
      </c>
      <c r="H126" s="225" t="s">
        <v>645</v>
      </c>
      <c r="I126" s="208"/>
      <c r="J126" s="210"/>
      <c r="K126" s="210"/>
      <c r="L126" s="210"/>
      <c r="M126" s="210"/>
      <c r="N126" s="210"/>
      <c r="O126" s="210"/>
      <c r="P126" s="210"/>
      <c r="Q126" s="210"/>
      <c r="R126" s="210"/>
      <c r="S126" s="210"/>
      <c r="T126" s="210"/>
      <c r="U126" s="210"/>
      <c r="V126" s="210"/>
      <c r="W126" s="210"/>
      <c r="X126" s="210"/>
      <c r="Y126" s="210"/>
      <c r="Z126" s="210"/>
    </row>
    <row r="127" ht="21.75" customHeight="1">
      <c r="A127" s="214"/>
      <c r="B127" s="221"/>
      <c r="C127" s="222">
        <v>202.0</v>
      </c>
      <c r="D127" s="223" t="s">
        <v>566</v>
      </c>
      <c r="E127" s="223" t="s">
        <v>504</v>
      </c>
      <c r="F127" s="223" t="s">
        <v>505</v>
      </c>
      <c r="G127" s="218" t="s">
        <v>490</v>
      </c>
      <c r="H127" s="225" t="s">
        <v>646</v>
      </c>
      <c r="I127" s="208"/>
      <c r="J127" s="210"/>
      <c r="K127" s="210"/>
      <c r="L127" s="210"/>
      <c r="M127" s="210"/>
      <c r="N127" s="210"/>
      <c r="O127" s="210"/>
      <c r="P127" s="210"/>
      <c r="Q127" s="210"/>
      <c r="R127" s="210"/>
      <c r="S127" s="210"/>
      <c r="T127" s="210"/>
      <c r="U127" s="210"/>
      <c r="V127" s="210"/>
      <c r="W127" s="210"/>
      <c r="X127" s="210"/>
      <c r="Y127" s="210"/>
      <c r="Z127" s="210"/>
    </row>
    <row r="128" ht="21.75" customHeight="1">
      <c r="A128" s="214"/>
      <c r="B128" s="221"/>
      <c r="C128" s="222">
        <v>203.0</v>
      </c>
      <c r="D128" s="223" t="s">
        <v>569</v>
      </c>
      <c r="E128" s="223" t="s">
        <v>504</v>
      </c>
      <c r="F128" s="223" t="s">
        <v>574</v>
      </c>
      <c r="G128" s="218" t="s">
        <v>490</v>
      </c>
      <c r="H128" s="225" t="s">
        <v>647</v>
      </c>
      <c r="I128" s="208"/>
      <c r="J128" s="210"/>
      <c r="K128" s="210"/>
      <c r="L128" s="210"/>
      <c r="M128" s="210"/>
      <c r="N128" s="210"/>
      <c r="O128" s="210"/>
      <c r="P128" s="210"/>
      <c r="Q128" s="210"/>
      <c r="R128" s="210"/>
      <c r="S128" s="210"/>
      <c r="T128" s="210"/>
      <c r="U128" s="210"/>
      <c r="V128" s="210"/>
      <c r="W128" s="210"/>
      <c r="X128" s="210"/>
      <c r="Y128" s="210"/>
      <c r="Z128" s="210"/>
    </row>
    <row r="129" ht="21.75" customHeight="1">
      <c r="A129" s="214"/>
      <c r="B129" s="221"/>
      <c r="C129" s="222">
        <v>204.0</v>
      </c>
      <c r="D129" s="223" t="s">
        <v>503</v>
      </c>
      <c r="E129" s="223" t="s">
        <v>487</v>
      </c>
      <c r="F129" s="223" t="s">
        <v>500</v>
      </c>
      <c r="G129" s="223" t="s">
        <v>526</v>
      </c>
      <c r="H129" s="225" t="s">
        <v>648</v>
      </c>
      <c r="I129" s="208"/>
      <c r="J129" s="210"/>
      <c r="K129" s="210"/>
      <c r="L129" s="210"/>
      <c r="M129" s="210"/>
      <c r="N129" s="210"/>
      <c r="O129" s="210"/>
      <c r="P129" s="210"/>
      <c r="Q129" s="210"/>
      <c r="R129" s="210"/>
      <c r="S129" s="210"/>
      <c r="T129" s="210"/>
      <c r="U129" s="210"/>
      <c r="V129" s="210"/>
      <c r="W129" s="210"/>
      <c r="X129" s="210"/>
      <c r="Y129" s="210"/>
      <c r="Z129" s="210"/>
    </row>
    <row r="130" ht="21.75" customHeight="1">
      <c r="A130" s="214"/>
      <c r="B130" s="221"/>
      <c r="C130" s="222">
        <v>300.0</v>
      </c>
      <c r="D130" s="223" t="s">
        <v>573</v>
      </c>
      <c r="E130" s="223" t="s">
        <v>504</v>
      </c>
      <c r="F130" s="223" t="s">
        <v>564</v>
      </c>
      <c r="G130" s="218" t="s">
        <v>490</v>
      </c>
      <c r="H130" s="225" t="s">
        <v>649</v>
      </c>
      <c r="I130" s="208"/>
      <c r="J130" s="210"/>
      <c r="K130" s="210"/>
      <c r="L130" s="210"/>
      <c r="M130" s="210"/>
      <c r="N130" s="210"/>
      <c r="O130" s="210"/>
      <c r="P130" s="210"/>
      <c r="Q130" s="210"/>
      <c r="R130" s="210"/>
      <c r="S130" s="210"/>
      <c r="T130" s="210"/>
      <c r="U130" s="210"/>
      <c r="V130" s="210"/>
      <c r="W130" s="210"/>
      <c r="X130" s="210"/>
      <c r="Y130" s="210"/>
      <c r="Z130" s="210"/>
    </row>
    <row r="131" ht="21.75" customHeight="1">
      <c r="A131" s="214"/>
      <c r="B131" s="221"/>
      <c r="C131" s="222">
        <v>301.0</v>
      </c>
      <c r="D131" s="223" t="s">
        <v>576</v>
      </c>
      <c r="E131" s="223" t="s">
        <v>504</v>
      </c>
      <c r="F131" s="223" t="s">
        <v>588</v>
      </c>
      <c r="G131" s="218" t="s">
        <v>490</v>
      </c>
      <c r="H131" s="225" t="s">
        <v>650</v>
      </c>
      <c r="I131" s="208"/>
      <c r="J131" s="210"/>
      <c r="K131" s="210"/>
      <c r="L131" s="210"/>
      <c r="M131" s="210"/>
      <c r="N131" s="210"/>
      <c r="O131" s="210"/>
      <c r="P131" s="210"/>
      <c r="Q131" s="210"/>
      <c r="R131" s="210"/>
      <c r="S131" s="210"/>
      <c r="T131" s="210"/>
      <c r="U131" s="210"/>
      <c r="V131" s="210"/>
      <c r="W131" s="210"/>
      <c r="X131" s="210"/>
      <c r="Y131" s="210"/>
      <c r="Z131" s="210"/>
    </row>
    <row r="132" ht="21.75" customHeight="1">
      <c r="A132" s="214"/>
      <c r="B132" s="221" t="s">
        <v>651</v>
      </c>
      <c r="C132" s="222">
        <v>302.0</v>
      </c>
      <c r="D132" s="223" t="s">
        <v>578</v>
      </c>
      <c r="E132" s="223" t="s">
        <v>487</v>
      </c>
      <c r="F132" s="223" t="s">
        <v>532</v>
      </c>
      <c r="G132" s="223" t="s">
        <v>580</v>
      </c>
      <c r="H132" s="224" t="s">
        <v>490</v>
      </c>
      <c r="I132" s="208"/>
      <c r="J132" s="210"/>
      <c r="K132" s="210"/>
      <c r="L132" s="210"/>
      <c r="M132" s="210"/>
      <c r="N132" s="210"/>
      <c r="O132" s="210"/>
      <c r="P132" s="210"/>
      <c r="Q132" s="210"/>
      <c r="R132" s="210"/>
      <c r="S132" s="210"/>
      <c r="T132" s="210"/>
      <c r="U132" s="210"/>
      <c r="V132" s="210"/>
      <c r="W132" s="210"/>
      <c r="X132" s="210"/>
      <c r="Y132" s="210"/>
      <c r="Z132" s="210"/>
    </row>
    <row r="133" ht="21.75" customHeight="1">
      <c r="A133" s="214"/>
      <c r="B133" s="221"/>
      <c r="C133" s="222">
        <v>303.0</v>
      </c>
      <c r="D133" s="223" t="s">
        <v>576</v>
      </c>
      <c r="E133" s="223" t="s">
        <v>487</v>
      </c>
      <c r="F133" s="223" t="s">
        <v>590</v>
      </c>
      <c r="G133" s="218" t="s">
        <v>490</v>
      </c>
      <c r="H133" s="224" t="s">
        <v>490</v>
      </c>
      <c r="I133" s="208"/>
      <c r="J133" s="210"/>
      <c r="K133" s="210"/>
      <c r="L133" s="210"/>
      <c r="M133" s="210"/>
      <c r="N133" s="210"/>
      <c r="O133" s="210"/>
      <c r="P133" s="210"/>
      <c r="Q133" s="210"/>
      <c r="R133" s="210"/>
      <c r="S133" s="210"/>
      <c r="T133" s="210"/>
      <c r="U133" s="210"/>
      <c r="V133" s="210"/>
      <c r="W133" s="210"/>
      <c r="X133" s="210"/>
      <c r="Y133" s="210"/>
      <c r="Z133" s="210"/>
    </row>
    <row r="134" ht="21.75" customHeight="1">
      <c r="A134" s="214"/>
      <c r="B134" s="221"/>
      <c r="C134" s="222">
        <v>304.0</v>
      </c>
      <c r="D134" s="223" t="s">
        <v>652</v>
      </c>
      <c r="E134" s="223" t="s">
        <v>487</v>
      </c>
      <c r="F134" s="223" t="s">
        <v>512</v>
      </c>
      <c r="G134" s="223" t="s">
        <v>513</v>
      </c>
      <c r="H134" s="225" t="s">
        <v>653</v>
      </c>
      <c r="I134" s="208"/>
      <c r="J134" s="210"/>
      <c r="K134" s="210"/>
      <c r="L134" s="210"/>
      <c r="M134" s="210"/>
      <c r="N134" s="210"/>
      <c r="O134" s="210"/>
      <c r="P134" s="210"/>
      <c r="Q134" s="210"/>
      <c r="R134" s="210"/>
      <c r="S134" s="210"/>
      <c r="T134" s="210"/>
      <c r="U134" s="210"/>
      <c r="V134" s="210"/>
      <c r="W134" s="210"/>
      <c r="X134" s="210"/>
      <c r="Y134" s="210"/>
      <c r="Z134" s="210"/>
    </row>
    <row r="135" ht="21.75" customHeight="1">
      <c r="A135" s="214"/>
      <c r="B135" s="221"/>
      <c r="C135" s="222">
        <v>400.0</v>
      </c>
      <c r="D135" s="223" t="s">
        <v>585</v>
      </c>
      <c r="E135" s="223" t="s">
        <v>504</v>
      </c>
      <c r="F135" s="223" t="s">
        <v>567</v>
      </c>
      <c r="G135" s="218" t="s">
        <v>490</v>
      </c>
      <c r="H135" s="225" t="s">
        <v>654</v>
      </c>
      <c r="I135" s="208"/>
      <c r="J135" s="210"/>
      <c r="K135" s="210"/>
      <c r="L135" s="210"/>
      <c r="M135" s="210"/>
      <c r="N135" s="210"/>
      <c r="O135" s="210"/>
      <c r="P135" s="210"/>
      <c r="Q135" s="210"/>
      <c r="R135" s="210"/>
      <c r="S135" s="210"/>
      <c r="T135" s="210"/>
      <c r="U135" s="210"/>
      <c r="V135" s="210"/>
      <c r="W135" s="210"/>
      <c r="X135" s="210"/>
      <c r="Y135" s="210"/>
      <c r="Z135" s="210"/>
    </row>
    <row r="136" ht="21.75" customHeight="1">
      <c r="A136" s="214"/>
      <c r="B136" s="221"/>
      <c r="C136" s="222">
        <v>401.0</v>
      </c>
      <c r="D136" s="223" t="s">
        <v>576</v>
      </c>
      <c r="E136" s="223" t="s">
        <v>504</v>
      </c>
      <c r="F136" s="223" t="s">
        <v>599</v>
      </c>
      <c r="G136" s="218" t="s">
        <v>490</v>
      </c>
      <c r="H136" s="225" t="s">
        <v>655</v>
      </c>
      <c r="I136" s="208"/>
      <c r="J136" s="210"/>
      <c r="K136" s="210"/>
      <c r="L136" s="210"/>
      <c r="M136" s="210"/>
      <c r="N136" s="210"/>
      <c r="O136" s="210"/>
      <c r="P136" s="210"/>
      <c r="Q136" s="210"/>
      <c r="R136" s="210"/>
      <c r="S136" s="210"/>
      <c r="T136" s="210"/>
      <c r="U136" s="210"/>
      <c r="V136" s="210"/>
      <c r="W136" s="210"/>
      <c r="X136" s="210"/>
      <c r="Y136" s="210"/>
      <c r="Z136" s="210"/>
    </row>
    <row r="137" ht="21.75" customHeight="1">
      <c r="A137" s="214"/>
      <c r="B137" s="221"/>
      <c r="C137" s="222">
        <v>402.0</v>
      </c>
      <c r="D137" s="223" t="s">
        <v>578</v>
      </c>
      <c r="E137" s="223" t="s">
        <v>487</v>
      </c>
      <c r="F137" s="223" t="s">
        <v>603</v>
      </c>
      <c r="G137" s="223" t="s">
        <v>591</v>
      </c>
      <c r="H137" s="224" t="s">
        <v>490</v>
      </c>
      <c r="I137" s="208"/>
      <c r="J137" s="210"/>
      <c r="K137" s="210"/>
      <c r="L137" s="210"/>
      <c r="M137" s="210"/>
      <c r="N137" s="210"/>
      <c r="O137" s="210"/>
      <c r="P137" s="210"/>
      <c r="Q137" s="210"/>
      <c r="R137" s="210"/>
      <c r="S137" s="210"/>
      <c r="T137" s="210"/>
      <c r="U137" s="210"/>
      <c r="V137" s="210"/>
      <c r="W137" s="210"/>
      <c r="X137" s="210"/>
      <c r="Y137" s="210"/>
      <c r="Z137" s="210"/>
    </row>
    <row r="138" ht="21.75" customHeight="1">
      <c r="A138" s="214"/>
      <c r="B138" s="221"/>
      <c r="C138" s="222">
        <v>403.0</v>
      </c>
      <c r="D138" s="223" t="s">
        <v>576</v>
      </c>
      <c r="E138" s="223" t="s">
        <v>487</v>
      </c>
      <c r="F138" s="223" t="s">
        <v>583</v>
      </c>
      <c r="G138" s="218" t="s">
        <v>490</v>
      </c>
      <c r="H138" s="224" t="s">
        <v>490</v>
      </c>
      <c r="I138" s="208"/>
      <c r="J138" s="210"/>
      <c r="K138" s="210"/>
      <c r="L138" s="210"/>
      <c r="M138" s="210"/>
      <c r="N138" s="210"/>
      <c r="O138" s="210"/>
      <c r="P138" s="210"/>
      <c r="Q138" s="210"/>
      <c r="R138" s="210"/>
      <c r="S138" s="210"/>
      <c r="T138" s="210"/>
      <c r="U138" s="210"/>
      <c r="V138" s="210"/>
      <c r="W138" s="210"/>
      <c r="X138" s="210"/>
      <c r="Y138" s="210"/>
      <c r="Z138" s="210"/>
    </row>
    <row r="139" ht="21.75" customHeight="1">
      <c r="A139" s="214"/>
      <c r="B139" s="221"/>
      <c r="C139" s="222">
        <v>404.0</v>
      </c>
      <c r="D139" s="223" t="s">
        <v>592</v>
      </c>
      <c r="E139" s="223" t="s">
        <v>487</v>
      </c>
      <c r="F139" s="223" t="s">
        <v>601</v>
      </c>
      <c r="G139" s="223" t="s">
        <v>594</v>
      </c>
      <c r="H139" s="225" t="s">
        <v>656</v>
      </c>
      <c r="I139" s="208"/>
      <c r="J139" s="210"/>
      <c r="K139" s="210"/>
      <c r="L139" s="210"/>
      <c r="M139" s="210"/>
      <c r="N139" s="210"/>
      <c r="O139" s="210"/>
      <c r="P139" s="210"/>
      <c r="Q139" s="210"/>
      <c r="R139" s="210"/>
      <c r="S139" s="210"/>
      <c r="T139" s="210"/>
      <c r="U139" s="210"/>
      <c r="V139" s="210"/>
      <c r="W139" s="210"/>
      <c r="X139" s="210"/>
      <c r="Y139" s="210"/>
      <c r="Z139" s="210"/>
    </row>
    <row r="140" ht="21.75" customHeight="1">
      <c r="A140" s="214"/>
      <c r="B140" s="221"/>
      <c r="C140" s="222">
        <v>500.0</v>
      </c>
      <c r="D140" s="223" t="s">
        <v>499</v>
      </c>
      <c r="E140" s="223" t="s">
        <v>487</v>
      </c>
      <c r="F140" s="223" t="s">
        <v>579</v>
      </c>
      <c r="G140" s="223" t="s">
        <v>561</v>
      </c>
      <c r="H140" s="225" t="s">
        <v>657</v>
      </c>
      <c r="I140" s="208"/>
      <c r="J140" s="210"/>
      <c r="K140" s="210"/>
      <c r="L140" s="210"/>
      <c r="M140" s="210"/>
      <c r="N140" s="210"/>
      <c r="O140" s="210"/>
      <c r="P140" s="210"/>
      <c r="Q140" s="210"/>
      <c r="R140" s="210"/>
      <c r="S140" s="210"/>
      <c r="T140" s="210"/>
      <c r="U140" s="210"/>
      <c r="V140" s="210"/>
      <c r="W140" s="210"/>
      <c r="X140" s="210"/>
      <c r="Y140" s="210"/>
      <c r="Z140" s="210"/>
    </row>
    <row r="141" ht="21.75" customHeight="1">
      <c r="A141" s="214"/>
      <c r="B141" s="217"/>
      <c r="C141" s="222">
        <v>501.0</v>
      </c>
      <c r="D141" s="215" t="s">
        <v>519</v>
      </c>
      <c r="E141" s="215" t="s">
        <v>508</v>
      </c>
      <c r="F141" s="215" t="s">
        <v>509</v>
      </c>
      <c r="G141" s="215" t="s">
        <v>510</v>
      </c>
      <c r="H141" s="225" t="s">
        <v>658</v>
      </c>
      <c r="I141" s="208"/>
      <c r="J141" s="210"/>
      <c r="K141" s="210"/>
      <c r="L141" s="210"/>
      <c r="M141" s="210"/>
      <c r="N141" s="210"/>
      <c r="O141" s="210"/>
      <c r="P141" s="210"/>
      <c r="Q141" s="210"/>
      <c r="R141" s="210"/>
      <c r="S141" s="210"/>
      <c r="T141" s="210"/>
      <c r="U141" s="210"/>
      <c r="V141" s="210"/>
      <c r="W141" s="210"/>
      <c r="X141" s="210"/>
      <c r="Y141" s="210"/>
      <c r="Z141" s="210"/>
    </row>
    <row r="142" ht="21.75" customHeight="1">
      <c r="A142" s="214"/>
      <c r="B142" s="218" t="s">
        <v>659</v>
      </c>
      <c r="C142" s="226">
        <v>50166.0</v>
      </c>
      <c r="D142" s="220"/>
      <c r="E142" s="220"/>
      <c r="F142" s="220"/>
      <c r="G142" s="220"/>
      <c r="H142" s="221"/>
      <c r="I142" s="208"/>
      <c r="J142" s="210"/>
      <c r="K142" s="210"/>
      <c r="L142" s="210"/>
      <c r="M142" s="210"/>
      <c r="N142" s="210"/>
      <c r="O142" s="210"/>
      <c r="P142" s="210"/>
      <c r="Q142" s="210"/>
      <c r="R142" s="210"/>
      <c r="S142" s="210"/>
      <c r="T142" s="210"/>
      <c r="U142" s="210"/>
      <c r="V142" s="210"/>
      <c r="W142" s="210"/>
      <c r="X142" s="210"/>
      <c r="Y142" s="210"/>
      <c r="Z142" s="210"/>
    </row>
    <row r="143" ht="21.75" customHeight="1">
      <c r="A143" s="214"/>
      <c r="B143" s="221"/>
      <c r="C143" s="222">
        <v>100.0</v>
      </c>
      <c r="D143" s="223" t="s">
        <v>486</v>
      </c>
      <c r="E143" s="223" t="s">
        <v>487</v>
      </c>
      <c r="F143" s="223" t="s">
        <v>488</v>
      </c>
      <c r="G143" s="223" t="s">
        <v>489</v>
      </c>
      <c r="H143" s="224" t="s">
        <v>490</v>
      </c>
      <c r="I143" s="208"/>
      <c r="J143" s="210"/>
      <c r="K143" s="210"/>
      <c r="L143" s="210"/>
      <c r="M143" s="210"/>
      <c r="N143" s="210"/>
      <c r="O143" s="210"/>
      <c r="P143" s="210"/>
      <c r="Q143" s="210"/>
      <c r="R143" s="210"/>
      <c r="S143" s="210"/>
      <c r="T143" s="210"/>
      <c r="U143" s="210"/>
      <c r="V143" s="210"/>
      <c r="W143" s="210"/>
      <c r="X143" s="210"/>
      <c r="Y143" s="210"/>
      <c r="Z143" s="210"/>
    </row>
    <row r="144" ht="21.75" customHeight="1">
      <c r="A144" s="214"/>
      <c r="B144" s="221"/>
      <c r="C144" s="222">
        <v>101.0</v>
      </c>
      <c r="D144" s="223" t="s">
        <v>491</v>
      </c>
      <c r="E144" s="223" t="s">
        <v>487</v>
      </c>
      <c r="F144" s="223" t="s">
        <v>492</v>
      </c>
      <c r="G144" s="223" t="s">
        <v>526</v>
      </c>
      <c r="H144" s="225" t="s">
        <v>660</v>
      </c>
      <c r="I144" s="208"/>
      <c r="J144" s="210"/>
      <c r="K144" s="210"/>
      <c r="L144" s="210"/>
      <c r="M144" s="210"/>
      <c r="N144" s="210"/>
      <c r="O144" s="210"/>
      <c r="P144" s="210"/>
      <c r="Q144" s="210"/>
      <c r="R144" s="210"/>
      <c r="S144" s="210"/>
      <c r="T144" s="210"/>
      <c r="U144" s="210"/>
      <c r="V144" s="210"/>
      <c r="W144" s="210"/>
      <c r="X144" s="210"/>
      <c r="Y144" s="210"/>
      <c r="Z144" s="210"/>
    </row>
    <row r="145" ht="21.75" customHeight="1">
      <c r="A145" s="214"/>
      <c r="B145" s="221"/>
      <c r="C145" s="222">
        <v>102.0</v>
      </c>
      <c r="D145" s="223" t="s">
        <v>661</v>
      </c>
      <c r="E145" s="223" t="s">
        <v>487</v>
      </c>
      <c r="F145" s="223" t="s">
        <v>496</v>
      </c>
      <c r="G145" s="223" t="s">
        <v>501</v>
      </c>
      <c r="H145" s="224" t="s">
        <v>490</v>
      </c>
      <c r="I145" s="208"/>
      <c r="J145" s="210"/>
      <c r="K145" s="210"/>
      <c r="L145" s="210"/>
      <c r="M145" s="210"/>
      <c r="N145" s="210"/>
      <c r="O145" s="210"/>
      <c r="P145" s="210"/>
      <c r="Q145" s="210"/>
      <c r="R145" s="210"/>
      <c r="S145" s="210"/>
      <c r="T145" s="210"/>
      <c r="U145" s="210"/>
      <c r="V145" s="210"/>
      <c r="W145" s="210"/>
      <c r="X145" s="210"/>
      <c r="Y145" s="210"/>
      <c r="Z145" s="210"/>
    </row>
    <row r="146" ht="21.75" customHeight="1">
      <c r="A146" s="214"/>
      <c r="B146" s="221"/>
      <c r="C146" s="222">
        <v>103.0</v>
      </c>
      <c r="D146" s="223" t="s">
        <v>662</v>
      </c>
      <c r="E146" s="223" t="s">
        <v>487</v>
      </c>
      <c r="F146" s="223" t="s">
        <v>500</v>
      </c>
      <c r="G146" s="223" t="s">
        <v>497</v>
      </c>
      <c r="H146" s="224" t="s">
        <v>490</v>
      </c>
      <c r="I146" s="208"/>
      <c r="J146" s="210"/>
      <c r="K146" s="210"/>
      <c r="L146" s="210"/>
      <c r="M146" s="210"/>
      <c r="N146" s="210"/>
      <c r="O146" s="210"/>
      <c r="P146" s="210"/>
      <c r="Q146" s="210"/>
      <c r="R146" s="210"/>
      <c r="S146" s="210"/>
      <c r="T146" s="210"/>
      <c r="U146" s="210"/>
      <c r="V146" s="210"/>
      <c r="W146" s="210"/>
      <c r="X146" s="210"/>
      <c r="Y146" s="210"/>
      <c r="Z146" s="210"/>
    </row>
    <row r="147" ht="21.75" customHeight="1">
      <c r="A147" s="214"/>
      <c r="B147" s="221"/>
      <c r="C147" s="222">
        <v>104.0</v>
      </c>
      <c r="D147" s="223" t="s">
        <v>663</v>
      </c>
      <c r="E147" s="223" t="s">
        <v>504</v>
      </c>
      <c r="F147" s="223" t="s">
        <v>505</v>
      </c>
      <c r="G147" s="218" t="s">
        <v>490</v>
      </c>
      <c r="H147" s="225" t="s">
        <v>664</v>
      </c>
      <c r="I147" s="208"/>
      <c r="J147" s="210"/>
      <c r="K147" s="210"/>
      <c r="L147" s="210"/>
      <c r="M147" s="210"/>
      <c r="N147" s="210"/>
      <c r="O147" s="210"/>
      <c r="P147" s="210"/>
      <c r="Q147" s="210"/>
      <c r="R147" s="210"/>
      <c r="S147" s="210"/>
      <c r="T147" s="210"/>
      <c r="U147" s="210"/>
      <c r="V147" s="210"/>
      <c r="W147" s="210"/>
      <c r="X147" s="210"/>
      <c r="Y147" s="210"/>
      <c r="Z147" s="210"/>
    </row>
    <row r="148" ht="21.75" customHeight="1">
      <c r="A148" s="214"/>
      <c r="B148" s="221"/>
      <c r="C148" s="222">
        <v>105.0</v>
      </c>
      <c r="D148" s="223" t="s">
        <v>665</v>
      </c>
      <c r="E148" s="223" t="s">
        <v>487</v>
      </c>
      <c r="F148" s="223" t="s">
        <v>532</v>
      </c>
      <c r="G148" s="223" t="s">
        <v>493</v>
      </c>
      <c r="H148" s="225" t="s">
        <v>666</v>
      </c>
      <c r="I148" s="208"/>
      <c r="J148" s="210"/>
      <c r="K148" s="210"/>
      <c r="L148" s="210"/>
      <c r="M148" s="210"/>
      <c r="N148" s="210"/>
      <c r="O148" s="210"/>
      <c r="P148" s="210"/>
      <c r="Q148" s="210"/>
      <c r="R148" s="210"/>
      <c r="S148" s="210"/>
      <c r="T148" s="210"/>
      <c r="U148" s="210"/>
      <c r="V148" s="210"/>
      <c r="W148" s="210"/>
      <c r="X148" s="210"/>
      <c r="Y148" s="210"/>
      <c r="Z148" s="210"/>
    </row>
    <row r="149" ht="21.75" customHeight="1">
      <c r="A149" s="214"/>
      <c r="B149" s="221"/>
      <c r="C149" s="222">
        <v>106.0</v>
      </c>
      <c r="D149" s="223" t="s">
        <v>667</v>
      </c>
      <c r="E149" s="223" t="s">
        <v>487</v>
      </c>
      <c r="F149" s="223" t="s">
        <v>603</v>
      </c>
      <c r="G149" s="223" t="s">
        <v>606</v>
      </c>
      <c r="H149" s="225" t="s">
        <v>668</v>
      </c>
      <c r="I149" s="208"/>
      <c r="J149" s="210"/>
      <c r="K149" s="210"/>
      <c r="L149" s="210"/>
      <c r="M149" s="210"/>
      <c r="N149" s="210"/>
      <c r="O149" s="210"/>
      <c r="P149" s="210"/>
      <c r="Q149" s="210"/>
      <c r="R149" s="210"/>
      <c r="S149" s="210"/>
      <c r="T149" s="210"/>
      <c r="U149" s="210"/>
      <c r="V149" s="210"/>
      <c r="W149" s="210"/>
      <c r="X149" s="210"/>
      <c r="Y149" s="210"/>
      <c r="Z149" s="210"/>
    </row>
    <row r="150" ht="21.75" customHeight="1">
      <c r="A150" s="214"/>
      <c r="B150" s="221"/>
      <c r="C150" s="222">
        <v>107.0</v>
      </c>
      <c r="D150" s="223" t="s">
        <v>669</v>
      </c>
      <c r="E150" s="223" t="s">
        <v>487</v>
      </c>
      <c r="F150" s="223" t="s">
        <v>590</v>
      </c>
      <c r="G150" s="223" t="s">
        <v>594</v>
      </c>
      <c r="H150" s="227" t="s">
        <v>670</v>
      </c>
      <c r="I150" s="208"/>
      <c r="J150" s="210"/>
      <c r="K150" s="210"/>
      <c r="L150" s="210"/>
      <c r="M150" s="210"/>
      <c r="N150" s="210"/>
      <c r="O150" s="210"/>
      <c r="P150" s="210"/>
      <c r="Q150" s="210"/>
      <c r="R150" s="210"/>
      <c r="S150" s="210"/>
      <c r="T150" s="210"/>
      <c r="U150" s="210"/>
      <c r="V150" s="210"/>
      <c r="W150" s="210"/>
      <c r="X150" s="210"/>
      <c r="Y150" s="210"/>
      <c r="Z150" s="210"/>
    </row>
    <row r="151" ht="21.75" customHeight="1">
      <c r="A151" s="214"/>
      <c r="B151" s="221"/>
      <c r="C151" s="222">
        <v>108.0</v>
      </c>
      <c r="D151" s="223" t="s">
        <v>519</v>
      </c>
      <c r="E151" s="223" t="s">
        <v>508</v>
      </c>
      <c r="F151" s="223" t="s">
        <v>509</v>
      </c>
      <c r="G151" s="223" t="s">
        <v>510</v>
      </c>
      <c r="H151" s="225" t="s">
        <v>671</v>
      </c>
      <c r="I151" s="208"/>
      <c r="J151" s="210"/>
      <c r="K151" s="210"/>
      <c r="L151" s="210"/>
      <c r="M151" s="210"/>
      <c r="N151" s="210"/>
      <c r="O151" s="210"/>
      <c r="P151" s="210"/>
      <c r="Q151" s="210"/>
      <c r="R151" s="210"/>
      <c r="S151" s="210"/>
      <c r="T151" s="210"/>
      <c r="U151" s="210"/>
      <c r="V151" s="210"/>
      <c r="W151" s="210"/>
      <c r="X151" s="210"/>
      <c r="Y151" s="210"/>
      <c r="Z151" s="210"/>
    </row>
    <row r="152" ht="21.75" customHeight="1">
      <c r="A152" s="214"/>
      <c r="B152" s="221"/>
      <c r="C152" s="222">
        <v>109.0</v>
      </c>
      <c r="D152" s="223" t="s">
        <v>672</v>
      </c>
      <c r="E152" s="223" t="s">
        <v>673</v>
      </c>
      <c r="F152" s="223" t="s">
        <v>674</v>
      </c>
      <c r="G152" s="218" t="s">
        <v>490</v>
      </c>
      <c r="H152" s="224" t="s">
        <v>490</v>
      </c>
      <c r="I152" s="208"/>
      <c r="J152" s="210"/>
      <c r="K152" s="210"/>
      <c r="L152" s="210"/>
      <c r="M152" s="210"/>
      <c r="N152" s="210"/>
      <c r="O152" s="210"/>
      <c r="P152" s="210"/>
      <c r="Q152" s="210"/>
      <c r="R152" s="210"/>
      <c r="S152" s="210"/>
      <c r="T152" s="210"/>
      <c r="U152" s="210"/>
      <c r="V152" s="210"/>
      <c r="W152" s="210"/>
      <c r="X152" s="210"/>
      <c r="Y152" s="210"/>
      <c r="Z152" s="210"/>
    </row>
    <row r="153" ht="21.75" customHeight="1">
      <c r="A153" s="228"/>
      <c r="B153" s="221"/>
      <c r="C153" s="222">
        <v>110.0</v>
      </c>
      <c r="D153" s="223" t="s">
        <v>675</v>
      </c>
      <c r="E153" s="223" t="s">
        <v>487</v>
      </c>
      <c r="F153" s="223" t="s">
        <v>512</v>
      </c>
      <c r="G153" s="223" t="s">
        <v>513</v>
      </c>
      <c r="H153" s="224" t="s">
        <v>490</v>
      </c>
      <c r="I153" s="208"/>
      <c r="J153" s="210"/>
      <c r="K153" s="210"/>
      <c r="L153" s="210"/>
      <c r="M153" s="210"/>
      <c r="N153" s="210"/>
      <c r="O153" s="210"/>
      <c r="P153" s="210"/>
      <c r="Q153" s="210"/>
      <c r="R153" s="210"/>
      <c r="S153" s="210"/>
      <c r="T153" s="210"/>
      <c r="U153" s="210"/>
      <c r="V153" s="210"/>
      <c r="W153" s="210"/>
      <c r="X153" s="210"/>
      <c r="Y153" s="210"/>
      <c r="Z153" s="210"/>
    </row>
    <row r="154" ht="21.75" customHeight="1">
      <c r="A154" s="214">
        <v>101.0</v>
      </c>
      <c r="B154" s="215" t="s">
        <v>676</v>
      </c>
      <c r="C154" s="216"/>
      <c r="D154" s="217"/>
      <c r="E154" s="217"/>
      <c r="F154" s="217"/>
      <c r="G154" s="217"/>
      <c r="H154" s="217"/>
      <c r="I154" s="208"/>
      <c r="J154" s="210"/>
      <c r="K154" s="210"/>
      <c r="L154" s="210"/>
      <c r="M154" s="210"/>
      <c r="N154" s="210"/>
      <c r="O154" s="210"/>
      <c r="P154" s="210"/>
      <c r="Q154" s="210"/>
      <c r="R154" s="210"/>
      <c r="S154" s="210"/>
      <c r="T154" s="210"/>
      <c r="U154" s="210"/>
      <c r="V154" s="210"/>
      <c r="W154" s="210"/>
      <c r="X154" s="210"/>
      <c r="Y154" s="210"/>
      <c r="Z154" s="210"/>
    </row>
    <row r="155" ht="21.75" customHeight="1">
      <c r="A155" s="214"/>
      <c r="B155" s="218" t="s">
        <v>677</v>
      </c>
      <c r="C155" s="219">
        <v>50264.0</v>
      </c>
      <c r="D155" s="220"/>
      <c r="E155" s="220"/>
      <c r="F155" s="220"/>
      <c r="G155" s="220"/>
      <c r="H155" s="220"/>
      <c r="I155" s="208"/>
      <c r="J155" s="210"/>
      <c r="K155" s="210"/>
      <c r="L155" s="210"/>
      <c r="M155" s="210"/>
      <c r="N155" s="210"/>
      <c r="O155" s="210"/>
      <c r="P155" s="210"/>
      <c r="Q155" s="210"/>
      <c r="R155" s="210"/>
      <c r="S155" s="210"/>
      <c r="T155" s="210"/>
      <c r="U155" s="210"/>
      <c r="V155" s="210"/>
      <c r="W155" s="210"/>
      <c r="X155" s="210"/>
      <c r="Y155" s="210"/>
      <c r="Z155" s="210"/>
    </row>
    <row r="156" ht="21.75" customHeight="1">
      <c r="A156" s="214"/>
      <c r="B156" s="221"/>
      <c r="C156" s="222">
        <v>100.0</v>
      </c>
      <c r="D156" s="223" t="s">
        <v>486</v>
      </c>
      <c r="E156" s="223" t="s">
        <v>487</v>
      </c>
      <c r="F156" s="223" t="s">
        <v>488</v>
      </c>
      <c r="G156" s="223" t="s">
        <v>489</v>
      </c>
      <c r="H156" s="224" t="s">
        <v>490</v>
      </c>
      <c r="I156" s="208"/>
      <c r="J156" s="210"/>
      <c r="K156" s="210"/>
      <c r="L156" s="210"/>
      <c r="M156" s="210"/>
      <c r="N156" s="210"/>
      <c r="O156" s="210"/>
      <c r="P156" s="210"/>
      <c r="Q156" s="210"/>
      <c r="R156" s="210"/>
      <c r="S156" s="210"/>
      <c r="T156" s="210"/>
      <c r="U156" s="210"/>
      <c r="V156" s="210"/>
      <c r="W156" s="210"/>
      <c r="X156" s="210"/>
      <c r="Y156" s="210"/>
      <c r="Z156" s="210"/>
    </row>
    <row r="157" ht="21.75" customHeight="1">
      <c r="A157" s="214"/>
      <c r="B157" s="221"/>
      <c r="C157" s="222">
        <v>101.0</v>
      </c>
      <c r="D157" s="223" t="s">
        <v>491</v>
      </c>
      <c r="E157" s="223" t="s">
        <v>487</v>
      </c>
      <c r="F157" s="223" t="s">
        <v>492</v>
      </c>
      <c r="G157" s="223" t="s">
        <v>678</v>
      </c>
      <c r="H157" s="225" t="s">
        <v>679</v>
      </c>
      <c r="I157" s="208"/>
      <c r="J157" s="210"/>
      <c r="K157" s="210"/>
      <c r="L157" s="210"/>
      <c r="M157" s="210"/>
      <c r="N157" s="210"/>
      <c r="O157" s="210"/>
      <c r="P157" s="210"/>
      <c r="Q157" s="210"/>
      <c r="R157" s="210"/>
      <c r="S157" s="210"/>
      <c r="T157" s="210"/>
      <c r="U157" s="210"/>
      <c r="V157" s="210"/>
      <c r="W157" s="210"/>
      <c r="X157" s="210"/>
      <c r="Y157" s="210"/>
      <c r="Z157" s="210"/>
    </row>
    <row r="158" ht="21.75" customHeight="1">
      <c r="A158" s="214"/>
      <c r="B158" s="221"/>
      <c r="C158" s="222">
        <v>102.0</v>
      </c>
      <c r="D158" s="223" t="s">
        <v>408</v>
      </c>
      <c r="E158" s="223" t="s">
        <v>487</v>
      </c>
      <c r="F158" s="223" t="s">
        <v>496</v>
      </c>
      <c r="G158" s="223" t="s">
        <v>497</v>
      </c>
      <c r="H158" s="225" t="s">
        <v>680</v>
      </c>
      <c r="I158" s="208"/>
      <c r="J158" s="210"/>
      <c r="K158" s="210"/>
      <c r="L158" s="210"/>
      <c r="M158" s="210"/>
      <c r="N158" s="210"/>
      <c r="O158" s="210"/>
      <c r="P158" s="210"/>
      <c r="Q158" s="210"/>
      <c r="R158" s="210"/>
      <c r="S158" s="210"/>
      <c r="T158" s="210"/>
      <c r="U158" s="210"/>
      <c r="V158" s="210"/>
      <c r="W158" s="210"/>
      <c r="X158" s="210"/>
      <c r="Y158" s="210"/>
      <c r="Z158" s="210"/>
    </row>
    <row r="159" ht="21.75" customHeight="1">
      <c r="A159" s="228"/>
      <c r="B159" s="221"/>
      <c r="C159" s="222">
        <v>103.0</v>
      </c>
      <c r="D159" s="223" t="s">
        <v>519</v>
      </c>
      <c r="E159" s="223" t="s">
        <v>508</v>
      </c>
      <c r="F159" s="223" t="s">
        <v>509</v>
      </c>
      <c r="G159" s="223" t="s">
        <v>510</v>
      </c>
      <c r="H159" s="225" t="s">
        <v>681</v>
      </c>
      <c r="I159" s="208"/>
      <c r="J159" s="210"/>
      <c r="K159" s="210"/>
      <c r="L159" s="210"/>
      <c r="M159" s="210"/>
      <c r="N159" s="210"/>
      <c r="O159" s="210"/>
      <c r="P159" s="210"/>
      <c r="Q159" s="210"/>
      <c r="R159" s="210"/>
      <c r="S159" s="210"/>
      <c r="T159" s="210"/>
      <c r="U159" s="210"/>
      <c r="V159" s="210"/>
      <c r="W159" s="210"/>
      <c r="X159" s="210"/>
      <c r="Y159" s="210"/>
      <c r="Z159" s="210"/>
    </row>
    <row r="160" ht="21.75" customHeight="1">
      <c r="A160" s="214">
        <v>1018.0</v>
      </c>
      <c r="B160" s="215" t="s">
        <v>682</v>
      </c>
      <c r="C160" s="216"/>
      <c r="D160" s="217"/>
      <c r="E160" s="217"/>
      <c r="F160" s="217"/>
      <c r="G160" s="217"/>
      <c r="H160" s="217"/>
      <c r="I160" s="208"/>
      <c r="J160" s="210"/>
      <c r="K160" s="210"/>
      <c r="L160" s="210"/>
      <c r="M160" s="210"/>
      <c r="N160" s="210"/>
      <c r="O160" s="210"/>
      <c r="P160" s="210"/>
      <c r="Q160" s="210"/>
      <c r="R160" s="210"/>
      <c r="S160" s="210"/>
      <c r="T160" s="210"/>
      <c r="U160" s="210"/>
      <c r="V160" s="210"/>
      <c r="W160" s="210"/>
      <c r="X160" s="210"/>
      <c r="Y160" s="210"/>
      <c r="Z160" s="210"/>
    </row>
    <row r="161" ht="21.75" customHeight="1">
      <c r="A161" s="214"/>
      <c r="B161" s="218" t="s">
        <v>683</v>
      </c>
      <c r="C161" s="219">
        <v>52001.0</v>
      </c>
      <c r="D161" s="220"/>
      <c r="E161" s="220"/>
      <c r="F161" s="220"/>
      <c r="G161" s="220"/>
      <c r="H161" s="220"/>
      <c r="I161" s="208"/>
      <c r="J161" s="210"/>
      <c r="K161" s="210"/>
      <c r="L161" s="210"/>
      <c r="M161" s="210"/>
      <c r="N161" s="210"/>
      <c r="O161" s="210"/>
      <c r="P161" s="210"/>
      <c r="Q161" s="210"/>
      <c r="R161" s="210"/>
      <c r="S161" s="210"/>
      <c r="T161" s="210"/>
      <c r="U161" s="210"/>
      <c r="V161" s="210"/>
      <c r="W161" s="210"/>
      <c r="X161" s="210"/>
      <c r="Y161" s="210"/>
      <c r="Z161" s="210"/>
    </row>
    <row r="162" ht="21.75" customHeight="1">
      <c r="A162" s="214"/>
      <c r="B162" s="221"/>
      <c r="C162" s="222">
        <v>100.0</v>
      </c>
      <c r="D162" s="223" t="s">
        <v>684</v>
      </c>
      <c r="E162" s="223" t="s">
        <v>685</v>
      </c>
      <c r="F162" s="223" t="s">
        <v>686</v>
      </c>
      <c r="G162" s="218" t="s">
        <v>490</v>
      </c>
      <c r="H162" s="225" t="s">
        <v>687</v>
      </c>
      <c r="I162" s="208"/>
      <c r="J162" s="210"/>
      <c r="K162" s="210"/>
      <c r="L162" s="210"/>
      <c r="M162" s="210"/>
      <c r="N162" s="210"/>
      <c r="O162" s="210"/>
      <c r="P162" s="210"/>
      <c r="Q162" s="210"/>
      <c r="R162" s="210"/>
      <c r="S162" s="210"/>
      <c r="T162" s="210"/>
      <c r="U162" s="210"/>
      <c r="V162" s="210"/>
      <c r="W162" s="210"/>
      <c r="X162" s="210"/>
      <c r="Y162" s="210"/>
      <c r="Z162" s="210"/>
    </row>
    <row r="163" ht="21.75" customHeight="1">
      <c r="A163" s="214"/>
      <c r="B163" s="221"/>
      <c r="C163" s="222">
        <v>101.0</v>
      </c>
      <c r="D163" s="223" t="s">
        <v>688</v>
      </c>
      <c r="E163" s="223" t="s">
        <v>487</v>
      </c>
      <c r="F163" s="223" t="s">
        <v>488</v>
      </c>
      <c r="G163" s="223" t="s">
        <v>489</v>
      </c>
      <c r="H163" s="224" t="s">
        <v>490</v>
      </c>
      <c r="I163" s="208"/>
      <c r="J163" s="210"/>
      <c r="K163" s="210"/>
      <c r="L163" s="210"/>
      <c r="M163" s="210"/>
      <c r="N163" s="210"/>
      <c r="O163" s="210"/>
      <c r="P163" s="210"/>
      <c r="Q163" s="210"/>
      <c r="R163" s="210"/>
      <c r="S163" s="210"/>
      <c r="T163" s="210"/>
      <c r="U163" s="210"/>
      <c r="V163" s="210"/>
      <c r="W163" s="210"/>
      <c r="X163" s="210"/>
      <c r="Y163" s="210"/>
      <c r="Z163" s="210"/>
    </row>
    <row r="164" ht="21.75" customHeight="1">
      <c r="A164" s="214"/>
      <c r="B164" s="221"/>
      <c r="C164" s="222">
        <v>102.0</v>
      </c>
      <c r="D164" s="223" t="s">
        <v>689</v>
      </c>
      <c r="E164" s="223" t="s">
        <v>487</v>
      </c>
      <c r="F164" s="223" t="s">
        <v>492</v>
      </c>
      <c r="G164" s="223" t="s">
        <v>678</v>
      </c>
      <c r="H164" s="225" t="s">
        <v>690</v>
      </c>
      <c r="I164" s="208"/>
      <c r="J164" s="210"/>
      <c r="K164" s="210"/>
      <c r="L164" s="210"/>
      <c r="M164" s="210"/>
      <c r="N164" s="210"/>
      <c r="O164" s="210"/>
      <c r="P164" s="210"/>
      <c r="Q164" s="210"/>
      <c r="R164" s="210"/>
      <c r="S164" s="210"/>
      <c r="T164" s="210"/>
      <c r="U164" s="210"/>
      <c r="V164" s="210"/>
      <c r="W164" s="210"/>
      <c r="X164" s="210"/>
      <c r="Y164" s="210"/>
      <c r="Z164" s="210"/>
    </row>
    <row r="165" ht="21.75" customHeight="1">
      <c r="A165" s="214"/>
      <c r="B165" s="221"/>
      <c r="C165" s="222">
        <v>103.0</v>
      </c>
      <c r="D165" s="223" t="s">
        <v>691</v>
      </c>
      <c r="E165" s="223" t="s">
        <v>487</v>
      </c>
      <c r="F165" s="223" t="s">
        <v>496</v>
      </c>
      <c r="G165" s="223" t="s">
        <v>497</v>
      </c>
      <c r="H165" s="225" t="s">
        <v>692</v>
      </c>
      <c r="I165" s="208"/>
      <c r="J165" s="210"/>
      <c r="K165" s="210"/>
      <c r="L165" s="210"/>
      <c r="M165" s="210"/>
      <c r="N165" s="210"/>
      <c r="O165" s="210"/>
      <c r="P165" s="210"/>
      <c r="Q165" s="210"/>
      <c r="R165" s="210"/>
      <c r="S165" s="210"/>
      <c r="T165" s="210"/>
      <c r="U165" s="210"/>
      <c r="V165" s="210"/>
      <c r="W165" s="210"/>
      <c r="X165" s="210"/>
      <c r="Y165" s="210"/>
      <c r="Z165" s="210"/>
    </row>
    <row r="166" ht="21.75" customHeight="1">
      <c r="A166" s="214"/>
      <c r="B166" s="221"/>
      <c r="C166" s="222">
        <v>104.0</v>
      </c>
      <c r="D166" s="223" t="s">
        <v>693</v>
      </c>
      <c r="E166" s="223" t="s">
        <v>487</v>
      </c>
      <c r="F166" s="223" t="s">
        <v>500</v>
      </c>
      <c r="G166" s="223" t="s">
        <v>501</v>
      </c>
      <c r="H166" s="225" t="s">
        <v>694</v>
      </c>
      <c r="I166" s="208"/>
      <c r="J166" s="210"/>
      <c r="K166" s="210"/>
      <c r="L166" s="210"/>
      <c r="M166" s="210"/>
      <c r="N166" s="210"/>
      <c r="O166" s="210"/>
      <c r="P166" s="210"/>
      <c r="Q166" s="210"/>
      <c r="R166" s="210"/>
      <c r="S166" s="210"/>
      <c r="T166" s="210"/>
      <c r="U166" s="210"/>
      <c r="V166" s="210"/>
      <c r="W166" s="210"/>
      <c r="X166" s="210"/>
      <c r="Y166" s="210"/>
      <c r="Z166" s="210"/>
    </row>
    <row r="167" ht="21.75" customHeight="1">
      <c r="A167" s="214"/>
      <c r="B167" s="221"/>
      <c r="C167" s="222">
        <v>105.0</v>
      </c>
      <c r="D167" s="223" t="s">
        <v>695</v>
      </c>
      <c r="E167" s="223" t="s">
        <v>487</v>
      </c>
      <c r="F167" s="223" t="s">
        <v>613</v>
      </c>
      <c r="G167" s="223" t="s">
        <v>493</v>
      </c>
      <c r="H167" s="224" t="s">
        <v>490</v>
      </c>
      <c r="I167" s="208"/>
      <c r="J167" s="210"/>
      <c r="K167" s="210"/>
      <c r="L167" s="210"/>
      <c r="M167" s="210"/>
      <c r="N167" s="210"/>
      <c r="O167" s="210"/>
      <c r="P167" s="210"/>
      <c r="Q167" s="210"/>
      <c r="R167" s="210"/>
      <c r="S167" s="210"/>
      <c r="T167" s="210"/>
      <c r="U167" s="210"/>
      <c r="V167" s="210"/>
      <c r="W167" s="210"/>
      <c r="X167" s="210"/>
      <c r="Y167" s="210"/>
      <c r="Z167" s="210"/>
    </row>
    <row r="168" ht="21.75" customHeight="1">
      <c r="A168" s="214"/>
      <c r="B168" s="221"/>
      <c r="C168" s="222">
        <v>106.0</v>
      </c>
      <c r="D168" s="223" t="s">
        <v>507</v>
      </c>
      <c r="E168" s="223" t="s">
        <v>508</v>
      </c>
      <c r="F168" s="223" t="s">
        <v>509</v>
      </c>
      <c r="G168" s="218" t="s">
        <v>490</v>
      </c>
      <c r="H168" s="224" t="s">
        <v>490</v>
      </c>
      <c r="I168" s="208"/>
      <c r="J168" s="210"/>
      <c r="K168" s="210"/>
      <c r="L168" s="210"/>
      <c r="M168" s="210"/>
      <c r="N168" s="210"/>
      <c r="O168" s="210"/>
      <c r="P168" s="210"/>
      <c r="Q168" s="210"/>
      <c r="R168" s="210"/>
      <c r="S168" s="210"/>
      <c r="T168" s="210"/>
      <c r="U168" s="210"/>
      <c r="V168" s="210"/>
      <c r="W168" s="210"/>
      <c r="X168" s="210"/>
      <c r="Y168" s="210"/>
      <c r="Z168" s="210"/>
    </row>
    <row r="169" ht="21.75" customHeight="1">
      <c r="A169" s="214"/>
      <c r="B169" s="221"/>
      <c r="C169" s="222">
        <v>107.0</v>
      </c>
      <c r="D169" s="223" t="s">
        <v>696</v>
      </c>
      <c r="E169" s="223" t="s">
        <v>673</v>
      </c>
      <c r="F169" s="223" t="s">
        <v>696</v>
      </c>
      <c r="G169" s="218" t="s">
        <v>490</v>
      </c>
      <c r="H169" s="224" t="s">
        <v>490</v>
      </c>
      <c r="I169" s="208"/>
      <c r="J169" s="210"/>
      <c r="K169" s="210"/>
      <c r="L169" s="210"/>
      <c r="M169" s="210"/>
      <c r="N169" s="210"/>
      <c r="O169" s="210"/>
      <c r="P169" s="210"/>
      <c r="Q169" s="210"/>
      <c r="R169" s="210"/>
      <c r="S169" s="210"/>
      <c r="T169" s="210"/>
      <c r="U169" s="210"/>
      <c r="V169" s="210"/>
      <c r="W169" s="210"/>
      <c r="X169" s="210"/>
      <c r="Y169" s="210"/>
      <c r="Z169" s="210"/>
    </row>
    <row r="170" ht="21.75" customHeight="1">
      <c r="A170" s="214"/>
      <c r="B170" s="221"/>
      <c r="C170" s="222">
        <v>108.0</v>
      </c>
      <c r="D170" s="223" t="s">
        <v>697</v>
      </c>
      <c r="E170" s="223" t="s">
        <v>487</v>
      </c>
      <c r="F170" s="223" t="s">
        <v>512</v>
      </c>
      <c r="G170" s="218" t="s">
        <v>490</v>
      </c>
      <c r="H170" s="224" t="s">
        <v>490</v>
      </c>
      <c r="I170" s="208"/>
      <c r="J170" s="210"/>
      <c r="K170" s="210"/>
      <c r="L170" s="210"/>
      <c r="M170" s="210"/>
      <c r="N170" s="210"/>
      <c r="O170" s="210"/>
      <c r="P170" s="210"/>
      <c r="Q170" s="210"/>
      <c r="R170" s="210"/>
      <c r="S170" s="210"/>
      <c r="T170" s="210"/>
      <c r="U170" s="210"/>
      <c r="V170" s="210"/>
      <c r="W170" s="210"/>
      <c r="X170" s="210"/>
      <c r="Y170" s="210"/>
      <c r="Z170" s="210"/>
    </row>
    <row r="171" ht="21.75" customHeight="1">
      <c r="A171" s="214"/>
      <c r="B171" s="221"/>
      <c r="C171" s="222">
        <v>109.0</v>
      </c>
      <c r="D171" s="223" t="s">
        <v>698</v>
      </c>
      <c r="E171" s="223" t="s">
        <v>487</v>
      </c>
      <c r="F171" s="223" t="s">
        <v>532</v>
      </c>
      <c r="G171" s="218" t="s">
        <v>490</v>
      </c>
      <c r="H171" s="224" t="s">
        <v>490</v>
      </c>
      <c r="I171" s="208"/>
      <c r="J171" s="210"/>
      <c r="K171" s="210"/>
      <c r="L171" s="210"/>
      <c r="M171" s="210"/>
      <c r="N171" s="210"/>
      <c r="O171" s="210"/>
      <c r="P171" s="210"/>
      <c r="Q171" s="210"/>
      <c r="R171" s="210"/>
      <c r="S171" s="210"/>
      <c r="T171" s="210"/>
      <c r="U171" s="210"/>
      <c r="V171" s="210"/>
      <c r="W171" s="210"/>
      <c r="X171" s="210"/>
      <c r="Y171" s="210"/>
      <c r="Z171" s="210"/>
    </row>
    <row r="172" ht="21.75" customHeight="1">
      <c r="A172" s="214"/>
      <c r="B172" s="221"/>
      <c r="C172" s="222">
        <v>110.0</v>
      </c>
      <c r="D172" s="223" t="s">
        <v>699</v>
      </c>
      <c r="E172" s="223" t="s">
        <v>487</v>
      </c>
      <c r="F172" s="223" t="s">
        <v>590</v>
      </c>
      <c r="G172" s="218" t="s">
        <v>490</v>
      </c>
      <c r="H172" s="224" t="s">
        <v>490</v>
      </c>
      <c r="I172" s="208"/>
      <c r="J172" s="210"/>
      <c r="K172" s="210"/>
      <c r="L172" s="210"/>
      <c r="M172" s="210"/>
      <c r="N172" s="210"/>
      <c r="O172" s="210"/>
      <c r="P172" s="210"/>
      <c r="Q172" s="210"/>
      <c r="R172" s="210"/>
      <c r="S172" s="210"/>
      <c r="T172" s="210"/>
      <c r="U172" s="210"/>
      <c r="V172" s="210"/>
      <c r="W172" s="210"/>
      <c r="X172" s="210"/>
      <c r="Y172" s="210"/>
      <c r="Z172" s="210"/>
    </row>
    <row r="173" ht="21.75" customHeight="1">
      <c r="A173" s="214"/>
      <c r="B173" s="221"/>
      <c r="C173" s="222">
        <v>111.0</v>
      </c>
      <c r="D173" s="223" t="s">
        <v>700</v>
      </c>
      <c r="E173" s="223" t="s">
        <v>487</v>
      </c>
      <c r="F173" s="223" t="s">
        <v>603</v>
      </c>
      <c r="G173" s="223" t="s">
        <v>526</v>
      </c>
      <c r="H173" s="224" t="s">
        <v>490</v>
      </c>
      <c r="I173" s="208"/>
      <c r="J173" s="210"/>
      <c r="K173" s="210"/>
      <c r="L173" s="210"/>
      <c r="M173" s="210"/>
      <c r="N173" s="210"/>
      <c r="O173" s="210"/>
      <c r="P173" s="210"/>
      <c r="Q173" s="210"/>
      <c r="R173" s="210"/>
      <c r="S173" s="210"/>
      <c r="T173" s="210"/>
      <c r="U173" s="210"/>
      <c r="V173" s="210"/>
      <c r="W173" s="210"/>
      <c r="X173" s="210"/>
      <c r="Y173" s="210"/>
      <c r="Z173" s="210"/>
    </row>
    <row r="174" ht="21.75" customHeight="1">
      <c r="A174" s="214"/>
      <c r="B174" s="221"/>
      <c r="C174" s="222">
        <v>112.0</v>
      </c>
      <c r="D174" s="223" t="s">
        <v>701</v>
      </c>
      <c r="E174" s="223" t="s">
        <v>487</v>
      </c>
      <c r="F174" s="223" t="s">
        <v>579</v>
      </c>
      <c r="G174" s="218" t="s">
        <v>490</v>
      </c>
      <c r="H174" s="224" t="s">
        <v>490</v>
      </c>
      <c r="I174" s="208"/>
      <c r="J174" s="210"/>
      <c r="K174" s="210"/>
      <c r="L174" s="210"/>
      <c r="M174" s="210"/>
      <c r="N174" s="210"/>
      <c r="O174" s="210"/>
      <c r="P174" s="210"/>
      <c r="Q174" s="210"/>
      <c r="R174" s="210"/>
      <c r="S174" s="210"/>
      <c r="T174" s="210"/>
      <c r="U174" s="210"/>
      <c r="V174" s="210"/>
      <c r="W174" s="210"/>
      <c r="X174" s="210"/>
      <c r="Y174" s="210"/>
      <c r="Z174" s="210"/>
    </row>
    <row r="175" ht="21.75" customHeight="1">
      <c r="A175" s="214"/>
      <c r="B175" s="221"/>
      <c r="C175" s="222">
        <v>113.0</v>
      </c>
      <c r="D175" s="223" t="s">
        <v>702</v>
      </c>
      <c r="E175" s="223" t="s">
        <v>487</v>
      </c>
      <c r="F175" s="223" t="s">
        <v>583</v>
      </c>
      <c r="G175" s="218" t="s">
        <v>490</v>
      </c>
      <c r="H175" s="224" t="s">
        <v>490</v>
      </c>
      <c r="I175" s="208"/>
      <c r="J175" s="210"/>
      <c r="K175" s="210"/>
      <c r="L175" s="210"/>
      <c r="M175" s="210"/>
      <c r="N175" s="210"/>
      <c r="O175" s="210"/>
      <c r="P175" s="210"/>
      <c r="Q175" s="210"/>
      <c r="R175" s="210"/>
      <c r="S175" s="210"/>
      <c r="T175" s="210"/>
      <c r="U175" s="210"/>
      <c r="V175" s="210"/>
      <c r="W175" s="210"/>
      <c r="X175" s="210"/>
      <c r="Y175" s="210"/>
      <c r="Z175" s="210"/>
    </row>
    <row r="176" ht="21.75" customHeight="1">
      <c r="A176" s="214"/>
      <c r="B176" s="221"/>
      <c r="C176" s="222">
        <v>114.0</v>
      </c>
      <c r="D176" s="223" t="s">
        <v>703</v>
      </c>
      <c r="E176" s="223" t="s">
        <v>487</v>
      </c>
      <c r="F176" s="223" t="s">
        <v>601</v>
      </c>
      <c r="G176" s="218" t="s">
        <v>490</v>
      </c>
      <c r="H176" s="224" t="s">
        <v>490</v>
      </c>
      <c r="I176" s="208"/>
      <c r="J176" s="210"/>
      <c r="K176" s="210"/>
      <c r="L176" s="210"/>
      <c r="M176" s="210"/>
      <c r="N176" s="210"/>
      <c r="O176" s="210"/>
      <c r="P176" s="210"/>
      <c r="Q176" s="210"/>
      <c r="R176" s="210"/>
      <c r="S176" s="210"/>
      <c r="T176" s="210"/>
      <c r="U176" s="210"/>
      <c r="V176" s="210"/>
      <c r="W176" s="210"/>
      <c r="X176" s="210"/>
      <c r="Y176" s="210"/>
      <c r="Z176" s="210"/>
    </row>
    <row r="177" ht="21.75" customHeight="1">
      <c r="A177" s="214"/>
      <c r="B177" s="221"/>
      <c r="C177" s="222">
        <v>115.0</v>
      </c>
      <c r="D177" s="223" t="s">
        <v>704</v>
      </c>
      <c r="E177" s="223" t="s">
        <v>487</v>
      </c>
      <c r="F177" s="223" t="s">
        <v>560</v>
      </c>
      <c r="G177" s="218" t="s">
        <v>490</v>
      </c>
      <c r="H177" s="224" t="s">
        <v>490</v>
      </c>
      <c r="I177" s="208"/>
      <c r="J177" s="210"/>
      <c r="K177" s="210"/>
      <c r="L177" s="210"/>
      <c r="M177" s="210"/>
      <c r="N177" s="210"/>
      <c r="O177" s="210"/>
      <c r="P177" s="210"/>
      <c r="Q177" s="210"/>
      <c r="R177" s="210"/>
      <c r="S177" s="210"/>
      <c r="T177" s="210"/>
      <c r="U177" s="210"/>
      <c r="V177" s="210"/>
      <c r="W177" s="210"/>
      <c r="X177" s="210"/>
      <c r="Y177" s="210"/>
      <c r="Z177" s="210"/>
    </row>
    <row r="178" ht="21.75" customHeight="1">
      <c r="A178" s="228"/>
      <c r="B178" s="221"/>
      <c r="C178" s="222">
        <v>116.0</v>
      </c>
      <c r="D178" s="223" t="s">
        <v>705</v>
      </c>
      <c r="E178" s="223" t="s">
        <v>539</v>
      </c>
      <c r="F178" s="223" t="s">
        <v>542</v>
      </c>
      <c r="G178" s="218" t="s">
        <v>490</v>
      </c>
      <c r="H178" s="224" t="s">
        <v>490</v>
      </c>
      <c r="I178" s="208"/>
      <c r="J178" s="210"/>
      <c r="K178" s="210"/>
      <c r="L178" s="210"/>
      <c r="M178" s="210"/>
      <c r="N178" s="210"/>
      <c r="O178" s="210"/>
      <c r="P178" s="210"/>
      <c r="Q178" s="210"/>
      <c r="R178" s="210"/>
      <c r="S178" s="210"/>
      <c r="T178" s="210"/>
      <c r="U178" s="210"/>
      <c r="V178" s="210"/>
      <c r="W178" s="210"/>
      <c r="X178" s="210"/>
      <c r="Y178" s="210"/>
      <c r="Z178" s="210"/>
    </row>
    <row r="179" ht="21.75" customHeight="1">
      <c r="A179" s="214">
        <v>104.0</v>
      </c>
      <c r="B179" s="229" t="s">
        <v>706</v>
      </c>
      <c r="C179" s="230"/>
      <c r="D179" s="217"/>
      <c r="E179" s="217"/>
      <c r="F179" s="217"/>
      <c r="G179" s="217"/>
      <c r="H179" s="217"/>
      <c r="I179" s="208"/>
      <c r="J179" s="210"/>
      <c r="K179" s="210"/>
      <c r="L179" s="210"/>
      <c r="M179" s="210"/>
      <c r="N179" s="210"/>
      <c r="O179" s="210"/>
      <c r="P179" s="210"/>
      <c r="Q179" s="210"/>
      <c r="R179" s="210"/>
      <c r="S179" s="210"/>
      <c r="T179" s="210"/>
      <c r="U179" s="210"/>
      <c r="V179" s="210"/>
      <c r="W179" s="210"/>
      <c r="X179" s="210"/>
      <c r="Y179" s="210"/>
      <c r="Z179" s="210"/>
    </row>
    <row r="180" ht="21.75" customHeight="1">
      <c r="A180" s="214"/>
      <c r="B180" s="218" t="s">
        <v>707</v>
      </c>
      <c r="C180" s="219">
        <v>50547.0</v>
      </c>
      <c r="D180" s="220"/>
      <c r="E180" s="220"/>
      <c r="F180" s="220"/>
      <c r="G180" s="220"/>
      <c r="H180" s="220"/>
      <c r="I180" s="208"/>
      <c r="J180" s="210"/>
      <c r="K180" s="210"/>
      <c r="L180" s="210"/>
      <c r="M180" s="210"/>
      <c r="N180" s="210"/>
      <c r="O180" s="210"/>
      <c r="P180" s="210"/>
      <c r="Q180" s="210"/>
      <c r="R180" s="210"/>
      <c r="S180" s="210"/>
      <c r="T180" s="210"/>
      <c r="U180" s="210"/>
      <c r="V180" s="210"/>
      <c r="W180" s="210"/>
      <c r="X180" s="210"/>
      <c r="Y180" s="210"/>
      <c r="Z180" s="210"/>
    </row>
    <row r="181" ht="21.75" customHeight="1">
      <c r="A181" s="214"/>
      <c r="B181" s="221"/>
      <c r="C181" s="222">
        <v>100.0</v>
      </c>
      <c r="D181" s="223" t="s">
        <v>486</v>
      </c>
      <c r="E181" s="223" t="s">
        <v>487</v>
      </c>
      <c r="F181" s="223" t="s">
        <v>488</v>
      </c>
      <c r="G181" s="223" t="s">
        <v>489</v>
      </c>
      <c r="H181" s="224" t="s">
        <v>490</v>
      </c>
      <c r="I181" s="208"/>
      <c r="J181" s="210"/>
      <c r="K181" s="210"/>
      <c r="L181" s="210"/>
      <c r="M181" s="210"/>
      <c r="N181" s="210"/>
      <c r="O181" s="210"/>
      <c r="P181" s="210"/>
      <c r="Q181" s="210"/>
      <c r="R181" s="210"/>
      <c r="S181" s="210"/>
      <c r="T181" s="210"/>
      <c r="U181" s="210"/>
      <c r="V181" s="210"/>
      <c r="W181" s="210"/>
      <c r="X181" s="210"/>
      <c r="Y181" s="210"/>
      <c r="Z181" s="210"/>
    </row>
    <row r="182" ht="21.75" customHeight="1">
      <c r="A182" s="214"/>
      <c r="B182" s="221"/>
      <c r="C182" s="222">
        <v>101.0</v>
      </c>
      <c r="D182" s="223" t="s">
        <v>369</v>
      </c>
      <c r="E182" s="223" t="s">
        <v>487</v>
      </c>
      <c r="F182" s="223" t="s">
        <v>492</v>
      </c>
      <c r="G182" s="223" t="s">
        <v>678</v>
      </c>
      <c r="H182" s="225" t="s">
        <v>708</v>
      </c>
      <c r="I182" s="208"/>
      <c r="J182" s="210"/>
      <c r="K182" s="210"/>
      <c r="L182" s="210"/>
      <c r="M182" s="210"/>
      <c r="N182" s="210"/>
      <c r="O182" s="210"/>
      <c r="P182" s="210"/>
      <c r="Q182" s="210"/>
      <c r="R182" s="210"/>
      <c r="S182" s="210"/>
      <c r="T182" s="210"/>
      <c r="U182" s="210"/>
      <c r="V182" s="210"/>
      <c r="W182" s="210"/>
      <c r="X182" s="210"/>
      <c r="Y182" s="210"/>
      <c r="Z182" s="210"/>
    </row>
    <row r="183" ht="21.75" customHeight="1">
      <c r="A183" s="214"/>
      <c r="B183" s="221"/>
      <c r="C183" s="222">
        <v>102.0</v>
      </c>
      <c r="D183" s="223" t="s">
        <v>709</v>
      </c>
      <c r="E183" s="223" t="s">
        <v>487</v>
      </c>
      <c r="F183" s="223" t="s">
        <v>496</v>
      </c>
      <c r="G183" s="223" t="s">
        <v>497</v>
      </c>
      <c r="H183" s="225" t="s">
        <v>710</v>
      </c>
      <c r="I183" s="231"/>
      <c r="J183" s="210"/>
      <c r="K183" s="210"/>
      <c r="L183" s="210"/>
      <c r="M183" s="210"/>
      <c r="N183" s="210"/>
      <c r="O183" s="210"/>
      <c r="P183" s="210"/>
      <c r="Q183" s="210"/>
      <c r="R183" s="210"/>
      <c r="S183" s="210"/>
      <c r="T183" s="210"/>
      <c r="U183" s="210"/>
      <c r="V183" s="210"/>
      <c r="W183" s="210"/>
      <c r="X183" s="210"/>
      <c r="Y183" s="210"/>
      <c r="Z183" s="210"/>
    </row>
    <row r="184" ht="21.75" customHeight="1">
      <c r="A184" s="228"/>
      <c r="B184" s="221"/>
      <c r="C184" s="222">
        <v>103.0</v>
      </c>
      <c r="D184" s="223" t="s">
        <v>507</v>
      </c>
      <c r="E184" s="223" t="s">
        <v>508</v>
      </c>
      <c r="F184" s="223" t="s">
        <v>509</v>
      </c>
      <c r="G184" s="223" t="s">
        <v>510</v>
      </c>
      <c r="H184" s="225" t="s">
        <v>711</v>
      </c>
      <c r="I184" s="232"/>
      <c r="J184" s="210"/>
      <c r="K184" s="210"/>
      <c r="L184" s="210"/>
      <c r="M184" s="210"/>
      <c r="N184" s="210"/>
      <c r="O184" s="210"/>
      <c r="P184" s="210"/>
      <c r="Q184" s="210"/>
      <c r="R184" s="210"/>
      <c r="S184" s="210"/>
      <c r="T184" s="210"/>
      <c r="U184" s="210"/>
      <c r="V184" s="210"/>
      <c r="W184" s="210"/>
      <c r="X184" s="210"/>
      <c r="Y184" s="210"/>
      <c r="Z184" s="210"/>
    </row>
    <row r="185" ht="21.75" customHeight="1">
      <c r="A185" s="214">
        <v>113.0</v>
      </c>
      <c r="B185" s="215" t="s">
        <v>712</v>
      </c>
      <c r="C185" s="216"/>
      <c r="D185" s="217"/>
      <c r="E185" s="217"/>
      <c r="F185" s="217"/>
      <c r="G185" s="217"/>
      <c r="H185" s="217"/>
      <c r="I185" s="232"/>
      <c r="J185" s="210"/>
      <c r="K185" s="210"/>
      <c r="L185" s="210"/>
      <c r="M185" s="210"/>
      <c r="N185" s="210"/>
      <c r="O185" s="210"/>
      <c r="P185" s="210"/>
      <c r="Q185" s="210"/>
      <c r="R185" s="210"/>
      <c r="S185" s="210"/>
      <c r="T185" s="210"/>
      <c r="U185" s="210"/>
      <c r="V185" s="210"/>
      <c r="W185" s="210"/>
      <c r="X185" s="210"/>
      <c r="Y185" s="210"/>
      <c r="Z185" s="210"/>
    </row>
    <row r="186" ht="21.75" customHeight="1">
      <c r="A186" s="214"/>
      <c r="B186" s="218" t="s">
        <v>713</v>
      </c>
      <c r="C186" s="219">
        <v>50295.0</v>
      </c>
      <c r="D186" s="220"/>
      <c r="E186" s="220"/>
      <c r="F186" s="220"/>
      <c r="G186" s="220"/>
      <c r="H186" s="220"/>
      <c r="I186" s="232"/>
      <c r="J186" s="210"/>
      <c r="K186" s="210"/>
      <c r="L186" s="210"/>
      <c r="M186" s="210"/>
      <c r="N186" s="210"/>
      <c r="O186" s="210"/>
      <c r="P186" s="210"/>
      <c r="Q186" s="210"/>
      <c r="R186" s="210"/>
      <c r="S186" s="210"/>
      <c r="T186" s="210"/>
      <c r="U186" s="210"/>
      <c r="V186" s="210"/>
      <c r="W186" s="210"/>
      <c r="X186" s="210"/>
      <c r="Y186" s="210"/>
      <c r="Z186" s="210"/>
    </row>
    <row r="187" ht="21.75" customHeight="1">
      <c r="A187" s="214"/>
      <c r="B187" s="221"/>
      <c r="C187" s="222">
        <v>100.0</v>
      </c>
      <c r="D187" s="223" t="s">
        <v>486</v>
      </c>
      <c r="E187" s="223" t="s">
        <v>487</v>
      </c>
      <c r="F187" s="223" t="s">
        <v>488</v>
      </c>
      <c r="G187" s="223" t="s">
        <v>489</v>
      </c>
      <c r="H187" s="224" t="s">
        <v>490</v>
      </c>
      <c r="I187" s="208"/>
      <c r="J187" s="210"/>
      <c r="K187" s="210"/>
      <c r="L187" s="210"/>
      <c r="M187" s="210"/>
      <c r="N187" s="210"/>
      <c r="O187" s="210"/>
      <c r="P187" s="210"/>
      <c r="Q187" s="210"/>
      <c r="R187" s="210"/>
      <c r="S187" s="210"/>
      <c r="T187" s="210"/>
      <c r="U187" s="210"/>
      <c r="V187" s="210"/>
      <c r="W187" s="210"/>
      <c r="X187" s="210"/>
      <c r="Y187" s="210"/>
      <c r="Z187" s="210"/>
    </row>
    <row r="188" ht="21.75" customHeight="1">
      <c r="A188" s="214"/>
      <c r="B188" s="221"/>
      <c r="C188" s="222">
        <v>101.0</v>
      </c>
      <c r="D188" s="223" t="s">
        <v>491</v>
      </c>
      <c r="E188" s="223" t="s">
        <v>487</v>
      </c>
      <c r="F188" s="223" t="s">
        <v>492</v>
      </c>
      <c r="G188" s="223" t="s">
        <v>678</v>
      </c>
      <c r="H188" s="225" t="s">
        <v>714</v>
      </c>
      <c r="I188" s="208"/>
      <c r="J188" s="210"/>
      <c r="K188" s="210"/>
      <c r="L188" s="210"/>
      <c r="M188" s="210"/>
      <c r="N188" s="210"/>
      <c r="O188" s="210"/>
      <c r="P188" s="210"/>
      <c r="Q188" s="210"/>
      <c r="R188" s="210"/>
      <c r="S188" s="210"/>
      <c r="T188" s="210"/>
      <c r="U188" s="210"/>
      <c r="V188" s="210"/>
      <c r="W188" s="210"/>
      <c r="X188" s="210"/>
      <c r="Y188" s="210"/>
      <c r="Z188" s="210"/>
    </row>
    <row r="189" ht="21.75" customHeight="1">
      <c r="A189" s="214"/>
      <c r="B189" s="221"/>
      <c r="C189" s="222">
        <v>102.0</v>
      </c>
      <c r="D189" s="223" t="s">
        <v>715</v>
      </c>
      <c r="E189" s="223" t="s">
        <v>487</v>
      </c>
      <c r="F189" s="223" t="s">
        <v>496</v>
      </c>
      <c r="G189" s="223" t="s">
        <v>501</v>
      </c>
      <c r="H189" s="224" t="s">
        <v>490</v>
      </c>
      <c r="I189" s="208"/>
      <c r="J189" s="210"/>
      <c r="K189" s="210"/>
      <c r="L189" s="210"/>
      <c r="M189" s="210"/>
      <c r="N189" s="210"/>
      <c r="O189" s="210"/>
      <c r="P189" s="210"/>
      <c r="Q189" s="210"/>
      <c r="R189" s="210"/>
      <c r="S189" s="210"/>
      <c r="T189" s="210"/>
      <c r="U189" s="210"/>
      <c r="V189" s="210"/>
      <c r="W189" s="210"/>
      <c r="X189" s="210"/>
      <c r="Y189" s="210"/>
      <c r="Z189" s="210"/>
    </row>
    <row r="190" ht="21.75" customHeight="1">
      <c r="A190" s="214"/>
      <c r="B190" s="221"/>
      <c r="C190" s="222">
        <v>103.0</v>
      </c>
      <c r="D190" s="223" t="s">
        <v>716</v>
      </c>
      <c r="E190" s="223" t="s">
        <v>487</v>
      </c>
      <c r="F190" s="223" t="s">
        <v>500</v>
      </c>
      <c r="G190" s="223" t="s">
        <v>497</v>
      </c>
      <c r="H190" s="225" t="s">
        <v>717</v>
      </c>
      <c r="I190" s="208"/>
      <c r="J190" s="210"/>
      <c r="K190" s="210"/>
      <c r="L190" s="210"/>
      <c r="M190" s="210"/>
      <c r="N190" s="210"/>
      <c r="O190" s="210"/>
      <c r="P190" s="210"/>
      <c r="Q190" s="210"/>
      <c r="R190" s="210"/>
      <c r="S190" s="210"/>
      <c r="T190" s="210"/>
      <c r="U190" s="210"/>
      <c r="V190" s="210"/>
      <c r="W190" s="210"/>
      <c r="X190" s="210"/>
      <c r="Y190" s="210"/>
      <c r="Z190" s="210"/>
    </row>
    <row r="191" ht="21.75" customHeight="1">
      <c r="A191" s="214"/>
      <c r="B191" s="221"/>
      <c r="C191" s="222">
        <v>104.0</v>
      </c>
      <c r="D191" s="223" t="s">
        <v>718</v>
      </c>
      <c r="E191" s="223" t="s">
        <v>487</v>
      </c>
      <c r="F191" s="223" t="s">
        <v>512</v>
      </c>
      <c r="G191" s="223" t="s">
        <v>493</v>
      </c>
      <c r="H191" s="224" t="s">
        <v>490</v>
      </c>
      <c r="I191" s="208"/>
      <c r="J191" s="210"/>
      <c r="K191" s="210"/>
      <c r="L191" s="210"/>
      <c r="M191" s="210"/>
      <c r="N191" s="210"/>
      <c r="O191" s="210"/>
      <c r="P191" s="210"/>
      <c r="Q191" s="210"/>
      <c r="R191" s="210"/>
      <c r="S191" s="210"/>
      <c r="T191" s="210"/>
      <c r="U191" s="210"/>
      <c r="V191" s="210"/>
      <c r="W191" s="210"/>
      <c r="X191" s="210"/>
      <c r="Y191" s="210"/>
      <c r="Z191" s="210"/>
    </row>
    <row r="192" ht="21.75" customHeight="1">
      <c r="A192" s="214"/>
      <c r="B192" s="221"/>
      <c r="C192" s="222">
        <v>105.0</v>
      </c>
      <c r="D192" s="223" t="s">
        <v>719</v>
      </c>
      <c r="E192" s="223" t="s">
        <v>487</v>
      </c>
      <c r="F192" s="223" t="s">
        <v>532</v>
      </c>
      <c r="G192" s="223" t="s">
        <v>526</v>
      </c>
      <c r="H192" s="224" t="s">
        <v>490</v>
      </c>
      <c r="I192" s="208"/>
      <c r="J192" s="210"/>
      <c r="K192" s="210"/>
      <c r="L192" s="210"/>
      <c r="M192" s="210"/>
      <c r="N192" s="210"/>
      <c r="O192" s="210"/>
      <c r="P192" s="210"/>
      <c r="Q192" s="210"/>
      <c r="R192" s="210"/>
      <c r="S192" s="210"/>
      <c r="T192" s="210"/>
      <c r="U192" s="210"/>
      <c r="V192" s="210"/>
      <c r="W192" s="210"/>
      <c r="X192" s="210"/>
      <c r="Y192" s="210"/>
      <c r="Z192" s="210"/>
    </row>
    <row r="193" ht="21.75" customHeight="1">
      <c r="A193" s="228"/>
      <c r="B193" s="221"/>
      <c r="C193" s="222">
        <v>106.0</v>
      </c>
      <c r="D193" s="223" t="s">
        <v>519</v>
      </c>
      <c r="E193" s="223" t="s">
        <v>508</v>
      </c>
      <c r="F193" s="223" t="s">
        <v>509</v>
      </c>
      <c r="G193" s="223" t="s">
        <v>510</v>
      </c>
      <c r="H193" s="225" t="s">
        <v>720</v>
      </c>
      <c r="I193" s="208"/>
      <c r="J193" s="210"/>
      <c r="K193" s="210"/>
      <c r="L193" s="210"/>
      <c r="M193" s="210"/>
      <c r="N193" s="210"/>
      <c r="O193" s="210"/>
      <c r="P193" s="210"/>
      <c r="Q193" s="210"/>
      <c r="R193" s="210"/>
      <c r="S193" s="210"/>
      <c r="T193" s="210"/>
      <c r="U193" s="210"/>
      <c r="V193" s="210"/>
      <c r="W193" s="210"/>
      <c r="X193" s="210"/>
      <c r="Y193" s="210"/>
      <c r="Z193" s="210"/>
    </row>
    <row r="194" ht="21.75" customHeight="1">
      <c r="A194" s="214">
        <v>114.0</v>
      </c>
      <c r="B194" s="215" t="s">
        <v>721</v>
      </c>
      <c r="C194" s="216"/>
      <c r="D194" s="217"/>
      <c r="E194" s="217"/>
      <c r="F194" s="217"/>
      <c r="G194" s="217"/>
      <c r="H194" s="217"/>
      <c r="I194" s="208"/>
      <c r="J194" s="210"/>
      <c r="K194" s="210"/>
      <c r="L194" s="210"/>
      <c r="M194" s="210"/>
      <c r="N194" s="210"/>
      <c r="O194" s="210"/>
      <c r="P194" s="210"/>
      <c r="Q194" s="210"/>
      <c r="R194" s="210"/>
      <c r="S194" s="210"/>
      <c r="T194" s="210"/>
      <c r="U194" s="210"/>
      <c r="V194" s="210"/>
      <c r="W194" s="210"/>
      <c r="X194" s="210"/>
      <c r="Y194" s="210"/>
      <c r="Z194" s="210"/>
    </row>
    <row r="195" ht="21.75" customHeight="1">
      <c r="A195" s="214"/>
      <c r="B195" s="218" t="s">
        <v>722</v>
      </c>
      <c r="C195" s="219">
        <v>50297.0</v>
      </c>
      <c r="D195" s="220"/>
      <c r="E195" s="220"/>
      <c r="F195" s="220"/>
      <c r="G195" s="220"/>
      <c r="H195" s="220"/>
      <c r="I195" s="208"/>
      <c r="J195" s="210"/>
      <c r="K195" s="210"/>
      <c r="L195" s="210"/>
      <c r="M195" s="210"/>
      <c r="N195" s="210"/>
      <c r="O195" s="210"/>
      <c r="P195" s="210"/>
      <c r="Q195" s="210"/>
      <c r="R195" s="210"/>
      <c r="S195" s="210"/>
      <c r="T195" s="210"/>
      <c r="U195" s="210"/>
      <c r="V195" s="210"/>
      <c r="W195" s="210"/>
      <c r="X195" s="210"/>
      <c r="Y195" s="210"/>
      <c r="Z195" s="210"/>
    </row>
    <row r="196" ht="21.75" customHeight="1">
      <c r="A196" s="214"/>
      <c r="B196" s="221"/>
      <c r="C196" s="222">
        <v>100.0</v>
      </c>
      <c r="D196" s="223" t="s">
        <v>486</v>
      </c>
      <c r="E196" s="223" t="s">
        <v>487</v>
      </c>
      <c r="F196" s="223" t="s">
        <v>488</v>
      </c>
      <c r="G196" s="223" t="s">
        <v>489</v>
      </c>
      <c r="H196" s="224" t="s">
        <v>490</v>
      </c>
      <c r="I196" s="208"/>
      <c r="J196" s="210"/>
      <c r="K196" s="210"/>
      <c r="L196" s="210"/>
      <c r="M196" s="210"/>
      <c r="N196" s="210"/>
      <c r="O196" s="210"/>
      <c r="P196" s="210"/>
      <c r="Q196" s="210"/>
      <c r="R196" s="210"/>
      <c r="S196" s="210"/>
      <c r="T196" s="210"/>
      <c r="U196" s="210"/>
      <c r="V196" s="210"/>
      <c r="W196" s="210"/>
      <c r="X196" s="210"/>
      <c r="Y196" s="210"/>
      <c r="Z196" s="210"/>
    </row>
    <row r="197" ht="21.75" customHeight="1">
      <c r="A197" s="214"/>
      <c r="B197" s="221"/>
      <c r="C197" s="222">
        <v>101.0</v>
      </c>
      <c r="D197" s="223" t="s">
        <v>723</v>
      </c>
      <c r="E197" s="223" t="s">
        <v>487</v>
      </c>
      <c r="F197" s="223" t="s">
        <v>492</v>
      </c>
      <c r="G197" s="223" t="s">
        <v>678</v>
      </c>
      <c r="H197" s="225" t="s">
        <v>724</v>
      </c>
      <c r="I197" s="208"/>
      <c r="J197" s="210"/>
      <c r="K197" s="210"/>
      <c r="L197" s="210"/>
      <c r="M197" s="210"/>
      <c r="N197" s="210"/>
      <c r="O197" s="210"/>
      <c r="P197" s="210"/>
      <c r="Q197" s="210"/>
      <c r="R197" s="210"/>
      <c r="S197" s="210"/>
      <c r="T197" s="210"/>
      <c r="U197" s="210"/>
      <c r="V197" s="210"/>
      <c r="W197" s="210"/>
      <c r="X197" s="210"/>
      <c r="Y197" s="210"/>
      <c r="Z197" s="210"/>
    </row>
    <row r="198" ht="21.75" customHeight="1">
      <c r="A198" s="214"/>
      <c r="B198" s="221"/>
      <c r="C198" s="222">
        <v>102.0</v>
      </c>
      <c r="D198" s="223" t="s">
        <v>725</v>
      </c>
      <c r="E198" s="223" t="s">
        <v>487</v>
      </c>
      <c r="F198" s="223" t="s">
        <v>496</v>
      </c>
      <c r="G198" s="223" t="s">
        <v>493</v>
      </c>
      <c r="H198" s="225" t="s">
        <v>726</v>
      </c>
      <c r="I198" s="208"/>
      <c r="J198" s="210"/>
      <c r="K198" s="210"/>
      <c r="L198" s="210"/>
      <c r="M198" s="210"/>
      <c r="N198" s="210"/>
      <c r="O198" s="210"/>
      <c r="P198" s="210"/>
      <c r="Q198" s="210"/>
      <c r="R198" s="210"/>
      <c r="S198" s="210"/>
      <c r="T198" s="210"/>
      <c r="U198" s="210"/>
      <c r="V198" s="210"/>
      <c r="W198" s="210"/>
      <c r="X198" s="210"/>
      <c r="Y198" s="210"/>
      <c r="Z198" s="210"/>
    </row>
    <row r="199" ht="21.75" customHeight="1">
      <c r="A199" s="214"/>
      <c r="B199" s="221"/>
      <c r="C199" s="222">
        <v>103.0</v>
      </c>
      <c r="D199" s="223" t="s">
        <v>727</v>
      </c>
      <c r="E199" s="223" t="s">
        <v>487</v>
      </c>
      <c r="F199" s="223" t="s">
        <v>500</v>
      </c>
      <c r="G199" s="223" t="s">
        <v>497</v>
      </c>
      <c r="H199" s="225" t="s">
        <v>728</v>
      </c>
      <c r="I199" s="208"/>
      <c r="J199" s="210"/>
      <c r="K199" s="210"/>
      <c r="L199" s="210"/>
      <c r="M199" s="210"/>
      <c r="N199" s="210"/>
      <c r="O199" s="210"/>
      <c r="P199" s="210"/>
      <c r="Q199" s="210"/>
      <c r="R199" s="210"/>
      <c r="S199" s="210"/>
      <c r="T199" s="210"/>
      <c r="U199" s="210"/>
      <c r="V199" s="210"/>
      <c r="W199" s="210"/>
      <c r="X199" s="210"/>
      <c r="Y199" s="210"/>
      <c r="Z199" s="210"/>
    </row>
    <row r="200" ht="21.75" customHeight="1">
      <c r="A200" s="214"/>
      <c r="B200" s="221"/>
      <c r="C200" s="222">
        <v>104.0</v>
      </c>
      <c r="D200" s="223" t="s">
        <v>729</v>
      </c>
      <c r="E200" s="223" t="s">
        <v>487</v>
      </c>
      <c r="F200" s="223" t="s">
        <v>512</v>
      </c>
      <c r="G200" s="223" t="s">
        <v>501</v>
      </c>
      <c r="H200" s="225" t="s">
        <v>730</v>
      </c>
      <c r="I200" s="208"/>
      <c r="J200" s="210"/>
      <c r="K200" s="210"/>
      <c r="L200" s="210"/>
      <c r="M200" s="210"/>
      <c r="N200" s="210"/>
      <c r="O200" s="210"/>
      <c r="P200" s="210"/>
      <c r="Q200" s="210"/>
      <c r="R200" s="210"/>
      <c r="S200" s="210"/>
      <c r="T200" s="210"/>
      <c r="U200" s="210"/>
      <c r="V200" s="210"/>
      <c r="W200" s="210"/>
      <c r="X200" s="210"/>
      <c r="Y200" s="210"/>
      <c r="Z200" s="210"/>
    </row>
    <row r="201" ht="21.75" customHeight="1">
      <c r="A201" s="214"/>
      <c r="B201" s="217"/>
      <c r="C201" s="222">
        <v>105.0</v>
      </c>
      <c r="D201" s="215" t="s">
        <v>376</v>
      </c>
      <c r="E201" s="215" t="s">
        <v>508</v>
      </c>
      <c r="F201" s="215" t="s">
        <v>509</v>
      </c>
      <c r="G201" s="215" t="s">
        <v>510</v>
      </c>
      <c r="H201" s="225" t="s">
        <v>731</v>
      </c>
      <c r="I201" s="208"/>
      <c r="J201" s="210"/>
      <c r="K201" s="210"/>
      <c r="L201" s="210"/>
      <c r="M201" s="210"/>
      <c r="N201" s="210"/>
      <c r="O201" s="210"/>
      <c r="P201" s="210"/>
      <c r="Q201" s="210"/>
      <c r="R201" s="210"/>
      <c r="S201" s="210"/>
      <c r="T201" s="210"/>
      <c r="U201" s="210"/>
      <c r="V201" s="210"/>
      <c r="W201" s="210"/>
      <c r="X201" s="210"/>
      <c r="Y201" s="210"/>
      <c r="Z201" s="210"/>
    </row>
    <row r="202" ht="21.75" customHeight="1">
      <c r="A202" s="214"/>
      <c r="B202" s="218" t="s">
        <v>732</v>
      </c>
      <c r="C202" s="226">
        <v>52042.0</v>
      </c>
      <c r="D202" s="220"/>
      <c r="E202" s="220"/>
      <c r="F202" s="220"/>
      <c r="G202" s="220"/>
      <c r="H202" s="221"/>
      <c r="I202" s="208"/>
      <c r="J202" s="210"/>
      <c r="K202" s="210"/>
      <c r="L202" s="210"/>
      <c r="M202" s="210"/>
      <c r="N202" s="210"/>
      <c r="O202" s="210"/>
      <c r="P202" s="210"/>
      <c r="Q202" s="210"/>
      <c r="R202" s="210"/>
      <c r="S202" s="210"/>
      <c r="T202" s="210"/>
      <c r="U202" s="210"/>
      <c r="V202" s="210"/>
      <c r="W202" s="210"/>
      <c r="X202" s="210"/>
      <c r="Y202" s="210"/>
      <c r="Z202" s="210"/>
    </row>
    <row r="203" ht="21.75" customHeight="1">
      <c r="A203" s="214"/>
      <c r="B203" s="221"/>
      <c r="C203" s="222">
        <v>100.0</v>
      </c>
      <c r="D203" s="223" t="s">
        <v>486</v>
      </c>
      <c r="E203" s="223" t="s">
        <v>487</v>
      </c>
      <c r="F203" s="223" t="s">
        <v>488</v>
      </c>
      <c r="G203" s="223" t="s">
        <v>489</v>
      </c>
      <c r="H203" s="224" t="s">
        <v>490</v>
      </c>
      <c r="I203" s="208"/>
      <c r="J203" s="210"/>
      <c r="K203" s="210"/>
      <c r="L203" s="210"/>
      <c r="M203" s="210"/>
      <c r="N203" s="210"/>
      <c r="O203" s="210"/>
      <c r="P203" s="210"/>
      <c r="Q203" s="210"/>
      <c r="R203" s="210"/>
      <c r="S203" s="210"/>
      <c r="T203" s="210"/>
      <c r="U203" s="210"/>
      <c r="V203" s="210"/>
      <c r="W203" s="210"/>
      <c r="X203" s="210"/>
      <c r="Y203" s="210"/>
      <c r="Z203" s="210"/>
    </row>
    <row r="204" ht="21.75" customHeight="1">
      <c r="A204" s="214"/>
      <c r="B204" s="221"/>
      <c r="C204" s="222">
        <v>101.0</v>
      </c>
      <c r="D204" s="223" t="s">
        <v>689</v>
      </c>
      <c r="E204" s="223" t="s">
        <v>487</v>
      </c>
      <c r="F204" s="223" t="s">
        <v>492</v>
      </c>
      <c r="G204" s="223" t="s">
        <v>678</v>
      </c>
      <c r="H204" s="225" t="s">
        <v>733</v>
      </c>
      <c r="I204" s="208"/>
      <c r="J204" s="210"/>
      <c r="K204" s="210"/>
      <c r="L204" s="210"/>
      <c r="M204" s="210"/>
      <c r="N204" s="210"/>
      <c r="O204" s="210"/>
      <c r="P204" s="210"/>
      <c r="Q204" s="210"/>
      <c r="R204" s="210"/>
      <c r="S204" s="210"/>
      <c r="T204" s="210"/>
      <c r="U204" s="210"/>
      <c r="V204" s="210"/>
      <c r="W204" s="210"/>
      <c r="X204" s="210"/>
      <c r="Y204" s="210"/>
      <c r="Z204" s="210"/>
    </row>
    <row r="205" ht="21.75" customHeight="1">
      <c r="A205" s="214"/>
      <c r="B205" s="221"/>
      <c r="C205" s="222">
        <v>102.0</v>
      </c>
      <c r="D205" s="223" t="s">
        <v>734</v>
      </c>
      <c r="E205" s="223" t="s">
        <v>487</v>
      </c>
      <c r="F205" s="223" t="s">
        <v>496</v>
      </c>
      <c r="G205" s="223" t="s">
        <v>497</v>
      </c>
      <c r="H205" s="224" t="s">
        <v>490</v>
      </c>
      <c r="I205" s="208"/>
      <c r="J205" s="210"/>
      <c r="K205" s="210"/>
      <c r="L205" s="210"/>
      <c r="M205" s="210"/>
      <c r="N205" s="210"/>
      <c r="O205" s="210"/>
      <c r="P205" s="210"/>
      <c r="Q205" s="210"/>
      <c r="R205" s="210"/>
      <c r="S205" s="210"/>
      <c r="T205" s="210"/>
      <c r="U205" s="210"/>
      <c r="V205" s="210"/>
      <c r="W205" s="210"/>
      <c r="X205" s="210"/>
      <c r="Y205" s="210"/>
      <c r="Z205" s="210"/>
    </row>
    <row r="206" ht="21.75" customHeight="1">
      <c r="A206" s="214"/>
      <c r="B206" s="221"/>
      <c r="C206" s="222">
        <v>103.0</v>
      </c>
      <c r="D206" s="223" t="s">
        <v>735</v>
      </c>
      <c r="E206" s="223" t="s">
        <v>487</v>
      </c>
      <c r="F206" s="223" t="s">
        <v>500</v>
      </c>
      <c r="G206" s="223" t="s">
        <v>594</v>
      </c>
      <c r="H206" s="224" t="s">
        <v>490</v>
      </c>
      <c r="I206" s="208"/>
      <c r="J206" s="210"/>
      <c r="K206" s="210"/>
      <c r="L206" s="210"/>
      <c r="M206" s="210"/>
      <c r="N206" s="210"/>
      <c r="O206" s="210"/>
      <c r="P206" s="210"/>
      <c r="Q206" s="210"/>
      <c r="R206" s="210"/>
      <c r="S206" s="210"/>
      <c r="T206" s="210"/>
      <c r="U206" s="210"/>
      <c r="V206" s="210"/>
      <c r="W206" s="210"/>
      <c r="X206" s="210"/>
      <c r="Y206" s="210"/>
      <c r="Z206" s="210"/>
    </row>
    <row r="207" ht="21.75" customHeight="1">
      <c r="A207" s="214"/>
      <c r="B207" s="221"/>
      <c r="C207" s="222">
        <v>104.0</v>
      </c>
      <c r="D207" s="223" t="s">
        <v>516</v>
      </c>
      <c r="E207" s="223" t="s">
        <v>487</v>
      </c>
      <c r="F207" s="223" t="s">
        <v>512</v>
      </c>
      <c r="G207" s="223" t="s">
        <v>526</v>
      </c>
      <c r="H207" s="224" t="s">
        <v>490</v>
      </c>
      <c r="I207" s="208"/>
      <c r="J207" s="210"/>
      <c r="K207" s="210"/>
      <c r="L207" s="210"/>
      <c r="M207" s="210"/>
      <c r="N207" s="210"/>
      <c r="O207" s="210"/>
      <c r="P207" s="210"/>
      <c r="Q207" s="210"/>
      <c r="R207" s="210"/>
      <c r="S207" s="210"/>
      <c r="T207" s="210"/>
      <c r="U207" s="210"/>
      <c r="V207" s="210"/>
      <c r="W207" s="210"/>
      <c r="X207" s="210"/>
      <c r="Y207" s="210"/>
      <c r="Z207" s="210"/>
    </row>
    <row r="208" ht="21.75" customHeight="1">
      <c r="A208" s="214"/>
      <c r="B208" s="221"/>
      <c r="C208" s="222">
        <v>105.0</v>
      </c>
      <c r="D208" s="223" t="s">
        <v>736</v>
      </c>
      <c r="E208" s="223" t="s">
        <v>487</v>
      </c>
      <c r="F208" s="223" t="s">
        <v>532</v>
      </c>
      <c r="G208" s="223" t="s">
        <v>513</v>
      </c>
      <c r="H208" s="224" t="s">
        <v>490</v>
      </c>
      <c r="I208" s="208"/>
      <c r="J208" s="210"/>
      <c r="K208" s="210"/>
      <c r="L208" s="210"/>
      <c r="M208" s="210"/>
      <c r="N208" s="210"/>
      <c r="O208" s="210"/>
      <c r="P208" s="210"/>
      <c r="Q208" s="210"/>
      <c r="R208" s="210"/>
      <c r="S208" s="210"/>
      <c r="T208" s="210"/>
      <c r="U208" s="210"/>
      <c r="V208" s="210"/>
      <c r="W208" s="210"/>
      <c r="X208" s="210"/>
      <c r="Y208" s="210"/>
      <c r="Z208" s="210"/>
    </row>
    <row r="209" ht="21.75" customHeight="1">
      <c r="A209" s="214"/>
      <c r="B209" s="221"/>
      <c r="C209" s="222">
        <v>106.0</v>
      </c>
      <c r="D209" s="223" t="s">
        <v>507</v>
      </c>
      <c r="E209" s="223" t="s">
        <v>508</v>
      </c>
      <c r="F209" s="223" t="s">
        <v>509</v>
      </c>
      <c r="G209" s="223" t="s">
        <v>510</v>
      </c>
      <c r="H209" s="224" t="s">
        <v>490</v>
      </c>
      <c r="I209" s="208"/>
      <c r="J209" s="210"/>
      <c r="K209" s="210"/>
      <c r="L209" s="210"/>
      <c r="M209" s="210"/>
      <c r="N209" s="210"/>
      <c r="O209" s="210"/>
      <c r="P209" s="210"/>
      <c r="Q209" s="210"/>
      <c r="R209" s="210"/>
      <c r="S209" s="210"/>
      <c r="T209" s="210"/>
      <c r="U209" s="210"/>
      <c r="V209" s="210"/>
      <c r="W209" s="210"/>
      <c r="X209" s="210"/>
      <c r="Y209" s="210"/>
      <c r="Z209" s="210"/>
    </row>
    <row r="210" ht="21.75" customHeight="1">
      <c r="A210" s="214"/>
      <c r="B210" s="221"/>
      <c r="C210" s="233" t="s">
        <v>490</v>
      </c>
      <c r="D210" s="223" t="s">
        <v>737</v>
      </c>
      <c r="E210" s="223" t="s">
        <v>738</v>
      </c>
      <c r="F210" s="223" t="s">
        <v>739</v>
      </c>
      <c r="G210" s="218" t="s">
        <v>490</v>
      </c>
      <c r="H210" s="224" t="s">
        <v>490</v>
      </c>
      <c r="I210" s="208"/>
      <c r="J210" s="210"/>
      <c r="K210" s="210"/>
      <c r="L210" s="210"/>
      <c r="M210" s="210"/>
      <c r="N210" s="210"/>
      <c r="O210" s="210"/>
      <c r="P210" s="210"/>
      <c r="Q210" s="210"/>
      <c r="R210" s="210"/>
      <c r="S210" s="210"/>
      <c r="T210" s="210"/>
      <c r="U210" s="210"/>
      <c r="V210" s="210"/>
      <c r="W210" s="210"/>
      <c r="X210" s="210"/>
      <c r="Y210" s="210"/>
      <c r="Z210" s="210"/>
    </row>
    <row r="211" ht="21.75" customHeight="1">
      <c r="A211" s="214"/>
      <c r="B211" s="221"/>
      <c r="C211" s="222"/>
      <c r="D211" s="223" t="s">
        <v>740</v>
      </c>
      <c r="E211" s="223" t="s">
        <v>738</v>
      </c>
      <c r="F211" s="223" t="s">
        <v>741</v>
      </c>
      <c r="G211" s="218" t="s">
        <v>490</v>
      </c>
      <c r="H211" s="224" t="s">
        <v>490</v>
      </c>
      <c r="I211" s="208"/>
      <c r="J211" s="210"/>
      <c r="K211" s="210"/>
      <c r="L211" s="210"/>
      <c r="M211" s="210"/>
      <c r="N211" s="210"/>
      <c r="O211" s="210"/>
      <c r="P211" s="210"/>
      <c r="Q211" s="210"/>
      <c r="R211" s="210"/>
      <c r="S211" s="210"/>
      <c r="T211" s="210"/>
      <c r="U211" s="210"/>
      <c r="V211" s="210"/>
      <c r="W211" s="210"/>
      <c r="X211" s="210"/>
      <c r="Y211" s="210"/>
      <c r="Z211" s="210"/>
    </row>
    <row r="212" ht="21.75" customHeight="1">
      <c r="A212" s="214"/>
      <c r="B212" s="221"/>
      <c r="C212" s="222"/>
      <c r="D212" s="218" t="s">
        <v>490</v>
      </c>
      <c r="E212" s="223" t="s">
        <v>742</v>
      </c>
      <c r="F212" s="223" t="s">
        <v>743</v>
      </c>
      <c r="G212" s="218" t="s">
        <v>490</v>
      </c>
      <c r="H212" s="224" t="s">
        <v>490</v>
      </c>
      <c r="I212" s="208"/>
      <c r="J212" s="210"/>
      <c r="K212" s="210"/>
      <c r="L212" s="210"/>
      <c r="M212" s="210"/>
      <c r="N212" s="210"/>
      <c r="O212" s="210"/>
      <c r="P212" s="210"/>
      <c r="Q212" s="210"/>
      <c r="R212" s="210"/>
      <c r="S212" s="210"/>
      <c r="T212" s="210"/>
      <c r="U212" s="210"/>
      <c r="V212" s="210"/>
      <c r="W212" s="210"/>
      <c r="X212" s="210"/>
      <c r="Y212" s="210"/>
      <c r="Z212" s="210"/>
    </row>
    <row r="213" ht="21.75" customHeight="1">
      <c r="A213" s="228"/>
      <c r="B213" s="221"/>
      <c r="C213" s="222"/>
      <c r="D213" s="221"/>
      <c r="E213" s="223" t="s">
        <v>744</v>
      </c>
      <c r="F213" s="223" t="s">
        <v>745</v>
      </c>
      <c r="G213" s="218" t="s">
        <v>490</v>
      </c>
      <c r="H213" s="224" t="s">
        <v>490</v>
      </c>
      <c r="I213" s="208"/>
      <c r="J213" s="210"/>
      <c r="K213" s="210"/>
      <c r="L213" s="210"/>
      <c r="M213" s="210"/>
      <c r="N213" s="210"/>
      <c r="O213" s="210"/>
      <c r="P213" s="210"/>
      <c r="Q213" s="210"/>
      <c r="R213" s="210"/>
      <c r="S213" s="210"/>
      <c r="T213" s="210"/>
      <c r="U213" s="210"/>
      <c r="V213" s="210"/>
      <c r="W213" s="210"/>
      <c r="X213" s="210"/>
      <c r="Y213" s="210"/>
      <c r="Z213" s="210"/>
    </row>
    <row r="214" ht="21.75" customHeight="1">
      <c r="A214" s="214">
        <v>118.0</v>
      </c>
      <c r="B214" s="215" t="s">
        <v>746</v>
      </c>
      <c r="C214" s="216"/>
      <c r="D214" s="217"/>
      <c r="E214" s="217"/>
      <c r="F214" s="217"/>
      <c r="G214" s="217"/>
      <c r="H214" s="217"/>
      <c r="I214" s="208"/>
      <c r="J214" s="210"/>
      <c r="K214" s="210"/>
      <c r="L214" s="210"/>
      <c r="M214" s="210"/>
      <c r="N214" s="210"/>
      <c r="O214" s="210"/>
      <c r="P214" s="210"/>
      <c r="Q214" s="210"/>
      <c r="R214" s="210"/>
      <c r="S214" s="210"/>
      <c r="T214" s="210"/>
      <c r="U214" s="210"/>
      <c r="V214" s="210"/>
      <c r="W214" s="210"/>
      <c r="X214" s="210"/>
      <c r="Y214" s="210"/>
      <c r="Z214" s="210"/>
    </row>
    <row r="215" ht="21.75" customHeight="1">
      <c r="A215" s="214"/>
      <c r="B215" s="218" t="s">
        <v>747</v>
      </c>
      <c r="C215" s="219">
        <v>50308.0</v>
      </c>
      <c r="D215" s="220"/>
      <c r="E215" s="220"/>
      <c r="F215" s="220"/>
      <c r="G215" s="220"/>
      <c r="H215" s="220"/>
      <c r="I215" s="208"/>
      <c r="J215" s="210"/>
      <c r="K215" s="210"/>
      <c r="L215" s="210"/>
      <c r="M215" s="210"/>
      <c r="N215" s="210"/>
      <c r="O215" s="210"/>
      <c r="P215" s="210"/>
      <c r="Q215" s="210"/>
      <c r="R215" s="210"/>
      <c r="S215" s="210"/>
      <c r="T215" s="210"/>
      <c r="U215" s="210"/>
      <c r="V215" s="210"/>
      <c r="W215" s="210"/>
      <c r="X215" s="210"/>
      <c r="Y215" s="210"/>
      <c r="Z215" s="210"/>
    </row>
    <row r="216" ht="21.75" customHeight="1">
      <c r="A216" s="214"/>
      <c r="B216" s="221"/>
      <c r="C216" s="222">
        <v>100.0</v>
      </c>
      <c r="D216" s="223" t="s">
        <v>486</v>
      </c>
      <c r="E216" s="223" t="s">
        <v>487</v>
      </c>
      <c r="F216" s="223" t="s">
        <v>488</v>
      </c>
      <c r="G216" s="223" t="s">
        <v>489</v>
      </c>
      <c r="H216" s="224" t="s">
        <v>490</v>
      </c>
      <c r="I216" s="208"/>
      <c r="J216" s="210"/>
      <c r="K216" s="210"/>
      <c r="L216" s="210"/>
      <c r="M216" s="210"/>
      <c r="N216" s="210"/>
      <c r="O216" s="210"/>
      <c r="P216" s="210"/>
      <c r="Q216" s="210"/>
      <c r="R216" s="210"/>
      <c r="S216" s="210"/>
      <c r="T216" s="210"/>
      <c r="U216" s="210"/>
      <c r="V216" s="210"/>
      <c r="W216" s="210"/>
      <c r="X216" s="210"/>
      <c r="Y216" s="210"/>
      <c r="Z216" s="210"/>
    </row>
    <row r="217" ht="21.75" customHeight="1">
      <c r="A217" s="214"/>
      <c r="B217" s="221"/>
      <c r="C217" s="222">
        <v>101.0</v>
      </c>
      <c r="D217" s="223" t="s">
        <v>369</v>
      </c>
      <c r="E217" s="223" t="s">
        <v>487</v>
      </c>
      <c r="F217" s="223" t="s">
        <v>492</v>
      </c>
      <c r="G217" s="223" t="s">
        <v>678</v>
      </c>
      <c r="H217" s="225" t="s">
        <v>748</v>
      </c>
      <c r="I217" s="208"/>
      <c r="J217" s="210"/>
      <c r="K217" s="210"/>
      <c r="L217" s="210"/>
      <c r="M217" s="210"/>
      <c r="N217" s="210"/>
      <c r="O217" s="210"/>
      <c r="P217" s="210"/>
      <c r="Q217" s="210"/>
      <c r="R217" s="210"/>
      <c r="S217" s="210"/>
      <c r="T217" s="210"/>
      <c r="U217" s="210"/>
      <c r="V217" s="210"/>
      <c r="W217" s="210"/>
      <c r="X217" s="210"/>
      <c r="Y217" s="210"/>
      <c r="Z217" s="210"/>
    </row>
    <row r="218" ht="21.75" customHeight="1">
      <c r="A218" s="214"/>
      <c r="B218" s="221"/>
      <c r="C218" s="222">
        <v>102.0</v>
      </c>
      <c r="D218" s="223" t="s">
        <v>749</v>
      </c>
      <c r="E218" s="223" t="s">
        <v>487</v>
      </c>
      <c r="F218" s="223" t="s">
        <v>496</v>
      </c>
      <c r="G218" s="223" t="s">
        <v>497</v>
      </c>
      <c r="H218" s="224" t="s">
        <v>490</v>
      </c>
      <c r="I218" s="208"/>
      <c r="J218" s="210"/>
      <c r="K218" s="210"/>
      <c r="L218" s="210"/>
      <c r="M218" s="210"/>
      <c r="N218" s="210"/>
      <c r="O218" s="210"/>
      <c r="P218" s="210"/>
      <c r="Q218" s="210"/>
      <c r="R218" s="210"/>
      <c r="S218" s="210"/>
      <c r="T218" s="210"/>
      <c r="U218" s="210"/>
      <c r="V218" s="210"/>
      <c r="W218" s="210"/>
      <c r="X218" s="210"/>
      <c r="Y218" s="210"/>
      <c r="Z218" s="210"/>
    </row>
    <row r="219" ht="21.75" customHeight="1">
      <c r="A219" s="214"/>
      <c r="B219" s="221"/>
      <c r="C219" s="222">
        <v>103.0</v>
      </c>
      <c r="D219" s="223" t="s">
        <v>750</v>
      </c>
      <c r="E219" s="223" t="s">
        <v>487</v>
      </c>
      <c r="F219" s="223" t="s">
        <v>500</v>
      </c>
      <c r="G219" s="223" t="s">
        <v>501</v>
      </c>
      <c r="H219" s="224" t="s">
        <v>490</v>
      </c>
      <c r="I219" s="208"/>
      <c r="J219" s="210"/>
      <c r="K219" s="210"/>
      <c r="L219" s="210"/>
      <c r="M219" s="210"/>
      <c r="N219" s="210"/>
      <c r="O219" s="210"/>
      <c r="P219" s="210"/>
      <c r="Q219" s="210"/>
      <c r="R219" s="210"/>
      <c r="S219" s="210"/>
      <c r="T219" s="210"/>
      <c r="U219" s="210"/>
      <c r="V219" s="210"/>
      <c r="W219" s="210"/>
      <c r="X219" s="210"/>
      <c r="Y219" s="210"/>
      <c r="Z219" s="210"/>
    </row>
    <row r="220" ht="21.75" customHeight="1">
      <c r="A220" s="214"/>
      <c r="B220" s="221"/>
      <c r="C220" s="222">
        <v>104.0</v>
      </c>
      <c r="D220" s="223" t="s">
        <v>516</v>
      </c>
      <c r="E220" s="223" t="s">
        <v>487</v>
      </c>
      <c r="F220" s="223" t="s">
        <v>512</v>
      </c>
      <c r="G220" s="223" t="s">
        <v>493</v>
      </c>
      <c r="H220" s="225" t="s">
        <v>751</v>
      </c>
      <c r="I220" s="208"/>
      <c r="J220" s="210"/>
      <c r="K220" s="210"/>
      <c r="L220" s="210"/>
      <c r="M220" s="210"/>
      <c r="N220" s="210"/>
      <c r="O220" s="210"/>
      <c r="P220" s="210"/>
      <c r="Q220" s="210"/>
      <c r="R220" s="210"/>
      <c r="S220" s="210"/>
      <c r="T220" s="210"/>
      <c r="U220" s="210"/>
      <c r="V220" s="210"/>
      <c r="W220" s="210"/>
      <c r="X220" s="210"/>
      <c r="Y220" s="210"/>
      <c r="Z220" s="210"/>
    </row>
    <row r="221" ht="21.75" customHeight="1">
      <c r="A221" s="214"/>
      <c r="B221" s="221"/>
      <c r="C221" s="222">
        <v>105.0</v>
      </c>
      <c r="D221" s="223" t="s">
        <v>752</v>
      </c>
      <c r="E221" s="223" t="s">
        <v>487</v>
      </c>
      <c r="F221" s="223" t="s">
        <v>532</v>
      </c>
      <c r="G221" s="223" t="s">
        <v>513</v>
      </c>
      <c r="H221" s="225" t="s">
        <v>753</v>
      </c>
      <c r="I221" s="208"/>
      <c r="J221" s="210"/>
      <c r="K221" s="210"/>
      <c r="L221" s="210"/>
      <c r="M221" s="210"/>
      <c r="N221" s="210"/>
      <c r="O221" s="210"/>
      <c r="P221" s="210"/>
      <c r="Q221" s="210"/>
      <c r="R221" s="210"/>
      <c r="S221" s="210"/>
      <c r="T221" s="210"/>
      <c r="U221" s="210"/>
      <c r="V221" s="210"/>
      <c r="W221" s="210"/>
      <c r="X221" s="210"/>
      <c r="Y221" s="210"/>
      <c r="Z221" s="210"/>
    </row>
    <row r="222" ht="21.75" customHeight="1">
      <c r="A222" s="214"/>
      <c r="B222" s="221"/>
      <c r="C222" s="222">
        <v>106.0</v>
      </c>
      <c r="D222" s="223" t="s">
        <v>754</v>
      </c>
      <c r="E222" s="223" t="s">
        <v>487</v>
      </c>
      <c r="F222" s="223" t="s">
        <v>590</v>
      </c>
      <c r="G222" s="223" t="s">
        <v>526</v>
      </c>
      <c r="H222" s="225" t="s">
        <v>755</v>
      </c>
      <c r="I222" s="208"/>
      <c r="J222" s="210"/>
      <c r="K222" s="210"/>
      <c r="L222" s="210"/>
      <c r="M222" s="210"/>
      <c r="N222" s="210"/>
      <c r="O222" s="210"/>
      <c r="P222" s="210"/>
      <c r="Q222" s="210"/>
      <c r="R222" s="210"/>
      <c r="S222" s="210"/>
      <c r="T222" s="210"/>
      <c r="U222" s="210"/>
      <c r="V222" s="210"/>
      <c r="W222" s="210"/>
      <c r="X222" s="210"/>
      <c r="Y222" s="210"/>
      <c r="Z222" s="210"/>
    </row>
    <row r="223" ht="21.75" customHeight="1">
      <c r="A223" s="214"/>
      <c r="B223" s="221"/>
      <c r="C223" s="222">
        <v>107.0</v>
      </c>
      <c r="D223" s="223" t="s">
        <v>519</v>
      </c>
      <c r="E223" s="223" t="s">
        <v>508</v>
      </c>
      <c r="F223" s="223" t="s">
        <v>509</v>
      </c>
      <c r="G223" s="223" t="s">
        <v>510</v>
      </c>
      <c r="H223" s="225" t="s">
        <v>756</v>
      </c>
      <c r="I223" s="208"/>
      <c r="J223" s="210"/>
      <c r="K223" s="210"/>
      <c r="L223" s="210"/>
      <c r="M223" s="210"/>
      <c r="N223" s="210"/>
      <c r="O223" s="210"/>
      <c r="P223" s="210"/>
      <c r="Q223" s="210"/>
      <c r="R223" s="210"/>
      <c r="S223" s="210"/>
      <c r="T223" s="210"/>
      <c r="U223" s="210"/>
      <c r="V223" s="210"/>
      <c r="W223" s="210"/>
      <c r="X223" s="210"/>
      <c r="Y223" s="210"/>
      <c r="Z223" s="210"/>
    </row>
    <row r="224" ht="21.75" customHeight="1">
      <c r="A224" s="214"/>
      <c r="B224" s="217"/>
      <c r="C224" s="222">
        <v>108.0</v>
      </c>
      <c r="D224" s="215" t="s">
        <v>369</v>
      </c>
      <c r="E224" s="215" t="s">
        <v>487</v>
      </c>
      <c r="F224" s="215" t="s">
        <v>603</v>
      </c>
      <c r="G224" s="234" t="s">
        <v>490</v>
      </c>
      <c r="H224" s="208"/>
      <c r="I224" s="208"/>
      <c r="J224" s="210"/>
      <c r="K224" s="210"/>
      <c r="L224" s="210"/>
      <c r="M224" s="210"/>
      <c r="N224" s="210"/>
      <c r="O224" s="210"/>
      <c r="P224" s="210"/>
      <c r="Q224" s="210"/>
      <c r="R224" s="210"/>
      <c r="S224" s="210"/>
      <c r="T224" s="210"/>
      <c r="U224" s="210"/>
      <c r="V224" s="210"/>
      <c r="W224" s="210"/>
      <c r="X224" s="210"/>
      <c r="Y224" s="210"/>
      <c r="Z224" s="210"/>
    </row>
    <row r="225" ht="21.75" customHeight="1">
      <c r="A225" s="214"/>
      <c r="B225" s="218" t="s">
        <v>757</v>
      </c>
      <c r="C225" s="226">
        <v>50413.0</v>
      </c>
      <c r="D225" s="220"/>
      <c r="E225" s="220"/>
      <c r="F225" s="220"/>
      <c r="G225" s="220"/>
      <c r="H225" s="220"/>
      <c r="I225" s="208"/>
      <c r="J225" s="210"/>
      <c r="K225" s="210"/>
      <c r="L225" s="210"/>
      <c r="M225" s="210"/>
      <c r="N225" s="210"/>
      <c r="O225" s="210"/>
      <c r="P225" s="210"/>
      <c r="Q225" s="210"/>
      <c r="R225" s="210"/>
      <c r="S225" s="210"/>
      <c r="T225" s="210"/>
      <c r="U225" s="210"/>
      <c r="V225" s="210"/>
      <c r="W225" s="210"/>
      <c r="X225" s="210"/>
      <c r="Y225" s="210"/>
      <c r="Z225" s="210"/>
    </row>
    <row r="226" ht="21.75" customHeight="1">
      <c r="A226" s="214"/>
      <c r="B226" s="221"/>
      <c r="C226" s="222">
        <v>100.0</v>
      </c>
      <c r="D226" s="223" t="s">
        <v>486</v>
      </c>
      <c r="E226" s="223" t="s">
        <v>487</v>
      </c>
      <c r="F226" s="223" t="s">
        <v>488</v>
      </c>
      <c r="G226" s="223" t="s">
        <v>489</v>
      </c>
      <c r="H226" s="224" t="s">
        <v>490</v>
      </c>
      <c r="I226" s="208"/>
      <c r="J226" s="210"/>
      <c r="K226" s="210"/>
      <c r="L226" s="210"/>
      <c r="M226" s="210"/>
      <c r="N226" s="210"/>
      <c r="O226" s="210"/>
      <c r="P226" s="210"/>
      <c r="Q226" s="210"/>
      <c r="R226" s="210"/>
      <c r="S226" s="210"/>
      <c r="T226" s="210"/>
      <c r="U226" s="210"/>
      <c r="V226" s="210"/>
      <c r="W226" s="210"/>
      <c r="X226" s="210"/>
      <c r="Y226" s="210"/>
      <c r="Z226" s="210"/>
    </row>
    <row r="227" ht="21.75" customHeight="1">
      <c r="A227" s="214"/>
      <c r="B227" s="221"/>
      <c r="C227" s="222">
        <v>101.0</v>
      </c>
      <c r="D227" s="223" t="s">
        <v>758</v>
      </c>
      <c r="E227" s="223" t="s">
        <v>487</v>
      </c>
      <c r="F227" s="223" t="s">
        <v>492</v>
      </c>
      <c r="G227" s="223" t="s">
        <v>497</v>
      </c>
      <c r="H227" s="225" t="s">
        <v>759</v>
      </c>
      <c r="I227" s="208"/>
      <c r="J227" s="210"/>
      <c r="K227" s="210"/>
      <c r="L227" s="210"/>
      <c r="M227" s="210"/>
      <c r="N227" s="210"/>
      <c r="O227" s="210"/>
      <c r="P227" s="210"/>
      <c r="Q227" s="210"/>
      <c r="R227" s="210"/>
      <c r="S227" s="210"/>
      <c r="T227" s="210"/>
      <c r="U227" s="210"/>
      <c r="V227" s="210"/>
      <c r="W227" s="210"/>
      <c r="X227" s="210"/>
      <c r="Y227" s="210"/>
      <c r="Z227" s="210"/>
    </row>
    <row r="228" ht="21.75" customHeight="1">
      <c r="A228" s="214"/>
      <c r="B228" s="221"/>
      <c r="C228" s="222">
        <v>102.0</v>
      </c>
      <c r="D228" s="223" t="s">
        <v>760</v>
      </c>
      <c r="E228" s="223" t="s">
        <v>504</v>
      </c>
      <c r="F228" s="223" t="s">
        <v>761</v>
      </c>
      <c r="G228" s="218" t="s">
        <v>490</v>
      </c>
      <c r="H228" s="225" t="s">
        <v>762</v>
      </c>
      <c r="I228" s="208"/>
      <c r="J228" s="210"/>
      <c r="K228" s="210"/>
      <c r="L228" s="210"/>
      <c r="M228" s="210"/>
      <c r="N228" s="210"/>
      <c r="O228" s="210"/>
      <c r="P228" s="210"/>
      <c r="Q228" s="210"/>
      <c r="R228" s="210"/>
      <c r="S228" s="210"/>
      <c r="T228" s="210"/>
      <c r="U228" s="210"/>
      <c r="V228" s="210"/>
      <c r="W228" s="210"/>
      <c r="X228" s="210"/>
      <c r="Y228" s="210"/>
      <c r="Z228" s="210"/>
    </row>
    <row r="229" ht="21.75" customHeight="1">
      <c r="A229" s="214"/>
      <c r="B229" s="221"/>
      <c r="C229" s="222">
        <v>103.0</v>
      </c>
      <c r="D229" s="223" t="s">
        <v>760</v>
      </c>
      <c r="E229" s="223" t="s">
        <v>673</v>
      </c>
      <c r="F229" s="223" t="s">
        <v>763</v>
      </c>
      <c r="G229" s="223" t="s">
        <v>513</v>
      </c>
      <c r="H229" s="224" t="s">
        <v>490</v>
      </c>
      <c r="I229" s="208"/>
      <c r="J229" s="210"/>
      <c r="K229" s="210"/>
      <c r="L229" s="210"/>
      <c r="M229" s="210"/>
      <c r="N229" s="210"/>
      <c r="O229" s="210"/>
      <c r="P229" s="210"/>
      <c r="Q229" s="210"/>
      <c r="R229" s="210"/>
      <c r="S229" s="210"/>
      <c r="T229" s="210"/>
      <c r="U229" s="210"/>
      <c r="V229" s="210"/>
      <c r="W229" s="210"/>
      <c r="X229" s="210"/>
      <c r="Y229" s="210"/>
      <c r="Z229" s="210"/>
    </row>
    <row r="230" ht="21.75" customHeight="1">
      <c r="A230" s="214"/>
      <c r="B230" s="221"/>
      <c r="C230" s="222">
        <v>104.0</v>
      </c>
      <c r="D230" s="223" t="s">
        <v>764</v>
      </c>
      <c r="E230" s="223" t="s">
        <v>487</v>
      </c>
      <c r="F230" s="223" t="s">
        <v>500</v>
      </c>
      <c r="G230" s="223" t="s">
        <v>526</v>
      </c>
      <c r="H230" s="224" t="s">
        <v>490</v>
      </c>
      <c r="I230" s="208"/>
      <c r="J230" s="210"/>
      <c r="K230" s="210"/>
      <c r="L230" s="210"/>
      <c r="M230" s="210"/>
      <c r="N230" s="210"/>
      <c r="O230" s="210"/>
      <c r="P230" s="210"/>
      <c r="Q230" s="210"/>
      <c r="R230" s="210"/>
      <c r="S230" s="210"/>
      <c r="T230" s="210"/>
      <c r="U230" s="210"/>
      <c r="V230" s="210"/>
      <c r="W230" s="210"/>
      <c r="X230" s="210"/>
      <c r="Y230" s="210"/>
      <c r="Z230" s="210"/>
    </row>
    <row r="231" ht="21.75" customHeight="1">
      <c r="A231" s="214"/>
      <c r="B231" s="221"/>
      <c r="C231" s="222">
        <v>105.0</v>
      </c>
      <c r="D231" s="223" t="s">
        <v>765</v>
      </c>
      <c r="E231" s="223" t="s">
        <v>487</v>
      </c>
      <c r="F231" s="223" t="s">
        <v>512</v>
      </c>
      <c r="G231" s="223" t="s">
        <v>501</v>
      </c>
      <c r="H231" s="225" t="s">
        <v>666</v>
      </c>
      <c r="I231" s="208"/>
      <c r="J231" s="210"/>
      <c r="K231" s="210"/>
      <c r="L231" s="210"/>
      <c r="M231" s="210"/>
      <c r="N231" s="210"/>
      <c r="O231" s="210"/>
      <c r="P231" s="210"/>
      <c r="Q231" s="210"/>
      <c r="R231" s="210"/>
      <c r="S231" s="210"/>
      <c r="T231" s="210"/>
      <c r="U231" s="210"/>
      <c r="V231" s="210"/>
      <c r="W231" s="210"/>
      <c r="X231" s="210"/>
      <c r="Y231" s="210"/>
      <c r="Z231" s="210"/>
    </row>
    <row r="232" ht="21.75" customHeight="1">
      <c r="A232" s="214"/>
      <c r="B232" s="217"/>
      <c r="C232" s="222">
        <v>106.0</v>
      </c>
      <c r="D232" s="215" t="s">
        <v>541</v>
      </c>
      <c r="E232" s="215" t="s">
        <v>508</v>
      </c>
      <c r="F232" s="215" t="s">
        <v>509</v>
      </c>
      <c r="G232" s="215" t="s">
        <v>510</v>
      </c>
      <c r="H232" s="225" t="s">
        <v>766</v>
      </c>
      <c r="I232" s="208"/>
      <c r="J232" s="210"/>
      <c r="K232" s="210"/>
      <c r="L232" s="210"/>
      <c r="M232" s="210"/>
      <c r="N232" s="210"/>
      <c r="O232" s="210"/>
      <c r="P232" s="210"/>
      <c r="Q232" s="210"/>
      <c r="R232" s="210"/>
      <c r="S232" s="210"/>
      <c r="T232" s="210"/>
      <c r="U232" s="210"/>
      <c r="V232" s="210"/>
      <c r="W232" s="210"/>
      <c r="X232" s="210"/>
      <c r="Y232" s="210"/>
      <c r="Z232" s="210"/>
    </row>
    <row r="233" ht="21.75" customHeight="1">
      <c r="A233" s="214"/>
      <c r="B233" s="218" t="s">
        <v>767</v>
      </c>
      <c r="C233" s="226">
        <v>50412.0</v>
      </c>
      <c r="D233" s="220"/>
      <c r="E233" s="220"/>
      <c r="F233" s="220"/>
      <c r="G233" s="220"/>
      <c r="H233" s="221"/>
      <c r="I233" s="208"/>
      <c r="J233" s="210"/>
      <c r="K233" s="210"/>
      <c r="L233" s="210"/>
      <c r="M233" s="210"/>
      <c r="N233" s="210"/>
      <c r="O233" s="210"/>
      <c r="P233" s="210"/>
      <c r="Q233" s="210"/>
      <c r="R233" s="210"/>
      <c r="S233" s="210"/>
      <c r="T233" s="210"/>
      <c r="U233" s="210"/>
      <c r="V233" s="210"/>
      <c r="W233" s="210"/>
      <c r="X233" s="210"/>
      <c r="Y233" s="210"/>
      <c r="Z233" s="210"/>
    </row>
    <row r="234" ht="21.75" customHeight="1">
      <c r="A234" s="214"/>
      <c r="B234" s="221"/>
      <c r="C234" s="222">
        <v>100.0</v>
      </c>
      <c r="D234" s="223" t="s">
        <v>486</v>
      </c>
      <c r="E234" s="223" t="s">
        <v>487</v>
      </c>
      <c r="F234" s="223" t="s">
        <v>488</v>
      </c>
      <c r="G234" s="223" t="s">
        <v>489</v>
      </c>
      <c r="H234" s="224" t="s">
        <v>490</v>
      </c>
      <c r="I234" s="208"/>
      <c r="J234" s="210"/>
      <c r="K234" s="210"/>
      <c r="L234" s="210"/>
      <c r="M234" s="210"/>
      <c r="N234" s="210"/>
      <c r="O234" s="210"/>
      <c r="P234" s="210"/>
      <c r="Q234" s="210"/>
      <c r="R234" s="210"/>
      <c r="S234" s="210"/>
      <c r="T234" s="210"/>
      <c r="U234" s="210"/>
      <c r="V234" s="210"/>
      <c r="W234" s="210"/>
      <c r="X234" s="210"/>
      <c r="Y234" s="210"/>
      <c r="Z234" s="210"/>
    </row>
    <row r="235" ht="21.75" customHeight="1">
      <c r="A235" s="214"/>
      <c r="B235" s="221"/>
      <c r="C235" s="222">
        <v>101.0</v>
      </c>
      <c r="D235" s="223" t="s">
        <v>758</v>
      </c>
      <c r="E235" s="223" t="s">
        <v>487</v>
      </c>
      <c r="F235" s="223" t="s">
        <v>492</v>
      </c>
      <c r="G235" s="223" t="s">
        <v>497</v>
      </c>
      <c r="H235" s="225" t="s">
        <v>768</v>
      </c>
      <c r="I235" s="208"/>
      <c r="J235" s="210"/>
      <c r="K235" s="210"/>
      <c r="L235" s="210"/>
      <c r="M235" s="210"/>
      <c r="N235" s="210"/>
      <c r="O235" s="210"/>
      <c r="P235" s="210"/>
      <c r="Q235" s="210"/>
      <c r="R235" s="210"/>
      <c r="S235" s="210"/>
      <c r="T235" s="210"/>
      <c r="U235" s="210"/>
      <c r="V235" s="210"/>
      <c r="W235" s="210"/>
      <c r="X235" s="210"/>
      <c r="Y235" s="210"/>
      <c r="Z235" s="210"/>
    </row>
    <row r="236" ht="21.75" customHeight="1">
      <c r="A236" s="214"/>
      <c r="B236" s="221"/>
      <c r="C236" s="222">
        <v>102.0</v>
      </c>
      <c r="D236" s="223" t="s">
        <v>769</v>
      </c>
      <c r="E236" s="223" t="s">
        <v>487</v>
      </c>
      <c r="F236" s="223" t="s">
        <v>496</v>
      </c>
      <c r="G236" s="223" t="s">
        <v>501</v>
      </c>
      <c r="H236" s="225" t="s">
        <v>770</v>
      </c>
      <c r="I236" s="208"/>
      <c r="J236" s="210"/>
      <c r="K236" s="210"/>
      <c r="L236" s="210"/>
      <c r="M236" s="210"/>
      <c r="N236" s="210"/>
      <c r="O236" s="210"/>
      <c r="P236" s="210"/>
      <c r="Q236" s="210"/>
      <c r="R236" s="210"/>
      <c r="S236" s="210"/>
      <c r="T236" s="210"/>
      <c r="U236" s="210"/>
      <c r="V236" s="210"/>
      <c r="W236" s="210"/>
      <c r="X236" s="210"/>
      <c r="Y236" s="210"/>
      <c r="Z236" s="210"/>
    </row>
    <row r="237" ht="21.75" customHeight="1">
      <c r="A237" s="214"/>
      <c r="B237" s="221"/>
      <c r="C237" s="222">
        <v>103.0</v>
      </c>
      <c r="D237" s="223" t="s">
        <v>765</v>
      </c>
      <c r="E237" s="223" t="s">
        <v>487</v>
      </c>
      <c r="F237" s="223" t="s">
        <v>500</v>
      </c>
      <c r="G237" s="223" t="s">
        <v>493</v>
      </c>
      <c r="H237" s="225" t="s">
        <v>771</v>
      </c>
      <c r="I237" s="208"/>
      <c r="J237" s="210"/>
      <c r="K237" s="210"/>
      <c r="L237" s="210"/>
      <c r="M237" s="210"/>
      <c r="N237" s="210"/>
      <c r="O237" s="210"/>
      <c r="P237" s="210"/>
      <c r="Q237" s="210"/>
      <c r="R237" s="210"/>
      <c r="S237" s="210"/>
      <c r="T237" s="210"/>
      <c r="U237" s="210"/>
      <c r="V237" s="210"/>
      <c r="W237" s="210"/>
      <c r="X237" s="210"/>
      <c r="Y237" s="210"/>
      <c r="Z237" s="210"/>
    </row>
    <row r="238" ht="21.75" customHeight="1">
      <c r="A238" s="228"/>
      <c r="B238" s="221"/>
      <c r="C238" s="222">
        <v>104.0</v>
      </c>
      <c r="D238" s="223" t="s">
        <v>541</v>
      </c>
      <c r="E238" s="223" t="s">
        <v>508</v>
      </c>
      <c r="F238" s="223" t="s">
        <v>509</v>
      </c>
      <c r="G238" s="223" t="s">
        <v>510</v>
      </c>
      <c r="H238" s="225" t="s">
        <v>772</v>
      </c>
      <c r="I238" s="208"/>
      <c r="J238" s="210"/>
      <c r="K238" s="210"/>
      <c r="L238" s="210"/>
      <c r="M238" s="210"/>
      <c r="N238" s="210"/>
      <c r="O238" s="210"/>
      <c r="P238" s="210"/>
      <c r="Q238" s="210"/>
      <c r="R238" s="210"/>
      <c r="S238" s="210"/>
      <c r="T238" s="210"/>
      <c r="U238" s="210"/>
      <c r="V238" s="210"/>
      <c r="W238" s="210"/>
      <c r="X238" s="210"/>
      <c r="Y238" s="210"/>
      <c r="Z238" s="210"/>
    </row>
    <row r="239" ht="21.75" customHeight="1">
      <c r="A239" s="214">
        <v>120.0</v>
      </c>
      <c r="B239" s="229" t="s">
        <v>773</v>
      </c>
      <c r="C239" s="230"/>
      <c r="D239" s="217"/>
      <c r="E239" s="217"/>
      <c r="F239" s="217"/>
      <c r="G239" s="217"/>
      <c r="H239" s="217"/>
      <c r="I239" s="208"/>
      <c r="J239" s="210"/>
      <c r="K239" s="210"/>
      <c r="L239" s="210"/>
      <c r="M239" s="210"/>
      <c r="N239" s="210"/>
      <c r="O239" s="210"/>
      <c r="P239" s="210"/>
      <c r="Q239" s="210"/>
      <c r="R239" s="210"/>
      <c r="S239" s="210"/>
      <c r="T239" s="210"/>
      <c r="U239" s="210"/>
      <c r="V239" s="210"/>
      <c r="W239" s="210"/>
      <c r="X239" s="210"/>
      <c r="Y239" s="210"/>
      <c r="Z239" s="210"/>
    </row>
    <row r="240" ht="21.75" customHeight="1">
      <c r="A240" s="214"/>
      <c r="B240" s="218" t="s">
        <v>774</v>
      </c>
      <c r="C240" s="219">
        <v>50578.0</v>
      </c>
      <c r="D240" s="220"/>
      <c r="E240" s="220"/>
      <c r="F240" s="220"/>
      <c r="G240" s="220"/>
      <c r="H240" s="220"/>
      <c r="I240" s="208"/>
      <c r="J240" s="210"/>
      <c r="K240" s="210"/>
      <c r="L240" s="210"/>
      <c r="M240" s="210"/>
      <c r="N240" s="210"/>
      <c r="O240" s="210"/>
      <c r="P240" s="210"/>
      <c r="Q240" s="210"/>
      <c r="R240" s="210"/>
      <c r="S240" s="210"/>
      <c r="T240" s="210"/>
      <c r="U240" s="210"/>
      <c r="V240" s="210"/>
      <c r="W240" s="210"/>
      <c r="X240" s="210"/>
      <c r="Y240" s="210"/>
      <c r="Z240" s="210"/>
    </row>
    <row r="241" ht="21.75" customHeight="1">
      <c r="A241" s="214"/>
      <c r="B241" s="221"/>
      <c r="C241" s="222">
        <v>100.0</v>
      </c>
      <c r="D241" s="223" t="s">
        <v>486</v>
      </c>
      <c r="E241" s="223" t="s">
        <v>487</v>
      </c>
      <c r="F241" s="223" t="s">
        <v>488</v>
      </c>
      <c r="G241" s="223" t="s">
        <v>489</v>
      </c>
      <c r="H241" s="224" t="s">
        <v>490</v>
      </c>
      <c r="I241" s="208"/>
      <c r="J241" s="210"/>
      <c r="K241" s="210"/>
      <c r="L241" s="210"/>
      <c r="M241" s="210"/>
      <c r="N241" s="210"/>
      <c r="O241" s="210"/>
      <c r="P241" s="210"/>
      <c r="Q241" s="210"/>
      <c r="R241" s="210"/>
      <c r="S241" s="210"/>
      <c r="T241" s="210"/>
      <c r="U241" s="210"/>
      <c r="V241" s="210"/>
      <c r="W241" s="210"/>
      <c r="X241" s="210"/>
      <c r="Y241" s="210"/>
      <c r="Z241" s="210"/>
    </row>
    <row r="242" ht="21.75" customHeight="1">
      <c r="A242" s="214"/>
      <c r="B242" s="221"/>
      <c r="C242" s="222">
        <v>101.0</v>
      </c>
      <c r="D242" s="223" t="s">
        <v>369</v>
      </c>
      <c r="E242" s="223" t="s">
        <v>487</v>
      </c>
      <c r="F242" s="223" t="s">
        <v>492</v>
      </c>
      <c r="G242" s="223" t="s">
        <v>678</v>
      </c>
      <c r="H242" s="225" t="s">
        <v>775</v>
      </c>
      <c r="I242" s="208"/>
      <c r="J242" s="210"/>
      <c r="K242" s="210"/>
      <c r="L242" s="210"/>
      <c r="M242" s="210"/>
      <c r="N242" s="210"/>
      <c r="O242" s="210"/>
      <c r="P242" s="210"/>
      <c r="Q242" s="210"/>
      <c r="R242" s="210"/>
      <c r="S242" s="210"/>
      <c r="T242" s="210"/>
      <c r="U242" s="210"/>
      <c r="V242" s="210"/>
      <c r="W242" s="210"/>
      <c r="X242" s="210"/>
      <c r="Y242" s="210"/>
      <c r="Z242" s="210"/>
    </row>
    <row r="243" ht="21.75" customHeight="1">
      <c r="A243" s="214"/>
      <c r="B243" s="221"/>
      <c r="C243" s="222">
        <v>102.0</v>
      </c>
      <c r="D243" s="223" t="s">
        <v>516</v>
      </c>
      <c r="E243" s="223" t="s">
        <v>487</v>
      </c>
      <c r="F243" s="223" t="s">
        <v>496</v>
      </c>
      <c r="G243" s="223" t="s">
        <v>526</v>
      </c>
      <c r="H243" s="225" t="s">
        <v>776</v>
      </c>
      <c r="I243" s="208"/>
      <c r="J243" s="210"/>
      <c r="K243" s="210"/>
      <c r="L243" s="210"/>
      <c r="M243" s="210"/>
      <c r="N243" s="210"/>
      <c r="O243" s="210"/>
      <c r="P243" s="210"/>
      <c r="Q243" s="210"/>
      <c r="R243" s="210"/>
      <c r="S243" s="210"/>
      <c r="T243" s="210"/>
      <c r="U243" s="210"/>
      <c r="V243" s="210"/>
      <c r="W243" s="210"/>
      <c r="X243" s="210"/>
      <c r="Y243" s="210"/>
      <c r="Z243" s="210"/>
    </row>
    <row r="244" ht="21.75" customHeight="1">
      <c r="A244" s="214"/>
      <c r="B244" s="221"/>
      <c r="C244" s="222">
        <v>103.0</v>
      </c>
      <c r="D244" s="223" t="s">
        <v>777</v>
      </c>
      <c r="E244" s="223" t="s">
        <v>487</v>
      </c>
      <c r="F244" s="223" t="s">
        <v>500</v>
      </c>
      <c r="G244" s="223" t="s">
        <v>497</v>
      </c>
      <c r="H244" s="225" t="s">
        <v>778</v>
      </c>
      <c r="I244" s="208"/>
      <c r="J244" s="210"/>
      <c r="K244" s="210"/>
      <c r="L244" s="210"/>
      <c r="M244" s="210"/>
      <c r="N244" s="210"/>
      <c r="O244" s="210"/>
      <c r="P244" s="210"/>
      <c r="Q244" s="210"/>
      <c r="R244" s="210"/>
      <c r="S244" s="210"/>
      <c r="T244" s="210"/>
      <c r="U244" s="210"/>
      <c r="V244" s="210"/>
      <c r="W244" s="210"/>
      <c r="X244" s="210"/>
      <c r="Y244" s="210"/>
      <c r="Z244" s="210"/>
    </row>
    <row r="245" ht="21.75" customHeight="1">
      <c r="A245" s="214"/>
      <c r="B245" s="221"/>
      <c r="C245" s="222">
        <v>104.0</v>
      </c>
      <c r="D245" s="223" t="s">
        <v>779</v>
      </c>
      <c r="E245" s="223" t="s">
        <v>487</v>
      </c>
      <c r="F245" s="223" t="s">
        <v>512</v>
      </c>
      <c r="G245" s="223" t="s">
        <v>501</v>
      </c>
      <c r="H245" s="225" t="s">
        <v>780</v>
      </c>
      <c r="I245" s="208"/>
      <c r="J245" s="210"/>
      <c r="K245" s="210"/>
      <c r="L245" s="210"/>
      <c r="M245" s="210"/>
      <c r="N245" s="210"/>
      <c r="O245" s="210"/>
      <c r="P245" s="210"/>
      <c r="Q245" s="210"/>
      <c r="R245" s="210"/>
      <c r="S245" s="210"/>
      <c r="T245" s="210"/>
      <c r="U245" s="210"/>
      <c r="V245" s="210"/>
      <c r="W245" s="210"/>
      <c r="X245" s="210"/>
      <c r="Y245" s="210"/>
      <c r="Z245" s="210"/>
    </row>
    <row r="246" ht="21.75" customHeight="1">
      <c r="A246" s="228"/>
      <c r="B246" s="221"/>
      <c r="C246" s="222">
        <v>105.0</v>
      </c>
      <c r="D246" s="223" t="s">
        <v>519</v>
      </c>
      <c r="E246" s="223" t="s">
        <v>508</v>
      </c>
      <c r="F246" s="223" t="s">
        <v>509</v>
      </c>
      <c r="G246" s="223" t="s">
        <v>510</v>
      </c>
      <c r="H246" s="225" t="s">
        <v>781</v>
      </c>
      <c r="I246" s="208"/>
      <c r="J246" s="210"/>
      <c r="K246" s="210"/>
      <c r="L246" s="210"/>
      <c r="M246" s="210"/>
      <c r="N246" s="210"/>
      <c r="O246" s="210"/>
      <c r="P246" s="210"/>
      <c r="Q246" s="210"/>
      <c r="R246" s="210"/>
      <c r="S246" s="210"/>
      <c r="T246" s="210"/>
      <c r="U246" s="210"/>
      <c r="V246" s="210"/>
      <c r="W246" s="210"/>
      <c r="X246" s="210"/>
      <c r="Y246" s="210"/>
      <c r="Z246" s="210"/>
    </row>
    <row r="247" ht="21.75" customHeight="1">
      <c r="A247" s="214">
        <v>122.0</v>
      </c>
      <c r="B247" s="215" t="s">
        <v>782</v>
      </c>
      <c r="C247" s="216"/>
      <c r="D247" s="217"/>
      <c r="E247" s="217"/>
      <c r="F247" s="217"/>
      <c r="G247" s="217"/>
      <c r="H247" s="217"/>
      <c r="I247" s="208"/>
      <c r="J247" s="210"/>
      <c r="K247" s="210"/>
      <c r="L247" s="210"/>
      <c r="M247" s="210"/>
      <c r="N247" s="210"/>
      <c r="O247" s="210"/>
      <c r="P247" s="210"/>
      <c r="Q247" s="210"/>
      <c r="R247" s="210"/>
      <c r="S247" s="210"/>
      <c r="T247" s="210"/>
      <c r="U247" s="210"/>
      <c r="V247" s="210"/>
      <c r="W247" s="210"/>
      <c r="X247" s="210"/>
      <c r="Y247" s="210"/>
      <c r="Z247" s="210"/>
    </row>
    <row r="248" ht="21.75" customHeight="1">
      <c r="A248" s="214"/>
      <c r="B248" s="218" t="s">
        <v>783</v>
      </c>
      <c r="C248" s="219">
        <v>50316.0</v>
      </c>
      <c r="D248" s="220"/>
      <c r="E248" s="220"/>
      <c r="F248" s="220"/>
      <c r="G248" s="220"/>
      <c r="H248" s="220"/>
      <c r="I248" s="208"/>
      <c r="J248" s="210"/>
      <c r="K248" s="210"/>
      <c r="L248" s="210"/>
      <c r="M248" s="210"/>
      <c r="N248" s="210"/>
      <c r="O248" s="210"/>
      <c r="P248" s="210"/>
      <c r="Q248" s="210"/>
      <c r="R248" s="210"/>
      <c r="S248" s="210"/>
      <c r="T248" s="210"/>
      <c r="U248" s="210"/>
      <c r="V248" s="210"/>
      <c r="W248" s="210"/>
      <c r="X248" s="210"/>
      <c r="Y248" s="210"/>
      <c r="Z248" s="210"/>
    </row>
    <row r="249" ht="21.75" customHeight="1">
      <c r="A249" s="214"/>
      <c r="B249" s="221"/>
      <c r="C249" s="222">
        <v>100.0</v>
      </c>
      <c r="D249" s="223" t="s">
        <v>486</v>
      </c>
      <c r="E249" s="223" t="s">
        <v>487</v>
      </c>
      <c r="F249" s="223" t="s">
        <v>488</v>
      </c>
      <c r="G249" s="223" t="s">
        <v>489</v>
      </c>
      <c r="H249" s="224" t="s">
        <v>490</v>
      </c>
      <c r="I249" s="208"/>
      <c r="J249" s="210"/>
      <c r="K249" s="210"/>
      <c r="L249" s="210"/>
      <c r="M249" s="210"/>
      <c r="N249" s="210"/>
      <c r="O249" s="210"/>
      <c r="P249" s="210"/>
      <c r="Q249" s="210"/>
      <c r="R249" s="210"/>
      <c r="S249" s="210"/>
      <c r="T249" s="210"/>
      <c r="U249" s="210"/>
      <c r="V249" s="210"/>
      <c r="W249" s="210"/>
      <c r="X249" s="210"/>
      <c r="Y249" s="210"/>
      <c r="Z249" s="210"/>
    </row>
    <row r="250" ht="21.75" customHeight="1">
      <c r="A250" s="214"/>
      <c r="B250" s="221"/>
      <c r="C250" s="222">
        <v>101.0</v>
      </c>
      <c r="D250" s="223" t="s">
        <v>784</v>
      </c>
      <c r="E250" s="223" t="s">
        <v>487</v>
      </c>
      <c r="F250" s="223" t="s">
        <v>492</v>
      </c>
      <c r="G250" s="223" t="s">
        <v>594</v>
      </c>
      <c r="H250" s="225" t="s">
        <v>785</v>
      </c>
      <c r="I250" s="208"/>
      <c r="J250" s="210"/>
      <c r="K250" s="210"/>
      <c r="L250" s="210"/>
      <c r="M250" s="210"/>
      <c r="N250" s="210"/>
      <c r="O250" s="210"/>
      <c r="P250" s="210"/>
      <c r="Q250" s="210"/>
      <c r="R250" s="210"/>
      <c r="S250" s="210"/>
      <c r="T250" s="210"/>
      <c r="U250" s="210"/>
      <c r="V250" s="210"/>
      <c r="W250" s="210"/>
      <c r="X250" s="210"/>
      <c r="Y250" s="210"/>
      <c r="Z250" s="210"/>
    </row>
    <row r="251" ht="21.75" customHeight="1">
      <c r="A251" s="214"/>
      <c r="B251" s="221"/>
      <c r="C251" s="222">
        <v>102.0</v>
      </c>
      <c r="D251" s="223" t="s">
        <v>786</v>
      </c>
      <c r="E251" s="223" t="s">
        <v>487</v>
      </c>
      <c r="F251" s="223" t="s">
        <v>496</v>
      </c>
      <c r="G251" s="223" t="s">
        <v>501</v>
      </c>
      <c r="H251" s="225" t="s">
        <v>787</v>
      </c>
      <c r="I251" s="208"/>
      <c r="J251" s="210"/>
      <c r="K251" s="210"/>
      <c r="L251" s="210"/>
      <c r="M251" s="210"/>
      <c r="N251" s="210"/>
      <c r="O251" s="210"/>
      <c r="P251" s="210"/>
      <c r="Q251" s="210"/>
      <c r="R251" s="210"/>
      <c r="S251" s="210"/>
      <c r="T251" s="210"/>
      <c r="U251" s="210"/>
      <c r="V251" s="210"/>
      <c r="W251" s="210"/>
      <c r="X251" s="210"/>
      <c r="Y251" s="210"/>
      <c r="Z251" s="210"/>
    </row>
    <row r="252" ht="21.75" customHeight="1">
      <c r="A252" s="214"/>
      <c r="B252" s="221"/>
      <c r="C252" s="222">
        <v>103.0</v>
      </c>
      <c r="D252" s="223" t="s">
        <v>788</v>
      </c>
      <c r="E252" s="223" t="s">
        <v>487</v>
      </c>
      <c r="F252" s="223" t="s">
        <v>500</v>
      </c>
      <c r="G252" s="223" t="s">
        <v>497</v>
      </c>
      <c r="H252" s="225" t="s">
        <v>789</v>
      </c>
      <c r="I252" s="208"/>
      <c r="J252" s="210"/>
      <c r="K252" s="210"/>
      <c r="L252" s="210"/>
      <c r="M252" s="210"/>
      <c r="N252" s="210"/>
      <c r="O252" s="210"/>
      <c r="P252" s="210"/>
      <c r="Q252" s="210"/>
      <c r="R252" s="210"/>
      <c r="S252" s="210"/>
      <c r="T252" s="210"/>
      <c r="U252" s="210"/>
      <c r="V252" s="210"/>
      <c r="W252" s="210"/>
      <c r="X252" s="210"/>
      <c r="Y252" s="210"/>
      <c r="Z252" s="210"/>
    </row>
    <row r="253" ht="21.75" customHeight="1">
      <c r="A253" s="214"/>
      <c r="B253" s="221"/>
      <c r="C253" s="222">
        <v>104.0</v>
      </c>
      <c r="D253" s="223" t="s">
        <v>790</v>
      </c>
      <c r="E253" s="223" t="s">
        <v>791</v>
      </c>
      <c r="F253" s="223" t="s">
        <v>512</v>
      </c>
      <c r="G253" s="218" t="s">
        <v>490</v>
      </c>
      <c r="H253" s="225" t="s">
        <v>792</v>
      </c>
      <c r="I253" s="208"/>
      <c r="J253" s="210"/>
      <c r="K253" s="210"/>
      <c r="L253" s="210"/>
      <c r="M253" s="210"/>
      <c r="N253" s="210"/>
      <c r="O253" s="210"/>
      <c r="P253" s="210"/>
      <c r="Q253" s="210"/>
      <c r="R253" s="210"/>
      <c r="S253" s="210"/>
      <c r="T253" s="210"/>
      <c r="U253" s="210"/>
      <c r="V253" s="210"/>
      <c r="W253" s="210"/>
      <c r="X253" s="210"/>
      <c r="Y253" s="210"/>
      <c r="Z253" s="210"/>
    </row>
    <row r="254" ht="21.75" customHeight="1">
      <c r="A254" s="214"/>
      <c r="B254" s="221"/>
      <c r="C254" s="222">
        <v>105.0</v>
      </c>
      <c r="D254" s="223" t="s">
        <v>793</v>
      </c>
      <c r="E254" s="223" t="s">
        <v>504</v>
      </c>
      <c r="F254" s="223" t="s">
        <v>505</v>
      </c>
      <c r="G254" s="218" t="s">
        <v>490</v>
      </c>
      <c r="H254" s="225" t="s">
        <v>794</v>
      </c>
      <c r="I254" s="208"/>
      <c r="J254" s="210"/>
      <c r="K254" s="210"/>
      <c r="L254" s="210"/>
      <c r="M254" s="210"/>
      <c r="N254" s="210"/>
      <c r="O254" s="210"/>
      <c r="P254" s="210"/>
      <c r="Q254" s="210"/>
      <c r="R254" s="210"/>
      <c r="S254" s="210"/>
      <c r="T254" s="210"/>
      <c r="U254" s="210"/>
      <c r="V254" s="210"/>
      <c r="W254" s="210"/>
      <c r="X254" s="210"/>
      <c r="Y254" s="210"/>
      <c r="Z254" s="210"/>
    </row>
    <row r="255" ht="21.75" customHeight="1">
      <c r="A255" s="214"/>
      <c r="B255" s="221"/>
      <c r="C255" s="222">
        <v>106.0</v>
      </c>
      <c r="D255" s="223" t="s">
        <v>793</v>
      </c>
      <c r="E255" s="223" t="s">
        <v>673</v>
      </c>
      <c r="F255" s="223" t="s">
        <v>674</v>
      </c>
      <c r="G255" s="218" t="s">
        <v>490</v>
      </c>
      <c r="H255" s="224" t="s">
        <v>490</v>
      </c>
      <c r="I255" s="208"/>
      <c r="J255" s="210"/>
      <c r="K255" s="210"/>
      <c r="L255" s="210"/>
      <c r="M255" s="210"/>
      <c r="N255" s="210"/>
      <c r="O255" s="210"/>
      <c r="P255" s="210"/>
      <c r="Q255" s="210"/>
      <c r="R255" s="210"/>
      <c r="S255" s="210"/>
      <c r="T255" s="210"/>
      <c r="U255" s="210"/>
      <c r="V255" s="210"/>
      <c r="W255" s="210"/>
      <c r="X255" s="210"/>
      <c r="Y255" s="210"/>
      <c r="Z255" s="210"/>
    </row>
    <row r="256" ht="21.75" customHeight="1">
      <c r="A256" s="214"/>
      <c r="B256" s="221"/>
      <c r="C256" s="222">
        <v>107.0</v>
      </c>
      <c r="D256" s="223" t="s">
        <v>793</v>
      </c>
      <c r="E256" s="223" t="s">
        <v>487</v>
      </c>
      <c r="F256" s="223" t="s">
        <v>532</v>
      </c>
      <c r="G256" s="223" t="s">
        <v>526</v>
      </c>
      <c r="H256" s="224" t="s">
        <v>490</v>
      </c>
      <c r="I256" s="208"/>
      <c r="J256" s="210"/>
      <c r="K256" s="210"/>
      <c r="L256" s="210"/>
      <c r="M256" s="210"/>
      <c r="N256" s="210"/>
      <c r="O256" s="210"/>
      <c r="P256" s="210"/>
      <c r="Q256" s="210"/>
      <c r="R256" s="210"/>
      <c r="S256" s="210"/>
      <c r="T256" s="210"/>
      <c r="U256" s="210"/>
      <c r="V256" s="210"/>
      <c r="W256" s="210"/>
      <c r="X256" s="210"/>
      <c r="Y256" s="210"/>
      <c r="Z256" s="210"/>
    </row>
    <row r="257" ht="21.75" customHeight="1">
      <c r="A257" s="214"/>
      <c r="B257" s="221"/>
      <c r="C257" s="222">
        <v>108.0</v>
      </c>
      <c r="D257" s="223" t="s">
        <v>795</v>
      </c>
      <c r="E257" s="223" t="s">
        <v>487</v>
      </c>
      <c r="F257" s="223" t="s">
        <v>590</v>
      </c>
      <c r="G257" s="223" t="s">
        <v>493</v>
      </c>
      <c r="H257" s="225" t="s">
        <v>796</v>
      </c>
      <c r="I257" s="208"/>
      <c r="J257" s="210"/>
      <c r="K257" s="210"/>
      <c r="L257" s="210"/>
      <c r="M257" s="210"/>
      <c r="N257" s="210"/>
      <c r="O257" s="210"/>
      <c r="P257" s="210"/>
      <c r="Q257" s="210"/>
      <c r="R257" s="210"/>
      <c r="S257" s="210"/>
      <c r="T257" s="210"/>
      <c r="U257" s="210"/>
      <c r="V257" s="210"/>
      <c r="W257" s="210"/>
      <c r="X257" s="210"/>
      <c r="Y257" s="210"/>
      <c r="Z257" s="210"/>
    </row>
    <row r="258" ht="21.75" customHeight="1">
      <c r="A258" s="214"/>
      <c r="B258" s="221"/>
      <c r="C258" s="222">
        <v>109.0</v>
      </c>
      <c r="D258" s="223" t="s">
        <v>519</v>
      </c>
      <c r="E258" s="223" t="s">
        <v>508</v>
      </c>
      <c r="F258" s="223" t="s">
        <v>509</v>
      </c>
      <c r="G258" s="223" t="s">
        <v>510</v>
      </c>
      <c r="H258" s="225" t="s">
        <v>797</v>
      </c>
      <c r="I258" s="208"/>
      <c r="J258" s="210"/>
      <c r="K258" s="210"/>
      <c r="L258" s="210"/>
      <c r="M258" s="210"/>
      <c r="N258" s="210"/>
      <c r="O258" s="210"/>
      <c r="P258" s="210"/>
      <c r="Q258" s="210"/>
      <c r="R258" s="210"/>
      <c r="S258" s="210"/>
      <c r="T258" s="210"/>
      <c r="U258" s="210"/>
      <c r="V258" s="210"/>
      <c r="W258" s="210"/>
      <c r="X258" s="210"/>
      <c r="Y258" s="210"/>
      <c r="Z258" s="210"/>
    </row>
    <row r="259" ht="21.75" customHeight="1">
      <c r="A259" s="214"/>
      <c r="B259" s="217"/>
      <c r="C259" s="222">
        <v>203.0</v>
      </c>
      <c r="D259" s="215" t="s">
        <v>790</v>
      </c>
      <c r="E259" s="215" t="s">
        <v>487</v>
      </c>
      <c r="F259" s="215" t="s">
        <v>603</v>
      </c>
      <c r="G259" s="215" t="s">
        <v>606</v>
      </c>
      <c r="H259" s="224" t="s">
        <v>490</v>
      </c>
      <c r="I259" s="208"/>
      <c r="J259" s="210"/>
      <c r="K259" s="210"/>
      <c r="L259" s="210"/>
      <c r="M259" s="210"/>
      <c r="N259" s="210"/>
      <c r="O259" s="210"/>
      <c r="P259" s="210"/>
      <c r="Q259" s="210"/>
      <c r="R259" s="210"/>
      <c r="S259" s="210"/>
      <c r="T259" s="210"/>
      <c r="U259" s="210"/>
      <c r="V259" s="210"/>
      <c r="W259" s="210"/>
      <c r="X259" s="210"/>
      <c r="Y259" s="210"/>
      <c r="Z259" s="210"/>
    </row>
    <row r="260" ht="21.75" customHeight="1">
      <c r="A260" s="214"/>
      <c r="B260" s="218" t="s">
        <v>798</v>
      </c>
      <c r="C260" s="226">
        <v>50357.0</v>
      </c>
      <c r="D260" s="220"/>
      <c r="E260" s="220"/>
      <c r="F260" s="220"/>
      <c r="G260" s="220"/>
      <c r="H260" s="221"/>
      <c r="I260" s="208"/>
      <c r="J260" s="210"/>
      <c r="K260" s="210"/>
      <c r="L260" s="210"/>
      <c r="M260" s="210"/>
      <c r="N260" s="210"/>
      <c r="O260" s="210"/>
      <c r="P260" s="210"/>
      <c r="Q260" s="210"/>
      <c r="R260" s="210"/>
      <c r="S260" s="210"/>
      <c r="T260" s="210"/>
      <c r="U260" s="210"/>
      <c r="V260" s="210"/>
      <c r="W260" s="210"/>
      <c r="X260" s="210"/>
      <c r="Y260" s="210"/>
      <c r="Z260" s="210"/>
    </row>
    <row r="261" ht="21.75" customHeight="1">
      <c r="A261" s="214"/>
      <c r="B261" s="221"/>
      <c r="C261" s="222">
        <v>100.0</v>
      </c>
      <c r="D261" s="223" t="s">
        <v>486</v>
      </c>
      <c r="E261" s="223" t="s">
        <v>487</v>
      </c>
      <c r="F261" s="223" t="s">
        <v>488</v>
      </c>
      <c r="G261" s="223" t="s">
        <v>489</v>
      </c>
      <c r="H261" s="224" t="s">
        <v>490</v>
      </c>
      <c r="I261" s="208"/>
      <c r="J261" s="210"/>
      <c r="K261" s="210"/>
      <c r="L261" s="210"/>
      <c r="M261" s="210"/>
      <c r="N261" s="210"/>
      <c r="O261" s="210"/>
      <c r="P261" s="210"/>
      <c r="Q261" s="210"/>
      <c r="R261" s="210"/>
      <c r="S261" s="210"/>
      <c r="T261" s="210"/>
      <c r="U261" s="210"/>
      <c r="V261" s="210"/>
      <c r="W261" s="210"/>
      <c r="X261" s="210"/>
      <c r="Y261" s="210"/>
      <c r="Z261" s="210"/>
    </row>
    <row r="262" ht="21.75" customHeight="1">
      <c r="A262" s="214"/>
      <c r="B262" s="221"/>
      <c r="C262" s="222">
        <v>101.0</v>
      </c>
      <c r="D262" s="223" t="s">
        <v>784</v>
      </c>
      <c r="E262" s="223" t="s">
        <v>487</v>
      </c>
      <c r="F262" s="223" t="s">
        <v>492</v>
      </c>
      <c r="G262" s="223" t="s">
        <v>594</v>
      </c>
      <c r="H262" s="225" t="s">
        <v>799</v>
      </c>
      <c r="I262" s="208"/>
      <c r="J262" s="210"/>
      <c r="K262" s="210"/>
      <c r="L262" s="210"/>
      <c r="M262" s="210"/>
      <c r="N262" s="210"/>
      <c r="O262" s="210"/>
      <c r="P262" s="210"/>
      <c r="Q262" s="210"/>
      <c r="R262" s="210"/>
      <c r="S262" s="210"/>
      <c r="T262" s="210"/>
      <c r="U262" s="210"/>
      <c r="V262" s="210"/>
      <c r="W262" s="210"/>
      <c r="X262" s="210"/>
      <c r="Y262" s="210"/>
      <c r="Z262" s="210"/>
    </row>
    <row r="263" ht="21.75" customHeight="1">
      <c r="A263" s="214"/>
      <c r="B263" s="221"/>
      <c r="C263" s="222">
        <v>102.0</v>
      </c>
      <c r="D263" s="223" t="s">
        <v>786</v>
      </c>
      <c r="E263" s="223" t="s">
        <v>487</v>
      </c>
      <c r="F263" s="223" t="s">
        <v>496</v>
      </c>
      <c r="G263" s="223" t="s">
        <v>501</v>
      </c>
      <c r="H263" s="225" t="s">
        <v>800</v>
      </c>
      <c r="I263" s="208"/>
      <c r="J263" s="210"/>
      <c r="K263" s="210"/>
      <c r="L263" s="210"/>
      <c r="M263" s="210"/>
      <c r="N263" s="210"/>
      <c r="O263" s="210"/>
      <c r="P263" s="210"/>
      <c r="Q263" s="210"/>
      <c r="R263" s="210"/>
      <c r="S263" s="210"/>
      <c r="T263" s="210"/>
      <c r="U263" s="210"/>
      <c r="V263" s="210"/>
      <c r="W263" s="210"/>
      <c r="X263" s="210"/>
      <c r="Y263" s="210"/>
      <c r="Z263" s="210"/>
    </row>
    <row r="264" ht="21.75" customHeight="1">
      <c r="A264" s="214"/>
      <c r="B264" s="221"/>
      <c r="C264" s="222">
        <v>103.0</v>
      </c>
      <c r="D264" s="223" t="s">
        <v>801</v>
      </c>
      <c r="E264" s="223" t="s">
        <v>504</v>
      </c>
      <c r="F264" s="223" t="s">
        <v>505</v>
      </c>
      <c r="G264" s="218" t="s">
        <v>490</v>
      </c>
      <c r="H264" s="225" t="s">
        <v>802</v>
      </c>
      <c r="I264" s="208"/>
      <c r="J264" s="210"/>
      <c r="K264" s="210"/>
      <c r="L264" s="210"/>
      <c r="M264" s="210"/>
      <c r="N264" s="210"/>
      <c r="O264" s="210"/>
      <c r="P264" s="210"/>
      <c r="Q264" s="210"/>
      <c r="R264" s="210"/>
      <c r="S264" s="210"/>
      <c r="T264" s="210"/>
      <c r="U264" s="210"/>
      <c r="V264" s="210"/>
      <c r="W264" s="210"/>
      <c r="X264" s="210"/>
      <c r="Y264" s="210"/>
      <c r="Z264" s="210"/>
    </row>
    <row r="265" ht="21.75" customHeight="1">
      <c r="A265" s="214"/>
      <c r="B265" s="221"/>
      <c r="C265" s="222">
        <v>104.0</v>
      </c>
      <c r="D265" s="223" t="s">
        <v>801</v>
      </c>
      <c r="E265" s="223" t="s">
        <v>673</v>
      </c>
      <c r="F265" s="223" t="s">
        <v>674</v>
      </c>
      <c r="G265" s="218" t="s">
        <v>490</v>
      </c>
      <c r="H265" s="224" t="s">
        <v>490</v>
      </c>
      <c r="I265" s="208"/>
      <c r="J265" s="210"/>
      <c r="K265" s="210"/>
      <c r="L265" s="210"/>
      <c r="M265" s="210"/>
      <c r="N265" s="210"/>
      <c r="O265" s="210"/>
      <c r="P265" s="210"/>
      <c r="Q265" s="210"/>
      <c r="R265" s="210"/>
      <c r="S265" s="210"/>
      <c r="T265" s="210"/>
      <c r="U265" s="210"/>
      <c r="V265" s="210"/>
      <c r="W265" s="210"/>
      <c r="X265" s="210"/>
      <c r="Y265" s="210"/>
      <c r="Z265" s="210"/>
    </row>
    <row r="266" ht="21.75" customHeight="1">
      <c r="A266" s="214"/>
      <c r="B266" s="221"/>
      <c r="C266" s="222">
        <v>105.0</v>
      </c>
      <c r="D266" s="223" t="s">
        <v>801</v>
      </c>
      <c r="E266" s="223" t="s">
        <v>487</v>
      </c>
      <c r="F266" s="223" t="s">
        <v>500</v>
      </c>
      <c r="G266" s="223" t="s">
        <v>513</v>
      </c>
      <c r="H266" s="224" t="s">
        <v>490</v>
      </c>
      <c r="I266" s="208"/>
      <c r="J266" s="210"/>
      <c r="K266" s="210"/>
      <c r="L266" s="210"/>
      <c r="M266" s="210"/>
      <c r="N266" s="210"/>
      <c r="O266" s="210"/>
      <c r="P266" s="210"/>
      <c r="Q266" s="210"/>
      <c r="R266" s="210"/>
      <c r="S266" s="210"/>
      <c r="T266" s="210"/>
      <c r="U266" s="210"/>
      <c r="V266" s="210"/>
      <c r="W266" s="210"/>
      <c r="X266" s="210"/>
      <c r="Y266" s="210"/>
      <c r="Z266" s="210"/>
    </row>
    <row r="267" ht="21.75" customHeight="1">
      <c r="A267" s="214"/>
      <c r="B267" s="221"/>
      <c r="C267" s="222">
        <v>106.0</v>
      </c>
      <c r="D267" s="223" t="s">
        <v>788</v>
      </c>
      <c r="E267" s="223" t="s">
        <v>487</v>
      </c>
      <c r="F267" s="223" t="s">
        <v>512</v>
      </c>
      <c r="G267" s="223" t="s">
        <v>497</v>
      </c>
      <c r="H267" s="225" t="s">
        <v>803</v>
      </c>
      <c r="I267" s="208"/>
      <c r="J267" s="210"/>
      <c r="K267" s="210"/>
      <c r="L267" s="210"/>
      <c r="M267" s="210"/>
      <c r="N267" s="210"/>
      <c r="O267" s="210"/>
      <c r="P267" s="210"/>
      <c r="Q267" s="210"/>
      <c r="R267" s="210"/>
      <c r="S267" s="210"/>
      <c r="T267" s="210"/>
      <c r="U267" s="210"/>
      <c r="V267" s="210"/>
      <c r="W267" s="210"/>
      <c r="X267" s="210"/>
      <c r="Y267" s="210"/>
      <c r="Z267" s="210"/>
    </row>
    <row r="268" ht="21.75" customHeight="1">
      <c r="A268" s="214"/>
      <c r="B268" s="221"/>
      <c r="C268" s="222">
        <v>107.0</v>
      </c>
      <c r="D268" s="223" t="s">
        <v>790</v>
      </c>
      <c r="E268" s="223" t="s">
        <v>791</v>
      </c>
      <c r="F268" s="223" t="s">
        <v>532</v>
      </c>
      <c r="G268" s="218" t="s">
        <v>490</v>
      </c>
      <c r="H268" s="225" t="s">
        <v>804</v>
      </c>
      <c r="I268" s="208"/>
      <c r="J268" s="210"/>
      <c r="K268" s="210"/>
      <c r="L268" s="210"/>
      <c r="M268" s="210"/>
      <c r="N268" s="210"/>
      <c r="O268" s="210"/>
      <c r="P268" s="210"/>
      <c r="Q268" s="210"/>
      <c r="R268" s="210"/>
      <c r="S268" s="210"/>
      <c r="T268" s="210"/>
      <c r="U268" s="210"/>
      <c r="V268" s="210"/>
      <c r="W268" s="210"/>
      <c r="X268" s="210"/>
      <c r="Y268" s="210"/>
      <c r="Z268" s="210"/>
    </row>
    <row r="269" ht="21.75" customHeight="1">
      <c r="A269" s="214"/>
      <c r="B269" s="221"/>
      <c r="C269" s="222">
        <v>108.0</v>
      </c>
      <c r="D269" s="223" t="s">
        <v>790</v>
      </c>
      <c r="E269" s="223" t="s">
        <v>487</v>
      </c>
      <c r="F269" s="223" t="s">
        <v>603</v>
      </c>
      <c r="G269" s="223" t="s">
        <v>561</v>
      </c>
      <c r="H269" s="224" t="s">
        <v>490</v>
      </c>
      <c r="I269" s="208"/>
      <c r="J269" s="210"/>
      <c r="K269" s="210"/>
      <c r="L269" s="210"/>
      <c r="M269" s="210"/>
      <c r="N269" s="210"/>
      <c r="O269" s="210"/>
      <c r="P269" s="210"/>
      <c r="Q269" s="210"/>
      <c r="R269" s="210"/>
      <c r="S269" s="210"/>
      <c r="T269" s="210"/>
      <c r="U269" s="210"/>
      <c r="V269" s="210"/>
      <c r="W269" s="210"/>
      <c r="X269" s="210"/>
      <c r="Y269" s="210"/>
      <c r="Z269" s="210"/>
    </row>
    <row r="270" ht="21.75" customHeight="1">
      <c r="A270" s="214"/>
      <c r="B270" s="221"/>
      <c r="C270" s="222">
        <v>109.0</v>
      </c>
      <c r="D270" s="223" t="s">
        <v>795</v>
      </c>
      <c r="E270" s="223" t="s">
        <v>487</v>
      </c>
      <c r="F270" s="223" t="s">
        <v>590</v>
      </c>
      <c r="G270" s="223" t="s">
        <v>493</v>
      </c>
      <c r="H270" s="225" t="s">
        <v>805</v>
      </c>
      <c r="I270" s="208"/>
      <c r="J270" s="210"/>
      <c r="K270" s="210"/>
      <c r="L270" s="210"/>
      <c r="M270" s="210"/>
      <c r="N270" s="210"/>
      <c r="O270" s="210"/>
      <c r="P270" s="210"/>
      <c r="Q270" s="210"/>
      <c r="R270" s="210"/>
      <c r="S270" s="210"/>
      <c r="T270" s="210"/>
      <c r="U270" s="210"/>
      <c r="V270" s="210"/>
      <c r="W270" s="210"/>
      <c r="X270" s="210"/>
      <c r="Y270" s="210"/>
      <c r="Z270" s="210"/>
    </row>
    <row r="271" ht="21.75" customHeight="1">
      <c r="A271" s="214"/>
      <c r="B271" s="221"/>
      <c r="C271" s="222">
        <v>110.0</v>
      </c>
      <c r="D271" s="223" t="s">
        <v>806</v>
      </c>
      <c r="E271" s="223" t="s">
        <v>539</v>
      </c>
      <c r="F271" s="223" t="s">
        <v>542</v>
      </c>
      <c r="G271" s="223" t="s">
        <v>580</v>
      </c>
      <c r="H271" s="225" t="s">
        <v>807</v>
      </c>
      <c r="I271" s="208"/>
      <c r="J271" s="210"/>
      <c r="K271" s="210"/>
      <c r="L271" s="210"/>
      <c r="M271" s="210"/>
      <c r="N271" s="210"/>
      <c r="O271" s="210"/>
      <c r="P271" s="210"/>
      <c r="Q271" s="210"/>
      <c r="R271" s="210"/>
      <c r="S271" s="210"/>
      <c r="T271" s="210"/>
      <c r="U271" s="210"/>
      <c r="V271" s="210"/>
      <c r="W271" s="210"/>
      <c r="X271" s="210"/>
      <c r="Y271" s="210"/>
      <c r="Z271" s="210"/>
    </row>
    <row r="272" ht="21.75" customHeight="1">
      <c r="A272" s="214"/>
      <c r="B272" s="221"/>
      <c r="C272" s="222">
        <v>111.0</v>
      </c>
      <c r="D272" s="223" t="s">
        <v>808</v>
      </c>
      <c r="E272" s="223" t="s">
        <v>539</v>
      </c>
      <c r="F272" s="223" t="s">
        <v>621</v>
      </c>
      <c r="G272" s="223" t="s">
        <v>591</v>
      </c>
      <c r="H272" s="225" t="s">
        <v>809</v>
      </c>
      <c r="I272" s="208"/>
      <c r="J272" s="210"/>
      <c r="K272" s="210"/>
      <c r="L272" s="210"/>
      <c r="M272" s="210"/>
      <c r="N272" s="210"/>
      <c r="O272" s="210"/>
      <c r="P272" s="210"/>
      <c r="Q272" s="210"/>
      <c r="R272" s="210"/>
      <c r="S272" s="210"/>
      <c r="T272" s="210"/>
      <c r="U272" s="210"/>
      <c r="V272" s="210"/>
      <c r="W272" s="210"/>
      <c r="X272" s="210"/>
      <c r="Y272" s="210"/>
      <c r="Z272" s="210"/>
    </row>
    <row r="273" ht="21.75" customHeight="1">
      <c r="A273" s="214"/>
      <c r="B273" s="221"/>
      <c r="C273" s="222">
        <v>112.0</v>
      </c>
      <c r="D273" s="223" t="s">
        <v>810</v>
      </c>
      <c r="E273" s="223" t="s">
        <v>539</v>
      </c>
      <c r="F273" s="223" t="s">
        <v>625</v>
      </c>
      <c r="G273" s="223" t="s">
        <v>526</v>
      </c>
      <c r="H273" s="225" t="s">
        <v>811</v>
      </c>
      <c r="I273" s="208"/>
      <c r="J273" s="210"/>
      <c r="K273" s="210"/>
      <c r="L273" s="210"/>
      <c r="M273" s="210"/>
      <c r="N273" s="210"/>
      <c r="O273" s="210"/>
      <c r="P273" s="210"/>
      <c r="Q273" s="210"/>
      <c r="R273" s="210"/>
      <c r="S273" s="210"/>
      <c r="T273" s="210"/>
      <c r="U273" s="210"/>
      <c r="V273" s="210"/>
      <c r="W273" s="210"/>
      <c r="X273" s="210"/>
      <c r="Y273" s="210"/>
      <c r="Z273" s="210"/>
    </row>
    <row r="274" ht="21.75" customHeight="1">
      <c r="A274" s="214"/>
      <c r="B274" s="217"/>
      <c r="C274" s="222">
        <v>113.0</v>
      </c>
      <c r="D274" s="215" t="s">
        <v>519</v>
      </c>
      <c r="E274" s="215" t="s">
        <v>508</v>
      </c>
      <c r="F274" s="215" t="s">
        <v>509</v>
      </c>
      <c r="G274" s="215" t="s">
        <v>510</v>
      </c>
      <c r="H274" s="225" t="s">
        <v>812</v>
      </c>
      <c r="I274" s="208"/>
      <c r="J274" s="210"/>
      <c r="K274" s="210"/>
      <c r="L274" s="210"/>
      <c r="M274" s="210"/>
      <c r="N274" s="210"/>
      <c r="O274" s="210"/>
      <c r="P274" s="210"/>
      <c r="Q274" s="210"/>
      <c r="R274" s="210"/>
      <c r="S274" s="210"/>
      <c r="T274" s="210"/>
      <c r="U274" s="210"/>
      <c r="V274" s="210"/>
      <c r="W274" s="210"/>
      <c r="X274" s="210"/>
      <c r="Y274" s="210"/>
      <c r="Z274" s="210"/>
    </row>
    <row r="275" ht="21.75" customHeight="1">
      <c r="A275" s="214"/>
      <c r="B275" s="218" t="s">
        <v>813</v>
      </c>
      <c r="C275" s="226">
        <v>50315.0</v>
      </c>
      <c r="D275" s="220"/>
      <c r="E275" s="220"/>
      <c r="F275" s="220"/>
      <c r="G275" s="220"/>
      <c r="H275" s="221"/>
      <c r="I275" s="208"/>
      <c r="J275" s="210"/>
      <c r="K275" s="210"/>
      <c r="L275" s="210"/>
      <c r="M275" s="210"/>
      <c r="N275" s="210"/>
      <c r="O275" s="210"/>
      <c r="P275" s="210"/>
      <c r="Q275" s="210"/>
      <c r="R275" s="210"/>
      <c r="S275" s="210"/>
      <c r="T275" s="210"/>
      <c r="U275" s="210"/>
      <c r="V275" s="210"/>
      <c r="W275" s="210"/>
      <c r="X275" s="210"/>
      <c r="Y275" s="210"/>
      <c r="Z275" s="210"/>
    </row>
    <row r="276" ht="21.75" customHeight="1">
      <c r="A276" s="214"/>
      <c r="B276" s="221"/>
      <c r="C276" s="222">
        <v>100.0</v>
      </c>
      <c r="D276" s="223" t="s">
        <v>486</v>
      </c>
      <c r="E276" s="223" t="s">
        <v>487</v>
      </c>
      <c r="F276" s="223" t="s">
        <v>488</v>
      </c>
      <c r="G276" s="223" t="s">
        <v>489</v>
      </c>
      <c r="H276" s="224" t="s">
        <v>490</v>
      </c>
      <c r="I276" s="208"/>
      <c r="J276" s="210"/>
      <c r="K276" s="210"/>
      <c r="L276" s="210"/>
      <c r="M276" s="210"/>
      <c r="N276" s="210"/>
      <c r="O276" s="210"/>
      <c r="P276" s="210"/>
      <c r="Q276" s="210"/>
      <c r="R276" s="210"/>
      <c r="S276" s="210"/>
      <c r="T276" s="210"/>
      <c r="U276" s="210"/>
      <c r="V276" s="210"/>
      <c r="W276" s="210"/>
      <c r="X276" s="210"/>
      <c r="Y276" s="210"/>
      <c r="Z276" s="210"/>
    </row>
    <row r="277" ht="21.75" customHeight="1">
      <c r="A277" s="214"/>
      <c r="B277" s="221"/>
      <c r="C277" s="222">
        <v>101.0</v>
      </c>
      <c r="D277" s="223" t="s">
        <v>784</v>
      </c>
      <c r="E277" s="223" t="s">
        <v>487</v>
      </c>
      <c r="F277" s="223" t="s">
        <v>492</v>
      </c>
      <c r="G277" s="223" t="s">
        <v>602</v>
      </c>
      <c r="H277" s="225" t="s">
        <v>814</v>
      </c>
      <c r="I277" s="208"/>
      <c r="J277" s="210"/>
      <c r="K277" s="210"/>
      <c r="L277" s="210"/>
      <c r="M277" s="210"/>
      <c r="N277" s="210"/>
      <c r="O277" s="210"/>
      <c r="P277" s="210"/>
      <c r="Q277" s="210"/>
      <c r="R277" s="210"/>
      <c r="S277" s="210"/>
      <c r="T277" s="210"/>
      <c r="U277" s="210"/>
      <c r="V277" s="210"/>
      <c r="W277" s="210"/>
      <c r="X277" s="210"/>
      <c r="Y277" s="210"/>
      <c r="Z277" s="210"/>
    </row>
    <row r="278" ht="21.75" customHeight="1">
      <c r="A278" s="214"/>
      <c r="B278" s="221"/>
      <c r="C278" s="222">
        <v>102.0</v>
      </c>
      <c r="D278" s="223" t="s">
        <v>815</v>
      </c>
      <c r="E278" s="223" t="s">
        <v>529</v>
      </c>
      <c r="F278" s="223" t="s">
        <v>530</v>
      </c>
      <c r="G278" s="218" t="s">
        <v>490</v>
      </c>
      <c r="H278" s="225" t="s">
        <v>816</v>
      </c>
      <c r="I278" s="208"/>
      <c r="J278" s="210"/>
      <c r="K278" s="210"/>
      <c r="L278" s="210"/>
      <c r="M278" s="210"/>
      <c r="N278" s="210"/>
      <c r="O278" s="210"/>
      <c r="P278" s="210"/>
      <c r="Q278" s="210"/>
      <c r="R278" s="210"/>
      <c r="S278" s="210"/>
      <c r="T278" s="210"/>
      <c r="U278" s="210"/>
      <c r="V278" s="210"/>
      <c r="W278" s="210"/>
      <c r="X278" s="210"/>
      <c r="Y278" s="210"/>
      <c r="Z278" s="210"/>
    </row>
    <row r="279" ht="21.75" customHeight="1">
      <c r="A279" s="214"/>
      <c r="B279" s="221"/>
      <c r="C279" s="222">
        <v>103.0</v>
      </c>
      <c r="D279" s="223" t="s">
        <v>786</v>
      </c>
      <c r="E279" s="223" t="s">
        <v>487</v>
      </c>
      <c r="F279" s="223" t="s">
        <v>500</v>
      </c>
      <c r="G279" s="223" t="s">
        <v>501</v>
      </c>
      <c r="H279" s="225" t="s">
        <v>817</v>
      </c>
      <c r="I279" s="208"/>
      <c r="J279" s="210"/>
      <c r="K279" s="210"/>
      <c r="L279" s="210"/>
      <c r="M279" s="210"/>
      <c r="N279" s="210"/>
      <c r="O279" s="210"/>
      <c r="P279" s="210"/>
      <c r="Q279" s="210"/>
      <c r="R279" s="210"/>
      <c r="S279" s="210"/>
      <c r="T279" s="210"/>
      <c r="U279" s="210"/>
      <c r="V279" s="210"/>
      <c r="W279" s="210"/>
      <c r="X279" s="210"/>
      <c r="Y279" s="210"/>
      <c r="Z279" s="210"/>
    </row>
    <row r="280" ht="21.75" customHeight="1">
      <c r="A280" s="214"/>
      <c r="B280" s="221"/>
      <c r="C280" s="222">
        <v>104.0</v>
      </c>
      <c r="D280" s="223" t="s">
        <v>801</v>
      </c>
      <c r="E280" s="223" t="s">
        <v>504</v>
      </c>
      <c r="F280" s="223" t="s">
        <v>505</v>
      </c>
      <c r="G280" s="218" t="s">
        <v>490</v>
      </c>
      <c r="H280" s="225" t="s">
        <v>818</v>
      </c>
      <c r="I280" s="208"/>
      <c r="J280" s="210"/>
      <c r="K280" s="210"/>
      <c r="L280" s="210"/>
      <c r="M280" s="210"/>
      <c r="N280" s="210"/>
      <c r="O280" s="210"/>
      <c r="P280" s="210"/>
      <c r="Q280" s="210"/>
      <c r="R280" s="210"/>
      <c r="S280" s="210"/>
      <c r="T280" s="210"/>
      <c r="U280" s="210"/>
      <c r="V280" s="210"/>
      <c r="W280" s="210"/>
      <c r="X280" s="210"/>
      <c r="Y280" s="210"/>
      <c r="Z280" s="210"/>
    </row>
    <row r="281" ht="21.75" customHeight="1">
      <c r="A281" s="214"/>
      <c r="B281" s="221"/>
      <c r="C281" s="222">
        <v>105.0</v>
      </c>
      <c r="D281" s="223" t="s">
        <v>801</v>
      </c>
      <c r="E281" s="223" t="s">
        <v>487</v>
      </c>
      <c r="F281" s="223" t="s">
        <v>496</v>
      </c>
      <c r="G281" s="223" t="s">
        <v>513</v>
      </c>
      <c r="H281" s="224" t="s">
        <v>490</v>
      </c>
      <c r="I281" s="208"/>
      <c r="J281" s="210"/>
      <c r="K281" s="210"/>
      <c r="L281" s="210"/>
      <c r="M281" s="210"/>
      <c r="N281" s="210"/>
      <c r="O281" s="210"/>
      <c r="P281" s="210"/>
      <c r="Q281" s="210"/>
      <c r="R281" s="210"/>
      <c r="S281" s="210"/>
      <c r="T281" s="210"/>
      <c r="U281" s="210"/>
      <c r="V281" s="210"/>
      <c r="W281" s="210"/>
      <c r="X281" s="210"/>
      <c r="Y281" s="210"/>
      <c r="Z281" s="210"/>
    </row>
    <row r="282" ht="21.75" customHeight="1">
      <c r="A282" s="214"/>
      <c r="B282" s="221"/>
      <c r="C282" s="222">
        <v>106.0</v>
      </c>
      <c r="D282" s="223" t="s">
        <v>788</v>
      </c>
      <c r="E282" s="223" t="s">
        <v>487</v>
      </c>
      <c r="F282" s="223" t="s">
        <v>532</v>
      </c>
      <c r="G282" s="223" t="s">
        <v>497</v>
      </c>
      <c r="H282" s="224" t="s">
        <v>490</v>
      </c>
      <c r="I282" s="208"/>
      <c r="J282" s="210"/>
      <c r="K282" s="210"/>
      <c r="L282" s="210"/>
      <c r="M282" s="210"/>
      <c r="N282" s="210"/>
      <c r="O282" s="210"/>
      <c r="P282" s="210"/>
      <c r="Q282" s="210"/>
      <c r="R282" s="210"/>
      <c r="S282" s="210"/>
      <c r="T282" s="210"/>
      <c r="U282" s="210"/>
      <c r="V282" s="210"/>
      <c r="W282" s="210"/>
      <c r="X282" s="210"/>
      <c r="Y282" s="210"/>
      <c r="Z282" s="210"/>
    </row>
    <row r="283" ht="21.75" customHeight="1">
      <c r="A283" s="214"/>
      <c r="B283" s="221"/>
      <c r="C283" s="222">
        <v>107.0</v>
      </c>
      <c r="D283" s="223" t="s">
        <v>790</v>
      </c>
      <c r="E283" s="223" t="s">
        <v>791</v>
      </c>
      <c r="F283" s="223" t="s">
        <v>590</v>
      </c>
      <c r="G283" s="218" t="s">
        <v>490</v>
      </c>
      <c r="H283" s="225" t="s">
        <v>819</v>
      </c>
      <c r="I283" s="208"/>
      <c r="J283" s="210"/>
      <c r="K283" s="210"/>
      <c r="L283" s="210"/>
      <c r="M283" s="210"/>
      <c r="N283" s="210"/>
      <c r="O283" s="210"/>
      <c r="P283" s="210"/>
      <c r="Q283" s="210"/>
      <c r="R283" s="210"/>
      <c r="S283" s="210"/>
      <c r="T283" s="210"/>
      <c r="U283" s="210"/>
      <c r="V283" s="210"/>
      <c r="W283" s="210"/>
      <c r="X283" s="210"/>
      <c r="Y283" s="210"/>
      <c r="Z283" s="210"/>
    </row>
    <row r="284" ht="21.75" customHeight="1">
      <c r="A284" s="214"/>
      <c r="B284" s="221"/>
      <c r="C284" s="222">
        <v>108.0</v>
      </c>
      <c r="D284" s="223" t="s">
        <v>795</v>
      </c>
      <c r="E284" s="223" t="s">
        <v>487</v>
      </c>
      <c r="F284" s="223" t="s">
        <v>603</v>
      </c>
      <c r="G284" s="223" t="s">
        <v>493</v>
      </c>
      <c r="H284" s="225" t="s">
        <v>817</v>
      </c>
      <c r="I284" s="208"/>
      <c r="J284" s="210"/>
      <c r="K284" s="210"/>
      <c r="L284" s="210"/>
      <c r="M284" s="210"/>
      <c r="N284" s="210"/>
      <c r="O284" s="210"/>
      <c r="P284" s="210"/>
      <c r="Q284" s="210"/>
      <c r="R284" s="210"/>
      <c r="S284" s="210"/>
      <c r="T284" s="210"/>
      <c r="U284" s="210"/>
      <c r="V284" s="210"/>
      <c r="W284" s="210"/>
      <c r="X284" s="210"/>
      <c r="Y284" s="210"/>
      <c r="Z284" s="210"/>
    </row>
    <row r="285" ht="21.75" customHeight="1">
      <c r="A285" s="214"/>
      <c r="B285" s="221"/>
      <c r="C285" s="222">
        <v>109.0</v>
      </c>
      <c r="D285" s="223" t="s">
        <v>806</v>
      </c>
      <c r="E285" s="223" t="s">
        <v>539</v>
      </c>
      <c r="F285" s="223" t="s">
        <v>542</v>
      </c>
      <c r="G285" s="223" t="s">
        <v>580</v>
      </c>
      <c r="H285" s="225" t="s">
        <v>820</v>
      </c>
      <c r="I285" s="208"/>
      <c r="J285" s="210"/>
      <c r="K285" s="210"/>
      <c r="L285" s="210"/>
      <c r="M285" s="210"/>
      <c r="N285" s="210"/>
      <c r="O285" s="210"/>
      <c r="P285" s="210"/>
      <c r="Q285" s="210"/>
      <c r="R285" s="210"/>
      <c r="S285" s="210"/>
      <c r="T285" s="210"/>
      <c r="U285" s="210"/>
      <c r="V285" s="210"/>
      <c r="W285" s="210"/>
      <c r="X285" s="210"/>
      <c r="Y285" s="210"/>
      <c r="Z285" s="210"/>
    </row>
    <row r="286" ht="21.75" customHeight="1">
      <c r="A286" s="214"/>
      <c r="B286" s="221"/>
      <c r="C286" s="222">
        <v>110.0</v>
      </c>
      <c r="D286" s="223" t="s">
        <v>808</v>
      </c>
      <c r="E286" s="223" t="s">
        <v>539</v>
      </c>
      <c r="F286" s="223" t="s">
        <v>621</v>
      </c>
      <c r="G286" s="223" t="s">
        <v>591</v>
      </c>
      <c r="H286" s="225" t="s">
        <v>821</v>
      </c>
      <c r="I286" s="208"/>
      <c r="J286" s="210"/>
      <c r="K286" s="210"/>
      <c r="L286" s="210"/>
      <c r="M286" s="210"/>
      <c r="N286" s="210"/>
      <c r="O286" s="210"/>
      <c r="P286" s="210"/>
      <c r="Q286" s="210"/>
      <c r="R286" s="210"/>
      <c r="S286" s="210"/>
      <c r="T286" s="210"/>
      <c r="U286" s="210"/>
      <c r="V286" s="210"/>
      <c r="W286" s="210"/>
      <c r="X286" s="210"/>
      <c r="Y286" s="210"/>
      <c r="Z286" s="210"/>
    </row>
    <row r="287" ht="21.75" customHeight="1">
      <c r="A287" s="214"/>
      <c r="B287" s="221"/>
      <c r="C287" s="222">
        <v>111.0</v>
      </c>
      <c r="D287" s="223" t="s">
        <v>810</v>
      </c>
      <c r="E287" s="223" t="s">
        <v>539</v>
      </c>
      <c r="F287" s="223" t="s">
        <v>625</v>
      </c>
      <c r="G287" s="223" t="s">
        <v>526</v>
      </c>
      <c r="H287" s="225" t="s">
        <v>822</v>
      </c>
      <c r="I287" s="208"/>
      <c r="J287" s="210"/>
      <c r="K287" s="210"/>
      <c r="L287" s="210"/>
      <c r="M287" s="210"/>
      <c r="N287" s="210"/>
      <c r="O287" s="210"/>
      <c r="P287" s="210"/>
      <c r="Q287" s="210"/>
      <c r="R287" s="210"/>
      <c r="S287" s="210"/>
      <c r="T287" s="210"/>
      <c r="U287" s="210"/>
      <c r="V287" s="210"/>
      <c r="W287" s="210"/>
      <c r="X287" s="210"/>
      <c r="Y287" s="210"/>
      <c r="Z287" s="210"/>
    </row>
    <row r="288" ht="21.75" customHeight="1">
      <c r="A288" s="214"/>
      <c r="B288" s="221"/>
      <c r="C288" s="222">
        <v>112.0</v>
      </c>
      <c r="D288" s="223" t="s">
        <v>823</v>
      </c>
      <c r="E288" s="223" t="s">
        <v>539</v>
      </c>
      <c r="F288" s="223" t="s">
        <v>824</v>
      </c>
      <c r="G288" s="223" t="s">
        <v>594</v>
      </c>
      <c r="H288" s="224" t="s">
        <v>490</v>
      </c>
      <c r="I288" s="208"/>
      <c r="J288" s="210"/>
      <c r="K288" s="210"/>
      <c r="L288" s="210"/>
      <c r="M288" s="210"/>
      <c r="N288" s="210"/>
      <c r="O288" s="210"/>
      <c r="P288" s="210"/>
      <c r="Q288" s="210"/>
      <c r="R288" s="210"/>
      <c r="S288" s="210"/>
      <c r="T288" s="210"/>
      <c r="U288" s="210"/>
      <c r="V288" s="210"/>
      <c r="W288" s="210"/>
      <c r="X288" s="210"/>
      <c r="Y288" s="210"/>
      <c r="Z288" s="210"/>
    </row>
    <row r="289" ht="21.75" customHeight="1">
      <c r="A289" s="214"/>
      <c r="B289" s="221"/>
      <c r="C289" s="222">
        <v>113.0</v>
      </c>
      <c r="D289" s="223" t="s">
        <v>519</v>
      </c>
      <c r="E289" s="223" t="s">
        <v>508</v>
      </c>
      <c r="F289" s="223" t="s">
        <v>509</v>
      </c>
      <c r="G289" s="223" t="s">
        <v>510</v>
      </c>
      <c r="H289" s="225" t="s">
        <v>825</v>
      </c>
      <c r="I289" s="208"/>
      <c r="J289" s="210"/>
      <c r="K289" s="210"/>
      <c r="L289" s="210"/>
      <c r="M289" s="210"/>
      <c r="N289" s="210"/>
      <c r="O289" s="210"/>
      <c r="P289" s="210"/>
      <c r="Q289" s="210"/>
      <c r="R289" s="210"/>
      <c r="S289" s="210"/>
      <c r="T289" s="210"/>
      <c r="U289" s="210"/>
      <c r="V289" s="210"/>
      <c r="W289" s="210"/>
      <c r="X289" s="210"/>
      <c r="Y289" s="210"/>
      <c r="Z289" s="210"/>
    </row>
    <row r="290" ht="21.75" customHeight="1">
      <c r="A290" s="214"/>
      <c r="B290" s="221"/>
      <c r="C290" s="222">
        <v>114.0</v>
      </c>
      <c r="D290" s="223" t="s">
        <v>815</v>
      </c>
      <c r="E290" s="223" t="s">
        <v>487</v>
      </c>
      <c r="F290" s="223" t="s">
        <v>826</v>
      </c>
      <c r="G290" s="223" t="s">
        <v>561</v>
      </c>
      <c r="H290" s="224" t="s">
        <v>490</v>
      </c>
      <c r="I290" s="208"/>
      <c r="J290" s="210"/>
      <c r="K290" s="210"/>
      <c r="L290" s="210"/>
      <c r="M290" s="210"/>
      <c r="N290" s="210"/>
      <c r="O290" s="210"/>
      <c r="P290" s="210"/>
      <c r="Q290" s="210"/>
      <c r="R290" s="210"/>
      <c r="S290" s="210"/>
      <c r="T290" s="210"/>
      <c r="U290" s="210"/>
      <c r="V290" s="210"/>
      <c r="W290" s="210"/>
      <c r="X290" s="210"/>
      <c r="Y290" s="210"/>
      <c r="Z290" s="210"/>
    </row>
    <row r="291" ht="21.75" customHeight="1">
      <c r="A291" s="214"/>
      <c r="B291" s="221"/>
      <c r="C291" s="222">
        <v>202.0</v>
      </c>
      <c r="D291" s="223" t="s">
        <v>790</v>
      </c>
      <c r="E291" s="223" t="s">
        <v>487</v>
      </c>
      <c r="F291" s="223" t="s">
        <v>579</v>
      </c>
      <c r="G291" s="223" t="s">
        <v>606</v>
      </c>
      <c r="H291" s="224" t="s">
        <v>490</v>
      </c>
      <c r="I291" s="208"/>
      <c r="J291" s="210"/>
      <c r="K291" s="210"/>
      <c r="L291" s="210"/>
      <c r="M291" s="210"/>
      <c r="N291" s="210"/>
      <c r="O291" s="210"/>
      <c r="P291" s="210"/>
      <c r="Q291" s="210"/>
      <c r="R291" s="210"/>
      <c r="S291" s="210"/>
      <c r="T291" s="210"/>
      <c r="U291" s="210"/>
      <c r="V291" s="210"/>
      <c r="W291" s="210"/>
      <c r="X291" s="210"/>
      <c r="Y291" s="210"/>
      <c r="Z291" s="210"/>
    </row>
    <row r="292" ht="21.75" customHeight="1">
      <c r="A292" s="214"/>
      <c r="B292" s="217"/>
      <c r="C292" s="222">
        <v>203.0</v>
      </c>
      <c r="D292" s="215" t="s">
        <v>810</v>
      </c>
      <c r="E292" s="215" t="s">
        <v>487</v>
      </c>
      <c r="F292" s="215" t="s">
        <v>583</v>
      </c>
      <c r="G292" s="234" t="s">
        <v>490</v>
      </c>
      <c r="H292" s="224" t="s">
        <v>490</v>
      </c>
      <c r="I292" s="208"/>
      <c r="J292" s="210"/>
      <c r="K292" s="210"/>
      <c r="L292" s="210"/>
      <c r="M292" s="210"/>
      <c r="N292" s="210"/>
      <c r="O292" s="210"/>
      <c r="P292" s="210"/>
      <c r="Q292" s="210"/>
      <c r="R292" s="210"/>
      <c r="S292" s="210"/>
      <c r="T292" s="210"/>
      <c r="U292" s="210"/>
      <c r="V292" s="210"/>
      <c r="W292" s="210"/>
      <c r="X292" s="210"/>
      <c r="Y292" s="210"/>
      <c r="Z292" s="210"/>
    </row>
    <row r="293" ht="21.75" customHeight="1">
      <c r="A293" s="214"/>
      <c r="B293" s="218" t="s">
        <v>827</v>
      </c>
      <c r="C293" s="226">
        <v>50314.0</v>
      </c>
      <c r="D293" s="220"/>
      <c r="E293" s="220"/>
      <c r="F293" s="220"/>
      <c r="G293" s="220"/>
      <c r="H293" s="221"/>
      <c r="I293" s="208"/>
      <c r="J293" s="210"/>
      <c r="K293" s="210"/>
      <c r="L293" s="210"/>
      <c r="M293" s="210"/>
      <c r="N293" s="210"/>
      <c r="O293" s="210"/>
      <c r="P293" s="210"/>
      <c r="Q293" s="210"/>
      <c r="R293" s="210"/>
      <c r="S293" s="210"/>
      <c r="T293" s="210"/>
      <c r="U293" s="210"/>
      <c r="V293" s="210"/>
      <c r="W293" s="210"/>
      <c r="X293" s="210"/>
      <c r="Y293" s="210"/>
      <c r="Z293" s="210"/>
    </row>
    <row r="294" ht="21.75" customHeight="1">
      <c r="A294" s="214"/>
      <c r="B294" s="221"/>
      <c r="C294" s="222">
        <v>100.0</v>
      </c>
      <c r="D294" s="223" t="s">
        <v>486</v>
      </c>
      <c r="E294" s="223" t="s">
        <v>487</v>
      </c>
      <c r="F294" s="223" t="s">
        <v>488</v>
      </c>
      <c r="G294" s="223" t="s">
        <v>489</v>
      </c>
      <c r="H294" s="224" t="s">
        <v>490</v>
      </c>
      <c r="I294" s="208"/>
      <c r="J294" s="210"/>
      <c r="K294" s="210"/>
      <c r="L294" s="210"/>
      <c r="M294" s="210"/>
      <c r="N294" s="210"/>
      <c r="O294" s="210"/>
      <c r="P294" s="210"/>
      <c r="Q294" s="210"/>
      <c r="R294" s="210"/>
      <c r="S294" s="210"/>
      <c r="T294" s="210"/>
      <c r="U294" s="210"/>
      <c r="V294" s="210"/>
      <c r="W294" s="210"/>
      <c r="X294" s="210"/>
      <c r="Y294" s="210"/>
      <c r="Z294" s="210"/>
    </row>
    <row r="295" ht="21.75" customHeight="1">
      <c r="A295" s="214"/>
      <c r="B295" s="221"/>
      <c r="C295" s="222">
        <v>101.0</v>
      </c>
      <c r="D295" s="223" t="s">
        <v>784</v>
      </c>
      <c r="E295" s="223" t="s">
        <v>487</v>
      </c>
      <c r="F295" s="223" t="s">
        <v>492</v>
      </c>
      <c r="G295" s="223" t="s">
        <v>594</v>
      </c>
      <c r="H295" s="225" t="s">
        <v>828</v>
      </c>
      <c r="I295" s="208"/>
      <c r="J295" s="210"/>
      <c r="K295" s="210"/>
      <c r="L295" s="210"/>
      <c r="M295" s="210"/>
      <c r="N295" s="210"/>
      <c r="O295" s="210"/>
      <c r="P295" s="210"/>
      <c r="Q295" s="210"/>
      <c r="R295" s="210"/>
      <c r="S295" s="210"/>
      <c r="T295" s="210"/>
      <c r="U295" s="210"/>
      <c r="V295" s="210"/>
      <c r="W295" s="210"/>
      <c r="X295" s="210"/>
      <c r="Y295" s="210"/>
      <c r="Z295" s="210"/>
    </row>
    <row r="296" ht="21.75" customHeight="1">
      <c r="A296" s="214"/>
      <c r="B296" s="221"/>
      <c r="C296" s="222">
        <v>102.0</v>
      </c>
      <c r="D296" s="223" t="s">
        <v>786</v>
      </c>
      <c r="E296" s="223" t="s">
        <v>487</v>
      </c>
      <c r="F296" s="223" t="s">
        <v>496</v>
      </c>
      <c r="G296" s="223" t="s">
        <v>501</v>
      </c>
      <c r="H296" s="225" t="s">
        <v>829</v>
      </c>
      <c r="I296" s="208"/>
      <c r="J296" s="210"/>
      <c r="K296" s="210"/>
      <c r="L296" s="210"/>
      <c r="M296" s="210"/>
      <c r="N296" s="210"/>
      <c r="O296" s="210"/>
      <c r="P296" s="210"/>
      <c r="Q296" s="210"/>
      <c r="R296" s="210"/>
      <c r="S296" s="210"/>
      <c r="T296" s="210"/>
      <c r="U296" s="210"/>
      <c r="V296" s="210"/>
      <c r="W296" s="210"/>
      <c r="X296" s="210"/>
      <c r="Y296" s="210"/>
      <c r="Z296" s="210"/>
    </row>
    <row r="297" ht="21.75" customHeight="1">
      <c r="A297" s="214"/>
      <c r="B297" s="221"/>
      <c r="C297" s="222">
        <v>103.0</v>
      </c>
      <c r="D297" s="223" t="s">
        <v>788</v>
      </c>
      <c r="E297" s="223" t="s">
        <v>487</v>
      </c>
      <c r="F297" s="223" t="s">
        <v>500</v>
      </c>
      <c r="G297" s="223" t="s">
        <v>497</v>
      </c>
      <c r="H297" s="225" t="s">
        <v>830</v>
      </c>
      <c r="I297" s="208"/>
      <c r="J297" s="210"/>
      <c r="K297" s="210"/>
      <c r="L297" s="210"/>
      <c r="M297" s="210"/>
      <c r="N297" s="210"/>
      <c r="O297" s="210"/>
      <c r="P297" s="210"/>
      <c r="Q297" s="210"/>
      <c r="R297" s="210"/>
      <c r="S297" s="210"/>
      <c r="T297" s="210"/>
      <c r="U297" s="210"/>
      <c r="V297" s="210"/>
      <c r="W297" s="210"/>
      <c r="X297" s="210"/>
      <c r="Y297" s="210"/>
      <c r="Z297" s="210"/>
    </row>
    <row r="298" ht="21.75" customHeight="1">
      <c r="A298" s="214"/>
      <c r="B298" s="221"/>
      <c r="C298" s="222">
        <v>104.0</v>
      </c>
      <c r="D298" s="223" t="s">
        <v>790</v>
      </c>
      <c r="E298" s="223" t="s">
        <v>791</v>
      </c>
      <c r="F298" s="223" t="s">
        <v>512</v>
      </c>
      <c r="G298" s="218" t="s">
        <v>490</v>
      </c>
      <c r="H298" s="225" t="s">
        <v>831</v>
      </c>
      <c r="I298" s="208"/>
      <c r="J298" s="210"/>
      <c r="K298" s="210"/>
      <c r="L298" s="210"/>
      <c r="M298" s="210"/>
      <c r="N298" s="210"/>
      <c r="O298" s="210"/>
      <c r="P298" s="210"/>
      <c r="Q298" s="210"/>
      <c r="R298" s="210"/>
      <c r="S298" s="210"/>
      <c r="T298" s="210"/>
      <c r="U298" s="210"/>
      <c r="V298" s="210"/>
      <c r="W298" s="210"/>
      <c r="X298" s="210"/>
      <c r="Y298" s="210"/>
      <c r="Z298" s="210"/>
    </row>
    <row r="299" ht="21.75" customHeight="1">
      <c r="A299" s="214"/>
      <c r="B299" s="221"/>
      <c r="C299" s="222">
        <v>105.0</v>
      </c>
      <c r="D299" s="223" t="s">
        <v>793</v>
      </c>
      <c r="E299" s="223" t="s">
        <v>504</v>
      </c>
      <c r="F299" s="223" t="s">
        <v>505</v>
      </c>
      <c r="G299" s="218" t="s">
        <v>490</v>
      </c>
      <c r="H299" s="225" t="s">
        <v>832</v>
      </c>
      <c r="I299" s="208"/>
      <c r="J299" s="210"/>
      <c r="K299" s="210"/>
      <c r="L299" s="210"/>
      <c r="M299" s="210"/>
      <c r="N299" s="210"/>
      <c r="O299" s="210"/>
      <c r="P299" s="210"/>
      <c r="Q299" s="210"/>
      <c r="R299" s="210"/>
      <c r="S299" s="210"/>
      <c r="T299" s="210"/>
      <c r="U299" s="210"/>
      <c r="V299" s="210"/>
      <c r="W299" s="210"/>
      <c r="X299" s="210"/>
      <c r="Y299" s="210"/>
      <c r="Z299" s="210"/>
    </row>
    <row r="300" ht="21.75" customHeight="1">
      <c r="A300" s="214"/>
      <c r="B300" s="221"/>
      <c r="C300" s="222">
        <v>106.0</v>
      </c>
      <c r="D300" s="223" t="s">
        <v>793</v>
      </c>
      <c r="E300" s="223" t="s">
        <v>487</v>
      </c>
      <c r="F300" s="223" t="s">
        <v>532</v>
      </c>
      <c r="G300" s="223" t="s">
        <v>526</v>
      </c>
      <c r="H300" s="224" t="s">
        <v>490</v>
      </c>
      <c r="I300" s="208"/>
      <c r="J300" s="210"/>
      <c r="K300" s="210"/>
      <c r="L300" s="210"/>
      <c r="M300" s="210"/>
      <c r="N300" s="210"/>
      <c r="O300" s="210"/>
      <c r="P300" s="210"/>
      <c r="Q300" s="210"/>
      <c r="R300" s="210"/>
      <c r="S300" s="210"/>
      <c r="T300" s="210"/>
      <c r="U300" s="210"/>
      <c r="V300" s="210"/>
      <c r="W300" s="210"/>
      <c r="X300" s="210"/>
      <c r="Y300" s="210"/>
      <c r="Z300" s="210"/>
    </row>
    <row r="301" ht="21.75" customHeight="1">
      <c r="A301" s="214"/>
      <c r="B301" s="221"/>
      <c r="C301" s="222">
        <v>107.0</v>
      </c>
      <c r="D301" s="223" t="s">
        <v>795</v>
      </c>
      <c r="E301" s="223" t="s">
        <v>487</v>
      </c>
      <c r="F301" s="223" t="s">
        <v>590</v>
      </c>
      <c r="G301" s="223" t="s">
        <v>493</v>
      </c>
      <c r="H301" s="225" t="s">
        <v>833</v>
      </c>
      <c r="I301" s="208"/>
      <c r="J301" s="210"/>
      <c r="K301" s="210"/>
      <c r="L301" s="210"/>
      <c r="M301" s="210"/>
      <c r="N301" s="210"/>
      <c r="O301" s="210"/>
      <c r="P301" s="210"/>
      <c r="Q301" s="210"/>
      <c r="R301" s="210"/>
      <c r="S301" s="210"/>
      <c r="T301" s="210"/>
      <c r="U301" s="210"/>
      <c r="V301" s="210"/>
      <c r="W301" s="210"/>
      <c r="X301" s="210"/>
      <c r="Y301" s="210"/>
      <c r="Z301" s="210"/>
    </row>
    <row r="302" ht="21.75" customHeight="1">
      <c r="A302" s="214"/>
      <c r="B302" s="221"/>
      <c r="C302" s="222">
        <v>108.0</v>
      </c>
      <c r="D302" s="223" t="s">
        <v>519</v>
      </c>
      <c r="E302" s="223" t="s">
        <v>508</v>
      </c>
      <c r="F302" s="223" t="s">
        <v>509</v>
      </c>
      <c r="G302" s="223" t="s">
        <v>510</v>
      </c>
      <c r="H302" s="225" t="s">
        <v>834</v>
      </c>
      <c r="I302" s="208"/>
      <c r="J302" s="210"/>
      <c r="K302" s="210"/>
      <c r="L302" s="210"/>
      <c r="M302" s="210"/>
      <c r="N302" s="210"/>
      <c r="O302" s="210"/>
      <c r="P302" s="210"/>
      <c r="Q302" s="210"/>
      <c r="R302" s="210"/>
      <c r="S302" s="210"/>
      <c r="T302" s="210"/>
      <c r="U302" s="210"/>
      <c r="V302" s="210"/>
      <c r="W302" s="210"/>
      <c r="X302" s="210"/>
      <c r="Y302" s="210"/>
      <c r="Z302" s="210"/>
    </row>
    <row r="303" ht="21.75" customHeight="1">
      <c r="A303" s="214"/>
      <c r="B303" s="221"/>
      <c r="C303" s="222">
        <v>109.0</v>
      </c>
      <c r="D303" s="223" t="s">
        <v>793</v>
      </c>
      <c r="E303" s="223" t="s">
        <v>673</v>
      </c>
      <c r="F303" s="223" t="s">
        <v>674</v>
      </c>
      <c r="G303" s="218" t="s">
        <v>490</v>
      </c>
      <c r="H303" s="224" t="s">
        <v>490</v>
      </c>
      <c r="I303" s="208"/>
      <c r="J303" s="210"/>
      <c r="K303" s="210"/>
      <c r="L303" s="210"/>
      <c r="M303" s="210"/>
      <c r="N303" s="210"/>
      <c r="O303" s="210"/>
      <c r="P303" s="210"/>
      <c r="Q303" s="210"/>
      <c r="R303" s="210"/>
      <c r="S303" s="210"/>
      <c r="T303" s="210"/>
      <c r="U303" s="210"/>
      <c r="V303" s="210"/>
      <c r="W303" s="210"/>
      <c r="X303" s="210"/>
      <c r="Y303" s="210"/>
      <c r="Z303" s="210"/>
    </row>
    <row r="304" ht="21.75" customHeight="1">
      <c r="A304" s="214"/>
      <c r="B304" s="217"/>
      <c r="C304" s="222">
        <v>202.0</v>
      </c>
      <c r="D304" s="215" t="s">
        <v>790</v>
      </c>
      <c r="E304" s="215" t="s">
        <v>487</v>
      </c>
      <c r="F304" s="215" t="s">
        <v>603</v>
      </c>
      <c r="G304" s="215" t="s">
        <v>606</v>
      </c>
      <c r="H304" s="224" t="s">
        <v>490</v>
      </c>
      <c r="I304" s="208"/>
      <c r="J304" s="210"/>
      <c r="K304" s="210"/>
      <c r="L304" s="210"/>
      <c r="M304" s="210"/>
      <c r="N304" s="210"/>
      <c r="O304" s="210"/>
      <c r="P304" s="210"/>
      <c r="Q304" s="210"/>
      <c r="R304" s="210"/>
      <c r="S304" s="210"/>
      <c r="T304" s="210"/>
      <c r="U304" s="210"/>
      <c r="V304" s="210"/>
      <c r="W304" s="210"/>
      <c r="X304" s="210"/>
      <c r="Y304" s="210"/>
      <c r="Z304" s="210"/>
    </row>
    <row r="305" ht="21.75" customHeight="1">
      <c r="A305" s="214"/>
      <c r="B305" s="218" t="s">
        <v>835</v>
      </c>
      <c r="C305" s="226">
        <v>50915.0</v>
      </c>
      <c r="D305" s="220"/>
      <c r="E305" s="220"/>
      <c r="F305" s="220"/>
      <c r="G305" s="220"/>
      <c r="H305" s="221"/>
      <c r="I305" s="208"/>
      <c r="J305" s="210"/>
      <c r="K305" s="210"/>
      <c r="L305" s="210"/>
      <c r="M305" s="210"/>
      <c r="N305" s="210"/>
      <c r="O305" s="210"/>
      <c r="P305" s="210"/>
      <c r="Q305" s="210"/>
      <c r="R305" s="210"/>
      <c r="S305" s="210"/>
      <c r="T305" s="210"/>
      <c r="U305" s="210"/>
      <c r="V305" s="210"/>
      <c r="W305" s="210"/>
      <c r="X305" s="210"/>
      <c r="Y305" s="210"/>
      <c r="Z305" s="210"/>
    </row>
    <row r="306" ht="21.75" customHeight="1">
      <c r="A306" s="214"/>
      <c r="B306" s="221"/>
      <c r="C306" s="222">
        <v>100.0</v>
      </c>
      <c r="D306" s="223" t="s">
        <v>486</v>
      </c>
      <c r="E306" s="223" t="s">
        <v>487</v>
      </c>
      <c r="F306" s="223" t="s">
        <v>488</v>
      </c>
      <c r="G306" s="223" t="s">
        <v>489</v>
      </c>
      <c r="H306" s="224" t="s">
        <v>490</v>
      </c>
      <c r="I306" s="208"/>
      <c r="J306" s="210"/>
      <c r="K306" s="210"/>
      <c r="L306" s="210"/>
      <c r="M306" s="210"/>
      <c r="N306" s="210"/>
      <c r="O306" s="210"/>
      <c r="P306" s="210"/>
      <c r="Q306" s="210"/>
      <c r="R306" s="210"/>
      <c r="S306" s="210"/>
      <c r="T306" s="210"/>
      <c r="U306" s="210"/>
      <c r="V306" s="210"/>
      <c r="W306" s="210"/>
      <c r="X306" s="210"/>
      <c r="Y306" s="210"/>
      <c r="Z306" s="210"/>
    </row>
    <row r="307" ht="21.75" customHeight="1">
      <c r="A307" s="214"/>
      <c r="B307" s="221"/>
      <c r="C307" s="222">
        <v>101.0</v>
      </c>
      <c r="D307" s="223" t="s">
        <v>491</v>
      </c>
      <c r="E307" s="223" t="s">
        <v>487</v>
      </c>
      <c r="F307" s="223" t="s">
        <v>492</v>
      </c>
      <c r="G307" s="223" t="s">
        <v>678</v>
      </c>
      <c r="H307" s="225" t="s">
        <v>836</v>
      </c>
      <c r="I307" s="208"/>
      <c r="J307" s="210"/>
      <c r="K307" s="210"/>
      <c r="L307" s="210"/>
      <c r="M307" s="210"/>
      <c r="N307" s="210"/>
      <c r="O307" s="210"/>
      <c r="P307" s="210"/>
      <c r="Q307" s="210"/>
      <c r="R307" s="210"/>
      <c r="S307" s="210"/>
      <c r="T307" s="210"/>
      <c r="U307" s="210"/>
      <c r="V307" s="210"/>
      <c r="W307" s="210"/>
      <c r="X307" s="210"/>
      <c r="Y307" s="210"/>
      <c r="Z307" s="210"/>
    </row>
    <row r="308" ht="21.75" customHeight="1">
      <c r="A308" s="214"/>
      <c r="B308" s="221"/>
      <c r="C308" s="222">
        <v>102.0</v>
      </c>
      <c r="D308" s="223" t="s">
        <v>837</v>
      </c>
      <c r="E308" s="223" t="s">
        <v>529</v>
      </c>
      <c r="F308" s="223" t="s">
        <v>530</v>
      </c>
      <c r="G308" s="218" t="s">
        <v>490</v>
      </c>
      <c r="H308" s="225" t="s">
        <v>838</v>
      </c>
      <c r="I308" s="208"/>
      <c r="J308" s="210"/>
      <c r="K308" s="210"/>
      <c r="L308" s="210"/>
      <c r="M308" s="210"/>
      <c r="N308" s="210"/>
      <c r="O308" s="210"/>
      <c r="P308" s="210"/>
      <c r="Q308" s="210"/>
      <c r="R308" s="210"/>
      <c r="S308" s="210"/>
      <c r="T308" s="210"/>
      <c r="U308" s="210"/>
      <c r="V308" s="210"/>
      <c r="W308" s="210"/>
      <c r="X308" s="210"/>
      <c r="Y308" s="210"/>
      <c r="Z308" s="210"/>
    </row>
    <row r="309" ht="21.75" customHeight="1">
      <c r="A309" s="214"/>
      <c r="B309" s="221"/>
      <c r="C309" s="222">
        <v>103.0</v>
      </c>
      <c r="D309" s="223" t="s">
        <v>749</v>
      </c>
      <c r="E309" s="223" t="s">
        <v>487</v>
      </c>
      <c r="F309" s="223" t="s">
        <v>500</v>
      </c>
      <c r="G309" s="223" t="s">
        <v>497</v>
      </c>
      <c r="H309" s="224" t="s">
        <v>490</v>
      </c>
      <c r="I309" s="208"/>
      <c r="J309" s="210"/>
      <c r="K309" s="210"/>
      <c r="L309" s="210"/>
      <c r="M309" s="210"/>
      <c r="N309" s="210"/>
      <c r="O309" s="210"/>
      <c r="P309" s="210"/>
      <c r="Q309" s="210"/>
      <c r="R309" s="210"/>
      <c r="S309" s="210"/>
      <c r="T309" s="210"/>
      <c r="U309" s="210"/>
      <c r="V309" s="210"/>
      <c r="W309" s="210"/>
      <c r="X309" s="210"/>
      <c r="Y309" s="210"/>
      <c r="Z309" s="210"/>
    </row>
    <row r="310" ht="21.75" customHeight="1">
      <c r="A310" s="214"/>
      <c r="B310" s="221"/>
      <c r="C310" s="222">
        <v>104.0</v>
      </c>
      <c r="D310" s="223" t="s">
        <v>810</v>
      </c>
      <c r="E310" s="223" t="s">
        <v>539</v>
      </c>
      <c r="F310" s="223" t="s">
        <v>542</v>
      </c>
      <c r="G310" s="223" t="s">
        <v>526</v>
      </c>
      <c r="H310" s="224" t="s">
        <v>490</v>
      </c>
      <c r="I310" s="208"/>
      <c r="J310" s="210"/>
      <c r="K310" s="210"/>
      <c r="L310" s="210"/>
      <c r="M310" s="210"/>
      <c r="N310" s="210"/>
      <c r="O310" s="210"/>
      <c r="P310" s="210"/>
      <c r="Q310" s="210"/>
      <c r="R310" s="210"/>
      <c r="S310" s="210"/>
      <c r="T310" s="210"/>
      <c r="U310" s="210"/>
      <c r="V310" s="210"/>
      <c r="W310" s="210"/>
      <c r="X310" s="210"/>
      <c r="Y310" s="210"/>
      <c r="Z310" s="210"/>
    </row>
    <row r="311" ht="21.75" customHeight="1">
      <c r="A311" s="214"/>
      <c r="B311" s="221"/>
      <c r="C311" s="222">
        <v>105.0</v>
      </c>
      <c r="D311" s="223" t="s">
        <v>823</v>
      </c>
      <c r="E311" s="223" t="s">
        <v>539</v>
      </c>
      <c r="F311" s="223" t="s">
        <v>621</v>
      </c>
      <c r="G311" s="223" t="s">
        <v>594</v>
      </c>
      <c r="H311" s="224" t="s">
        <v>490</v>
      </c>
      <c r="I311" s="208"/>
      <c r="J311" s="210"/>
      <c r="K311" s="210"/>
      <c r="L311" s="210"/>
      <c r="M311" s="210"/>
      <c r="N311" s="210"/>
      <c r="O311" s="210"/>
      <c r="P311" s="210"/>
      <c r="Q311" s="210"/>
      <c r="R311" s="210"/>
      <c r="S311" s="210"/>
      <c r="T311" s="210"/>
      <c r="U311" s="210"/>
      <c r="V311" s="210"/>
      <c r="W311" s="210"/>
      <c r="X311" s="210"/>
      <c r="Y311" s="210"/>
      <c r="Z311" s="210"/>
    </row>
    <row r="312" ht="21.75" customHeight="1">
      <c r="A312" s="214"/>
      <c r="B312" s="221"/>
      <c r="C312" s="222">
        <v>106.0</v>
      </c>
      <c r="D312" s="223" t="s">
        <v>507</v>
      </c>
      <c r="E312" s="223" t="s">
        <v>508</v>
      </c>
      <c r="F312" s="223" t="s">
        <v>509</v>
      </c>
      <c r="G312" s="223" t="s">
        <v>510</v>
      </c>
      <c r="H312" s="225" t="s">
        <v>839</v>
      </c>
      <c r="I312" s="208"/>
      <c r="J312" s="210"/>
      <c r="K312" s="210"/>
      <c r="L312" s="210"/>
      <c r="M312" s="210"/>
      <c r="N312" s="210"/>
      <c r="O312" s="210"/>
      <c r="P312" s="210"/>
      <c r="Q312" s="210"/>
      <c r="R312" s="210"/>
      <c r="S312" s="210"/>
      <c r="T312" s="210"/>
      <c r="U312" s="210"/>
      <c r="V312" s="210"/>
      <c r="W312" s="210"/>
      <c r="X312" s="210"/>
      <c r="Y312" s="210"/>
      <c r="Z312" s="210"/>
    </row>
    <row r="313" ht="21.75" customHeight="1">
      <c r="A313" s="214"/>
      <c r="B313" s="217"/>
      <c r="C313" s="222">
        <v>107.0</v>
      </c>
      <c r="D313" s="215" t="s">
        <v>837</v>
      </c>
      <c r="E313" s="215" t="s">
        <v>487</v>
      </c>
      <c r="F313" s="215" t="s">
        <v>826</v>
      </c>
      <c r="G313" s="215" t="s">
        <v>513</v>
      </c>
      <c r="H313" s="224" t="s">
        <v>490</v>
      </c>
      <c r="I313" s="208"/>
      <c r="J313" s="210"/>
      <c r="K313" s="210"/>
      <c r="L313" s="210"/>
      <c r="M313" s="210"/>
      <c r="N313" s="210"/>
      <c r="O313" s="210"/>
      <c r="P313" s="210"/>
      <c r="Q313" s="210"/>
      <c r="R313" s="210"/>
      <c r="S313" s="210"/>
      <c r="T313" s="210"/>
      <c r="U313" s="210"/>
      <c r="V313" s="210"/>
      <c r="W313" s="210"/>
      <c r="X313" s="210"/>
      <c r="Y313" s="210"/>
      <c r="Z313" s="210"/>
    </row>
    <row r="314" ht="21.75" customHeight="1">
      <c r="A314" s="214"/>
      <c r="B314" s="218" t="s">
        <v>840</v>
      </c>
      <c r="C314" s="226">
        <v>50916.0</v>
      </c>
      <c r="D314" s="220"/>
      <c r="E314" s="220"/>
      <c r="F314" s="220"/>
      <c r="G314" s="220"/>
      <c r="H314" s="221"/>
      <c r="I314" s="208"/>
      <c r="J314" s="210"/>
      <c r="K314" s="210"/>
      <c r="L314" s="210"/>
      <c r="M314" s="210"/>
      <c r="N314" s="210"/>
      <c r="O314" s="210"/>
      <c r="P314" s="210"/>
      <c r="Q314" s="210"/>
      <c r="R314" s="210"/>
      <c r="S314" s="210"/>
      <c r="T314" s="210"/>
      <c r="U314" s="210"/>
      <c r="V314" s="210"/>
      <c r="W314" s="210"/>
      <c r="X314" s="210"/>
      <c r="Y314" s="210"/>
      <c r="Z314" s="210"/>
    </row>
    <row r="315" ht="21.75" customHeight="1">
      <c r="A315" s="214"/>
      <c r="B315" s="221"/>
      <c r="C315" s="222">
        <v>100.0</v>
      </c>
      <c r="D315" s="223" t="s">
        <v>486</v>
      </c>
      <c r="E315" s="223" t="s">
        <v>487</v>
      </c>
      <c r="F315" s="223" t="s">
        <v>488</v>
      </c>
      <c r="G315" s="223" t="s">
        <v>489</v>
      </c>
      <c r="H315" s="224" t="s">
        <v>490</v>
      </c>
      <c r="I315" s="208"/>
      <c r="J315" s="210"/>
      <c r="K315" s="210"/>
      <c r="L315" s="210"/>
      <c r="M315" s="210"/>
      <c r="N315" s="210"/>
      <c r="O315" s="210"/>
      <c r="P315" s="210"/>
      <c r="Q315" s="210"/>
      <c r="R315" s="210"/>
      <c r="S315" s="210"/>
      <c r="T315" s="210"/>
      <c r="U315" s="210"/>
      <c r="V315" s="210"/>
      <c r="W315" s="210"/>
      <c r="X315" s="210"/>
      <c r="Y315" s="210"/>
      <c r="Z315" s="210"/>
    </row>
    <row r="316" ht="21.75" customHeight="1">
      <c r="A316" s="214"/>
      <c r="B316" s="221"/>
      <c r="C316" s="222">
        <v>101.0</v>
      </c>
      <c r="D316" s="223" t="s">
        <v>491</v>
      </c>
      <c r="E316" s="223" t="s">
        <v>487</v>
      </c>
      <c r="F316" s="223" t="s">
        <v>492</v>
      </c>
      <c r="G316" s="223" t="s">
        <v>678</v>
      </c>
      <c r="H316" s="225" t="s">
        <v>841</v>
      </c>
      <c r="I316" s="208"/>
      <c r="J316" s="210"/>
      <c r="K316" s="210"/>
      <c r="L316" s="210"/>
      <c r="M316" s="210"/>
      <c r="N316" s="210"/>
      <c r="O316" s="210"/>
      <c r="P316" s="210"/>
      <c r="Q316" s="210"/>
      <c r="R316" s="210"/>
      <c r="S316" s="210"/>
      <c r="T316" s="210"/>
      <c r="U316" s="210"/>
      <c r="V316" s="210"/>
      <c r="W316" s="210"/>
      <c r="X316" s="210"/>
      <c r="Y316" s="210"/>
      <c r="Z316" s="210"/>
    </row>
    <row r="317" ht="21.75" customHeight="1">
      <c r="A317" s="214"/>
      <c r="B317" s="221"/>
      <c r="C317" s="222">
        <v>102.0</v>
      </c>
      <c r="D317" s="223" t="s">
        <v>749</v>
      </c>
      <c r="E317" s="223" t="s">
        <v>487</v>
      </c>
      <c r="F317" s="223" t="s">
        <v>496</v>
      </c>
      <c r="G317" s="223" t="s">
        <v>497</v>
      </c>
      <c r="H317" s="224" t="s">
        <v>490</v>
      </c>
      <c r="I317" s="208"/>
      <c r="J317" s="210"/>
      <c r="K317" s="210"/>
      <c r="L317" s="210"/>
      <c r="M317" s="210"/>
      <c r="N317" s="210"/>
      <c r="O317" s="210"/>
      <c r="P317" s="210"/>
      <c r="Q317" s="210"/>
      <c r="R317" s="210"/>
      <c r="S317" s="210"/>
      <c r="T317" s="210"/>
      <c r="U317" s="210"/>
      <c r="V317" s="210"/>
      <c r="W317" s="210"/>
      <c r="X317" s="210"/>
      <c r="Y317" s="210"/>
      <c r="Z317" s="210"/>
    </row>
    <row r="318" ht="21.75" customHeight="1">
      <c r="A318" s="228"/>
      <c r="B318" s="221"/>
      <c r="C318" s="222">
        <v>103.0</v>
      </c>
      <c r="D318" s="223" t="s">
        <v>507</v>
      </c>
      <c r="E318" s="223" t="s">
        <v>508</v>
      </c>
      <c r="F318" s="223" t="s">
        <v>509</v>
      </c>
      <c r="G318" s="223" t="s">
        <v>510</v>
      </c>
      <c r="H318" s="225" t="s">
        <v>842</v>
      </c>
      <c r="I318" s="208"/>
      <c r="J318" s="210"/>
      <c r="K318" s="210"/>
      <c r="L318" s="210"/>
      <c r="M318" s="210"/>
      <c r="N318" s="210"/>
      <c r="O318" s="210"/>
      <c r="P318" s="210"/>
      <c r="Q318" s="210"/>
      <c r="R318" s="210"/>
      <c r="S318" s="210"/>
      <c r="T318" s="210"/>
      <c r="U318" s="210"/>
      <c r="V318" s="210"/>
      <c r="W318" s="210"/>
      <c r="X318" s="210"/>
      <c r="Y318" s="210"/>
      <c r="Z318" s="210"/>
    </row>
    <row r="319" ht="21.75" customHeight="1">
      <c r="A319" s="214">
        <v>129.0</v>
      </c>
      <c r="B319" s="215" t="s">
        <v>843</v>
      </c>
      <c r="C319" s="216"/>
      <c r="D319" s="217"/>
      <c r="E319" s="217"/>
      <c r="F319" s="217"/>
      <c r="G319" s="217"/>
      <c r="H319" s="217"/>
      <c r="I319" s="208"/>
      <c r="J319" s="210"/>
      <c r="K319" s="210"/>
      <c r="L319" s="210"/>
      <c r="M319" s="210"/>
      <c r="N319" s="210"/>
      <c r="O319" s="210"/>
      <c r="P319" s="210"/>
      <c r="Q319" s="210"/>
      <c r="R319" s="210"/>
      <c r="S319" s="210"/>
      <c r="T319" s="210"/>
      <c r="U319" s="210"/>
      <c r="V319" s="210"/>
      <c r="W319" s="210"/>
      <c r="X319" s="210"/>
      <c r="Y319" s="210"/>
      <c r="Z319" s="210"/>
    </row>
    <row r="320" ht="21.75" customHeight="1">
      <c r="A320" s="214"/>
      <c r="B320" s="218" t="s">
        <v>844</v>
      </c>
      <c r="C320" s="219">
        <v>50480.0</v>
      </c>
      <c r="D320" s="220"/>
      <c r="E320" s="220"/>
      <c r="F320" s="220"/>
      <c r="G320" s="220"/>
      <c r="H320" s="220"/>
      <c r="I320" s="208"/>
      <c r="J320" s="210"/>
      <c r="K320" s="210"/>
      <c r="L320" s="210"/>
      <c r="M320" s="210"/>
      <c r="N320" s="210"/>
      <c r="O320" s="210"/>
      <c r="P320" s="210"/>
      <c r="Q320" s="210"/>
      <c r="R320" s="210"/>
      <c r="S320" s="210"/>
      <c r="T320" s="210"/>
      <c r="U320" s="210"/>
      <c r="V320" s="210"/>
      <c r="W320" s="210"/>
      <c r="X320" s="210"/>
      <c r="Y320" s="210"/>
      <c r="Z320" s="210"/>
    </row>
    <row r="321" ht="21.75" customHeight="1">
      <c r="A321" s="214"/>
      <c r="B321" s="221"/>
      <c r="C321" s="222">
        <v>100.0</v>
      </c>
      <c r="D321" s="223" t="s">
        <v>845</v>
      </c>
      <c r="E321" s="223" t="s">
        <v>487</v>
      </c>
      <c r="F321" s="223" t="s">
        <v>488</v>
      </c>
      <c r="G321" s="223" t="s">
        <v>489</v>
      </c>
      <c r="H321" s="224" t="s">
        <v>490</v>
      </c>
      <c r="I321" s="208"/>
      <c r="J321" s="210"/>
      <c r="K321" s="210"/>
      <c r="L321" s="210"/>
      <c r="M321" s="210"/>
      <c r="N321" s="210"/>
      <c r="O321" s="210"/>
      <c r="P321" s="210"/>
      <c r="Q321" s="210"/>
      <c r="R321" s="210"/>
      <c r="S321" s="210"/>
      <c r="T321" s="210"/>
      <c r="U321" s="210"/>
      <c r="V321" s="210"/>
      <c r="W321" s="210"/>
      <c r="X321" s="210"/>
      <c r="Y321" s="210"/>
      <c r="Z321" s="210"/>
    </row>
    <row r="322" ht="21.75" customHeight="1">
      <c r="A322" s="214"/>
      <c r="B322" s="221"/>
      <c r="C322" s="222">
        <v>101.0</v>
      </c>
      <c r="D322" s="223" t="s">
        <v>491</v>
      </c>
      <c r="E322" s="223" t="s">
        <v>487</v>
      </c>
      <c r="F322" s="223" t="s">
        <v>492</v>
      </c>
      <c r="G322" s="223" t="s">
        <v>678</v>
      </c>
      <c r="H322" s="225" t="s">
        <v>846</v>
      </c>
      <c r="I322" s="208"/>
      <c r="J322" s="210"/>
      <c r="K322" s="210"/>
      <c r="L322" s="210"/>
      <c r="M322" s="210"/>
      <c r="N322" s="210"/>
      <c r="O322" s="210"/>
      <c r="P322" s="210"/>
      <c r="Q322" s="210"/>
      <c r="R322" s="210"/>
      <c r="S322" s="210"/>
      <c r="T322" s="210"/>
      <c r="U322" s="210"/>
      <c r="V322" s="210"/>
      <c r="W322" s="210"/>
      <c r="X322" s="210"/>
      <c r="Y322" s="210"/>
      <c r="Z322" s="210"/>
    </row>
    <row r="323" ht="21.75" customHeight="1">
      <c r="A323" s="214"/>
      <c r="B323" s="221"/>
      <c r="C323" s="222">
        <v>102.0</v>
      </c>
      <c r="D323" s="223" t="s">
        <v>408</v>
      </c>
      <c r="E323" s="223" t="s">
        <v>487</v>
      </c>
      <c r="F323" s="223" t="s">
        <v>496</v>
      </c>
      <c r="G323" s="223" t="s">
        <v>497</v>
      </c>
      <c r="H323" s="224" t="s">
        <v>490</v>
      </c>
      <c r="I323" s="208"/>
      <c r="J323" s="210"/>
      <c r="K323" s="210"/>
      <c r="L323" s="210"/>
      <c r="M323" s="210"/>
      <c r="N323" s="210"/>
      <c r="O323" s="210"/>
      <c r="P323" s="210"/>
      <c r="Q323" s="210"/>
      <c r="R323" s="210"/>
      <c r="S323" s="210"/>
      <c r="T323" s="210"/>
      <c r="U323" s="210"/>
      <c r="V323" s="210"/>
      <c r="W323" s="210"/>
      <c r="X323" s="210"/>
      <c r="Y323" s="210"/>
      <c r="Z323" s="210"/>
    </row>
    <row r="324" ht="21.75" customHeight="1">
      <c r="A324" s="214"/>
      <c r="B324" s="221"/>
      <c r="C324" s="222">
        <v>103.0</v>
      </c>
      <c r="D324" s="223" t="s">
        <v>847</v>
      </c>
      <c r="E324" s="223" t="s">
        <v>487</v>
      </c>
      <c r="F324" s="223" t="s">
        <v>500</v>
      </c>
      <c r="G324" s="223" t="s">
        <v>501</v>
      </c>
      <c r="H324" s="224" t="s">
        <v>490</v>
      </c>
      <c r="I324" s="208"/>
      <c r="J324" s="210"/>
      <c r="K324" s="210"/>
      <c r="L324" s="210"/>
      <c r="M324" s="210"/>
      <c r="N324" s="210"/>
      <c r="O324" s="210"/>
      <c r="P324" s="210"/>
      <c r="Q324" s="210"/>
      <c r="R324" s="210"/>
      <c r="S324" s="210"/>
      <c r="T324" s="210"/>
      <c r="U324" s="210"/>
      <c r="V324" s="210"/>
      <c r="W324" s="210"/>
      <c r="X324" s="210"/>
      <c r="Y324" s="210"/>
      <c r="Z324" s="210"/>
    </row>
    <row r="325" ht="21.75" customHeight="1">
      <c r="A325" s="214"/>
      <c r="B325" s="221"/>
      <c r="C325" s="222">
        <v>104.0</v>
      </c>
      <c r="D325" s="223" t="s">
        <v>516</v>
      </c>
      <c r="E325" s="223" t="s">
        <v>487</v>
      </c>
      <c r="F325" s="223" t="s">
        <v>512</v>
      </c>
      <c r="G325" s="223" t="s">
        <v>493</v>
      </c>
      <c r="H325" s="225" t="s">
        <v>848</v>
      </c>
      <c r="I325" s="208"/>
      <c r="J325" s="210"/>
      <c r="K325" s="210"/>
      <c r="L325" s="210"/>
      <c r="M325" s="210"/>
      <c r="N325" s="210"/>
      <c r="O325" s="210"/>
      <c r="P325" s="210"/>
      <c r="Q325" s="210"/>
      <c r="R325" s="210"/>
      <c r="S325" s="210"/>
      <c r="T325" s="210"/>
      <c r="U325" s="210"/>
      <c r="V325" s="210"/>
      <c r="W325" s="210"/>
      <c r="X325" s="210"/>
      <c r="Y325" s="210"/>
      <c r="Z325" s="210"/>
    </row>
    <row r="326" ht="21.75" customHeight="1">
      <c r="A326" s="228"/>
      <c r="B326" s="221"/>
      <c r="C326" s="222">
        <v>105.0</v>
      </c>
      <c r="D326" s="223" t="s">
        <v>519</v>
      </c>
      <c r="E326" s="223" t="s">
        <v>508</v>
      </c>
      <c r="F326" s="223" t="s">
        <v>509</v>
      </c>
      <c r="G326" s="223" t="s">
        <v>510</v>
      </c>
      <c r="H326" s="225" t="s">
        <v>849</v>
      </c>
      <c r="I326" s="208"/>
      <c r="J326" s="210"/>
      <c r="K326" s="210"/>
      <c r="L326" s="210"/>
      <c r="M326" s="210"/>
      <c r="N326" s="210"/>
      <c r="O326" s="210"/>
      <c r="P326" s="210"/>
      <c r="Q326" s="210"/>
      <c r="R326" s="210"/>
      <c r="S326" s="210"/>
      <c r="T326" s="210"/>
      <c r="U326" s="210"/>
      <c r="V326" s="210"/>
      <c r="W326" s="210"/>
      <c r="X326" s="210"/>
      <c r="Y326" s="210"/>
      <c r="Z326" s="210"/>
    </row>
    <row r="327" ht="21.75" customHeight="1">
      <c r="A327" s="214">
        <v>133.0</v>
      </c>
      <c r="B327" s="215" t="s">
        <v>850</v>
      </c>
      <c r="C327" s="216"/>
      <c r="D327" s="217"/>
      <c r="E327" s="217"/>
      <c r="F327" s="217"/>
      <c r="G327" s="217"/>
      <c r="H327" s="217"/>
      <c r="I327" s="208"/>
      <c r="J327" s="210"/>
      <c r="K327" s="210"/>
      <c r="L327" s="210"/>
      <c r="M327" s="210"/>
      <c r="N327" s="210"/>
      <c r="O327" s="210"/>
      <c r="P327" s="210"/>
      <c r="Q327" s="210"/>
      <c r="R327" s="210"/>
      <c r="S327" s="210"/>
      <c r="T327" s="210"/>
      <c r="U327" s="210"/>
      <c r="V327" s="210"/>
      <c r="W327" s="210"/>
      <c r="X327" s="210"/>
      <c r="Y327" s="210"/>
      <c r="Z327" s="210"/>
    </row>
    <row r="328" ht="21.75" customHeight="1">
      <c r="A328" s="214"/>
      <c r="B328" s="218" t="s">
        <v>851</v>
      </c>
      <c r="C328" s="219">
        <v>51074.0</v>
      </c>
      <c r="D328" s="220"/>
      <c r="E328" s="220"/>
      <c r="F328" s="220"/>
      <c r="G328" s="220"/>
      <c r="H328" s="220"/>
      <c r="I328" s="208"/>
      <c r="J328" s="210"/>
      <c r="K328" s="210"/>
      <c r="L328" s="210"/>
      <c r="M328" s="210"/>
      <c r="N328" s="210"/>
      <c r="O328" s="210"/>
      <c r="P328" s="210"/>
      <c r="Q328" s="210"/>
      <c r="R328" s="210"/>
      <c r="S328" s="210"/>
      <c r="T328" s="210"/>
      <c r="U328" s="210"/>
      <c r="V328" s="210"/>
      <c r="W328" s="210"/>
      <c r="X328" s="210"/>
      <c r="Y328" s="210"/>
      <c r="Z328" s="210"/>
    </row>
    <row r="329" ht="21.75" customHeight="1">
      <c r="A329" s="214"/>
      <c r="B329" s="221"/>
      <c r="C329" s="222">
        <v>100.0</v>
      </c>
      <c r="D329" s="223" t="s">
        <v>852</v>
      </c>
      <c r="E329" s="223" t="s">
        <v>487</v>
      </c>
      <c r="F329" s="223" t="s">
        <v>488</v>
      </c>
      <c r="G329" s="223" t="s">
        <v>678</v>
      </c>
      <c r="H329" s="225" t="s">
        <v>853</v>
      </c>
      <c r="I329" s="208"/>
      <c r="J329" s="210"/>
      <c r="K329" s="210"/>
      <c r="L329" s="210"/>
      <c r="M329" s="210"/>
      <c r="N329" s="210"/>
      <c r="O329" s="210"/>
      <c r="P329" s="210"/>
      <c r="Q329" s="210"/>
      <c r="R329" s="210"/>
      <c r="S329" s="210"/>
      <c r="T329" s="210"/>
      <c r="U329" s="210"/>
      <c r="V329" s="210"/>
      <c r="W329" s="210"/>
      <c r="X329" s="210"/>
      <c r="Y329" s="210"/>
      <c r="Z329" s="210"/>
    </row>
    <row r="330" ht="21.75" customHeight="1">
      <c r="A330" s="214"/>
      <c r="B330" s="221"/>
      <c r="C330" s="222">
        <v>101.0</v>
      </c>
      <c r="D330" s="223" t="s">
        <v>854</v>
      </c>
      <c r="E330" s="223" t="s">
        <v>487</v>
      </c>
      <c r="F330" s="223" t="s">
        <v>492</v>
      </c>
      <c r="G330" s="223" t="s">
        <v>602</v>
      </c>
      <c r="H330" s="225" t="s">
        <v>855</v>
      </c>
      <c r="I330" s="208"/>
      <c r="J330" s="210"/>
      <c r="K330" s="210"/>
      <c r="L330" s="210"/>
      <c r="M330" s="210"/>
      <c r="N330" s="210"/>
      <c r="O330" s="210"/>
      <c r="P330" s="210"/>
      <c r="Q330" s="210"/>
      <c r="R330" s="210"/>
      <c r="S330" s="210"/>
      <c r="T330" s="210"/>
      <c r="U330" s="210"/>
      <c r="V330" s="210"/>
      <c r="W330" s="210"/>
      <c r="X330" s="210"/>
      <c r="Y330" s="210"/>
      <c r="Z330" s="210"/>
    </row>
    <row r="331" ht="21.75" customHeight="1">
      <c r="A331" s="214"/>
      <c r="B331" s="221"/>
      <c r="C331" s="222">
        <v>102.0</v>
      </c>
      <c r="D331" s="223" t="s">
        <v>837</v>
      </c>
      <c r="E331" s="223" t="s">
        <v>487</v>
      </c>
      <c r="F331" s="223" t="s">
        <v>496</v>
      </c>
      <c r="G331" s="223" t="s">
        <v>644</v>
      </c>
      <c r="H331" s="224" t="s">
        <v>490</v>
      </c>
      <c r="I331" s="208"/>
      <c r="J331" s="210"/>
      <c r="K331" s="210"/>
      <c r="L331" s="210"/>
      <c r="M331" s="210"/>
      <c r="N331" s="210"/>
      <c r="O331" s="210"/>
      <c r="P331" s="210"/>
      <c r="Q331" s="210"/>
      <c r="R331" s="210"/>
      <c r="S331" s="210"/>
      <c r="T331" s="210"/>
      <c r="U331" s="210"/>
      <c r="V331" s="210"/>
      <c r="W331" s="210"/>
      <c r="X331" s="210"/>
      <c r="Y331" s="210"/>
      <c r="Z331" s="210"/>
    </row>
    <row r="332" ht="21.75" customHeight="1">
      <c r="A332" s="214"/>
      <c r="B332" s="221"/>
      <c r="C332" s="222">
        <v>103.0</v>
      </c>
      <c r="D332" s="223" t="s">
        <v>856</v>
      </c>
      <c r="E332" s="223" t="s">
        <v>487</v>
      </c>
      <c r="F332" s="223" t="s">
        <v>500</v>
      </c>
      <c r="G332" s="223" t="s">
        <v>493</v>
      </c>
      <c r="H332" s="224" t="s">
        <v>490</v>
      </c>
      <c r="I332" s="208"/>
      <c r="J332" s="210"/>
      <c r="K332" s="210"/>
      <c r="L332" s="210"/>
      <c r="M332" s="210"/>
      <c r="N332" s="210"/>
      <c r="O332" s="210"/>
      <c r="P332" s="210"/>
      <c r="Q332" s="210"/>
      <c r="R332" s="210"/>
      <c r="S332" s="210"/>
      <c r="T332" s="210"/>
      <c r="U332" s="210"/>
      <c r="V332" s="210"/>
      <c r="W332" s="210"/>
      <c r="X332" s="210"/>
      <c r="Y332" s="210"/>
      <c r="Z332" s="210"/>
    </row>
    <row r="333" ht="21.75" customHeight="1">
      <c r="A333" s="214"/>
      <c r="B333" s="221"/>
      <c r="C333" s="222">
        <v>104.0</v>
      </c>
      <c r="D333" s="223" t="s">
        <v>857</v>
      </c>
      <c r="E333" s="223" t="s">
        <v>487</v>
      </c>
      <c r="F333" s="223" t="s">
        <v>512</v>
      </c>
      <c r="G333" s="223" t="s">
        <v>497</v>
      </c>
      <c r="H333" s="224" t="s">
        <v>490</v>
      </c>
      <c r="I333" s="208"/>
      <c r="J333" s="210"/>
      <c r="K333" s="210"/>
      <c r="L333" s="210"/>
      <c r="M333" s="210"/>
      <c r="N333" s="210"/>
      <c r="O333" s="210"/>
      <c r="P333" s="210"/>
      <c r="Q333" s="210"/>
      <c r="R333" s="210"/>
      <c r="S333" s="210"/>
      <c r="T333" s="210"/>
      <c r="U333" s="210"/>
      <c r="V333" s="210"/>
      <c r="W333" s="210"/>
      <c r="X333" s="210"/>
      <c r="Y333" s="210"/>
      <c r="Z333" s="210"/>
    </row>
    <row r="334" ht="21.75" customHeight="1">
      <c r="A334" s="214"/>
      <c r="B334" s="221"/>
      <c r="C334" s="222">
        <v>105.0</v>
      </c>
      <c r="D334" s="223" t="s">
        <v>858</v>
      </c>
      <c r="E334" s="223" t="s">
        <v>487</v>
      </c>
      <c r="F334" s="223" t="s">
        <v>532</v>
      </c>
      <c r="G334" s="223" t="s">
        <v>526</v>
      </c>
      <c r="H334" s="224" t="s">
        <v>490</v>
      </c>
      <c r="I334" s="208"/>
      <c r="J334" s="210"/>
      <c r="K334" s="210"/>
      <c r="L334" s="210"/>
      <c r="M334" s="210"/>
      <c r="N334" s="210"/>
      <c r="O334" s="210"/>
      <c r="P334" s="210"/>
      <c r="Q334" s="210"/>
      <c r="R334" s="210"/>
      <c r="S334" s="210"/>
      <c r="T334" s="210"/>
      <c r="U334" s="210"/>
      <c r="V334" s="210"/>
      <c r="W334" s="210"/>
      <c r="X334" s="210"/>
      <c r="Y334" s="210"/>
      <c r="Z334" s="210"/>
    </row>
    <row r="335" ht="21.75" customHeight="1">
      <c r="A335" s="214"/>
      <c r="B335" s="221"/>
      <c r="C335" s="222">
        <v>106.0</v>
      </c>
      <c r="D335" s="223" t="s">
        <v>859</v>
      </c>
      <c r="E335" s="223" t="s">
        <v>487</v>
      </c>
      <c r="F335" s="223" t="s">
        <v>590</v>
      </c>
      <c r="G335" s="223" t="s">
        <v>580</v>
      </c>
      <c r="H335" s="224" t="s">
        <v>490</v>
      </c>
      <c r="I335" s="208"/>
      <c r="J335" s="210"/>
      <c r="K335" s="210"/>
      <c r="L335" s="210"/>
      <c r="M335" s="210"/>
      <c r="N335" s="210"/>
      <c r="O335" s="210"/>
      <c r="P335" s="210"/>
      <c r="Q335" s="210"/>
      <c r="R335" s="210"/>
      <c r="S335" s="210"/>
      <c r="T335" s="210"/>
      <c r="U335" s="210"/>
      <c r="V335" s="210"/>
      <c r="W335" s="210"/>
      <c r="X335" s="210"/>
      <c r="Y335" s="210"/>
      <c r="Z335" s="210"/>
    </row>
    <row r="336" ht="21.75" customHeight="1">
      <c r="A336" s="214"/>
      <c r="B336" s="221"/>
      <c r="C336" s="222">
        <v>107.0</v>
      </c>
      <c r="D336" s="223" t="s">
        <v>860</v>
      </c>
      <c r="E336" s="223" t="s">
        <v>487</v>
      </c>
      <c r="F336" s="223" t="s">
        <v>603</v>
      </c>
      <c r="G336" s="223" t="s">
        <v>501</v>
      </c>
      <c r="H336" s="224" t="s">
        <v>490</v>
      </c>
      <c r="I336" s="208"/>
      <c r="J336" s="210"/>
      <c r="K336" s="210"/>
      <c r="L336" s="210"/>
      <c r="M336" s="210"/>
      <c r="N336" s="210"/>
      <c r="O336" s="210"/>
      <c r="P336" s="210"/>
      <c r="Q336" s="210"/>
      <c r="R336" s="210"/>
      <c r="S336" s="210"/>
      <c r="T336" s="210"/>
      <c r="U336" s="210"/>
      <c r="V336" s="210"/>
      <c r="W336" s="210"/>
      <c r="X336" s="210"/>
      <c r="Y336" s="210"/>
      <c r="Z336" s="210"/>
    </row>
    <row r="337" ht="21.75" customHeight="1">
      <c r="A337" s="214"/>
      <c r="B337" s="221"/>
      <c r="C337" s="222">
        <v>108.0</v>
      </c>
      <c r="D337" s="223" t="s">
        <v>861</v>
      </c>
      <c r="E337" s="223" t="s">
        <v>487</v>
      </c>
      <c r="F337" s="223" t="s">
        <v>579</v>
      </c>
      <c r="G337" s="223" t="s">
        <v>513</v>
      </c>
      <c r="H337" s="224" t="s">
        <v>490</v>
      </c>
      <c r="I337" s="208"/>
      <c r="J337" s="210"/>
      <c r="K337" s="210"/>
      <c r="L337" s="210"/>
      <c r="M337" s="210"/>
      <c r="N337" s="210"/>
      <c r="O337" s="210"/>
      <c r="P337" s="210"/>
      <c r="Q337" s="210"/>
      <c r="R337" s="210"/>
      <c r="S337" s="210"/>
      <c r="T337" s="210"/>
      <c r="U337" s="210"/>
      <c r="V337" s="210"/>
      <c r="W337" s="210"/>
      <c r="X337" s="210"/>
      <c r="Y337" s="210"/>
      <c r="Z337" s="210"/>
    </row>
    <row r="338" ht="21.75" customHeight="1">
      <c r="A338" s="214"/>
      <c r="B338" s="221"/>
      <c r="C338" s="222">
        <v>109.0</v>
      </c>
      <c r="D338" s="223" t="s">
        <v>541</v>
      </c>
      <c r="E338" s="223" t="s">
        <v>508</v>
      </c>
      <c r="F338" s="223" t="s">
        <v>509</v>
      </c>
      <c r="G338" s="223" t="s">
        <v>510</v>
      </c>
      <c r="H338" s="224" t="s">
        <v>490</v>
      </c>
      <c r="I338" s="208"/>
      <c r="J338" s="210"/>
      <c r="K338" s="210"/>
      <c r="L338" s="210"/>
      <c r="M338" s="210"/>
      <c r="N338" s="210"/>
      <c r="O338" s="210"/>
      <c r="P338" s="210"/>
      <c r="Q338" s="210"/>
      <c r="R338" s="210"/>
      <c r="S338" s="210"/>
      <c r="T338" s="210"/>
      <c r="U338" s="210"/>
      <c r="V338" s="210"/>
      <c r="W338" s="210"/>
      <c r="X338" s="210"/>
      <c r="Y338" s="210"/>
      <c r="Z338" s="210"/>
    </row>
    <row r="339" ht="21.75" customHeight="1">
      <c r="A339" s="214"/>
      <c r="B339" s="221"/>
      <c r="C339" s="222">
        <v>110.0</v>
      </c>
      <c r="D339" s="223" t="s">
        <v>862</v>
      </c>
      <c r="E339" s="223" t="s">
        <v>539</v>
      </c>
      <c r="F339" s="223" t="s">
        <v>863</v>
      </c>
      <c r="G339" s="218" t="s">
        <v>490</v>
      </c>
      <c r="H339" s="224" t="s">
        <v>490</v>
      </c>
      <c r="I339" s="208"/>
      <c r="J339" s="210"/>
      <c r="K339" s="210"/>
      <c r="L339" s="210"/>
      <c r="M339" s="210"/>
      <c r="N339" s="210"/>
      <c r="O339" s="210"/>
      <c r="P339" s="210"/>
      <c r="Q339" s="210"/>
      <c r="R339" s="210"/>
      <c r="S339" s="210"/>
      <c r="T339" s="210"/>
      <c r="U339" s="210"/>
      <c r="V339" s="210"/>
      <c r="W339" s="210"/>
      <c r="X339" s="210"/>
      <c r="Y339" s="210"/>
      <c r="Z339" s="210"/>
    </row>
    <row r="340" ht="21.75" customHeight="1">
      <c r="A340" s="228"/>
      <c r="B340" s="221"/>
      <c r="C340" s="222">
        <v>111.0</v>
      </c>
      <c r="D340" s="223" t="s">
        <v>862</v>
      </c>
      <c r="E340" s="223" t="s">
        <v>539</v>
      </c>
      <c r="F340" s="223" t="s">
        <v>542</v>
      </c>
      <c r="G340" s="223" t="s">
        <v>864</v>
      </c>
      <c r="H340" s="224" t="s">
        <v>490</v>
      </c>
      <c r="I340" s="208"/>
      <c r="J340" s="210"/>
      <c r="K340" s="210"/>
      <c r="L340" s="210"/>
      <c r="M340" s="210"/>
      <c r="N340" s="210"/>
      <c r="O340" s="210"/>
      <c r="P340" s="210"/>
      <c r="Q340" s="210"/>
      <c r="R340" s="210"/>
      <c r="S340" s="210"/>
      <c r="T340" s="210"/>
      <c r="U340" s="210"/>
      <c r="V340" s="210"/>
      <c r="W340" s="210"/>
      <c r="X340" s="210"/>
      <c r="Y340" s="210"/>
      <c r="Z340" s="210"/>
    </row>
    <row r="341" ht="21.75" customHeight="1">
      <c r="A341" s="214">
        <v>139.0</v>
      </c>
      <c r="B341" s="215" t="s">
        <v>865</v>
      </c>
      <c r="C341" s="216"/>
      <c r="D341" s="217"/>
      <c r="E341" s="217"/>
      <c r="F341" s="217"/>
      <c r="G341" s="217"/>
      <c r="H341" s="217"/>
      <c r="I341" s="208"/>
      <c r="J341" s="210"/>
      <c r="K341" s="210"/>
      <c r="L341" s="210"/>
      <c r="M341" s="210"/>
      <c r="N341" s="210"/>
      <c r="O341" s="210"/>
      <c r="P341" s="210"/>
      <c r="Q341" s="210"/>
      <c r="R341" s="210"/>
      <c r="S341" s="210"/>
      <c r="T341" s="210"/>
      <c r="U341" s="210"/>
      <c r="V341" s="210"/>
      <c r="W341" s="210"/>
      <c r="X341" s="210"/>
      <c r="Y341" s="210"/>
      <c r="Z341" s="210"/>
    </row>
    <row r="342" ht="21.75" customHeight="1">
      <c r="A342" s="214"/>
      <c r="B342" s="218" t="s">
        <v>866</v>
      </c>
      <c r="C342" s="219">
        <v>51121.0</v>
      </c>
      <c r="D342" s="220"/>
      <c r="E342" s="220"/>
      <c r="F342" s="220"/>
      <c r="G342" s="220"/>
      <c r="H342" s="220"/>
      <c r="I342" s="208"/>
      <c r="J342" s="210"/>
      <c r="K342" s="210"/>
      <c r="L342" s="210"/>
      <c r="M342" s="210"/>
      <c r="N342" s="210"/>
      <c r="O342" s="210"/>
      <c r="P342" s="210"/>
      <c r="Q342" s="210"/>
      <c r="R342" s="210"/>
      <c r="S342" s="210"/>
      <c r="T342" s="210"/>
      <c r="U342" s="210"/>
      <c r="V342" s="210"/>
      <c r="W342" s="210"/>
      <c r="X342" s="210"/>
      <c r="Y342" s="210"/>
      <c r="Z342" s="210"/>
    </row>
    <row r="343" ht="21.75" customHeight="1">
      <c r="A343" s="214"/>
      <c r="B343" s="221"/>
      <c r="C343" s="222">
        <v>100.0</v>
      </c>
      <c r="D343" s="223" t="s">
        <v>486</v>
      </c>
      <c r="E343" s="223" t="s">
        <v>487</v>
      </c>
      <c r="F343" s="223" t="s">
        <v>488</v>
      </c>
      <c r="G343" s="223" t="s">
        <v>489</v>
      </c>
      <c r="H343" s="224" t="s">
        <v>490</v>
      </c>
      <c r="I343" s="208"/>
      <c r="J343" s="210"/>
      <c r="K343" s="210"/>
      <c r="L343" s="210"/>
      <c r="M343" s="210"/>
      <c r="N343" s="210"/>
      <c r="O343" s="210"/>
      <c r="P343" s="210"/>
      <c r="Q343" s="210"/>
      <c r="R343" s="210"/>
      <c r="S343" s="210"/>
      <c r="T343" s="210"/>
      <c r="U343" s="210"/>
      <c r="V343" s="210"/>
      <c r="W343" s="210"/>
      <c r="X343" s="210"/>
      <c r="Y343" s="210"/>
      <c r="Z343" s="210"/>
    </row>
    <row r="344" ht="21.75" customHeight="1">
      <c r="A344" s="214"/>
      <c r="B344" s="221"/>
      <c r="C344" s="222">
        <v>101.0</v>
      </c>
      <c r="D344" s="223" t="s">
        <v>491</v>
      </c>
      <c r="E344" s="223" t="s">
        <v>487</v>
      </c>
      <c r="F344" s="223" t="s">
        <v>492</v>
      </c>
      <c r="G344" s="223" t="s">
        <v>678</v>
      </c>
      <c r="H344" s="225" t="s">
        <v>867</v>
      </c>
      <c r="I344" s="208"/>
      <c r="J344" s="210"/>
      <c r="K344" s="210"/>
      <c r="L344" s="210"/>
      <c r="M344" s="210"/>
      <c r="N344" s="210"/>
      <c r="O344" s="210"/>
      <c r="P344" s="210"/>
      <c r="Q344" s="210"/>
      <c r="R344" s="210"/>
      <c r="S344" s="210"/>
      <c r="T344" s="210"/>
      <c r="U344" s="210"/>
      <c r="V344" s="210"/>
      <c r="W344" s="210"/>
      <c r="X344" s="210"/>
      <c r="Y344" s="210"/>
      <c r="Z344" s="210"/>
    </row>
    <row r="345" ht="21.75" customHeight="1">
      <c r="A345" s="214"/>
      <c r="B345" s="221"/>
      <c r="C345" s="222">
        <v>102.0</v>
      </c>
      <c r="D345" s="223" t="s">
        <v>516</v>
      </c>
      <c r="E345" s="223" t="s">
        <v>487</v>
      </c>
      <c r="F345" s="223" t="s">
        <v>496</v>
      </c>
      <c r="G345" s="223" t="s">
        <v>493</v>
      </c>
      <c r="H345" s="225" t="s">
        <v>868</v>
      </c>
      <c r="I345" s="208"/>
      <c r="J345" s="210"/>
      <c r="K345" s="210"/>
      <c r="L345" s="210"/>
      <c r="M345" s="210"/>
      <c r="N345" s="210"/>
      <c r="O345" s="210"/>
      <c r="P345" s="210"/>
      <c r="Q345" s="210"/>
      <c r="R345" s="210"/>
      <c r="S345" s="210"/>
      <c r="T345" s="210"/>
      <c r="U345" s="210"/>
      <c r="V345" s="210"/>
      <c r="W345" s="210"/>
      <c r="X345" s="210"/>
      <c r="Y345" s="210"/>
      <c r="Z345" s="210"/>
    </row>
    <row r="346" ht="21.75" customHeight="1">
      <c r="A346" s="214"/>
      <c r="B346" s="221"/>
      <c r="C346" s="222">
        <v>103.0</v>
      </c>
      <c r="D346" s="223" t="s">
        <v>837</v>
      </c>
      <c r="E346" s="223" t="s">
        <v>529</v>
      </c>
      <c r="F346" s="223" t="s">
        <v>530</v>
      </c>
      <c r="G346" s="218" t="s">
        <v>490</v>
      </c>
      <c r="H346" s="225" t="s">
        <v>869</v>
      </c>
      <c r="I346" s="208"/>
      <c r="J346" s="210"/>
      <c r="K346" s="210"/>
      <c r="L346" s="210"/>
      <c r="M346" s="210"/>
      <c r="N346" s="210"/>
      <c r="O346" s="210"/>
      <c r="P346" s="210"/>
      <c r="Q346" s="210"/>
      <c r="R346" s="210"/>
      <c r="S346" s="210"/>
      <c r="T346" s="210"/>
      <c r="U346" s="210"/>
      <c r="V346" s="210"/>
      <c r="W346" s="210"/>
      <c r="X346" s="210"/>
      <c r="Y346" s="210"/>
      <c r="Z346" s="210"/>
    </row>
    <row r="347" ht="21.75" customHeight="1">
      <c r="A347" s="214"/>
      <c r="B347" s="221"/>
      <c r="C347" s="222">
        <v>104.0</v>
      </c>
      <c r="D347" s="223" t="s">
        <v>837</v>
      </c>
      <c r="E347" s="223" t="s">
        <v>487</v>
      </c>
      <c r="F347" s="223" t="s">
        <v>826</v>
      </c>
      <c r="G347" s="223" t="s">
        <v>526</v>
      </c>
      <c r="H347" s="224" t="s">
        <v>490</v>
      </c>
      <c r="I347" s="208"/>
      <c r="J347" s="210"/>
      <c r="K347" s="210"/>
      <c r="L347" s="210"/>
      <c r="M347" s="210"/>
      <c r="N347" s="210"/>
      <c r="O347" s="210"/>
      <c r="P347" s="210"/>
      <c r="Q347" s="210"/>
      <c r="R347" s="210"/>
      <c r="S347" s="210"/>
      <c r="T347" s="210"/>
      <c r="U347" s="210"/>
      <c r="V347" s="210"/>
      <c r="W347" s="210"/>
      <c r="X347" s="210"/>
      <c r="Y347" s="210"/>
      <c r="Z347" s="210"/>
    </row>
    <row r="348" ht="21.75" customHeight="1">
      <c r="A348" s="214"/>
      <c r="B348" s="221"/>
      <c r="C348" s="222">
        <v>105.0</v>
      </c>
      <c r="D348" s="223" t="s">
        <v>749</v>
      </c>
      <c r="E348" s="223" t="s">
        <v>487</v>
      </c>
      <c r="F348" s="223" t="s">
        <v>500</v>
      </c>
      <c r="G348" s="223" t="s">
        <v>497</v>
      </c>
      <c r="H348" s="225" t="s">
        <v>870</v>
      </c>
      <c r="I348" s="208"/>
      <c r="J348" s="210"/>
      <c r="K348" s="210"/>
      <c r="L348" s="210"/>
      <c r="M348" s="210"/>
      <c r="N348" s="210"/>
      <c r="O348" s="210"/>
      <c r="P348" s="210"/>
      <c r="Q348" s="210"/>
      <c r="R348" s="210"/>
      <c r="S348" s="210"/>
      <c r="T348" s="210"/>
      <c r="U348" s="210"/>
      <c r="V348" s="210"/>
      <c r="W348" s="210"/>
      <c r="X348" s="210"/>
      <c r="Y348" s="210"/>
      <c r="Z348" s="210"/>
    </row>
    <row r="349" ht="21.75" customHeight="1">
      <c r="A349" s="214"/>
      <c r="B349" s="221"/>
      <c r="C349" s="222">
        <v>106.0</v>
      </c>
      <c r="D349" s="223" t="s">
        <v>750</v>
      </c>
      <c r="E349" s="223" t="s">
        <v>487</v>
      </c>
      <c r="F349" s="223" t="s">
        <v>512</v>
      </c>
      <c r="G349" s="223" t="s">
        <v>501</v>
      </c>
      <c r="H349" s="225" t="s">
        <v>871</v>
      </c>
      <c r="I349" s="208"/>
      <c r="J349" s="210"/>
      <c r="K349" s="210"/>
      <c r="L349" s="210"/>
      <c r="M349" s="210"/>
      <c r="N349" s="210"/>
      <c r="O349" s="210"/>
      <c r="P349" s="210"/>
      <c r="Q349" s="210"/>
      <c r="R349" s="210"/>
      <c r="S349" s="210"/>
      <c r="T349" s="210"/>
      <c r="U349" s="210"/>
      <c r="V349" s="210"/>
      <c r="W349" s="210"/>
      <c r="X349" s="210"/>
      <c r="Y349" s="210"/>
      <c r="Z349" s="210"/>
    </row>
    <row r="350" ht="21.75" customHeight="1">
      <c r="A350" s="228"/>
      <c r="B350" s="221"/>
      <c r="C350" s="222">
        <v>107.0</v>
      </c>
      <c r="D350" s="223" t="s">
        <v>507</v>
      </c>
      <c r="E350" s="223" t="s">
        <v>508</v>
      </c>
      <c r="F350" s="223" t="s">
        <v>509</v>
      </c>
      <c r="G350" s="223" t="s">
        <v>510</v>
      </c>
      <c r="H350" s="225" t="s">
        <v>872</v>
      </c>
      <c r="I350" s="208"/>
      <c r="J350" s="210"/>
      <c r="K350" s="210"/>
      <c r="L350" s="210"/>
      <c r="M350" s="210"/>
      <c r="N350" s="210"/>
      <c r="O350" s="210"/>
      <c r="P350" s="210"/>
      <c r="Q350" s="210"/>
      <c r="R350" s="210"/>
      <c r="S350" s="210"/>
      <c r="T350" s="210"/>
      <c r="U350" s="210"/>
      <c r="V350" s="210"/>
      <c r="W350" s="210"/>
      <c r="X350" s="210"/>
      <c r="Y350" s="210"/>
      <c r="Z350" s="210"/>
    </row>
    <row r="351" ht="21.75" customHeight="1">
      <c r="A351" s="214">
        <v>145.0</v>
      </c>
      <c r="B351" s="215" t="s">
        <v>873</v>
      </c>
      <c r="C351" s="216"/>
      <c r="D351" s="217"/>
      <c r="E351" s="217"/>
      <c r="F351" s="217"/>
      <c r="G351" s="217"/>
      <c r="H351" s="217"/>
      <c r="I351" s="208"/>
      <c r="J351" s="210"/>
      <c r="K351" s="210"/>
      <c r="L351" s="210"/>
      <c r="M351" s="210"/>
      <c r="N351" s="210"/>
      <c r="O351" s="210"/>
      <c r="P351" s="210"/>
      <c r="Q351" s="210"/>
      <c r="R351" s="210"/>
      <c r="S351" s="210"/>
      <c r="T351" s="210"/>
      <c r="U351" s="210"/>
      <c r="V351" s="210"/>
      <c r="W351" s="210"/>
      <c r="X351" s="210"/>
      <c r="Y351" s="210"/>
      <c r="Z351" s="210"/>
    </row>
    <row r="352" ht="21.75" customHeight="1">
      <c r="A352" s="214"/>
      <c r="B352" s="218" t="s">
        <v>874</v>
      </c>
      <c r="C352" s="219">
        <v>50420.0</v>
      </c>
      <c r="D352" s="220"/>
      <c r="E352" s="220"/>
      <c r="F352" s="220"/>
      <c r="G352" s="220"/>
      <c r="H352" s="220"/>
      <c r="I352" s="208"/>
      <c r="J352" s="210"/>
      <c r="K352" s="210"/>
      <c r="L352" s="210"/>
      <c r="M352" s="210"/>
      <c r="N352" s="210"/>
      <c r="O352" s="210"/>
      <c r="P352" s="210"/>
      <c r="Q352" s="210"/>
      <c r="R352" s="210"/>
      <c r="S352" s="210"/>
      <c r="T352" s="210"/>
      <c r="U352" s="210"/>
      <c r="V352" s="210"/>
      <c r="W352" s="210"/>
      <c r="X352" s="210"/>
      <c r="Y352" s="210"/>
      <c r="Z352" s="210"/>
    </row>
    <row r="353" ht="21.75" customHeight="1">
      <c r="A353" s="214"/>
      <c r="B353" s="221"/>
      <c r="C353" s="222">
        <v>100.0</v>
      </c>
      <c r="D353" s="223" t="s">
        <v>486</v>
      </c>
      <c r="E353" s="223" t="s">
        <v>487</v>
      </c>
      <c r="F353" s="223" t="s">
        <v>488</v>
      </c>
      <c r="G353" s="223" t="s">
        <v>489</v>
      </c>
      <c r="H353" s="224" t="s">
        <v>490</v>
      </c>
      <c r="I353" s="208"/>
      <c r="J353" s="210"/>
      <c r="K353" s="210"/>
      <c r="L353" s="210"/>
      <c r="M353" s="210"/>
      <c r="N353" s="210"/>
      <c r="O353" s="210"/>
      <c r="P353" s="210"/>
      <c r="Q353" s="210"/>
      <c r="R353" s="210"/>
      <c r="S353" s="210"/>
      <c r="T353" s="210"/>
      <c r="U353" s="210"/>
      <c r="V353" s="210"/>
      <c r="W353" s="210"/>
      <c r="X353" s="210"/>
      <c r="Y353" s="210"/>
      <c r="Z353" s="210"/>
    </row>
    <row r="354" ht="21.75" customHeight="1">
      <c r="A354" s="214"/>
      <c r="B354" s="221"/>
      <c r="C354" s="222">
        <v>101.0</v>
      </c>
      <c r="D354" s="223" t="s">
        <v>491</v>
      </c>
      <c r="E354" s="223" t="s">
        <v>487</v>
      </c>
      <c r="F354" s="223" t="s">
        <v>492</v>
      </c>
      <c r="G354" s="223" t="s">
        <v>678</v>
      </c>
      <c r="H354" s="225" t="s">
        <v>875</v>
      </c>
      <c r="I354" s="208"/>
      <c r="J354" s="210"/>
      <c r="K354" s="210"/>
      <c r="L354" s="210"/>
      <c r="M354" s="210"/>
      <c r="N354" s="210"/>
      <c r="O354" s="210"/>
      <c r="P354" s="210"/>
      <c r="Q354" s="210"/>
      <c r="R354" s="210"/>
      <c r="S354" s="210"/>
      <c r="T354" s="210"/>
      <c r="U354" s="210"/>
      <c r="V354" s="210"/>
      <c r="W354" s="210"/>
      <c r="X354" s="210"/>
      <c r="Y354" s="210"/>
      <c r="Z354" s="210"/>
    </row>
    <row r="355" ht="21.75" customHeight="1">
      <c r="A355" s="214"/>
      <c r="B355" s="221"/>
      <c r="C355" s="222">
        <v>102.0</v>
      </c>
      <c r="D355" s="223" t="s">
        <v>876</v>
      </c>
      <c r="E355" s="223" t="s">
        <v>487</v>
      </c>
      <c r="F355" s="223" t="s">
        <v>496</v>
      </c>
      <c r="G355" s="223" t="s">
        <v>497</v>
      </c>
      <c r="H355" s="225" t="s">
        <v>877</v>
      </c>
      <c r="I355" s="208"/>
      <c r="J355" s="210"/>
      <c r="K355" s="210"/>
      <c r="L355" s="210"/>
      <c r="M355" s="210"/>
      <c r="N355" s="210"/>
      <c r="O355" s="210"/>
      <c r="P355" s="210"/>
      <c r="Q355" s="210"/>
      <c r="R355" s="210"/>
      <c r="S355" s="210"/>
      <c r="T355" s="210"/>
      <c r="U355" s="210"/>
      <c r="V355" s="210"/>
      <c r="W355" s="210"/>
      <c r="X355" s="210"/>
      <c r="Y355" s="210"/>
      <c r="Z355" s="210"/>
    </row>
    <row r="356" ht="21.75" customHeight="1">
      <c r="A356" s="214"/>
      <c r="B356" s="221"/>
      <c r="C356" s="222">
        <v>103.0</v>
      </c>
      <c r="D356" s="223" t="s">
        <v>878</v>
      </c>
      <c r="E356" s="223" t="s">
        <v>487</v>
      </c>
      <c r="F356" s="223" t="s">
        <v>500</v>
      </c>
      <c r="G356" s="223" t="s">
        <v>501</v>
      </c>
      <c r="H356" s="224" t="s">
        <v>490</v>
      </c>
      <c r="I356" s="208"/>
      <c r="J356" s="210"/>
      <c r="K356" s="210"/>
      <c r="L356" s="210"/>
      <c r="M356" s="210"/>
      <c r="N356" s="210"/>
      <c r="O356" s="210"/>
      <c r="P356" s="210"/>
      <c r="Q356" s="210"/>
      <c r="R356" s="210"/>
      <c r="S356" s="210"/>
      <c r="T356" s="210"/>
      <c r="U356" s="210"/>
      <c r="V356" s="210"/>
      <c r="W356" s="210"/>
      <c r="X356" s="210"/>
      <c r="Y356" s="210"/>
      <c r="Z356" s="210"/>
    </row>
    <row r="357" ht="21.75" customHeight="1">
      <c r="A357" s="214"/>
      <c r="B357" s="217"/>
      <c r="C357" s="222">
        <v>104.0</v>
      </c>
      <c r="D357" s="215" t="s">
        <v>541</v>
      </c>
      <c r="E357" s="215" t="s">
        <v>508</v>
      </c>
      <c r="F357" s="215" t="s">
        <v>509</v>
      </c>
      <c r="G357" s="215" t="s">
        <v>510</v>
      </c>
      <c r="H357" s="225" t="s">
        <v>879</v>
      </c>
      <c r="I357" s="208"/>
      <c r="J357" s="210"/>
      <c r="K357" s="210"/>
      <c r="L357" s="210"/>
      <c r="M357" s="210"/>
      <c r="N357" s="210"/>
      <c r="O357" s="210"/>
      <c r="P357" s="210"/>
      <c r="Q357" s="210"/>
      <c r="R357" s="210"/>
      <c r="S357" s="210"/>
      <c r="T357" s="210"/>
      <c r="U357" s="210"/>
      <c r="V357" s="210"/>
      <c r="W357" s="210"/>
      <c r="X357" s="210"/>
      <c r="Y357" s="210"/>
      <c r="Z357" s="210"/>
    </row>
    <row r="358" ht="21.75" customHeight="1">
      <c r="A358" s="214"/>
      <c r="B358" s="218" t="s">
        <v>880</v>
      </c>
      <c r="C358" s="226">
        <v>50395.0</v>
      </c>
      <c r="D358" s="220"/>
      <c r="E358" s="220"/>
      <c r="F358" s="220"/>
      <c r="G358" s="220"/>
      <c r="H358" s="221"/>
      <c r="I358" s="208"/>
      <c r="J358" s="210"/>
      <c r="K358" s="210"/>
      <c r="L358" s="210"/>
      <c r="M358" s="210"/>
      <c r="N358" s="210"/>
      <c r="O358" s="210"/>
      <c r="P358" s="210"/>
      <c r="Q358" s="210"/>
      <c r="R358" s="210"/>
      <c r="S358" s="210"/>
      <c r="T358" s="210"/>
      <c r="U358" s="210"/>
      <c r="V358" s="210"/>
      <c r="W358" s="210"/>
      <c r="X358" s="210"/>
      <c r="Y358" s="210"/>
      <c r="Z358" s="210"/>
    </row>
    <row r="359" ht="21.75" customHeight="1">
      <c r="A359" s="214"/>
      <c r="B359" s="221"/>
      <c r="C359" s="222">
        <v>100.0</v>
      </c>
      <c r="D359" s="223" t="s">
        <v>486</v>
      </c>
      <c r="E359" s="223" t="s">
        <v>487</v>
      </c>
      <c r="F359" s="223" t="s">
        <v>488</v>
      </c>
      <c r="G359" s="223" t="s">
        <v>489</v>
      </c>
      <c r="H359" s="224" t="s">
        <v>490</v>
      </c>
      <c r="I359" s="208"/>
      <c r="J359" s="210"/>
      <c r="K359" s="210"/>
      <c r="L359" s="210"/>
      <c r="M359" s="210"/>
      <c r="N359" s="210"/>
      <c r="O359" s="210"/>
      <c r="P359" s="210"/>
      <c r="Q359" s="210"/>
      <c r="R359" s="210"/>
      <c r="S359" s="210"/>
      <c r="T359" s="210"/>
      <c r="U359" s="210"/>
      <c r="V359" s="210"/>
      <c r="W359" s="210"/>
      <c r="X359" s="210"/>
      <c r="Y359" s="210"/>
      <c r="Z359" s="210"/>
    </row>
    <row r="360" ht="21.75" customHeight="1">
      <c r="A360" s="214"/>
      <c r="B360" s="221"/>
      <c r="C360" s="222">
        <v>101.0</v>
      </c>
      <c r="D360" s="223" t="s">
        <v>881</v>
      </c>
      <c r="E360" s="223" t="s">
        <v>487</v>
      </c>
      <c r="F360" s="223" t="s">
        <v>492</v>
      </c>
      <c r="G360" s="223" t="s">
        <v>678</v>
      </c>
      <c r="H360" s="225" t="s">
        <v>882</v>
      </c>
      <c r="I360" s="208"/>
      <c r="J360" s="210"/>
      <c r="K360" s="210"/>
      <c r="L360" s="210"/>
      <c r="M360" s="210"/>
      <c r="N360" s="210"/>
      <c r="O360" s="210"/>
      <c r="P360" s="210"/>
      <c r="Q360" s="210"/>
      <c r="R360" s="210"/>
      <c r="S360" s="210"/>
      <c r="T360" s="210"/>
      <c r="U360" s="210"/>
      <c r="V360" s="210"/>
      <c r="W360" s="210"/>
      <c r="X360" s="210"/>
      <c r="Y360" s="210"/>
      <c r="Z360" s="210"/>
    </row>
    <row r="361" ht="21.75" customHeight="1">
      <c r="A361" s="214"/>
      <c r="B361" s="221"/>
      <c r="C361" s="222">
        <v>102.0</v>
      </c>
      <c r="D361" s="223" t="s">
        <v>369</v>
      </c>
      <c r="E361" s="223" t="s">
        <v>487</v>
      </c>
      <c r="F361" s="223" t="s">
        <v>496</v>
      </c>
      <c r="G361" s="223" t="s">
        <v>493</v>
      </c>
      <c r="H361" s="225" t="s">
        <v>883</v>
      </c>
      <c r="I361" s="208"/>
      <c r="J361" s="210"/>
      <c r="K361" s="210"/>
      <c r="L361" s="210"/>
      <c r="M361" s="210"/>
      <c r="N361" s="210"/>
      <c r="O361" s="210"/>
      <c r="P361" s="210"/>
      <c r="Q361" s="210"/>
      <c r="R361" s="210"/>
      <c r="S361" s="210"/>
      <c r="T361" s="210"/>
      <c r="U361" s="210"/>
      <c r="V361" s="210"/>
      <c r="W361" s="210"/>
      <c r="X361" s="210"/>
      <c r="Y361" s="210"/>
      <c r="Z361" s="210"/>
    </row>
    <row r="362" ht="21.75" customHeight="1">
      <c r="A362" s="214"/>
      <c r="B362" s="221"/>
      <c r="C362" s="222">
        <v>103.0</v>
      </c>
      <c r="D362" s="223" t="s">
        <v>884</v>
      </c>
      <c r="E362" s="223" t="s">
        <v>487</v>
      </c>
      <c r="F362" s="223" t="s">
        <v>500</v>
      </c>
      <c r="G362" s="223" t="s">
        <v>497</v>
      </c>
      <c r="H362" s="225" t="s">
        <v>885</v>
      </c>
      <c r="I362" s="208"/>
      <c r="J362" s="210"/>
      <c r="K362" s="210"/>
      <c r="L362" s="210"/>
      <c r="M362" s="210"/>
      <c r="N362" s="210"/>
      <c r="O362" s="210"/>
      <c r="P362" s="210"/>
      <c r="Q362" s="210"/>
      <c r="R362" s="210"/>
      <c r="S362" s="210"/>
      <c r="T362" s="210"/>
      <c r="U362" s="210"/>
      <c r="V362" s="210"/>
      <c r="W362" s="210"/>
      <c r="X362" s="210"/>
      <c r="Y362" s="210"/>
      <c r="Z362" s="210"/>
    </row>
    <row r="363" ht="21.75" customHeight="1">
      <c r="A363" s="214"/>
      <c r="B363" s="221"/>
      <c r="C363" s="222">
        <v>104.0</v>
      </c>
      <c r="D363" s="223" t="s">
        <v>847</v>
      </c>
      <c r="E363" s="223" t="s">
        <v>487</v>
      </c>
      <c r="F363" s="223" t="s">
        <v>512</v>
      </c>
      <c r="G363" s="223" t="s">
        <v>501</v>
      </c>
      <c r="H363" s="224" t="s">
        <v>490</v>
      </c>
      <c r="I363" s="208"/>
      <c r="J363" s="210"/>
      <c r="K363" s="210"/>
      <c r="L363" s="210"/>
      <c r="M363" s="210"/>
      <c r="N363" s="210"/>
      <c r="O363" s="210"/>
      <c r="P363" s="210"/>
      <c r="Q363" s="210"/>
      <c r="R363" s="210"/>
      <c r="S363" s="210"/>
      <c r="T363" s="210"/>
      <c r="U363" s="210"/>
      <c r="V363" s="210"/>
      <c r="W363" s="210"/>
      <c r="X363" s="210"/>
      <c r="Y363" s="210"/>
      <c r="Z363" s="210"/>
    </row>
    <row r="364" ht="21.75" customHeight="1">
      <c r="A364" s="228"/>
      <c r="B364" s="221"/>
      <c r="C364" s="222">
        <v>105.0</v>
      </c>
      <c r="D364" s="223" t="s">
        <v>541</v>
      </c>
      <c r="E364" s="223" t="s">
        <v>508</v>
      </c>
      <c r="F364" s="223" t="s">
        <v>509</v>
      </c>
      <c r="G364" s="223" t="s">
        <v>510</v>
      </c>
      <c r="H364" s="225" t="s">
        <v>886</v>
      </c>
      <c r="I364" s="208"/>
      <c r="J364" s="210"/>
      <c r="K364" s="210"/>
      <c r="L364" s="210"/>
      <c r="M364" s="210"/>
      <c r="N364" s="210"/>
      <c r="O364" s="210"/>
      <c r="P364" s="210"/>
      <c r="Q364" s="210"/>
      <c r="R364" s="210"/>
      <c r="S364" s="210"/>
      <c r="T364" s="210"/>
      <c r="U364" s="210"/>
      <c r="V364" s="210"/>
      <c r="W364" s="210"/>
      <c r="X364" s="210"/>
      <c r="Y364" s="210"/>
      <c r="Z364" s="210"/>
    </row>
    <row r="365" ht="21.75" customHeight="1">
      <c r="A365" s="214">
        <v>151.0</v>
      </c>
      <c r="B365" s="215" t="s">
        <v>887</v>
      </c>
      <c r="C365" s="216"/>
      <c r="D365" s="217"/>
      <c r="E365" s="217"/>
      <c r="F365" s="217"/>
      <c r="G365" s="217"/>
      <c r="H365" s="217"/>
      <c r="I365" s="208"/>
      <c r="J365" s="210"/>
      <c r="K365" s="210"/>
      <c r="L365" s="210"/>
      <c r="M365" s="210"/>
      <c r="N365" s="210"/>
      <c r="O365" s="210"/>
      <c r="P365" s="210"/>
      <c r="Q365" s="210"/>
      <c r="R365" s="210"/>
      <c r="S365" s="210"/>
      <c r="T365" s="210"/>
      <c r="U365" s="210"/>
      <c r="V365" s="210"/>
      <c r="W365" s="210"/>
      <c r="X365" s="210"/>
      <c r="Y365" s="210"/>
      <c r="Z365" s="210"/>
    </row>
    <row r="366" ht="21.75" customHeight="1">
      <c r="A366" s="214"/>
      <c r="B366" s="218" t="s">
        <v>888</v>
      </c>
      <c r="C366" s="219">
        <v>50418.0</v>
      </c>
      <c r="D366" s="220"/>
      <c r="E366" s="220"/>
      <c r="F366" s="220"/>
      <c r="G366" s="220"/>
      <c r="H366" s="220"/>
      <c r="I366" s="208"/>
      <c r="J366" s="210"/>
      <c r="K366" s="210"/>
      <c r="L366" s="210"/>
      <c r="M366" s="210"/>
      <c r="N366" s="210"/>
      <c r="O366" s="210"/>
      <c r="P366" s="210"/>
      <c r="Q366" s="210"/>
      <c r="R366" s="210"/>
      <c r="S366" s="210"/>
      <c r="T366" s="210"/>
      <c r="U366" s="210"/>
      <c r="V366" s="210"/>
      <c r="W366" s="210"/>
      <c r="X366" s="210"/>
      <c r="Y366" s="210"/>
      <c r="Z366" s="210"/>
    </row>
    <row r="367" ht="21.75" customHeight="1">
      <c r="A367" s="214"/>
      <c r="B367" s="221"/>
      <c r="C367" s="222">
        <v>100.0</v>
      </c>
      <c r="D367" s="223" t="s">
        <v>486</v>
      </c>
      <c r="E367" s="223" t="s">
        <v>487</v>
      </c>
      <c r="F367" s="223" t="s">
        <v>488</v>
      </c>
      <c r="G367" s="223" t="s">
        <v>489</v>
      </c>
      <c r="H367" s="224" t="s">
        <v>490</v>
      </c>
      <c r="I367" s="208"/>
      <c r="J367" s="210"/>
      <c r="K367" s="210"/>
      <c r="L367" s="210"/>
      <c r="M367" s="210"/>
      <c r="N367" s="210"/>
      <c r="O367" s="210"/>
      <c r="P367" s="210"/>
      <c r="Q367" s="210"/>
      <c r="R367" s="210"/>
      <c r="S367" s="210"/>
      <c r="T367" s="210"/>
      <c r="U367" s="210"/>
      <c r="V367" s="210"/>
      <c r="W367" s="210"/>
      <c r="X367" s="210"/>
      <c r="Y367" s="210"/>
      <c r="Z367" s="210"/>
    </row>
    <row r="368" ht="21.75" customHeight="1">
      <c r="A368" s="214"/>
      <c r="B368" s="221"/>
      <c r="C368" s="222">
        <v>101.0</v>
      </c>
      <c r="D368" s="223" t="s">
        <v>491</v>
      </c>
      <c r="E368" s="223" t="s">
        <v>487</v>
      </c>
      <c r="F368" s="223" t="s">
        <v>492</v>
      </c>
      <c r="G368" s="223" t="s">
        <v>678</v>
      </c>
      <c r="H368" s="225" t="s">
        <v>889</v>
      </c>
      <c r="I368" s="208"/>
      <c r="J368" s="210"/>
      <c r="K368" s="210"/>
      <c r="L368" s="210"/>
      <c r="M368" s="210"/>
      <c r="N368" s="210"/>
      <c r="O368" s="210"/>
      <c r="P368" s="210"/>
      <c r="Q368" s="210"/>
      <c r="R368" s="210"/>
      <c r="S368" s="210"/>
      <c r="T368" s="210"/>
      <c r="U368" s="210"/>
      <c r="V368" s="210"/>
      <c r="W368" s="210"/>
      <c r="X368" s="210"/>
      <c r="Y368" s="210"/>
      <c r="Z368" s="210"/>
    </row>
    <row r="369" ht="21.75" customHeight="1">
      <c r="A369" s="214"/>
      <c r="B369" s="221"/>
      <c r="C369" s="222">
        <v>102.0</v>
      </c>
      <c r="D369" s="223" t="s">
        <v>777</v>
      </c>
      <c r="E369" s="223" t="s">
        <v>487</v>
      </c>
      <c r="F369" s="223" t="s">
        <v>496</v>
      </c>
      <c r="G369" s="223" t="s">
        <v>497</v>
      </c>
      <c r="H369" s="224" t="s">
        <v>490</v>
      </c>
      <c r="I369" s="208"/>
      <c r="J369" s="210"/>
      <c r="K369" s="210"/>
      <c r="L369" s="210"/>
      <c r="M369" s="210"/>
      <c r="N369" s="210"/>
      <c r="O369" s="210"/>
      <c r="P369" s="210"/>
      <c r="Q369" s="210"/>
      <c r="R369" s="210"/>
      <c r="S369" s="210"/>
      <c r="T369" s="210"/>
      <c r="U369" s="210"/>
      <c r="V369" s="210"/>
      <c r="W369" s="210"/>
      <c r="X369" s="210"/>
      <c r="Y369" s="210"/>
      <c r="Z369" s="210"/>
    </row>
    <row r="370" ht="21.75" customHeight="1">
      <c r="A370" s="214"/>
      <c r="B370" s="221"/>
      <c r="C370" s="222">
        <v>103.0</v>
      </c>
      <c r="D370" s="223" t="s">
        <v>516</v>
      </c>
      <c r="E370" s="223" t="s">
        <v>487</v>
      </c>
      <c r="F370" s="223" t="s">
        <v>500</v>
      </c>
      <c r="G370" s="223" t="s">
        <v>501</v>
      </c>
      <c r="H370" s="225" t="s">
        <v>890</v>
      </c>
      <c r="I370" s="208"/>
      <c r="J370" s="210"/>
      <c r="K370" s="210"/>
      <c r="L370" s="210"/>
      <c r="M370" s="210"/>
      <c r="N370" s="210"/>
      <c r="O370" s="210"/>
      <c r="P370" s="210"/>
      <c r="Q370" s="210"/>
      <c r="R370" s="210"/>
      <c r="S370" s="210"/>
      <c r="T370" s="210"/>
      <c r="U370" s="210"/>
      <c r="V370" s="210"/>
      <c r="W370" s="210"/>
      <c r="X370" s="210"/>
      <c r="Y370" s="210"/>
      <c r="Z370" s="210"/>
    </row>
    <row r="371" ht="21.75" customHeight="1">
      <c r="A371" s="228"/>
      <c r="B371" s="221"/>
      <c r="C371" s="222">
        <v>104.0</v>
      </c>
      <c r="D371" s="223" t="s">
        <v>507</v>
      </c>
      <c r="E371" s="223" t="s">
        <v>508</v>
      </c>
      <c r="F371" s="223" t="s">
        <v>509</v>
      </c>
      <c r="G371" s="223" t="s">
        <v>510</v>
      </c>
      <c r="H371" s="225" t="s">
        <v>891</v>
      </c>
      <c r="I371" s="208"/>
      <c r="J371" s="210"/>
      <c r="K371" s="210"/>
      <c r="L371" s="210"/>
      <c r="M371" s="210"/>
      <c r="N371" s="210"/>
      <c r="O371" s="210"/>
      <c r="P371" s="210"/>
      <c r="Q371" s="210"/>
      <c r="R371" s="210"/>
      <c r="S371" s="210"/>
      <c r="T371" s="210"/>
      <c r="U371" s="210"/>
      <c r="V371" s="210"/>
      <c r="W371" s="210"/>
      <c r="X371" s="210"/>
      <c r="Y371" s="210"/>
      <c r="Z371" s="210"/>
    </row>
    <row r="372" ht="21.75" customHeight="1">
      <c r="A372" s="214">
        <v>16.0</v>
      </c>
      <c r="B372" s="215" t="s">
        <v>892</v>
      </c>
      <c r="C372" s="216"/>
      <c r="D372" s="217"/>
      <c r="E372" s="217"/>
      <c r="F372" s="217"/>
      <c r="G372" s="217"/>
      <c r="H372" s="217"/>
      <c r="I372" s="208"/>
      <c r="J372" s="210"/>
      <c r="K372" s="210"/>
      <c r="L372" s="210"/>
      <c r="M372" s="210"/>
      <c r="N372" s="210"/>
      <c r="O372" s="210"/>
      <c r="P372" s="210"/>
      <c r="Q372" s="210"/>
      <c r="R372" s="210"/>
      <c r="S372" s="210"/>
      <c r="T372" s="210"/>
      <c r="U372" s="210"/>
      <c r="V372" s="210"/>
      <c r="W372" s="210"/>
      <c r="X372" s="210"/>
      <c r="Y372" s="210"/>
      <c r="Z372" s="210"/>
    </row>
    <row r="373" ht="21.75" customHeight="1">
      <c r="A373" s="214"/>
      <c r="B373" s="218" t="s">
        <v>893</v>
      </c>
      <c r="C373" s="219">
        <v>50556.0</v>
      </c>
      <c r="D373" s="220"/>
      <c r="E373" s="220"/>
      <c r="F373" s="220"/>
      <c r="G373" s="220"/>
      <c r="H373" s="220"/>
      <c r="I373" s="208"/>
      <c r="J373" s="210"/>
      <c r="K373" s="210"/>
      <c r="L373" s="210"/>
      <c r="M373" s="210"/>
      <c r="N373" s="210"/>
      <c r="O373" s="210"/>
      <c r="P373" s="210"/>
      <c r="Q373" s="210"/>
      <c r="R373" s="210"/>
      <c r="S373" s="210"/>
      <c r="T373" s="210"/>
      <c r="U373" s="210"/>
      <c r="V373" s="210"/>
      <c r="W373" s="210"/>
      <c r="X373" s="210"/>
      <c r="Y373" s="210"/>
      <c r="Z373" s="210"/>
    </row>
    <row r="374" ht="21.75" customHeight="1">
      <c r="A374" s="214"/>
      <c r="B374" s="221"/>
      <c r="C374" s="222">
        <v>100.0</v>
      </c>
      <c r="D374" s="223" t="s">
        <v>486</v>
      </c>
      <c r="E374" s="223" t="s">
        <v>487</v>
      </c>
      <c r="F374" s="223" t="s">
        <v>488</v>
      </c>
      <c r="G374" s="223" t="s">
        <v>489</v>
      </c>
      <c r="H374" s="224" t="s">
        <v>490</v>
      </c>
      <c r="I374" s="208"/>
      <c r="J374" s="210"/>
      <c r="K374" s="210"/>
      <c r="L374" s="210"/>
      <c r="M374" s="210"/>
      <c r="N374" s="210"/>
      <c r="O374" s="210"/>
      <c r="P374" s="210"/>
      <c r="Q374" s="210"/>
      <c r="R374" s="210"/>
      <c r="S374" s="210"/>
      <c r="T374" s="210"/>
      <c r="U374" s="210"/>
      <c r="V374" s="210"/>
      <c r="W374" s="210"/>
      <c r="X374" s="210"/>
      <c r="Y374" s="210"/>
      <c r="Z374" s="210"/>
    </row>
    <row r="375" ht="21.75" customHeight="1">
      <c r="A375" s="214"/>
      <c r="B375" s="221"/>
      <c r="C375" s="222">
        <v>101.0</v>
      </c>
      <c r="D375" s="223" t="s">
        <v>894</v>
      </c>
      <c r="E375" s="223" t="s">
        <v>487</v>
      </c>
      <c r="F375" s="223" t="s">
        <v>492</v>
      </c>
      <c r="G375" s="223" t="s">
        <v>678</v>
      </c>
      <c r="H375" s="225" t="s">
        <v>895</v>
      </c>
      <c r="I375" s="208"/>
      <c r="J375" s="210"/>
      <c r="K375" s="210"/>
      <c r="L375" s="210"/>
      <c r="M375" s="210"/>
      <c r="N375" s="210"/>
      <c r="O375" s="210"/>
      <c r="P375" s="210"/>
      <c r="Q375" s="210"/>
      <c r="R375" s="210"/>
      <c r="S375" s="210"/>
      <c r="T375" s="210"/>
      <c r="U375" s="210"/>
      <c r="V375" s="210"/>
      <c r="W375" s="210"/>
      <c r="X375" s="210"/>
      <c r="Y375" s="210"/>
      <c r="Z375" s="210"/>
    </row>
    <row r="376" ht="21.75" customHeight="1">
      <c r="A376" s="214"/>
      <c r="B376" s="221"/>
      <c r="C376" s="222">
        <v>102.0</v>
      </c>
      <c r="D376" s="223" t="s">
        <v>896</v>
      </c>
      <c r="E376" s="223" t="s">
        <v>487</v>
      </c>
      <c r="F376" s="223" t="s">
        <v>496</v>
      </c>
      <c r="G376" s="223" t="s">
        <v>497</v>
      </c>
      <c r="H376" s="224" t="s">
        <v>490</v>
      </c>
      <c r="I376" s="208"/>
      <c r="J376" s="210"/>
      <c r="K376" s="210"/>
      <c r="L376" s="210"/>
      <c r="M376" s="210"/>
      <c r="N376" s="210"/>
      <c r="O376" s="210"/>
      <c r="P376" s="210"/>
      <c r="Q376" s="210"/>
      <c r="R376" s="210"/>
      <c r="S376" s="210"/>
      <c r="T376" s="210"/>
      <c r="U376" s="210"/>
      <c r="V376" s="210"/>
      <c r="W376" s="210"/>
      <c r="X376" s="210"/>
      <c r="Y376" s="210"/>
      <c r="Z376" s="210"/>
    </row>
    <row r="377" ht="21.75" customHeight="1">
      <c r="A377" s="214"/>
      <c r="B377" s="221"/>
      <c r="C377" s="222">
        <v>103.0</v>
      </c>
      <c r="D377" s="223" t="s">
        <v>837</v>
      </c>
      <c r="E377" s="223" t="s">
        <v>487</v>
      </c>
      <c r="F377" s="223" t="s">
        <v>826</v>
      </c>
      <c r="G377" s="223" t="s">
        <v>501</v>
      </c>
      <c r="H377" s="224" t="s">
        <v>490</v>
      </c>
      <c r="I377" s="208"/>
      <c r="J377" s="210"/>
      <c r="K377" s="210"/>
      <c r="L377" s="210"/>
      <c r="M377" s="210"/>
      <c r="N377" s="210"/>
      <c r="O377" s="210"/>
      <c r="P377" s="210"/>
      <c r="Q377" s="210"/>
      <c r="R377" s="210"/>
      <c r="S377" s="210"/>
      <c r="T377" s="210"/>
      <c r="U377" s="210"/>
      <c r="V377" s="210"/>
      <c r="W377" s="210"/>
      <c r="X377" s="210"/>
      <c r="Y377" s="210"/>
      <c r="Z377" s="210"/>
    </row>
    <row r="378" ht="21.75" customHeight="1">
      <c r="A378" s="228"/>
      <c r="B378" s="221"/>
      <c r="C378" s="222">
        <v>104.0</v>
      </c>
      <c r="D378" s="223" t="s">
        <v>541</v>
      </c>
      <c r="E378" s="223" t="s">
        <v>508</v>
      </c>
      <c r="F378" s="223" t="s">
        <v>509</v>
      </c>
      <c r="G378" s="223" t="s">
        <v>510</v>
      </c>
      <c r="H378" s="225" t="s">
        <v>897</v>
      </c>
      <c r="I378" s="208"/>
      <c r="J378" s="210"/>
      <c r="K378" s="210"/>
      <c r="L378" s="210"/>
      <c r="M378" s="210"/>
      <c r="N378" s="210"/>
      <c r="O378" s="210"/>
      <c r="P378" s="210"/>
      <c r="Q378" s="210"/>
      <c r="R378" s="210"/>
      <c r="S378" s="210"/>
      <c r="T378" s="210"/>
      <c r="U378" s="210"/>
      <c r="V378" s="210"/>
      <c r="W378" s="210"/>
      <c r="X378" s="210"/>
      <c r="Y378" s="210"/>
      <c r="Z378" s="210"/>
    </row>
    <row r="379" ht="21.75" customHeight="1">
      <c r="A379" s="214">
        <v>161.0</v>
      </c>
      <c r="B379" s="215" t="s">
        <v>898</v>
      </c>
      <c r="C379" s="216"/>
      <c r="D379" s="217"/>
      <c r="E379" s="217"/>
      <c r="F379" s="217"/>
      <c r="G379" s="217"/>
      <c r="H379" s="217"/>
      <c r="I379" s="208"/>
      <c r="J379" s="210"/>
      <c r="K379" s="210"/>
      <c r="L379" s="210"/>
      <c r="M379" s="210"/>
      <c r="N379" s="210"/>
      <c r="O379" s="210"/>
      <c r="P379" s="210"/>
      <c r="Q379" s="210"/>
      <c r="R379" s="210"/>
      <c r="S379" s="210"/>
      <c r="T379" s="210"/>
      <c r="U379" s="210"/>
      <c r="V379" s="210"/>
      <c r="W379" s="210"/>
      <c r="X379" s="210"/>
      <c r="Y379" s="210"/>
      <c r="Z379" s="210"/>
    </row>
    <row r="380" ht="21.75" customHeight="1">
      <c r="A380" s="214"/>
      <c r="B380" s="218" t="s">
        <v>899</v>
      </c>
      <c r="C380" s="219">
        <v>50902.0</v>
      </c>
      <c r="D380" s="220"/>
      <c r="E380" s="220"/>
      <c r="F380" s="220"/>
      <c r="G380" s="220"/>
      <c r="H380" s="220"/>
      <c r="I380" s="208"/>
      <c r="J380" s="210"/>
      <c r="K380" s="210"/>
      <c r="L380" s="210"/>
      <c r="M380" s="210"/>
      <c r="N380" s="210"/>
      <c r="O380" s="210"/>
      <c r="P380" s="210"/>
      <c r="Q380" s="210"/>
      <c r="R380" s="210"/>
      <c r="S380" s="210"/>
      <c r="T380" s="210"/>
      <c r="U380" s="210"/>
      <c r="V380" s="210"/>
      <c r="W380" s="210"/>
      <c r="X380" s="210"/>
      <c r="Y380" s="210"/>
      <c r="Z380" s="210"/>
    </row>
    <row r="381" ht="21.75" customHeight="1">
      <c r="A381" s="214"/>
      <c r="B381" s="221"/>
      <c r="C381" s="222">
        <v>100.0</v>
      </c>
      <c r="D381" s="223" t="s">
        <v>486</v>
      </c>
      <c r="E381" s="223" t="s">
        <v>487</v>
      </c>
      <c r="F381" s="223" t="s">
        <v>488</v>
      </c>
      <c r="G381" s="223" t="s">
        <v>489</v>
      </c>
      <c r="H381" s="224" t="s">
        <v>490</v>
      </c>
      <c r="I381" s="208"/>
      <c r="J381" s="210"/>
      <c r="K381" s="210"/>
      <c r="L381" s="210"/>
      <c r="M381" s="210"/>
      <c r="N381" s="210"/>
      <c r="O381" s="210"/>
      <c r="P381" s="210"/>
      <c r="Q381" s="210"/>
      <c r="R381" s="210"/>
      <c r="S381" s="210"/>
      <c r="T381" s="210"/>
      <c r="U381" s="210"/>
      <c r="V381" s="210"/>
      <c r="W381" s="210"/>
      <c r="X381" s="210"/>
      <c r="Y381" s="210"/>
      <c r="Z381" s="210"/>
    </row>
    <row r="382" ht="21.75" customHeight="1">
      <c r="A382" s="214"/>
      <c r="B382" s="221"/>
      <c r="C382" s="222">
        <v>101.0</v>
      </c>
      <c r="D382" s="223" t="s">
        <v>900</v>
      </c>
      <c r="E382" s="223" t="s">
        <v>487</v>
      </c>
      <c r="F382" s="223" t="s">
        <v>492</v>
      </c>
      <c r="G382" s="223" t="s">
        <v>497</v>
      </c>
      <c r="H382" s="225" t="s">
        <v>901</v>
      </c>
      <c r="I382" s="208"/>
      <c r="J382" s="210"/>
      <c r="K382" s="210"/>
      <c r="L382" s="210"/>
      <c r="M382" s="210"/>
      <c r="N382" s="210"/>
      <c r="O382" s="210"/>
      <c r="P382" s="210"/>
      <c r="Q382" s="210"/>
      <c r="R382" s="210"/>
      <c r="S382" s="210"/>
      <c r="T382" s="210"/>
      <c r="U382" s="210"/>
      <c r="V382" s="210"/>
      <c r="W382" s="210"/>
      <c r="X382" s="210"/>
      <c r="Y382" s="210"/>
      <c r="Z382" s="210"/>
    </row>
    <row r="383" ht="21.75" customHeight="1">
      <c r="A383" s="214"/>
      <c r="B383" s="221"/>
      <c r="C383" s="222">
        <v>102.0</v>
      </c>
      <c r="D383" s="223" t="s">
        <v>902</v>
      </c>
      <c r="E383" s="223" t="s">
        <v>487</v>
      </c>
      <c r="F383" s="223" t="s">
        <v>496</v>
      </c>
      <c r="G383" s="223" t="s">
        <v>501</v>
      </c>
      <c r="H383" s="225" t="s">
        <v>903</v>
      </c>
      <c r="I383" s="208"/>
      <c r="J383" s="210"/>
      <c r="K383" s="210"/>
      <c r="L383" s="210"/>
      <c r="M383" s="210"/>
      <c r="N383" s="210"/>
      <c r="O383" s="210"/>
      <c r="P383" s="210"/>
      <c r="Q383" s="210"/>
      <c r="R383" s="210"/>
      <c r="S383" s="210"/>
      <c r="T383" s="210"/>
      <c r="U383" s="210"/>
      <c r="V383" s="210"/>
      <c r="W383" s="210"/>
      <c r="X383" s="210"/>
      <c r="Y383" s="210"/>
      <c r="Z383" s="210"/>
    </row>
    <row r="384" ht="21.75" customHeight="1">
      <c r="A384" s="228"/>
      <c r="B384" s="221"/>
      <c r="C384" s="222">
        <v>103.0</v>
      </c>
      <c r="D384" s="223" t="s">
        <v>904</v>
      </c>
      <c r="E384" s="223" t="s">
        <v>508</v>
      </c>
      <c r="F384" s="223" t="s">
        <v>509</v>
      </c>
      <c r="G384" s="223" t="s">
        <v>510</v>
      </c>
      <c r="H384" s="225" t="s">
        <v>905</v>
      </c>
      <c r="I384" s="208"/>
      <c r="J384" s="210"/>
      <c r="K384" s="210"/>
      <c r="L384" s="210"/>
      <c r="M384" s="210"/>
      <c r="N384" s="210"/>
      <c r="O384" s="210"/>
      <c r="P384" s="210"/>
      <c r="Q384" s="210"/>
      <c r="R384" s="210"/>
      <c r="S384" s="210"/>
      <c r="T384" s="210"/>
      <c r="U384" s="210"/>
      <c r="V384" s="210"/>
      <c r="W384" s="210"/>
      <c r="X384" s="210"/>
      <c r="Y384" s="210"/>
      <c r="Z384" s="210"/>
    </row>
    <row r="385" ht="21.75" customHeight="1">
      <c r="A385" s="214">
        <v>168.0</v>
      </c>
      <c r="B385" s="215" t="s">
        <v>906</v>
      </c>
      <c r="C385" s="216"/>
      <c r="D385" s="217"/>
      <c r="E385" s="217"/>
      <c r="F385" s="217"/>
      <c r="G385" s="217"/>
      <c r="H385" s="217"/>
      <c r="I385" s="208"/>
      <c r="J385" s="210"/>
      <c r="K385" s="210"/>
      <c r="L385" s="210"/>
      <c r="M385" s="210"/>
      <c r="N385" s="210"/>
      <c r="O385" s="210"/>
      <c r="P385" s="210"/>
      <c r="Q385" s="210"/>
      <c r="R385" s="210"/>
      <c r="S385" s="210"/>
      <c r="T385" s="210"/>
      <c r="U385" s="210"/>
      <c r="V385" s="210"/>
      <c r="W385" s="210"/>
      <c r="X385" s="210"/>
      <c r="Y385" s="210"/>
      <c r="Z385" s="210"/>
    </row>
    <row r="386" ht="21.75" customHeight="1">
      <c r="A386" s="214"/>
      <c r="B386" s="218" t="s">
        <v>907</v>
      </c>
      <c r="C386" s="219">
        <v>50518.0</v>
      </c>
      <c r="D386" s="220"/>
      <c r="E386" s="220"/>
      <c r="F386" s="220"/>
      <c r="G386" s="220"/>
      <c r="H386" s="220"/>
      <c r="I386" s="208"/>
      <c r="J386" s="210"/>
      <c r="K386" s="210"/>
      <c r="L386" s="210"/>
      <c r="M386" s="210"/>
      <c r="N386" s="210"/>
      <c r="O386" s="210"/>
      <c r="P386" s="210"/>
      <c r="Q386" s="210"/>
      <c r="R386" s="210"/>
      <c r="S386" s="210"/>
      <c r="T386" s="210"/>
      <c r="U386" s="210"/>
      <c r="V386" s="210"/>
      <c r="W386" s="210"/>
      <c r="X386" s="210"/>
      <c r="Y386" s="210"/>
      <c r="Z386" s="210"/>
    </row>
    <row r="387" ht="21.75" customHeight="1">
      <c r="A387" s="214"/>
      <c r="B387" s="221"/>
      <c r="C387" s="222">
        <v>100.0</v>
      </c>
      <c r="D387" s="223" t="s">
        <v>486</v>
      </c>
      <c r="E387" s="223" t="s">
        <v>487</v>
      </c>
      <c r="F387" s="223" t="s">
        <v>488</v>
      </c>
      <c r="G387" s="223" t="s">
        <v>489</v>
      </c>
      <c r="H387" s="224" t="s">
        <v>490</v>
      </c>
      <c r="I387" s="208"/>
      <c r="J387" s="210"/>
      <c r="K387" s="210"/>
      <c r="L387" s="210"/>
      <c r="M387" s="210"/>
      <c r="N387" s="210"/>
      <c r="O387" s="210"/>
      <c r="P387" s="210"/>
      <c r="Q387" s="210"/>
      <c r="R387" s="210"/>
      <c r="S387" s="210"/>
      <c r="T387" s="210"/>
      <c r="U387" s="210"/>
      <c r="V387" s="210"/>
      <c r="W387" s="210"/>
      <c r="X387" s="210"/>
      <c r="Y387" s="210"/>
      <c r="Z387" s="210"/>
    </row>
    <row r="388" ht="21.75" customHeight="1">
      <c r="A388" s="214"/>
      <c r="B388" s="221"/>
      <c r="C388" s="222">
        <v>101.0</v>
      </c>
      <c r="D388" s="223" t="s">
        <v>723</v>
      </c>
      <c r="E388" s="223" t="s">
        <v>487</v>
      </c>
      <c r="F388" s="223" t="s">
        <v>492</v>
      </c>
      <c r="G388" s="223" t="s">
        <v>678</v>
      </c>
      <c r="H388" s="225" t="s">
        <v>908</v>
      </c>
      <c r="I388" s="208"/>
      <c r="J388" s="210"/>
      <c r="K388" s="210"/>
      <c r="L388" s="210"/>
      <c r="M388" s="210"/>
      <c r="N388" s="210"/>
      <c r="O388" s="210"/>
      <c r="P388" s="210"/>
      <c r="Q388" s="210"/>
      <c r="R388" s="210"/>
      <c r="S388" s="210"/>
      <c r="T388" s="210"/>
      <c r="U388" s="210"/>
      <c r="V388" s="210"/>
      <c r="W388" s="210"/>
      <c r="X388" s="210"/>
      <c r="Y388" s="210"/>
      <c r="Z388" s="210"/>
    </row>
    <row r="389" ht="21.75" customHeight="1">
      <c r="A389" s="214"/>
      <c r="B389" s="221"/>
      <c r="C389" s="222">
        <v>102.0</v>
      </c>
      <c r="D389" s="223" t="s">
        <v>884</v>
      </c>
      <c r="E389" s="223" t="s">
        <v>487</v>
      </c>
      <c r="F389" s="223" t="s">
        <v>496</v>
      </c>
      <c r="G389" s="223" t="s">
        <v>497</v>
      </c>
      <c r="H389" s="225" t="s">
        <v>909</v>
      </c>
      <c r="I389" s="208"/>
      <c r="J389" s="210"/>
      <c r="K389" s="210"/>
      <c r="L389" s="210"/>
      <c r="M389" s="210"/>
      <c r="N389" s="210"/>
      <c r="O389" s="210"/>
      <c r="P389" s="210"/>
      <c r="Q389" s="210"/>
      <c r="R389" s="210"/>
      <c r="S389" s="210"/>
      <c r="T389" s="210"/>
      <c r="U389" s="210"/>
      <c r="V389" s="210"/>
      <c r="W389" s="210"/>
      <c r="X389" s="210"/>
      <c r="Y389" s="210"/>
      <c r="Z389" s="210"/>
    </row>
    <row r="390" ht="21.75" customHeight="1">
      <c r="A390" s="214"/>
      <c r="B390" s="221"/>
      <c r="C390" s="222">
        <v>103.0</v>
      </c>
      <c r="D390" s="223" t="s">
        <v>910</v>
      </c>
      <c r="E390" s="223" t="s">
        <v>487</v>
      </c>
      <c r="F390" s="223" t="s">
        <v>500</v>
      </c>
      <c r="G390" s="223" t="s">
        <v>501</v>
      </c>
      <c r="H390" s="225" t="s">
        <v>911</v>
      </c>
      <c r="I390" s="208"/>
      <c r="J390" s="210"/>
      <c r="K390" s="210"/>
      <c r="L390" s="210"/>
      <c r="M390" s="210"/>
      <c r="N390" s="210"/>
      <c r="O390" s="210"/>
      <c r="P390" s="210"/>
      <c r="Q390" s="210"/>
      <c r="R390" s="210"/>
      <c r="S390" s="210"/>
      <c r="T390" s="210"/>
      <c r="U390" s="210"/>
      <c r="V390" s="210"/>
      <c r="W390" s="210"/>
      <c r="X390" s="210"/>
      <c r="Y390" s="210"/>
      <c r="Z390" s="210"/>
    </row>
    <row r="391" ht="21.75" customHeight="1">
      <c r="A391" s="214"/>
      <c r="B391" s="221"/>
      <c r="C391" s="222">
        <v>104.0</v>
      </c>
      <c r="D391" s="223" t="s">
        <v>912</v>
      </c>
      <c r="E391" s="223" t="s">
        <v>487</v>
      </c>
      <c r="F391" s="223" t="s">
        <v>512</v>
      </c>
      <c r="G391" s="223" t="s">
        <v>493</v>
      </c>
      <c r="H391" s="225" t="s">
        <v>913</v>
      </c>
      <c r="I391" s="208"/>
      <c r="J391" s="210"/>
      <c r="K391" s="210"/>
      <c r="L391" s="210"/>
      <c r="M391" s="210"/>
      <c r="N391" s="210"/>
      <c r="O391" s="210"/>
      <c r="P391" s="210"/>
      <c r="Q391" s="210"/>
      <c r="R391" s="210"/>
      <c r="S391" s="210"/>
      <c r="T391" s="210"/>
      <c r="U391" s="210"/>
      <c r="V391" s="210"/>
      <c r="W391" s="210"/>
      <c r="X391" s="210"/>
      <c r="Y391" s="210"/>
      <c r="Z391" s="210"/>
    </row>
    <row r="392" ht="21.75" customHeight="1">
      <c r="A392" s="214"/>
      <c r="B392" s="217"/>
      <c r="C392" s="222">
        <v>105.0</v>
      </c>
      <c r="D392" s="215" t="s">
        <v>376</v>
      </c>
      <c r="E392" s="215" t="s">
        <v>508</v>
      </c>
      <c r="F392" s="215" t="s">
        <v>509</v>
      </c>
      <c r="G392" s="215" t="s">
        <v>510</v>
      </c>
      <c r="H392" s="225" t="s">
        <v>914</v>
      </c>
      <c r="I392" s="208"/>
      <c r="J392" s="210"/>
      <c r="K392" s="210"/>
      <c r="L392" s="210"/>
      <c r="M392" s="210"/>
      <c r="N392" s="210"/>
      <c r="O392" s="210"/>
      <c r="P392" s="210"/>
      <c r="Q392" s="210"/>
      <c r="R392" s="210"/>
      <c r="S392" s="210"/>
      <c r="T392" s="210"/>
      <c r="U392" s="210"/>
      <c r="V392" s="210"/>
      <c r="W392" s="210"/>
      <c r="X392" s="210"/>
      <c r="Y392" s="210"/>
      <c r="Z392" s="210"/>
    </row>
    <row r="393" ht="21.75" customHeight="1">
      <c r="A393" s="214"/>
      <c r="B393" s="218" t="s">
        <v>915</v>
      </c>
      <c r="C393" s="226">
        <v>50517.0</v>
      </c>
      <c r="D393" s="220"/>
      <c r="E393" s="220"/>
      <c r="F393" s="220"/>
      <c r="G393" s="220"/>
      <c r="H393" s="221"/>
      <c r="I393" s="208"/>
      <c r="J393" s="210"/>
      <c r="K393" s="210"/>
      <c r="L393" s="210"/>
      <c r="M393" s="210"/>
      <c r="N393" s="210"/>
      <c r="O393" s="210"/>
      <c r="P393" s="210"/>
      <c r="Q393" s="210"/>
      <c r="R393" s="210"/>
      <c r="S393" s="210"/>
      <c r="T393" s="210"/>
      <c r="U393" s="210"/>
      <c r="V393" s="210"/>
      <c r="W393" s="210"/>
      <c r="X393" s="210"/>
      <c r="Y393" s="210"/>
      <c r="Z393" s="210"/>
    </row>
    <row r="394" ht="21.75" customHeight="1">
      <c r="A394" s="214"/>
      <c r="B394" s="221"/>
      <c r="C394" s="222">
        <v>100.0</v>
      </c>
      <c r="D394" s="223" t="s">
        <v>486</v>
      </c>
      <c r="E394" s="223" t="s">
        <v>487</v>
      </c>
      <c r="F394" s="223" t="s">
        <v>488</v>
      </c>
      <c r="G394" s="223" t="s">
        <v>489</v>
      </c>
      <c r="H394" s="224" t="s">
        <v>490</v>
      </c>
      <c r="I394" s="208"/>
      <c r="J394" s="210"/>
      <c r="K394" s="210"/>
      <c r="L394" s="210"/>
      <c r="M394" s="210"/>
      <c r="N394" s="210"/>
      <c r="O394" s="210"/>
      <c r="P394" s="210"/>
      <c r="Q394" s="210"/>
      <c r="R394" s="210"/>
      <c r="S394" s="210"/>
      <c r="T394" s="210"/>
      <c r="U394" s="210"/>
      <c r="V394" s="210"/>
      <c r="W394" s="210"/>
      <c r="X394" s="210"/>
      <c r="Y394" s="210"/>
      <c r="Z394" s="210"/>
    </row>
    <row r="395" ht="21.75" customHeight="1">
      <c r="A395" s="214"/>
      <c r="B395" s="221"/>
      <c r="C395" s="222">
        <v>101.0</v>
      </c>
      <c r="D395" s="223" t="s">
        <v>723</v>
      </c>
      <c r="E395" s="223" t="s">
        <v>487</v>
      </c>
      <c r="F395" s="223" t="s">
        <v>492</v>
      </c>
      <c r="G395" s="223" t="s">
        <v>678</v>
      </c>
      <c r="H395" s="225" t="s">
        <v>916</v>
      </c>
      <c r="I395" s="208"/>
      <c r="J395" s="210"/>
      <c r="K395" s="210"/>
      <c r="L395" s="210"/>
      <c r="M395" s="210"/>
      <c r="N395" s="210"/>
      <c r="O395" s="210"/>
      <c r="P395" s="210"/>
      <c r="Q395" s="210"/>
      <c r="R395" s="210"/>
      <c r="S395" s="210"/>
      <c r="T395" s="210"/>
      <c r="U395" s="210"/>
      <c r="V395" s="210"/>
      <c r="W395" s="210"/>
      <c r="X395" s="210"/>
      <c r="Y395" s="210"/>
      <c r="Z395" s="210"/>
    </row>
    <row r="396" ht="21.75" customHeight="1">
      <c r="A396" s="214"/>
      <c r="B396" s="221"/>
      <c r="C396" s="222">
        <v>102.0</v>
      </c>
      <c r="D396" s="223" t="s">
        <v>884</v>
      </c>
      <c r="E396" s="223" t="s">
        <v>487</v>
      </c>
      <c r="F396" s="223" t="s">
        <v>496</v>
      </c>
      <c r="G396" s="223" t="s">
        <v>497</v>
      </c>
      <c r="H396" s="225" t="s">
        <v>917</v>
      </c>
      <c r="I396" s="208"/>
      <c r="J396" s="210"/>
      <c r="K396" s="210"/>
      <c r="L396" s="210"/>
      <c r="M396" s="210"/>
      <c r="N396" s="210"/>
      <c r="O396" s="210"/>
      <c r="P396" s="210"/>
      <c r="Q396" s="210"/>
      <c r="R396" s="210"/>
      <c r="S396" s="210"/>
      <c r="T396" s="210"/>
      <c r="U396" s="210"/>
      <c r="V396" s="210"/>
      <c r="W396" s="210"/>
      <c r="X396" s="210"/>
      <c r="Y396" s="210"/>
      <c r="Z396" s="210"/>
    </row>
    <row r="397" ht="21.75" customHeight="1">
      <c r="A397" s="214"/>
      <c r="B397" s="221"/>
      <c r="C397" s="222">
        <v>103.0</v>
      </c>
      <c r="D397" s="223" t="s">
        <v>910</v>
      </c>
      <c r="E397" s="223" t="s">
        <v>487</v>
      </c>
      <c r="F397" s="223" t="s">
        <v>500</v>
      </c>
      <c r="G397" s="223" t="s">
        <v>501</v>
      </c>
      <c r="H397" s="225" t="s">
        <v>918</v>
      </c>
      <c r="I397" s="208"/>
      <c r="J397" s="210"/>
      <c r="K397" s="210"/>
      <c r="L397" s="210"/>
      <c r="M397" s="210"/>
      <c r="N397" s="210"/>
      <c r="O397" s="210"/>
      <c r="P397" s="210"/>
      <c r="Q397" s="210"/>
      <c r="R397" s="210"/>
      <c r="S397" s="210"/>
      <c r="T397" s="210"/>
      <c r="U397" s="210"/>
      <c r="V397" s="210"/>
      <c r="W397" s="210"/>
      <c r="X397" s="210"/>
      <c r="Y397" s="210"/>
      <c r="Z397" s="210"/>
    </row>
    <row r="398" ht="21.75" customHeight="1">
      <c r="A398" s="214"/>
      <c r="B398" s="221"/>
      <c r="C398" s="222">
        <v>104.0</v>
      </c>
      <c r="D398" s="223" t="s">
        <v>912</v>
      </c>
      <c r="E398" s="223" t="s">
        <v>487</v>
      </c>
      <c r="F398" s="223" t="s">
        <v>512</v>
      </c>
      <c r="G398" s="223" t="s">
        <v>493</v>
      </c>
      <c r="H398" s="225" t="s">
        <v>666</v>
      </c>
      <c r="I398" s="208"/>
      <c r="J398" s="210"/>
      <c r="K398" s="210"/>
      <c r="L398" s="210"/>
      <c r="M398" s="210"/>
      <c r="N398" s="210"/>
      <c r="O398" s="210"/>
      <c r="P398" s="210"/>
      <c r="Q398" s="210"/>
      <c r="R398" s="210"/>
      <c r="S398" s="210"/>
      <c r="T398" s="210"/>
      <c r="U398" s="210"/>
      <c r="V398" s="210"/>
      <c r="W398" s="210"/>
      <c r="X398" s="210"/>
      <c r="Y398" s="210"/>
      <c r="Z398" s="210"/>
    </row>
    <row r="399" ht="21.75" customHeight="1">
      <c r="A399" s="214"/>
      <c r="B399" s="217"/>
      <c r="C399" s="222">
        <v>105.0</v>
      </c>
      <c r="D399" s="215" t="s">
        <v>376</v>
      </c>
      <c r="E399" s="215" t="s">
        <v>508</v>
      </c>
      <c r="F399" s="215" t="s">
        <v>509</v>
      </c>
      <c r="G399" s="215" t="s">
        <v>510</v>
      </c>
      <c r="H399" s="225" t="s">
        <v>919</v>
      </c>
      <c r="I399" s="208"/>
      <c r="J399" s="210"/>
      <c r="K399" s="210"/>
      <c r="L399" s="210"/>
      <c r="M399" s="210"/>
      <c r="N399" s="210"/>
      <c r="O399" s="210"/>
      <c r="P399" s="210"/>
      <c r="Q399" s="210"/>
      <c r="R399" s="210"/>
      <c r="S399" s="210"/>
      <c r="T399" s="210"/>
      <c r="U399" s="210"/>
      <c r="V399" s="210"/>
      <c r="W399" s="210"/>
      <c r="X399" s="210"/>
      <c r="Y399" s="210"/>
      <c r="Z399" s="210"/>
    </row>
    <row r="400" ht="21.75" customHeight="1">
      <c r="A400" s="214"/>
      <c r="B400" s="218" t="s">
        <v>920</v>
      </c>
      <c r="C400" s="226">
        <v>50681.0</v>
      </c>
      <c r="D400" s="220"/>
      <c r="E400" s="220"/>
      <c r="F400" s="220"/>
      <c r="G400" s="220"/>
      <c r="H400" s="221"/>
      <c r="I400" s="208"/>
      <c r="J400" s="210"/>
      <c r="K400" s="210"/>
      <c r="L400" s="210"/>
      <c r="M400" s="210"/>
      <c r="N400" s="210"/>
      <c r="O400" s="210"/>
      <c r="P400" s="210"/>
      <c r="Q400" s="210"/>
      <c r="R400" s="210"/>
      <c r="S400" s="210"/>
      <c r="T400" s="210"/>
      <c r="U400" s="210"/>
      <c r="V400" s="210"/>
      <c r="W400" s="210"/>
      <c r="X400" s="210"/>
      <c r="Y400" s="210"/>
      <c r="Z400" s="210"/>
    </row>
    <row r="401" ht="21.75" customHeight="1">
      <c r="A401" s="214"/>
      <c r="B401" s="221"/>
      <c r="C401" s="222">
        <v>100.0</v>
      </c>
      <c r="D401" s="223" t="s">
        <v>486</v>
      </c>
      <c r="E401" s="223" t="s">
        <v>487</v>
      </c>
      <c r="F401" s="223" t="s">
        <v>488</v>
      </c>
      <c r="G401" s="223" t="s">
        <v>489</v>
      </c>
      <c r="H401" s="224" t="s">
        <v>490</v>
      </c>
      <c r="I401" s="208"/>
      <c r="J401" s="210"/>
      <c r="K401" s="210"/>
      <c r="L401" s="210"/>
      <c r="M401" s="210"/>
      <c r="N401" s="210"/>
      <c r="O401" s="210"/>
      <c r="P401" s="210"/>
      <c r="Q401" s="210"/>
      <c r="R401" s="210"/>
      <c r="S401" s="210"/>
      <c r="T401" s="210"/>
      <c r="U401" s="210"/>
      <c r="V401" s="210"/>
      <c r="W401" s="210"/>
      <c r="X401" s="210"/>
      <c r="Y401" s="210"/>
      <c r="Z401" s="210"/>
    </row>
    <row r="402" ht="21.75" customHeight="1">
      <c r="A402" s="214"/>
      <c r="B402" s="221"/>
      <c r="C402" s="222">
        <v>101.0</v>
      </c>
      <c r="D402" s="223" t="s">
        <v>491</v>
      </c>
      <c r="E402" s="223" t="s">
        <v>487</v>
      </c>
      <c r="F402" s="223" t="s">
        <v>492</v>
      </c>
      <c r="G402" s="223" t="s">
        <v>678</v>
      </c>
      <c r="H402" s="225" t="s">
        <v>921</v>
      </c>
      <c r="I402" s="208"/>
      <c r="J402" s="210"/>
      <c r="K402" s="210"/>
      <c r="L402" s="210"/>
      <c r="M402" s="210"/>
      <c r="N402" s="210"/>
      <c r="O402" s="210"/>
      <c r="P402" s="210"/>
      <c r="Q402" s="210"/>
      <c r="R402" s="210"/>
      <c r="S402" s="210"/>
      <c r="T402" s="210"/>
      <c r="U402" s="210"/>
      <c r="V402" s="210"/>
      <c r="W402" s="210"/>
      <c r="X402" s="210"/>
      <c r="Y402" s="210"/>
      <c r="Z402" s="210"/>
    </row>
    <row r="403" ht="21.75" customHeight="1">
      <c r="A403" s="214"/>
      <c r="B403" s="221"/>
      <c r="C403" s="222">
        <v>102.0</v>
      </c>
      <c r="D403" s="223" t="s">
        <v>912</v>
      </c>
      <c r="E403" s="223" t="s">
        <v>487</v>
      </c>
      <c r="F403" s="223" t="s">
        <v>496</v>
      </c>
      <c r="G403" s="223" t="s">
        <v>493</v>
      </c>
      <c r="H403" s="225" t="s">
        <v>922</v>
      </c>
      <c r="I403" s="208"/>
      <c r="J403" s="210"/>
      <c r="K403" s="210"/>
      <c r="L403" s="210"/>
      <c r="M403" s="210"/>
      <c r="N403" s="210"/>
      <c r="O403" s="210"/>
      <c r="P403" s="210"/>
      <c r="Q403" s="210"/>
      <c r="R403" s="210"/>
      <c r="S403" s="210"/>
      <c r="T403" s="210"/>
      <c r="U403" s="210"/>
      <c r="V403" s="210"/>
      <c r="W403" s="210"/>
      <c r="X403" s="210"/>
      <c r="Y403" s="210"/>
      <c r="Z403" s="210"/>
    </row>
    <row r="404" ht="21.75" customHeight="1">
      <c r="A404" s="214"/>
      <c r="B404" s="221"/>
      <c r="C404" s="222">
        <v>103.0</v>
      </c>
      <c r="D404" s="223" t="s">
        <v>876</v>
      </c>
      <c r="E404" s="223" t="s">
        <v>487</v>
      </c>
      <c r="F404" s="223" t="s">
        <v>500</v>
      </c>
      <c r="G404" s="223" t="s">
        <v>497</v>
      </c>
      <c r="H404" s="224" t="s">
        <v>490</v>
      </c>
      <c r="I404" s="208"/>
      <c r="J404" s="210"/>
      <c r="K404" s="210"/>
      <c r="L404" s="210"/>
      <c r="M404" s="210"/>
      <c r="N404" s="210"/>
      <c r="O404" s="210"/>
      <c r="P404" s="210"/>
      <c r="Q404" s="210"/>
      <c r="R404" s="210"/>
      <c r="S404" s="210"/>
      <c r="T404" s="210"/>
      <c r="U404" s="210"/>
      <c r="V404" s="210"/>
      <c r="W404" s="210"/>
      <c r="X404" s="210"/>
      <c r="Y404" s="210"/>
      <c r="Z404" s="210"/>
    </row>
    <row r="405" ht="21.75" customHeight="1">
      <c r="A405" s="214"/>
      <c r="B405" s="221"/>
      <c r="C405" s="222">
        <v>104.0</v>
      </c>
      <c r="D405" s="223" t="s">
        <v>923</v>
      </c>
      <c r="E405" s="223" t="s">
        <v>539</v>
      </c>
      <c r="F405" s="223" t="s">
        <v>542</v>
      </c>
      <c r="G405" s="223" t="s">
        <v>501</v>
      </c>
      <c r="H405" s="224" t="s">
        <v>490</v>
      </c>
      <c r="I405" s="208"/>
      <c r="J405" s="210"/>
      <c r="K405" s="210"/>
      <c r="L405" s="210"/>
      <c r="M405" s="210"/>
      <c r="N405" s="210"/>
      <c r="O405" s="210"/>
      <c r="P405" s="210"/>
      <c r="Q405" s="210"/>
      <c r="R405" s="210"/>
      <c r="S405" s="210"/>
      <c r="T405" s="210"/>
      <c r="U405" s="210"/>
      <c r="V405" s="210"/>
      <c r="W405" s="210"/>
      <c r="X405" s="210"/>
      <c r="Y405" s="210"/>
      <c r="Z405" s="210"/>
    </row>
    <row r="406" ht="21.75" customHeight="1">
      <c r="A406" s="214"/>
      <c r="B406" s="217"/>
      <c r="C406" s="222">
        <v>105.0</v>
      </c>
      <c r="D406" s="215" t="s">
        <v>519</v>
      </c>
      <c r="E406" s="215" t="s">
        <v>508</v>
      </c>
      <c r="F406" s="215" t="s">
        <v>509</v>
      </c>
      <c r="G406" s="215" t="s">
        <v>510</v>
      </c>
      <c r="H406" s="225" t="s">
        <v>924</v>
      </c>
      <c r="I406" s="208"/>
      <c r="J406" s="210"/>
      <c r="K406" s="210"/>
      <c r="L406" s="210"/>
      <c r="M406" s="210"/>
      <c r="N406" s="210"/>
      <c r="O406" s="210"/>
      <c r="P406" s="210"/>
      <c r="Q406" s="210"/>
      <c r="R406" s="210"/>
      <c r="S406" s="210"/>
      <c r="T406" s="210"/>
      <c r="U406" s="210"/>
      <c r="V406" s="210"/>
      <c r="W406" s="210"/>
      <c r="X406" s="210"/>
      <c r="Y406" s="210"/>
      <c r="Z406" s="210"/>
    </row>
    <row r="407" ht="21.75" customHeight="1">
      <c r="A407" s="214"/>
      <c r="B407" s="218" t="s">
        <v>925</v>
      </c>
      <c r="C407" s="226">
        <v>50955.0</v>
      </c>
      <c r="D407" s="220"/>
      <c r="E407" s="220"/>
      <c r="F407" s="220"/>
      <c r="G407" s="220"/>
      <c r="H407" s="221"/>
      <c r="I407" s="208"/>
      <c r="J407" s="210"/>
      <c r="K407" s="210"/>
      <c r="L407" s="210"/>
      <c r="M407" s="210"/>
      <c r="N407" s="210"/>
      <c r="O407" s="210"/>
      <c r="P407" s="210"/>
      <c r="Q407" s="210"/>
      <c r="R407" s="210"/>
      <c r="S407" s="210"/>
      <c r="T407" s="210"/>
      <c r="U407" s="210"/>
      <c r="V407" s="210"/>
      <c r="W407" s="210"/>
      <c r="X407" s="210"/>
      <c r="Y407" s="210"/>
      <c r="Z407" s="210"/>
    </row>
    <row r="408" ht="21.75" customHeight="1">
      <c r="A408" s="214"/>
      <c r="B408" s="221"/>
      <c r="C408" s="222">
        <v>100.0</v>
      </c>
      <c r="D408" s="223" t="s">
        <v>486</v>
      </c>
      <c r="E408" s="223" t="s">
        <v>487</v>
      </c>
      <c r="F408" s="223" t="s">
        <v>488</v>
      </c>
      <c r="G408" s="223" t="s">
        <v>489</v>
      </c>
      <c r="H408" s="224" t="s">
        <v>490</v>
      </c>
      <c r="I408" s="208"/>
      <c r="J408" s="210"/>
      <c r="K408" s="210"/>
      <c r="L408" s="210"/>
      <c r="M408" s="210"/>
      <c r="N408" s="210"/>
      <c r="O408" s="210"/>
      <c r="P408" s="210"/>
      <c r="Q408" s="210"/>
      <c r="R408" s="210"/>
      <c r="S408" s="210"/>
      <c r="T408" s="210"/>
      <c r="U408" s="210"/>
      <c r="V408" s="210"/>
      <c r="W408" s="210"/>
      <c r="X408" s="210"/>
      <c r="Y408" s="210"/>
      <c r="Z408" s="210"/>
    </row>
    <row r="409" ht="21.75" customHeight="1">
      <c r="A409" s="214"/>
      <c r="B409" s="221"/>
      <c r="C409" s="222">
        <v>101.0</v>
      </c>
      <c r="D409" s="223" t="s">
        <v>491</v>
      </c>
      <c r="E409" s="223" t="s">
        <v>487</v>
      </c>
      <c r="F409" s="223" t="s">
        <v>492</v>
      </c>
      <c r="G409" s="223" t="s">
        <v>678</v>
      </c>
      <c r="H409" s="225" t="s">
        <v>926</v>
      </c>
      <c r="I409" s="208"/>
      <c r="J409" s="210"/>
      <c r="K409" s="210"/>
      <c r="L409" s="210"/>
      <c r="M409" s="210"/>
      <c r="N409" s="210"/>
      <c r="O409" s="210"/>
      <c r="P409" s="210"/>
      <c r="Q409" s="210"/>
      <c r="R409" s="210"/>
      <c r="S409" s="210"/>
      <c r="T409" s="210"/>
      <c r="U409" s="210"/>
      <c r="V409" s="210"/>
      <c r="W409" s="210"/>
      <c r="X409" s="210"/>
      <c r="Y409" s="210"/>
      <c r="Z409" s="210"/>
    </row>
    <row r="410" ht="21.75" customHeight="1">
      <c r="A410" s="214"/>
      <c r="B410" s="221"/>
      <c r="C410" s="222">
        <v>102.0</v>
      </c>
      <c r="D410" s="223" t="s">
        <v>516</v>
      </c>
      <c r="E410" s="223" t="s">
        <v>487</v>
      </c>
      <c r="F410" s="223" t="s">
        <v>496</v>
      </c>
      <c r="G410" s="223" t="s">
        <v>493</v>
      </c>
      <c r="H410" s="225" t="s">
        <v>927</v>
      </c>
      <c r="I410" s="208"/>
      <c r="J410" s="210"/>
      <c r="K410" s="210"/>
      <c r="L410" s="210"/>
      <c r="M410" s="210"/>
      <c r="N410" s="210"/>
      <c r="O410" s="210"/>
      <c r="P410" s="210"/>
      <c r="Q410" s="210"/>
      <c r="R410" s="210"/>
      <c r="S410" s="210"/>
      <c r="T410" s="210"/>
      <c r="U410" s="210"/>
      <c r="V410" s="210"/>
      <c r="W410" s="210"/>
      <c r="X410" s="210"/>
      <c r="Y410" s="210"/>
      <c r="Z410" s="210"/>
    </row>
    <row r="411" ht="21.75" customHeight="1">
      <c r="A411" s="214"/>
      <c r="B411" s="221"/>
      <c r="C411" s="222">
        <v>103.0</v>
      </c>
      <c r="D411" s="223" t="s">
        <v>928</v>
      </c>
      <c r="E411" s="223" t="s">
        <v>487</v>
      </c>
      <c r="F411" s="223" t="s">
        <v>500</v>
      </c>
      <c r="G411" s="223" t="s">
        <v>497</v>
      </c>
      <c r="H411" s="224" t="s">
        <v>490</v>
      </c>
      <c r="I411" s="208"/>
      <c r="J411" s="210"/>
      <c r="K411" s="210"/>
      <c r="L411" s="210"/>
      <c r="M411" s="210"/>
      <c r="N411" s="210"/>
      <c r="O411" s="210"/>
      <c r="P411" s="210"/>
      <c r="Q411" s="210"/>
      <c r="R411" s="210"/>
      <c r="S411" s="210"/>
      <c r="T411" s="210"/>
      <c r="U411" s="210"/>
      <c r="V411" s="210"/>
      <c r="W411" s="210"/>
      <c r="X411" s="210"/>
      <c r="Y411" s="210"/>
      <c r="Z411" s="210"/>
    </row>
    <row r="412" ht="21.75" customHeight="1">
      <c r="A412" s="214"/>
      <c r="B412" s="221"/>
      <c r="C412" s="222">
        <v>104.0</v>
      </c>
      <c r="D412" s="223" t="s">
        <v>779</v>
      </c>
      <c r="E412" s="223" t="s">
        <v>487</v>
      </c>
      <c r="F412" s="223" t="s">
        <v>512</v>
      </c>
      <c r="G412" s="223" t="s">
        <v>501</v>
      </c>
      <c r="H412" s="224" t="s">
        <v>490</v>
      </c>
      <c r="I412" s="208"/>
      <c r="J412" s="210"/>
      <c r="K412" s="210"/>
      <c r="L412" s="210"/>
      <c r="M412" s="210"/>
      <c r="N412" s="210"/>
      <c r="O412" s="210"/>
      <c r="P412" s="210"/>
      <c r="Q412" s="210"/>
      <c r="R412" s="210"/>
      <c r="S412" s="210"/>
      <c r="T412" s="210"/>
      <c r="U412" s="210"/>
      <c r="V412" s="210"/>
      <c r="W412" s="210"/>
      <c r="X412" s="210"/>
      <c r="Y412" s="210"/>
      <c r="Z412" s="210"/>
    </row>
    <row r="413" ht="21.75" customHeight="1">
      <c r="A413" s="214"/>
      <c r="B413" s="217"/>
      <c r="C413" s="222">
        <v>105.0</v>
      </c>
      <c r="D413" s="215" t="s">
        <v>519</v>
      </c>
      <c r="E413" s="215" t="s">
        <v>508</v>
      </c>
      <c r="F413" s="215" t="s">
        <v>509</v>
      </c>
      <c r="G413" s="215" t="s">
        <v>510</v>
      </c>
      <c r="H413" s="225" t="s">
        <v>929</v>
      </c>
      <c r="I413" s="208"/>
      <c r="J413" s="210"/>
      <c r="K413" s="210"/>
      <c r="L413" s="210"/>
      <c r="M413" s="210"/>
      <c r="N413" s="210"/>
      <c r="O413" s="210"/>
      <c r="P413" s="210"/>
      <c r="Q413" s="210"/>
      <c r="R413" s="210"/>
      <c r="S413" s="210"/>
      <c r="T413" s="210"/>
      <c r="U413" s="210"/>
      <c r="V413" s="210"/>
      <c r="W413" s="210"/>
      <c r="X413" s="210"/>
      <c r="Y413" s="210"/>
      <c r="Z413" s="210"/>
    </row>
    <row r="414" ht="21.75" customHeight="1">
      <c r="A414" s="214"/>
      <c r="B414" s="218" t="s">
        <v>930</v>
      </c>
      <c r="C414" s="226">
        <v>50957.0</v>
      </c>
      <c r="D414" s="220"/>
      <c r="E414" s="220"/>
      <c r="F414" s="220"/>
      <c r="G414" s="220"/>
      <c r="H414" s="221"/>
      <c r="I414" s="208"/>
      <c r="J414" s="210"/>
      <c r="K414" s="210"/>
      <c r="L414" s="210"/>
      <c r="M414" s="210"/>
      <c r="N414" s="210"/>
      <c r="O414" s="210"/>
      <c r="P414" s="210"/>
      <c r="Q414" s="210"/>
      <c r="R414" s="210"/>
      <c r="S414" s="210"/>
      <c r="T414" s="210"/>
      <c r="U414" s="210"/>
      <c r="V414" s="210"/>
      <c r="W414" s="210"/>
      <c r="X414" s="210"/>
      <c r="Y414" s="210"/>
      <c r="Z414" s="210"/>
    </row>
    <row r="415" ht="21.75" customHeight="1">
      <c r="A415" s="214"/>
      <c r="B415" s="221"/>
      <c r="C415" s="222">
        <v>100.0</v>
      </c>
      <c r="D415" s="223" t="s">
        <v>486</v>
      </c>
      <c r="E415" s="223" t="s">
        <v>487</v>
      </c>
      <c r="F415" s="223" t="s">
        <v>488</v>
      </c>
      <c r="G415" s="223" t="s">
        <v>489</v>
      </c>
      <c r="H415" s="224" t="s">
        <v>490</v>
      </c>
      <c r="I415" s="208"/>
      <c r="J415" s="210"/>
      <c r="K415" s="210"/>
      <c r="L415" s="210"/>
      <c r="M415" s="210"/>
      <c r="N415" s="210"/>
      <c r="O415" s="210"/>
      <c r="P415" s="210"/>
      <c r="Q415" s="210"/>
      <c r="R415" s="210"/>
      <c r="S415" s="210"/>
      <c r="T415" s="210"/>
      <c r="U415" s="210"/>
      <c r="V415" s="210"/>
      <c r="W415" s="210"/>
      <c r="X415" s="210"/>
      <c r="Y415" s="210"/>
      <c r="Z415" s="210"/>
    </row>
    <row r="416" ht="21.75" customHeight="1">
      <c r="A416" s="214"/>
      <c r="B416" s="221"/>
      <c r="C416" s="222">
        <v>101.0</v>
      </c>
      <c r="D416" s="223" t="s">
        <v>491</v>
      </c>
      <c r="E416" s="223" t="s">
        <v>487</v>
      </c>
      <c r="F416" s="223" t="s">
        <v>492</v>
      </c>
      <c r="G416" s="223" t="s">
        <v>678</v>
      </c>
      <c r="H416" s="225" t="s">
        <v>931</v>
      </c>
      <c r="I416" s="208"/>
      <c r="J416" s="210"/>
      <c r="K416" s="210"/>
      <c r="L416" s="210"/>
      <c r="M416" s="210"/>
      <c r="N416" s="210"/>
      <c r="O416" s="210"/>
      <c r="P416" s="210"/>
      <c r="Q416" s="210"/>
      <c r="R416" s="210"/>
      <c r="S416" s="210"/>
      <c r="T416" s="210"/>
      <c r="U416" s="210"/>
      <c r="V416" s="210"/>
      <c r="W416" s="210"/>
      <c r="X416" s="210"/>
      <c r="Y416" s="210"/>
      <c r="Z416" s="210"/>
    </row>
    <row r="417" ht="21.75" customHeight="1">
      <c r="A417" s="214"/>
      <c r="B417" s="221"/>
      <c r="C417" s="222">
        <v>102.0</v>
      </c>
      <c r="D417" s="223" t="s">
        <v>516</v>
      </c>
      <c r="E417" s="223" t="s">
        <v>487</v>
      </c>
      <c r="F417" s="223" t="s">
        <v>496</v>
      </c>
      <c r="G417" s="223" t="s">
        <v>493</v>
      </c>
      <c r="H417" s="225" t="s">
        <v>932</v>
      </c>
      <c r="I417" s="208"/>
      <c r="J417" s="210"/>
      <c r="K417" s="210"/>
      <c r="L417" s="210"/>
      <c r="M417" s="210"/>
      <c r="N417" s="210"/>
      <c r="O417" s="210"/>
      <c r="P417" s="210"/>
      <c r="Q417" s="210"/>
      <c r="R417" s="210"/>
      <c r="S417" s="210"/>
      <c r="T417" s="210"/>
      <c r="U417" s="210"/>
      <c r="V417" s="210"/>
      <c r="W417" s="210"/>
      <c r="X417" s="210"/>
      <c r="Y417" s="210"/>
      <c r="Z417" s="210"/>
    </row>
    <row r="418" ht="21.75" customHeight="1">
      <c r="A418" s="214"/>
      <c r="B418" s="221"/>
      <c r="C418" s="222">
        <v>103.0</v>
      </c>
      <c r="D418" s="223" t="s">
        <v>928</v>
      </c>
      <c r="E418" s="223" t="s">
        <v>487</v>
      </c>
      <c r="F418" s="223" t="s">
        <v>500</v>
      </c>
      <c r="G418" s="223" t="s">
        <v>497</v>
      </c>
      <c r="H418" s="224" t="s">
        <v>490</v>
      </c>
      <c r="I418" s="208"/>
      <c r="J418" s="210"/>
      <c r="K418" s="210"/>
      <c r="L418" s="210"/>
      <c r="M418" s="210"/>
      <c r="N418" s="210"/>
      <c r="O418" s="210"/>
      <c r="P418" s="210"/>
      <c r="Q418" s="210"/>
      <c r="R418" s="210"/>
      <c r="S418" s="210"/>
      <c r="T418" s="210"/>
      <c r="U418" s="210"/>
      <c r="V418" s="210"/>
      <c r="W418" s="210"/>
      <c r="X418" s="210"/>
      <c r="Y418" s="210"/>
      <c r="Z418" s="210"/>
    </row>
    <row r="419" ht="21.75" customHeight="1">
      <c r="A419" s="214"/>
      <c r="B419" s="221"/>
      <c r="C419" s="222">
        <v>104.0</v>
      </c>
      <c r="D419" s="223" t="s">
        <v>779</v>
      </c>
      <c r="E419" s="223" t="s">
        <v>487</v>
      </c>
      <c r="F419" s="223" t="s">
        <v>512</v>
      </c>
      <c r="G419" s="223" t="s">
        <v>501</v>
      </c>
      <c r="H419" s="224" t="s">
        <v>490</v>
      </c>
      <c r="I419" s="208"/>
      <c r="J419" s="210"/>
      <c r="K419" s="210"/>
      <c r="L419" s="210"/>
      <c r="M419" s="210"/>
      <c r="N419" s="210"/>
      <c r="O419" s="210"/>
      <c r="P419" s="210"/>
      <c r="Q419" s="210"/>
      <c r="R419" s="210"/>
      <c r="S419" s="210"/>
      <c r="T419" s="210"/>
      <c r="U419" s="210"/>
      <c r="V419" s="210"/>
      <c r="W419" s="210"/>
      <c r="X419" s="210"/>
      <c r="Y419" s="210"/>
      <c r="Z419" s="210"/>
    </row>
    <row r="420" ht="21.75" customHeight="1">
      <c r="A420" s="214"/>
      <c r="B420" s="217"/>
      <c r="C420" s="222">
        <v>105.0</v>
      </c>
      <c r="D420" s="215" t="s">
        <v>519</v>
      </c>
      <c r="E420" s="215" t="s">
        <v>508</v>
      </c>
      <c r="F420" s="215" t="s">
        <v>509</v>
      </c>
      <c r="G420" s="215" t="s">
        <v>510</v>
      </c>
      <c r="H420" s="225" t="s">
        <v>933</v>
      </c>
      <c r="I420" s="208"/>
      <c r="J420" s="210"/>
      <c r="K420" s="210"/>
      <c r="L420" s="210"/>
      <c r="M420" s="210"/>
      <c r="N420" s="210"/>
      <c r="O420" s="210"/>
      <c r="P420" s="210"/>
      <c r="Q420" s="210"/>
      <c r="R420" s="210"/>
      <c r="S420" s="210"/>
      <c r="T420" s="210"/>
      <c r="U420" s="210"/>
      <c r="V420" s="210"/>
      <c r="W420" s="210"/>
      <c r="X420" s="210"/>
      <c r="Y420" s="210"/>
      <c r="Z420" s="210"/>
    </row>
    <row r="421" ht="21.75" customHeight="1">
      <c r="A421" s="214"/>
      <c r="B421" s="218" t="s">
        <v>934</v>
      </c>
      <c r="C421" s="226">
        <v>50462.0</v>
      </c>
      <c r="D421" s="220"/>
      <c r="E421" s="220"/>
      <c r="F421" s="220"/>
      <c r="G421" s="220"/>
      <c r="H421" s="221"/>
      <c r="I421" s="208"/>
      <c r="J421" s="210"/>
      <c r="K421" s="210"/>
      <c r="L421" s="210"/>
      <c r="M421" s="210"/>
      <c r="N421" s="210"/>
      <c r="O421" s="210"/>
      <c r="P421" s="210"/>
      <c r="Q421" s="210"/>
      <c r="R421" s="210"/>
      <c r="S421" s="210"/>
      <c r="T421" s="210"/>
      <c r="U421" s="210"/>
      <c r="V421" s="210"/>
      <c r="W421" s="210"/>
      <c r="X421" s="210"/>
      <c r="Y421" s="210"/>
      <c r="Z421" s="210"/>
    </row>
    <row r="422" ht="21.75" customHeight="1">
      <c r="A422" s="214"/>
      <c r="B422" s="221"/>
      <c r="C422" s="222">
        <v>100.0</v>
      </c>
      <c r="D422" s="223" t="s">
        <v>486</v>
      </c>
      <c r="E422" s="223" t="s">
        <v>487</v>
      </c>
      <c r="F422" s="223" t="s">
        <v>488</v>
      </c>
      <c r="G422" s="223" t="s">
        <v>489</v>
      </c>
      <c r="H422" s="224" t="s">
        <v>490</v>
      </c>
      <c r="I422" s="208"/>
      <c r="J422" s="210"/>
      <c r="K422" s="210"/>
      <c r="L422" s="210"/>
      <c r="M422" s="210"/>
      <c r="N422" s="210"/>
      <c r="O422" s="210"/>
      <c r="P422" s="210"/>
      <c r="Q422" s="210"/>
      <c r="R422" s="210"/>
      <c r="S422" s="210"/>
      <c r="T422" s="210"/>
      <c r="U422" s="210"/>
      <c r="V422" s="210"/>
      <c r="W422" s="210"/>
      <c r="X422" s="210"/>
      <c r="Y422" s="210"/>
      <c r="Z422" s="210"/>
    </row>
    <row r="423" ht="21.75" customHeight="1">
      <c r="A423" s="214"/>
      <c r="B423" s="221"/>
      <c r="C423" s="222">
        <v>101.0</v>
      </c>
      <c r="D423" s="223" t="s">
        <v>491</v>
      </c>
      <c r="E423" s="223" t="s">
        <v>487</v>
      </c>
      <c r="F423" s="223" t="s">
        <v>492</v>
      </c>
      <c r="G423" s="223" t="s">
        <v>678</v>
      </c>
      <c r="H423" s="225" t="s">
        <v>935</v>
      </c>
      <c r="I423" s="208"/>
      <c r="J423" s="210"/>
      <c r="K423" s="210"/>
      <c r="L423" s="210"/>
      <c r="M423" s="210"/>
      <c r="N423" s="210"/>
      <c r="O423" s="210"/>
      <c r="P423" s="210"/>
      <c r="Q423" s="210"/>
      <c r="R423" s="210"/>
      <c r="S423" s="210"/>
      <c r="T423" s="210"/>
      <c r="U423" s="210"/>
      <c r="V423" s="210"/>
      <c r="W423" s="210"/>
      <c r="X423" s="210"/>
      <c r="Y423" s="210"/>
      <c r="Z423" s="210"/>
    </row>
    <row r="424" ht="21.75" customHeight="1">
      <c r="A424" s="214"/>
      <c r="B424" s="221"/>
      <c r="C424" s="222">
        <v>102.0</v>
      </c>
      <c r="D424" s="223" t="s">
        <v>912</v>
      </c>
      <c r="E424" s="223" t="s">
        <v>487</v>
      </c>
      <c r="F424" s="223" t="s">
        <v>496</v>
      </c>
      <c r="G424" s="223" t="s">
        <v>493</v>
      </c>
      <c r="H424" s="225" t="s">
        <v>936</v>
      </c>
      <c r="I424" s="208"/>
      <c r="J424" s="210"/>
      <c r="K424" s="210"/>
      <c r="L424" s="210"/>
      <c r="M424" s="210"/>
      <c r="N424" s="210"/>
      <c r="O424" s="210"/>
      <c r="P424" s="210"/>
      <c r="Q424" s="210"/>
      <c r="R424" s="210"/>
      <c r="S424" s="210"/>
      <c r="T424" s="210"/>
      <c r="U424" s="210"/>
      <c r="V424" s="210"/>
      <c r="W424" s="210"/>
      <c r="X424" s="210"/>
      <c r="Y424" s="210"/>
      <c r="Z424" s="210"/>
    </row>
    <row r="425" ht="21.75" customHeight="1">
      <c r="A425" s="214"/>
      <c r="B425" s="221"/>
      <c r="C425" s="222">
        <v>103.0</v>
      </c>
      <c r="D425" s="223" t="s">
        <v>937</v>
      </c>
      <c r="E425" s="223" t="s">
        <v>487</v>
      </c>
      <c r="F425" s="223" t="s">
        <v>500</v>
      </c>
      <c r="G425" s="223" t="s">
        <v>497</v>
      </c>
      <c r="H425" s="225" t="s">
        <v>938</v>
      </c>
      <c r="I425" s="208"/>
      <c r="J425" s="210"/>
      <c r="K425" s="210"/>
      <c r="L425" s="210"/>
      <c r="M425" s="210"/>
      <c r="N425" s="210"/>
      <c r="O425" s="210"/>
      <c r="P425" s="210"/>
      <c r="Q425" s="210"/>
      <c r="R425" s="210"/>
      <c r="S425" s="210"/>
      <c r="T425" s="210"/>
      <c r="U425" s="210"/>
      <c r="V425" s="210"/>
      <c r="W425" s="210"/>
      <c r="X425" s="210"/>
      <c r="Y425" s="210"/>
      <c r="Z425" s="210"/>
    </row>
    <row r="426" ht="21.75" customHeight="1">
      <c r="A426" s="214"/>
      <c r="B426" s="221"/>
      <c r="C426" s="222">
        <v>104.0</v>
      </c>
      <c r="D426" s="223" t="s">
        <v>939</v>
      </c>
      <c r="E426" s="223" t="s">
        <v>487</v>
      </c>
      <c r="F426" s="223" t="s">
        <v>512</v>
      </c>
      <c r="G426" s="223" t="s">
        <v>501</v>
      </c>
      <c r="H426" s="225" t="s">
        <v>940</v>
      </c>
      <c r="I426" s="208"/>
      <c r="J426" s="210"/>
      <c r="K426" s="210"/>
      <c r="L426" s="210"/>
      <c r="M426" s="210"/>
      <c r="N426" s="210"/>
      <c r="O426" s="210"/>
      <c r="P426" s="210"/>
      <c r="Q426" s="210"/>
      <c r="R426" s="210"/>
      <c r="S426" s="210"/>
      <c r="T426" s="210"/>
      <c r="U426" s="210"/>
      <c r="V426" s="210"/>
      <c r="W426" s="210"/>
      <c r="X426" s="210"/>
      <c r="Y426" s="210"/>
      <c r="Z426" s="210"/>
    </row>
    <row r="427" ht="21.75" customHeight="1">
      <c r="A427" s="214"/>
      <c r="B427" s="221"/>
      <c r="C427" s="222">
        <v>105.0</v>
      </c>
      <c r="D427" s="223" t="s">
        <v>923</v>
      </c>
      <c r="E427" s="223" t="s">
        <v>539</v>
      </c>
      <c r="F427" s="223" t="s">
        <v>542</v>
      </c>
      <c r="G427" s="223" t="s">
        <v>526</v>
      </c>
      <c r="H427" s="224" t="s">
        <v>490</v>
      </c>
      <c r="I427" s="208"/>
      <c r="J427" s="210"/>
      <c r="K427" s="210"/>
      <c r="L427" s="210"/>
      <c r="M427" s="210"/>
      <c r="N427" s="210"/>
      <c r="O427" s="210"/>
      <c r="P427" s="210"/>
      <c r="Q427" s="210"/>
      <c r="R427" s="210"/>
      <c r="S427" s="210"/>
      <c r="T427" s="210"/>
      <c r="U427" s="210"/>
      <c r="V427" s="210"/>
      <c r="W427" s="210"/>
      <c r="X427" s="210"/>
      <c r="Y427" s="210"/>
      <c r="Z427" s="210"/>
    </row>
    <row r="428" ht="21.75" customHeight="1">
      <c r="A428" s="214"/>
      <c r="B428" s="217"/>
      <c r="C428" s="222">
        <v>106.0</v>
      </c>
      <c r="D428" s="215" t="s">
        <v>519</v>
      </c>
      <c r="E428" s="215" t="s">
        <v>508</v>
      </c>
      <c r="F428" s="215" t="s">
        <v>509</v>
      </c>
      <c r="G428" s="215" t="s">
        <v>510</v>
      </c>
      <c r="H428" s="225" t="s">
        <v>941</v>
      </c>
      <c r="I428" s="208"/>
      <c r="J428" s="210"/>
      <c r="K428" s="210"/>
      <c r="L428" s="210"/>
      <c r="M428" s="210"/>
      <c r="N428" s="210"/>
      <c r="O428" s="210"/>
      <c r="P428" s="210"/>
      <c r="Q428" s="210"/>
      <c r="R428" s="210"/>
      <c r="S428" s="210"/>
      <c r="T428" s="210"/>
      <c r="U428" s="210"/>
      <c r="V428" s="210"/>
      <c r="W428" s="210"/>
      <c r="X428" s="210"/>
      <c r="Y428" s="210"/>
      <c r="Z428" s="210"/>
    </row>
    <row r="429" ht="21.75" customHeight="1">
      <c r="A429" s="214"/>
      <c r="B429" s="218" t="s">
        <v>942</v>
      </c>
      <c r="C429" s="226">
        <v>50843.0</v>
      </c>
      <c r="D429" s="220"/>
      <c r="E429" s="220"/>
      <c r="F429" s="220"/>
      <c r="G429" s="220"/>
      <c r="H429" s="221"/>
      <c r="I429" s="208"/>
      <c r="J429" s="210"/>
      <c r="K429" s="210"/>
      <c r="L429" s="210"/>
      <c r="M429" s="210"/>
      <c r="N429" s="210"/>
      <c r="O429" s="210"/>
      <c r="P429" s="210"/>
      <c r="Q429" s="210"/>
      <c r="R429" s="210"/>
      <c r="S429" s="210"/>
      <c r="T429" s="210"/>
      <c r="U429" s="210"/>
      <c r="V429" s="210"/>
      <c r="W429" s="210"/>
      <c r="X429" s="210"/>
      <c r="Y429" s="210"/>
      <c r="Z429" s="210"/>
    </row>
    <row r="430" ht="21.75" customHeight="1">
      <c r="A430" s="214"/>
      <c r="B430" s="221"/>
      <c r="C430" s="222">
        <v>100.0</v>
      </c>
      <c r="D430" s="223" t="s">
        <v>486</v>
      </c>
      <c r="E430" s="223" t="s">
        <v>487</v>
      </c>
      <c r="F430" s="223" t="s">
        <v>488</v>
      </c>
      <c r="G430" s="223" t="s">
        <v>489</v>
      </c>
      <c r="H430" s="224" t="s">
        <v>490</v>
      </c>
      <c r="I430" s="208"/>
      <c r="J430" s="210"/>
      <c r="K430" s="210"/>
      <c r="L430" s="210"/>
      <c r="M430" s="210"/>
      <c r="N430" s="210"/>
      <c r="O430" s="210"/>
      <c r="P430" s="210"/>
      <c r="Q430" s="210"/>
      <c r="R430" s="210"/>
      <c r="S430" s="210"/>
      <c r="T430" s="210"/>
      <c r="U430" s="210"/>
      <c r="V430" s="210"/>
      <c r="W430" s="210"/>
      <c r="X430" s="210"/>
      <c r="Y430" s="210"/>
      <c r="Z430" s="210"/>
    </row>
    <row r="431" ht="21.75" customHeight="1">
      <c r="A431" s="214"/>
      <c r="B431" s="221"/>
      <c r="C431" s="222">
        <v>101.0</v>
      </c>
      <c r="D431" s="223" t="s">
        <v>491</v>
      </c>
      <c r="E431" s="223" t="s">
        <v>487</v>
      </c>
      <c r="F431" s="223" t="s">
        <v>492</v>
      </c>
      <c r="G431" s="223" t="s">
        <v>678</v>
      </c>
      <c r="H431" s="225" t="s">
        <v>943</v>
      </c>
      <c r="I431" s="208"/>
      <c r="J431" s="210"/>
      <c r="K431" s="210"/>
      <c r="L431" s="210"/>
      <c r="M431" s="210"/>
      <c r="N431" s="210"/>
      <c r="O431" s="210"/>
      <c r="P431" s="210"/>
      <c r="Q431" s="210"/>
      <c r="R431" s="210"/>
      <c r="S431" s="210"/>
      <c r="T431" s="210"/>
      <c r="U431" s="210"/>
      <c r="V431" s="210"/>
      <c r="W431" s="210"/>
      <c r="X431" s="210"/>
      <c r="Y431" s="210"/>
      <c r="Z431" s="210"/>
    </row>
    <row r="432" ht="21.75" customHeight="1">
      <c r="A432" s="214"/>
      <c r="B432" s="221"/>
      <c r="C432" s="222">
        <v>102.0</v>
      </c>
      <c r="D432" s="223" t="s">
        <v>912</v>
      </c>
      <c r="E432" s="223" t="s">
        <v>487</v>
      </c>
      <c r="F432" s="223" t="s">
        <v>496</v>
      </c>
      <c r="G432" s="223" t="s">
        <v>493</v>
      </c>
      <c r="H432" s="225" t="s">
        <v>944</v>
      </c>
      <c r="I432" s="208"/>
      <c r="J432" s="210"/>
      <c r="K432" s="210"/>
      <c r="L432" s="210"/>
      <c r="M432" s="210"/>
      <c r="N432" s="210"/>
      <c r="O432" s="210"/>
      <c r="P432" s="210"/>
      <c r="Q432" s="210"/>
      <c r="R432" s="210"/>
      <c r="S432" s="210"/>
      <c r="T432" s="210"/>
      <c r="U432" s="210"/>
      <c r="V432" s="210"/>
      <c r="W432" s="210"/>
      <c r="X432" s="210"/>
      <c r="Y432" s="210"/>
      <c r="Z432" s="210"/>
    </row>
    <row r="433" ht="21.75" customHeight="1">
      <c r="A433" s="214"/>
      <c r="B433" s="221"/>
      <c r="C433" s="222">
        <v>103.0</v>
      </c>
      <c r="D433" s="223" t="s">
        <v>408</v>
      </c>
      <c r="E433" s="223" t="s">
        <v>487</v>
      </c>
      <c r="F433" s="223" t="s">
        <v>500</v>
      </c>
      <c r="G433" s="223" t="s">
        <v>497</v>
      </c>
      <c r="H433" s="225" t="s">
        <v>945</v>
      </c>
      <c r="I433" s="208"/>
      <c r="J433" s="210"/>
      <c r="K433" s="210"/>
      <c r="L433" s="210"/>
      <c r="M433" s="210"/>
      <c r="N433" s="210"/>
      <c r="O433" s="210"/>
      <c r="P433" s="210"/>
      <c r="Q433" s="210"/>
      <c r="R433" s="210"/>
      <c r="S433" s="210"/>
      <c r="T433" s="210"/>
      <c r="U433" s="210"/>
      <c r="V433" s="210"/>
      <c r="W433" s="210"/>
      <c r="X433" s="210"/>
      <c r="Y433" s="210"/>
      <c r="Z433" s="210"/>
    </row>
    <row r="434" ht="21.75" customHeight="1">
      <c r="A434" s="214"/>
      <c r="B434" s="221"/>
      <c r="C434" s="222">
        <v>104.0</v>
      </c>
      <c r="D434" s="223" t="s">
        <v>946</v>
      </c>
      <c r="E434" s="223" t="s">
        <v>487</v>
      </c>
      <c r="F434" s="223" t="s">
        <v>512</v>
      </c>
      <c r="G434" s="223" t="s">
        <v>501</v>
      </c>
      <c r="H434" s="224" t="s">
        <v>490</v>
      </c>
      <c r="I434" s="208"/>
      <c r="J434" s="210"/>
      <c r="K434" s="210"/>
      <c r="L434" s="210"/>
      <c r="M434" s="210"/>
      <c r="N434" s="210"/>
      <c r="O434" s="210"/>
      <c r="P434" s="210"/>
      <c r="Q434" s="210"/>
      <c r="R434" s="210"/>
      <c r="S434" s="210"/>
      <c r="T434" s="210"/>
      <c r="U434" s="210"/>
      <c r="V434" s="210"/>
      <c r="W434" s="210"/>
      <c r="X434" s="210"/>
      <c r="Y434" s="210"/>
      <c r="Z434" s="210"/>
    </row>
    <row r="435" ht="21.75" customHeight="1">
      <c r="A435" s="214"/>
      <c r="B435" s="217"/>
      <c r="C435" s="222">
        <v>105.0</v>
      </c>
      <c r="D435" s="215" t="s">
        <v>376</v>
      </c>
      <c r="E435" s="215" t="s">
        <v>508</v>
      </c>
      <c r="F435" s="215" t="s">
        <v>509</v>
      </c>
      <c r="G435" s="215" t="s">
        <v>510</v>
      </c>
      <c r="H435" s="225" t="s">
        <v>879</v>
      </c>
      <c r="I435" s="208"/>
      <c r="J435" s="210"/>
      <c r="K435" s="210"/>
      <c r="L435" s="210"/>
      <c r="M435" s="210"/>
      <c r="N435" s="210"/>
      <c r="O435" s="210"/>
      <c r="P435" s="210"/>
      <c r="Q435" s="210"/>
      <c r="R435" s="210"/>
      <c r="S435" s="210"/>
      <c r="T435" s="210"/>
      <c r="U435" s="210"/>
      <c r="V435" s="210"/>
      <c r="W435" s="210"/>
      <c r="X435" s="210"/>
      <c r="Y435" s="210"/>
      <c r="Z435" s="210"/>
    </row>
    <row r="436" ht="21.75" customHeight="1">
      <c r="A436" s="214"/>
      <c r="B436" s="218" t="s">
        <v>947</v>
      </c>
      <c r="C436" s="226">
        <v>50521.0</v>
      </c>
      <c r="D436" s="220"/>
      <c r="E436" s="220"/>
      <c r="F436" s="220"/>
      <c r="G436" s="220"/>
      <c r="H436" s="221"/>
      <c r="I436" s="208"/>
      <c r="J436" s="210"/>
      <c r="K436" s="210"/>
      <c r="L436" s="210"/>
      <c r="M436" s="210"/>
      <c r="N436" s="210"/>
      <c r="O436" s="210"/>
      <c r="P436" s="210"/>
      <c r="Q436" s="210"/>
      <c r="R436" s="210"/>
      <c r="S436" s="210"/>
      <c r="T436" s="210"/>
      <c r="U436" s="210"/>
      <c r="V436" s="210"/>
      <c r="W436" s="210"/>
      <c r="X436" s="210"/>
      <c r="Y436" s="210"/>
      <c r="Z436" s="210"/>
    </row>
    <row r="437" ht="21.75" customHeight="1">
      <c r="A437" s="214"/>
      <c r="B437" s="221"/>
      <c r="C437" s="222">
        <v>100.0</v>
      </c>
      <c r="D437" s="223" t="s">
        <v>486</v>
      </c>
      <c r="E437" s="223" t="s">
        <v>487</v>
      </c>
      <c r="F437" s="223" t="s">
        <v>488</v>
      </c>
      <c r="G437" s="223" t="s">
        <v>489</v>
      </c>
      <c r="H437" s="224" t="s">
        <v>490</v>
      </c>
      <c r="I437" s="208"/>
      <c r="J437" s="210"/>
      <c r="K437" s="210"/>
      <c r="L437" s="210"/>
      <c r="M437" s="210"/>
      <c r="N437" s="210"/>
      <c r="O437" s="210"/>
      <c r="P437" s="210"/>
      <c r="Q437" s="210"/>
      <c r="R437" s="210"/>
      <c r="S437" s="210"/>
      <c r="T437" s="210"/>
      <c r="U437" s="210"/>
      <c r="V437" s="210"/>
      <c r="W437" s="210"/>
      <c r="X437" s="210"/>
      <c r="Y437" s="210"/>
      <c r="Z437" s="210"/>
    </row>
    <row r="438" ht="21.75" customHeight="1">
      <c r="A438" s="214"/>
      <c r="B438" s="221"/>
      <c r="C438" s="222">
        <v>101.0</v>
      </c>
      <c r="D438" s="223" t="s">
        <v>369</v>
      </c>
      <c r="E438" s="223" t="s">
        <v>487</v>
      </c>
      <c r="F438" s="223" t="s">
        <v>492</v>
      </c>
      <c r="G438" s="223" t="s">
        <v>526</v>
      </c>
      <c r="H438" s="225" t="s">
        <v>948</v>
      </c>
      <c r="I438" s="208"/>
      <c r="J438" s="210"/>
      <c r="K438" s="210"/>
      <c r="L438" s="210"/>
      <c r="M438" s="210"/>
      <c r="N438" s="210"/>
      <c r="O438" s="210"/>
      <c r="P438" s="210"/>
      <c r="Q438" s="210"/>
      <c r="R438" s="210"/>
      <c r="S438" s="210"/>
      <c r="T438" s="210"/>
      <c r="U438" s="210"/>
      <c r="V438" s="210"/>
      <c r="W438" s="210"/>
      <c r="X438" s="210"/>
      <c r="Y438" s="210"/>
      <c r="Z438" s="210"/>
    </row>
    <row r="439" ht="21.75" customHeight="1">
      <c r="A439" s="214"/>
      <c r="B439" s="221"/>
      <c r="C439" s="222">
        <v>102.0</v>
      </c>
      <c r="D439" s="223" t="s">
        <v>912</v>
      </c>
      <c r="E439" s="223" t="s">
        <v>487</v>
      </c>
      <c r="F439" s="223" t="s">
        <v>496</v>
      </c>
      <c r="G439" s="223" t="s">
        <v>493</v>
      </c>
      <c r="H439" s="225" t="s">
        <v>949</v>
      </c>
      <c r="I439" s="208"/>
      <c r="J439" s="210"/>
      <c r="K439" s="210"/>
      <c r="L439" s="210"/>
      <c r="M439" s="210"/>
      <c r="N439" s="210"/>
      <c r="O439" s="210"/>
      <c r="P439" s="210"/>
      <c r="Q439" s="210"/>
      <c r="R439" s="210"/>
      <c r="S439" s="210"/>
      <c r="T439" s="210"/>
      <c r="U439" s="210"/>
      <c r="V439" s="210"/>
      <c r="W439" s="210"/>
      <c r="X439" s="210"/>
      <c r="Y439" s="210"/>
      <c r="Z439" s="210"/>
    </row>
    <row r="440" ht="21.75" customHeight="1">
      <c r="A440" s="214"/>
      <c r="B440" s="221"/>
      <c r="C440" s="222">
        <v>103.0</v>
      </c>
      <c r="D440" s="223" t="s">
        <v>950</v>
      </c>
      <c r="E440" s="223" t="s">
        <v>487</v>
      </c>
      <c r="F440" s="223" t="s">
        <v>500</v>
      </c>
      <c r="G440" s="223" t="s">
        <v>497</v>
      </c>
      <c r="H440" s="225" t="s">
        <v>951</v>
      </c>
      <c r="I440" s="208"/>
      <c r="J440" s="210"/>
      <c r="K440" s="210"/>
      <c r="L440" s="210"/>
      <c r="M440" s="210"/>
      <c r="N440" s="210"/>
      <c r="O440" s="210"/>
      <c r="P440" s="210"/>
      <c r="Q440" s="210"/>
      <c r="R440" s="210"/>
      <c r="S440" s="210"/>
      <c r="T440" s="210"/>
      <c r="U440" s="210"/>
      <c r="V440" s="210"/>
      <c r="W440" s="210"/>
      <c r="X440" s="210"/>
      <c r="Y440" s="210"/>
      <c r="Z440" s="210"/>
    </row>
    <row r="441" ht="21.75" customHeight="1">
      <c r="A441" s="214"/>
      <c r="B441" s="221"/>
      <c r="C441" s="222">
        <v>104.0</v>
      </c>
      <c r="D441" s="223" t="s">
        <v>952</v>
      </c>
      <c r="E441" s="223" t="s">
        <v>487</v>
      </c>
      <c r="F441" s="223" t="s">
        <v>512</v>
      </c>
      <c r="G441" s="223" t="s">
        <v>501</v>
      </c>
      <c r="H441" s="225" t="s">
        <v>953</v>
      </c>
      <c r="I441" s="208"/>
      <c r="J441" s="210"/>
      <c r="K441" s="210"/>
      <c r="L441" s="210"/>
      <c r="M441" s="210"/>
      <c r="N441" s="210"/>
      <c r="O441" s="210"/>
      <c r="P441" s="210"/>
      <c r="Q441" s="210"/>
      <c r="R441" s="210"/>
      <c r="S441" s="210"/>
      <c r="T441" s="210"/>
      <c r="U441" s="210"/>
      <c r="V441" s="210"/>
      <c r="W441" s="210"/>
      <c r="X441" s="210"/>
      <c r="Y441" s="210"/>
      <c r="Z441" s="210"/>
    </row>
    <row r="442" ht="21.75" customHeight="1">
      <c r="A442" s="228"/>
      <c r="B442" s="221"/>
      <c r="C442" s="222">
        <v>105.0</v>
      </c>
      <c r="D442" s="223" t="s">
        <v>376</v>
      </c>
      <c r="E442" s="223" t="s">
        <v>508</v>
      </c>
      <c r="F442" s="223" t="s">
        <v>509</v>
      </c>
      <c r="G442" s="223" t="s">
        <v>510</v>
      </c>
      <c r="H442" s="225" t="s">
        <v>879</v>
      </c>
      <c r="I442" s="208"/>
      <c r="J442" s="210"/>
      <c r="K442" s="210"/>
      <c r="L442" s="210"/>
      <c r="M442" s="210"/>
      <c r="N442" s="210"/>
      <c r="O442" s="210"/>
      <c r="P442" s="210"/>
      <c r="Q442" s="210"/>
      <c r="R442" s="210"/>
      <c r="S442" s="210"/>
      <c r="T442" s="210"/>
      <c r="U442" s="210"/>
      <c r="V442" s="210"/>
      <c r="W442" s="210"/>
      <c r="X442" s="210"/>
      <c r="Y442" s="210"/>
      <c r="Z442" s="210"/>
    </row>
    <row r="443" ht="21.75" customHeight="1">
      <c r="A443" s="214">
        <v>169.0</v>
      </c>
      <c r="B443" s="215" t="s">
        <v>954</v>
      </c>
      <c r="C443" s="216"/>
      <c r="D443" s="217"/>
      <c r="E443" s="217"/>
      <c r="F443" s="217"/>
      <c r="G443" s="217"/>
      <c r="H443" s="217"/>
      <c r="I443" s="208"/>
      <c r="J443" s="210"/>
      <c r="K443" s="210"/>
      <c r="L443" s="210"/>
      <c r="M443" s="210"/>
      <c r="N443" s="210"/>
      <c r="O443" s="210"/>
      <c r="P443" s="210"/>
      <c r="Q443" s="210"/>
      <c r="R443" s="210"/>
      <c r="S443" s="210"/>
      <c r="T443" s="210"/>
      <c r="U443" s="210"/>
      <c r="V443" s="210"/>
      <c r="W443" s="210"/>
      <c r="X443" s="210"/>
      <c r="Y443" s="210"/>
      <c r="Z443" s="210"/>
    </row>
    <row r="444" ht="21.75" customHeight="1">
      <c r="A444" s="214"/>
      <c r="B444" s="235" t="s">
        <v>955</v>
      </c>
      <c r="C444" s="236">
        <v>50891.0</v>
      </c>
      <c r="D444" s="220"/>
      <c r="E444" s="220"/>
      <c r="F444" s="220"/>
      <c r="G444" s="220"/>
      <c r="H444" s="220"/>
      <c r="I444" s="208"/>
      <c r="J444" s="210"/>
      <c r="K444" s="210"/>
      <c r="L444" s="210"/>
      <c r="M444" s="210"/>
      <c r="N444" s="210"/>
      <c r="O444" s="210"/>
      <c r="P444" s="210"/>
      <c r="Q444" s="210"/>
      <c r="R444" s="210"/>
      <c r="S444" s="210"/>
      <c r="T444" s="210"/>
      <c r="U444" s="210"/>
      <c r="V444" s="210"/>
      <c r="W444" s="210"/>
      <c r="X444" s="210"/>
      <c r="Y444" s="210"/>
      <c r="Z444" s="210"/>
    </row>
    <row r="445" ht="21.75" customHeight="1">
      <c r="A445" s="214"/>
      <c r="B445" s="221"/>
      <c r="C445" s="222">
        <v>100.0</v>
      </c>
      <c r="D445" s="223" t="s">
        <v>486</v>
      </c>
      <c r="E445" s="223" t="s">
        <v>487</v>
      </c>
      <c r="F445" s="223" t="s">
        <v>488</v>
      </c>
      <c r="G445" s="223" t="s">
        <v>489</v>
      </c>
      <c r="H445" s="224" t="s">
        <v>490</v>
      </c>
      <c r="I445" s="208"/>
      <c r="J445" s="210"/>
      <c r="K445" s="210"/>
      <c r="L445" s="210"/>
      <c r="M445" s="210"/>
      <c r="N445" s="210"/>
      <c r="O445" s="210"/>
      <c r="P445" s="210"/>
      <c r="Q445" s="210"/>
      <c r="R445" s="210"/>
      <c r="S445" s="210"/>
      <c r="T445" s="210"/>
      <c r="U445" s="210"/>
      <c r="V445" s="210"/>
      <c r="W445" s="210"/>
      <c r="X445" s="210"/>
      <c r="Y445" s="210"/>
      <c r="Z445" s="210"/>
    </row>
    <row r="446" ht="21.75" customHeight="1">
      <c r="A446" s="214"/>
      <c r="B446" s="221"/>
      <c r="C446" s="222">
        <v>101.0</v>
      </c>
      <c r="D446" s="223" t="s">
        <v>491</v>
      </c>
      <c r="E446" s="223" t="s">
        <v>487</v>
      </c>
      <c r="F446" s="223" t="s">
        <v>492</v>
      </c>
      <c r="G446" s="223" t="s">
        <v>678</v>
      </c>
      <c r="H446" s="225" t="s">
        <v>956</v>
      </c>
      <c r="I446" s="208"/>
      <c r="J446" s="210"/>
      <c r="K446" s="210"/>
      <c r="L446" s="210"/>
      <c r="M446" s="210"/>
      <c r="N446" s="210"/>
      <c r="O446" s="210"/>
      <c r="P446" s="210"/>
      <c r="Q446" s="210"/>
      <c r="R446" s="210"/>
      <c r="S446" s="210"/>
      <c r="T446" s="210"/>
      <c r="U446" s="210"/>
      <c r="V446" s="210"/>
      <c r="W446" s="210"/>
      <c r="X446" s="210"/>
      <c r="Y446" s="210"/>
      <c r="Z446" s="210"/>
    </row>
    <row r="447" ht="21.75" customHeight="1">
      <c r="A447" s="214"/>
      <c r="B447" s="221"/>
      <c r="C447" s="222">
        <v>102.0</v>
      </c>
      <c r="D447" s="223" t="s">
        <v>516</v>
      </c>
      <c r="E447" s="223" t="s">
        <v>487</v>
      </c>
      <c r="F447" s="223" t="s">
        <v>496</v>
      </c>
      <c r="G447" s="223" t="s">
        <v>493</v>
      </c>
      <c r="H447" s="225" t="s">
        <v>957</v>
      </c>
      <c r="I447" s="208"/>
      <c r="J447" s="210"/>
      <c r="K447" s="210"/>
      <c r="L447" s="210"/>
      <c r="M447" s="210"/>
      <c r="N447" s="210"/>
      <c r="O447" s="210"/>
      <c r="P447" s="210"/>
      <c r="Q447" s="210"/>
      <c r="R447" s="210"/>
      <c r="S447" s="210"/>
      <c r="T447" s="210"/>
      <c r="U447" s="210"/>
      <c r="V447" s="210"/>
      <c r="W447" s="210"/>
      <c r="X447" s="210"/>
      <c r="Y447" s="210"/>
      <c r="Z447" s="210"/>
    </row>
    <row r="448" ht="21.75" customHeight="1">
      <c r="A448" s="214"/>
      <c r="B448" s="221"/>
      <c r="C448" s="222">
        <v>103.0</v>
      </c>
      <c r="D448" s="223" t="s">
        <v>749</v>
      </c>
      <c r="E448" s="223" t="s">
        <v>487</v>
      </c>
      <c r="F448" s="223" t="s">
        <v>500</v>
      </c>
      <c r="G448" s="223" t="s">
        <v>497</v>
      </c>
      <c r="H448" s="224" t="s">
        <v>490</v>
      </c>
      <c r="I448" s="208"/>
      <c r="J448" s="210"/>
      <c r="K448" s="210"/>
      <c r="L448" s="210"/>
      <c r="M448" s="210"/>
      <c r="N448" s="210"/>
      <c r="O448" s="210"/>
      <c r="P448" s="210"/>
      <c r="Q448" s="210"/>
      <c r="R448" s="210"/>
      <c r="S448" s="210"/>
      <c r="T448" s="210"/>
      <c r="U448" s="210"/>
      <c r="V448" s="210"/>
      <c r="W448" s="210"/>
      <c r="X448" s="210"/>
      <c r="Y448" s="210"/>
      <c r="Z448" s="210"/>
    </row>
    <row r="449" ht="21.75" customHeight="1">
      <c r="A449" s="214"/>
      <c r="B449" s="221"/>
      <c r="C449" s="222">
        <v>104.0</v>
      </c>
      <c r="D449" s="223" t="s">
        <v>750</v>
      </c>
      <c r="E449" s="223" t="s">
        <v>487</v>
      </c>
      <c r="F449" s="223" t="s">
        <v>512</v>
      </c>
      <c r="G449" s="223" t="s">
        <v>501</v>
      </c>
      <c r="H449" s="224" t="s">
        <v>490</v>
      </c>
      <c r="I449" s="208"/>
      <c r="J449" s="210"/>
      <c r="K449" s="210"/>
      <c r="L449" s="210"/>
      <c r="M449" s="210"/>
      <c r="N449" s="210"/>
      <c r="O449" s="210"/>
      <c r="P449" s="210"/>
      <c r="Q449" s="210"/>
      <c r="R449" s="210"/>
      <c r="S449" s="210"/>
      <c r="T449" s="210"/>
      <c r="U449" s="210"/>
      <c r="V449" s="210"/>
      <c r="W449" s="210"/>
      <c r="X449" s="210"/>
      <c r="Y449" s="210"/>
      <c r="Z449" s="210"/>
    </row>
    <row r="450" ht="21.75" customHeight="1">
      <c r="A450" s="214"/>
      <c r="B450" s="217"/>
      <c r="C450" s="222">
        <v>105.0</v>
      </c>
      <c r="D450" s="215" t="s">
        <v>519</v>
      </c>
      <c r="E450" s="215" t="s">
        <v>508</v>
      </c>
      <c r="F450" s="215" t="s">
        <v>509</v>
      </c>
      <c r="G450" s="215" t="s">
        <v>510</v>
      </c>
      <c r="H450" s="225" t="s">
        <v>958</v>
      </c>
      <c r="I450" s="208"/>
      <c r="J450" s="210"/>
      <c r="K450" s="210"/>
      <c r="L450" s="210"/>
      <c r="M450" s="210"/>
      <c r="N450" s="210"/>
      <c r="O450" s="210"/>
      <c r="P450" s="210"/>
      <c r="Q450" s="210"/>
      <c r="R450" s="210"/>
      <c r="S450" s="210"/>
      <c r="T450" s="210"/>
      <c r="U450" s="210"/>
      <c r="V450" s="210"/>
      <c r="W450" s="210"/>
      <c r="X450" s="210"/>
      <c r="Y450" s="210"/>
      <c r="Z450" s="210"/>
    </row>
    <row r="451" ht="21.75" customHeight="1">
      <c r="A451" s="214"/>
      <c r="B451" s="235" t="s">
        <v>959</v>
      </c>
      <c r="C451" s="237">
        <v>50465.0</v>
      </c>
      <c r="D451" s="220"/>
      <c r="E451" s="220"/>
      <c r="F451" s="220"/>
      <c r="G451" s="220"/>
      <c r="H451" s="221"/>
      <c r="I451" s="208"/>
      <c r="J451" s="210"/>
      <c r="K451" s="210"/>
      <c r="L451" s="210"/>
      <c r="M451" s="210"/>
      <c r="N451" s="210"/>
      <c r="O451" s="210"/>
      <c r="P451" s="210"/>
      <c r="Q451" s="210"/>
      <c r="R451" s="210"/>
      <c r="S451" s="210"/>
      <c r="T451" s="210"/>
      <c r="U451" s="210"/>
      <c r="V451" s="210"/>
      <c r="W451" s="210"/>
      <c r="X451" s="210"/>
      <c r="Y451" s="210"/>
      <c r="Z451" s="210"/>
    </row>
    <row r="452" ht="21.75" customHeight="1">
      <c r="A452" s="214"/>
      <c r="B452" s="221"/>
      <c r="C452" s="222">
        <v>100.0</v>
      </c>
      <c r="D452" s="223" t="s">
        <v>486</v>
      </c>
      <c r="E452" s="223" t="s">
        <v>487</v>
      </c>
      <c r="F452" s="223" t="s">
        <v>488</v>
      </c>
      <c r="G452" s="223" t="s">
        <v>489</v>
      </c>
      <c r="H452" s="224" t="s">
        <v>490</v>
      </c>
      <c r="I452" s="208"/>
      <c r="J452" s="210"/>
      <c r="K452" s="210"/>
      <c r="L452" s="210"/>
      <c r="M452" s="210"/>
      <c r="N452" s="210"/>
      <c r="O452" s="210"/>
      <c r="P452" s="210"/>
      <c r="Q452" s="210"/>
      <c r="R452" s="210"/>
      <c r="S452" s="210"/>
      <c r="T452" s="210"/>
      <c r="U452" s="210"/>
      <c r="V452" s="210"/>
      <c r="W452" s="210"/>
      <c r="X452" s="210"/>
      <c r="Y452" s="210"/>
      <c r="Z452" s="210"/>
    </row>
    <row r="453" ht="21.75" customHeight="1">
      <c r="A453" s="214"/>
      <c r="B453" s="221"/>
      <c r="C453" s="222">
        <v>101.0</v>
      </c>
      <c r="D453" s="223" t="s">
        <v>723</v>
      </c>
      <c r="E453" s="223" t="s">
        <v>487</v>
      </c>
      <c r="F453" s="223" t="s">
        <v>492</v>
      </c>
      <c r="G453" s="223" t="s">
        <v>678</v>
      </c>
      <c r="H453" s="225" t="s">
        <v>960</v>
      </c>
      <c r="I453" s="208"/>
      <c r="J453" s="210"/>
      <c r="K453" s="210"/>
      <c r="L453" s="210"/>
      <c r="M453" s="210"/>
      <c r="N453" s="210"/>
      <c r="O453" s="210"/>
      <c r="P453" s="210"/>
      <c r="Q453" s="210"/>
      <c r="R453" s="210"/>
      <c r="S453" s="210"/>
      <c r="T453" s="210"/>
      <c r="U453" s="210"/>
      <c r="V453" s="210"/>
      <c r="W453" s="210"/>
      <c r="X453" s="210"/>
      <c r="Y453" s="210"/>
      <c r="Z453" s="210"/>
    </row>
    <row r="454" ht="21.75" customHeight="1">
      <c r="A454" s="214"/>
      <c r="B454" s="221"/>
      <c r="C454" s="222">
        <v>102.0</v>
      </c>
      <c r="D454" s="223" t="s">
        <v>516</v>
      </c>
      <c r="E454" s="223" t="s">
        <v>487</v>
      </c>
      <c r="F454" s="223" t="s">
        <v>496</v>
      </c>
      <c r="G454" s="223" t="s">
        <v>493</v>
      </c>
      <c r="H454" s="225" t="s">
        <v>961</v>
      </c>
      <c r="I454" s="208"/>
      <c r="J454" s="210"/>
      <c r="K454" s="210"/>
      <c r="L454" s="210"/>
      <c r="M454" s="210"/>
      <c r="N454" s="210"/>
      <c r="O454" s="210"/>
      <c r="P454" s="210"/>
      <c r="Q454" s="210"/>
      <c r="R454" s="210"/>
      <c r="S454" s="210"/>
      <c r="T454" s="210"/>
      <c r="U454" s="210"/>
      <c r="V454" s="210"/>
      <c r="W454" s="210"/>
      <c r="X454" s="210"/>
      <c r="Y454" s="210"/>
      <c r="Z454" s="210"/>
    </row>
    <row r="455" ht="21.75" customHeight="1">
      <c r="A455" s="214"/>
      <c r="B455" s="221"/>
      <c r="C455" s="222">
        <v>103.0</v>
      </c>
      <c r="D455" s="223" t="s">
        <v>749</v>
      </c>
      <c r="E455" s="223" t="s">
        <v>487</v>
      </c>
      <c r="F455" s="223" t="s">
        <v>500</v>
      </c>
      <c r="G455" s="223" t="s">
        <v>497</v>
      </c>
      <c r="H455" s="225" t="s">
        <v>962</v>
      </c>
      <c r="I455" s="208"/>
      <c r="J455" s="210"/>
      <c r="K455" s="210"/>
      <c r="L455" s="210"/>
      <c r="M455" s="210"/>
      <c r="N455" s="210"/>
      <c r="O455" s="210"/>
      <c r="P455" s="210"/>
      <c r="Q455" s="210"/>
      <c r="R455" s="210"/>
      <c r="S455" s="210"/>
      <c r="T455" s="210"/>
      <c r="U455" s="210"/>
      <c r="V455" s="210"/>
      <c r="W455" s="210"/>
      <c r="X455" s="210"/>
      <c r="Y455" s="210"/>
      <c r="Z455" s="210"/>
    </row>
    <row r="456" ht="21.75" customHeight="1">
      <c r="A456" s="214"/>
      <c r="B456" s="221"/>
      <c r="C456" s="222">
        <v>104.0</v>
      </c>
      <c r="D456" s="223" t="s">
        <v>750</v>
      </c>
      <c r="E456" s="223" t="s">
        <v>487</v>
      </c>
      <c r="F456" s="223" t="s">
        <v>512</v>
      </c>
      <c r="G456" s="223" t="s">
        <v>501</v>
      </c>
      <c r="H456" s="225" t="s">
        <v>963</v>
      </c>
      <c r="I456" s="208"/>
      <c r="J456" s="210"/>
      <c r="K456" s="210"/>
      <c r="L456" s="210"/>
      <c r="M456" s="210"/>
      <c r="N456" s="210"/>
      <c r="O456" s="210"/>
      <c r="P456" s="210"/>
      <c r="Q456" s="210"/>
      <c r="R456" s="210"/>
      <c r="S456" s="210"/>
      <c r="T456" s="210"/>
      <c r="U456" s="210"/>
      <c r="V456" s="210"/>
      <c r="W456" s="210"/>
      <c r="X456" s="210"/>
      <c r="Y456" s="210"/>
      <c r="Z456" s="210"/>
    </row>
    <row r="457" ht="21.75" customHeight="1">
      <c r="A457" s="214"/>
      <c r="B457" s="221"/>
      <c r="C457" s="222">
        <v>105.0</v>
      </c>
      <c r="D457" s="223" t="s">
        <v>964</v>
      </c>
      <c r="E457" s="223" t="s">
        <v>487</v>
      </c>
      <c r="F457" s="223" t="s">
        <v>532</v>
      </c>
      <c r="G457" s="223" t="s">
        <v>594</v>
      </c>
      <c r="H457" s="224" t="s">
        <v>490</v>
      </c>
      <c r="I457" s="208"/>
      <c r="J457" s="210"/>
      <c r="K457" s="210"/>
      <c r="L457" s="210"/>
      <c r="M457" s="210"/>
      <c r="N457" s="210"/>
      <c r="O457" s="210"/>
      <c r="P457" s="210"/>
      <c r="Q457" s="210"/>
      <c r="R457" s="210"/>
      <c r="S457" s="210"/>
      <c r="T457" s="210"/>
      <c r="U457" s="210"/>
      <c r="V457" s="210"/>
      <c r="W457" s="210"/>
      <c r="X457" s="210"/>
      <c r="Y457" s="210"/>
      <c r="Z457" s="210"/>
    </row>
    <row r="458" ht="21.75" customHeight="1">
      <c r="A458" s="214"/>
      <c r="B458" s="221"/>
      <c r="C458" s="222">
        <v>106.0</v>
      </c>
      <c r="D458" s="223" t="s">
        <v>519</v>
      </c>
      <c r="E458" s="223" t="s">
        <v>508</v>
      </c>
      <c r="F458" s="223" t="s">
        <v>509</v>
      </c>
      <c r="G458" s="223" t="s">
        <v>510</v>
      </c>
      <c r="H458" s="225" t="s">
        <v>965</v>
      </c>
      <c r="I458" s="208"/>
      <c r="J458" s="210"/>
      <c r="K458" s="210"/>
      <c r="L458" s="210"/>
      <c r="M458" s="210"/>
      <c r="N458" s="210"/>
      <c r="O458" s="210"/>
      <c r="P458" s="210"/>
      <c r="Q458" s="210"/>
      <c r="R458" s="210"/>
      <c r="S458" s="210"/>
      <c r="T458" s="210"/>
      <c r="U458" s="210"/>
      <c r="V458" s="210"/>
      <c r="W458" s="210"/>
      <c r="X458" s="210"/>
      <c r="Y458" s="210"/>
      <c r="Z458" s="210"/>
    </row>
    <row r="459" ht="21.75" customHeight="1">
      <c r="A459" s="214"/>
      <c r="B459" s="221"/>
      <c r="C459" s="226">
        <v>50466.0</v>
      </c>
      <c r="D459" s="221"/>
      <c r="E459" s="221"/>
      <c r="F459" s="221"/>
      <c r="G459" s="221"/>
      <c r="H459" s="221"/>
      <c r="I459" s="208"/>
      <c r="J459" s="210"/>
      <c r="K459" s="210"/>
      <c r="L459" s="210"/>
      <c r="M459" s="210"/>
      <c r="N459" s="210"/>
      <c r="O459" s="210"/>
      <c r="P459" s="210"/>
      <c r="Q459" s="210"/>
      <c r="R459" s="210"/>
      <c r="S459" s="210"/>
      <c r="T459" s="210"/>
      <c r="U459" s="210"/>
      <c r="V459" s="210"/>
      <c r="W459" s="210"/>
      <c r="X459" s="210"/>
      <c r="Y459" s="210"/>
      <c r="Z459" s="210"/>
    </row>
    <row r="460" ht="21.75" customHeight="1">
      <c r="A460" s="214"/>
      <c r="B460" s="221"/>
      <c r="C460" s="222">
        <v>100.0</v>
      </c>
      <c r="D460" s="223" t="s">
        <v>486</v>
      </c>
      <c r="E460" s="223" t="s">
        <v>487</v>
      </c>
      <c r="F460" s="223" t="s">
        <v>488</v>
      </c>
      <c r="G460" s="223" t="s">
        <v>489</v>
      </c>
      <c r="H460" s="224" t="s">
        <v>490</v>
      </c>
      <c r="I460" s="208"/>
      <c r="J460" s="210"/>
      <c r="K460" s="210"/>
      <c r="L460" s="210"/>
      <c r="M460" s="210"/>
      <c r="N460" s="210"/>
      <c r="O460" s="210"/>
      <c r="P460" s="210"/>
      <c r="Q460" s="210"/>
      <c r="R460" s="210"/>
      <c r="S460" s="210"/>
      <c r="T460" s="210"/>
      <c r="U460" s="210"/>
      <c r="V460" s="210"/>
      <c r="W460" s="210"/>
      <c r="X460" s="210"/>
      <c r="Y460" s="210"/>
      <c r="Z460" s="210"/>
    </row>
    <row r="461" ht="21.75" customHeight="1">
      <c r="A461" s="214"/>
      <c r="B461" s="221"/>
      <c r="C461" s="222">
        <v>101.0</v>
      </c>
      <c r="D461" s="223" t="s">
        <v>723</v>
      </c>
      <c r="E461" s="223" t="s">
        <v>487</v>
      </c>
      <c r="F461" s="223" t="s">
        <v>492</v>
      </c>
      <c r="G461" s="223" t="s">
        <v>678</v>
      </c>
      <c r="H461" s="225" t="s">
        <v>966</v>
      </c>
      <c r="I461" s="208"/>
      <c r="J461" s="210"/>
      <c r="K461" s="210"/>
      <c r="L461" s="210"/>
      <c r="M461" s="210"/>
      <c r="N461" s="210"/>
      <c r="O461" s="210"/>
      <c r="P461" s="210"/>
      <c r="Q461" s="210"/>
      <c r="R461" s="210"/>
      <c r="S461" s="210"/>
      <c r="T461" s="210"/>
      <c r="U461" s="210"/>
      <c r="V461" s="210"/>
      <c r="W461" s="210"/>
      <c r="X461" s="210"/>
      <c r="Y461" s="210"/>
      <c r="Z461" s="210"/>
    </row>
    <row r="462" ht="21.75" customHeight="1">
      <c r="A462" s="214"/>
      <c r="B462" s="221"/>
      <c r="C462" s="222">
        <v>102.0</v>
      </c>
      <c r="D462" s="223" t="s">
        <v>516</v>
      </c>
      <c r="E462" s="223" t="s">
        <v>487</v>
      </c>
      <c r="F462" s="223" t="s">
        <v>496</v>
      </c>
      <c r="G462" s="223" t="s">
        <v>493</v>
      </c>
      <c r="H462" s="225" t="s">
        <v>967</v>
      </c>
      <c r="I462" s="208"/>
      <c r="J462" s="210"/>
      <c r="K462" s="210"/>
      <c r="L462" s="210"/>
      <c r="M462" s="210"/>
      <c r="N462" s="210"/>
      <c r="O462" s="210"/>
      <c r="P462" s="210"/>
      <c r="Q462" s="210"/>
      <c r="R462" s="210"/>
      <c r="S462" s="210"/>
      <c r="T462" s="210"/>
      <c r="U462" s="210"/>
      <c r="V462" s="210"/>
      <c r="W462" s="210"/>
      <c r="X462" s="210"/>
      <c r="Y462" s="210"/>
      <c r="Z462" s="210"/>
    </row>
    <row r="463" ht="21.75" customHeight="1">
      <c r="A463" s="214"/>
      <c r="B463" s="221"/>
      <c r="C463" s="222">
        <v>103.0</v>
      </c>
      <c r="D463" s="223" t="s">
        <v>749</v>
      </c>
      <c r="E463" s="223" t="s">
        <v>487</v>
      </c>
      <c r="F463" s="223" t="s">
        <v>500</v>
      </c>
      <c r="G463" s="223" t="s">
        <v>497</v>
      </c>
      <c r="H463" s="225" t="s">
        <v>968</v>
      </c>
      <c r="I463" s="208"/>
      <c r="J463" s="210"/>
      <c r="K463" s="210"/>
      <c r="L463" s="210"/>
      <c r="M463" s="210"/>
      <c r="N463" s="210"/>
      <c r="O463" s="210"/>
      <c r="P463" s="210"/>
      <c r="Q463" s="210"/>
      <c r="R463" s="210"/>
      <c r="S463" s="210"/>
      <c r="T463" s="210"/>
      <c r="U463" s="210"/>
      <c r="V463" s="210"/>
      <c r="W463" s="210"/>
      <c r="X463" s="210"/>
      <c r="Y463" s="210"/>
      <c r="Z463" s="210"/>
    </row>
    <row r="464" ht="21.75" customHeight="1">
      <c r="A464" s="214"/>
      <c r="B464" s="221"/>
      <c r="C464" s="222">
        <v>104.0</v>
      </c>
      <c r="D464" s="223" t="s">
        <v>750</v>
      </c>
      <c r="E464" s="223" t="s">
        <v>487</v>
      </c>
      <c r="F464" s="223" t="s">
        <v>512</v>
      </c>
      <c r="G464" s="223" t="s">
        <v>501</v>
      </c>
      <c r="H464" s="225" t="s">
        <v>969</v>
      </c>
      <c r="I464" s="208"/>
      <c r="J464" s="210"/>
      <c r="K464" s="210"/>
      <c r="L464" s="210"/>
      <c r="M464" s="210"/>
      <c r="N464" s="210"/>
      <c r="O464" s="210"/>
      <c r="P464" s="210"/>
      <c r="Q464" s="210"/>
      <c r="R464" s="210"/>
      <c r="S464" s="210"/>
      <c r="T464" s="210"/>
      <c r="U464" s="210"/>
      <c r="V464" s="210"/>
      <c r="W464" s="210"/>
      <c r="X464" s="210"/>
      <c r="Y464" s="210"/>
      <c r="Z464" s="210"/>
    </row>
    <row r="465" ht="21.75" customHeight="1">
      <c r="A465" s="228"/>
      <c r="B465" s="221"/>
      <c r="C465" s="222">
        <v>105.0</v>
      </c>
      <c r="D465" s="223" t="s">
        <v>519</v>
      </c>
      <c r="E465" s="223" t="s">
        <v>508</v>
      </c>
      <c r="F465" s="223" t="s">
        <v>509</v>
      </c>
      <c r="G465" s="223" t="s">
        <v>510</v>
      </c>
      <c r="H465" s="225" t="s">
        <v>970</v>
      </c>
      <c r="I465" s="208"/>
      <c r="J465" s="210"/>
      <c r="K465" s="210"/>
      <c r="L465" s="210"/>
      <c r="M465" s="210"/>
      <c r="N465" s="210"/>
      <c r="O465" s="210"/>
      <c r="P465" s="210"/>
      <c r="Q465" s="210"/>
      <c r="R465" s="210"/>
      <c r="S465" s="210"/>
      <c r="T465" s="210"/>
      <c r="U465" s="210"/>
      <c r="V465" s="210"/>
      <c r="W465" s="210"/>
      <c r="X465" s="210"/>
      <c r="Y465" s="210"/>
      <c r="Z465" s="210"/>
    </row>
    <row r="466" ht="21.75" customHeight="1">
      <c r="A466" s="214">
        <v>173.0</v>
      </c>
      <c r="B466" s="215" t="s">
        <v>971</v>
      </c>
      <c r="C466" s="216"/>
      <c r="D466" s="217"/>
      <c r="E466" s="217"/>
      <c r="F466" s="217"/>
      <c r="G466" s="217"/>
      <c r="H466" s="217"/>
      <c r="I466" s="208"/>
      <c r="J466" s="210"/>
      <c r="K466" s="210"/>
      <c r="L466" s="210"/>
      <c r="M466" s="210"/>
      <c r="N466" s="210"/>
      <c r="O466" s="210"/>
      <c r="P466" s="210"/>
      <c r="Q466" s="210"/>
      <c r="R466" s="210"/>
      <c r="S466" s="210"/>
      <c r="T466" s="210"/>
      <c r="U466" s="210"/>
      <c r="V466" s="210"/>
      <c r="W466" s="210"/>
      <c r="X466" s="210"/>
      <c r="Y466" s="210"/>
      <c r="Z466" s="210"/>
    </row>
    <row r="467" ht="21.75" customHeight="1">
      <c r="A467" s="214"/>
      <c r="B467" s="218" t="s">
        <v>972</v>
      </c>
      <c r="C467" s="219">
        <v>50496.0</v>
      </c>
      <c r="D467" s="220" t="s">
        <v>651</v>
      </c>
      <c r="E467" s="220"/>
      <c r="F467" s="220"/>
      <c r="G467" s="220"/>
      <c r="H467" s="220"/>
      <c r="I467" s="208"/>
      <c r="J467" s="210"/>
      <c r="K467" s="210"/>
      <c r="L467" s="210"/>
      <c r="M467" s="210"/>
      <c r="N467" s="210"/>
      <c r="O467" s="210"/>
      <c r="P467" s="210"/>
      <c r="Q467" s="210"/>
      <c r="R467" s="210"/>
      <c r="S467" s="210"/>
      <c r="T467" s="210"/>
      <c r="U467" s="210"/>
      <c r="V467" s="210"/>
      <c r="W467" s="210"/>
      <c r="X467" s="210"/>
      <c r="Y467" s="210"/>
      <c r="Z467" s="210"/>
    </row>
    <row r="468" ht="21.75" customHeight="1">
      <c r="A468" s="214"/>
      <c r="B468" s="221"/>
      <c r="C468" s="222">
        <v>100.0</v>
      </c>
      <c r="D468" s="223" t="s">
        <v>973</v>
      </c>
      <c r="E468" s="223" t="s">
        <v>487</v>
      </c>
      <c r="F468" s="223" t="s">
        <v>488</v>
      </c>
      <c r="G468" s="223" t="s">
        <v>497</v>
      </c>
      <c r="H468" s="225" t="s">
        <v>974</v>
      </c>
      <c r="I468" s="208"/>
      <c r="J468" s="210"/>
      <c r="K468" s="210"/>
      <c r="L468" s="210"/>
      <c r="M468" s="210"/>
      <c r="N468" s="210"/>
      <c r="O468" s="210"/>
      <c r="P468" s="210"/>
      <c r="Q468" s="210"/>
      <c r="R468" s="210"/>
      <c r="S468" s="210"/>
      <c r="T468" s="210"/>
      <c r="U468" s="210"/>
      <c r="V468" s="210"/>
      <c r="W468" s="210"/>
      <c r="X468" s="210"/>
      <c r="Y468" s="210"/>
      <c r="Z468" s="210"/>
    </row>
    <row r="469" ht="21.75" customHeight="1">
      <c r="A469" s="214"/>
      <c r="B469" s="221"/>
      <c r="C469" s="222">
        <v>101.0</v>
      </c>
      <c r="D469" s="223" t="s">
        <v>975</v>
      </c>
      <c r="E469" s="223" t="s">
        <v>685</v>
      </c>
      <c r="F469" s="223" t="s">
        <v>976</v>
      </c>
      <c r="G469" s="218" t="s">
        <v>490</v>
      </c>
      <c r="H469" s="225" t="s">
        <v>977</v>
      </c>
      <c r="I469" s="208"/>
      <c r="J469" s="210"/>
      <c r="K469" s="210"/>
      <c r="L469" s="210"/>
      <c r="M469" s="210"/>
      <c r="N469" s="210"/>
      <c r="O469" s="210"/>
      <c r="P469" s="210"/>
      <c r="Q469" s="210"/>
      <c r="R469" s="210"/>
      <c r="S469" s="210"/>
      <c r="T469" s="210"/>
      <c r="U469" s="210"/>
      <c r="V469" s="210"/>
      <c r="W469" s="210"/>
      <c r="X469" s="210"/>
      <c r="Y469" s="210"/>
      <c r="Z469" s="210"/>
    </row>
    <row r="470" ht="21.75" customHeight="1">
      <c r="A470" s="214"/>
      <c r="B470" s="221"/>
      <c r="C470" s="222">
        <v>103.0</v>
      </c>
      <c r="D470" s="223" t="s">
        <v>975</v>
      </c>
      <c r="E470" s="223" t="s">
        <v>685</v>
      </c>
      <c r="F470" s="223" t="s">
        <v>978</v>
      </c>
      <c r="G470" s="218" t="s">
        <v>490</v>
      </c>
      <c r="H470" s="225" t="s">
        <v>979</v>
      </c>
      <c r="I470" s="208"/>
      <c r="J470" s="210"/>
      <c r="K470" s="210"/>
      <c r="L470" s="210"/>
      <c r="M470" s="210"/>
      <c r="N470" s="210"/>
      <c r="O470" s="210"/>
      <c r="P470" s="210"/>
      <c r="Q470" s="210"/>
      <c r="R470" s="210"/>
      <c r="S470" s="210"/>
      <c r="T470" s="210"/>
      <c r="U470" s="210"/>
      <c r="V470" s="210"/>
      <c r="W470" s="210"/>
      <c r="X470" s="210"/>
      <c r="Y470" s="210"/>
      <c r="Z470" s="210"/>
    </row>
    <row r="471" ht="21.75" customHeight="1">
      <c r="A471" s="214"/>
      <c r="B471" s="221"/>
      <c r="C471" s="222">
        <v>200.0</v>
      </c>
      <c r="D471" s="223" t="s">
        <v>980</v>
      </c>
      <c r="E471" s="223" t="s">
        <v>487</v>
      </c>
      <c r="F471" s="223" t="s">
        <v>492</v>
      </c>
      <c r="G471" s="223" t="s">
        <v>493</v>
      </c>
      <c r="H471" s="225" t="s">
        <v>981</v>
      </c>
      <c r="I471" s="208"/>
      <c r="J471" s="210"/>
      <c r="K471" s="210"/>
      <c r="L471" s="210"/>
      <c r="M471" s="210"/>
      <c r="N471" s="210"/>
      <c r="O471" s="210"/>
      <c r="P471" s="210"/>
      <c r="Q471" s="210"/>
      <c r="R471" s="210"/>
      <c r="S471" s="210"/>
      <c r="T471" s="210"/>
      <c r="U471" s="210"/>
      <c r="V471" s="210"/>
      <c r="W471" s="210"/>
      <c r="X471" s="210"/>
      <c r="Y471" s="210"/>
      <c r="Z471" s="210"/>
    </row>
    <row r="472" ht="21.75" customHeight="1">
      <c r="A472" s="214"/>
      <c r="B472" s="221"/>
      <c r="C472" s="222">
        <v>300.0</v>
      </c>
      <c r="D472" s="223" t="s">
        <v>982</v>
      </c>
      <c r="E472" s="223" t="s">
        <v>529</v>
      </c>
      <c r="F472" s="223" t="s">
        <v>530</v>
      </c>
      <c r="G472" s="218" t="s">
        <v>490</v>
      </c>
      <c r="H472" s="225" t="s">
        <v>983</v>
      </c>
      <c r="I472" s="208"/>
      <c r="J472" s="210"/>
      <c r="K472" s="210"/>
      <c r="L472" s="210"/>
      <c r="M472" s="210"/>
      <c r="N472" s="210"/>
      <c r="O472" s="210"/>
      <c r="P472" s="210"/>
      <c r="Q472" s="210"/>
      <c r="R472" s="210"/>
      <c r="S472" s="210"/>
      <c r="T472" s="210"/>
      <c r="U472" s="210"/>
      <c r="V472" s="210"/>
      <c r="W472" s="210"/>
      <c r="X472" s="210"/>
      <c r="Y472" s="210"/>
      <c r="Z472" s="210"/>
    </row>
    <row r="473" ht="21.75" customHeight="1">
      <c r="A473" s="214"/>
      <c r="B473" s="221"/>
      <c r="C473" s="222">
        <v>301.0</v>
      </c>
      <c r="D473" s="223" t="s">
        <v>984</v>
      </c>
      <c r="E473" s="223" t="s">
        <v>539</v>
      </c>
      <c r="F473" s="223" t="s">
        <v>542</v>
      </c>
      <c r="G473" s="218" t="s">
        <v>490</v>
      </c>
      <c r="H473" s="225" t="s">
        <v>985</v>
      </c>
      <c r="I473" s="208"/>
      <c r="J473" s="210"/>
      <c r="K473" s="210"/>
      <c r="L473" s="210"/>
      <c r="M473" s="210"/>
      <c r="N473" s="210"/>
      <c r="O473" s="210"/>
      <c r="P473" s="210"/>
      <c r="Q473" s="210"/>
      <c r="R473" s="210"/>
      <c r="S473" s="210"/>
      <c r="T473" s="210"/>
      <c r="U473" s="210"/>
      <c r="V473" s="210"/>
      <c r="W473" s="210"/>
      <c r="X473" s="210"/>
      <c r="Y473" s="210"/>
      <c r="Z473" s="210"/>
    </row>
    <row r="474" ht="21.75" customHeight="1">
      <c r="A474" s="214"/>
      <c r="B474" s="221"/>
      <c r="C474" s="222">
        <v>400.0</v>
      </c>
      <c r="D474" s="223" t="s">
        <v>986</v>
      </c>
      <c r="E474" s="223" t="s">
        <v>487</v>
      </c>
      <c r="F474" s="223" t="s">
        <v>579</v>
      </c>
      <c r="G474" s="223" t="s">
        <v>987</v>
      </c>
      <c r="H474" s="225" t="s">
        <v>988</v>
      </c>
      <c r="I474" s="208"/>
      <c r="J474" s="210"/>
      <c r="K474" s="210"/>
      <c r="L474" s="210"/>
      <c r="M474" s="210"/>
      <c r="N474" s="210"/>
      <c r="O474" s="210"/>
      <c r="P474" s="210"/>
      <c r="Q474" s="210"/>
      <c r="R474" s="210"/>
      <c r="S474" s="210"/>
      <c r="T474" s="210"/>
      <c r="U474" s="210"/>
      <c r="V474" s="210"/>
      <c r="W474" s="210"/>
      <c r="X474" s="210"/>
      <c r="Y474" s="210"/>
      <c r="Z474" s="210"/>
    </row>
    <row r="475" ht="21.75" customHeight="1">
      <c r="A475" s="214"/>
      <c r="B475" s="221"/>
      <c r="C475" s="222">
        <v>401.0</v>
      </c>
      <c r="D475" s="223" t="s">
        <v>975</v>
      </c>
      <c r="E475" s="223" t="s">
        <v>685</v>
      </c>
      <c r="F475" s="223" t="s">
        <v>745</v>
      </c>
      <c r="G475" s="218" t="s">
        <v>490</v>
      </c>
      <c r="H475" s="225" t="s">
        <v>989</v>
      </c>
      <c r="I475" s="208"/>
      <c r="J475" s="210"/>
      <c r="K475" s="210"/>
      <c r="L475" s="210"/>
      <c r="M475" s="210"/>
      <c r="N475" s="210"/>
      <c r="O475" s="210"/>
      <c r="P475" s="210"/>
      <c r="Q475" s="210"/>
      <c r="R475" s="210"/>
      <c r="S475" s="210"/>
      <c r="T475" s="210"/>
      <c r="U475" s="210"/>
      <c r="V475" s="210"/>
      <c r="W475" s="210"/>
      <c r="X475" s="210"/>
      <c r="Y475" s="210"/>
      <c r="Z475" s="210"/>
    </row>
    <row r="476" ht="21.75" customHeight="1">
      <c r="A476" s="214"/>
      <c r="B476" s="221"/>
      <c r="C476" s="222">
        <v>402.0</v>
      </c>
      <c r="D476" s="223" t="s">
        <v>975</v>
      </c>
      <c r="E476" s="223" t="s">
        <v>685</v>
      </c>
      <c r="F476" s="223" t="s">
        <v>990</v>
      </c>
      <c r="G476" s="218" t="s">
        <v>490</v>
      </c>
      <c r="H476" s="225" t="s">
        <v>991</v>
      </c>
      <c r="I476" s="208"/>
      <c r="J476" s="210"/>
      <c r="K476" s="210"/>
      <c r="L476" s="210"/>
      <c r="M476" s="210"/>
      <c r="N476" s="210"/>
      <c r="O476" s="210"/>
      <c r="P476" s="210"/>
      <c r="Q476" s="210"/>
      <c r="R476" s="210"/>
      <c r="S476" s="210"/>
      <c r="T476" s="210"/>
      <c r="U476" s="210"/>
      <c r="V476" s="210"/>
      <c r="W476" s="210"/>
      <c r="X476" s="210"/>
      <c r="Y476" s="210"/>
      <c r="Z476" s="210"/>
    </row>
    <row r="477" ht="21.75" customHeight="1">
      <c r="A477" s="214"/>
      <c r="B477" s="221"/>
      <c r="C477" s="222">
        <v>500.0</v>
      </c>
      <c r="D477" s="223" t="s">
        <v>984</v>
      </c>
      <c r="E477" s="223" t="s">
        <v>487</v>
      </c>
      <c r="F477" s="223" t="s">
        <v>496</v>
      </c>
      <c r="G477" s="223" t="s">
        <v>606</v>
      </c>
      <c r="H477" s="224" t="s">
        <v>490</v>
      </c>
      <c r="I477" s="208"/>
      <c r="J477" s="210"/>
      <c r="K477" s="210"/>
      <c r="L477" s="210"/>
      <c r="M477" s="210"/>
      <c r="N477" s="210"/>
      <c r="O477" s="210"/>
      <c r="P477" s="210"/>
      <c r="Q477" s="210"/>
      <c r="R477" s="210"/>
      <c r="S477" s="210"/>
      <c r="T477" s="210"/>
      <c r="U477" s="210"/>
      <c r="V477" s="210"/>
      <c r="W477" s="210"/>
      <c r="X477" s="210"/>
      <c r="Y477" s="210"/>
      <c r="Z477" s="210"/>
    </row>
    <row r="478" ht="21.75" customHeight="1">
      <c r="A478" s="214"/>
      <c r="B478" s="221"/>
      <c r="C478" s="222">
        <v>501.0</v>
      </c>
      <c r="D478" s="223" t="s">
        <v>992</v>
      </c>
      <c r="E478" s="223" t="s">
        <v>539</v>
      </c>
      <c r="F478" s="223" t="s">
        <v>621</v>
      </c>
      <c r="G478" s="218" t="s">
        <v>490</v>
      </c>
      <c r="H478" s="225" t="s">
        <v>993</v>
      </c>
      <c r="I478" s="208"/>
      <c r="J478" s="210"/>
      <c r="K478" s="210"/>
      <c r="L478" s="210"/>
      <c r="M478" s="210"/>
      <c r="N478" s="210"/>
      <c r="O478" s="210"/>
      <c r="P478" s="210"/>
      <c r="Q478" s="210"/>
      <c r="R478" s="210"/>
      <c r="S478" s="210"/>
      <c r="T478" s="210"/>
      <c r="U478" s="210"/>
      <c r="V478" s="210"/>
      <c r="W478" s="210"/>
      <c r="X478" s="210"/>
      <c r="Y478" s="210"/>
      <c r="Z478" s="210"/>
    </row>
    <row r="479" ht="21.75" customHeight="1">
      <c r="A479" s="214"/>
      <c r="B479" s="221"/>
      <c r="C479" s="222">
        <v>502.0</v>
      </c>
      <c r="D479" s="223" t="s">
        <v>994</v>
      </c>
      <c r="E479" s="223" t="s">
        <v>508</v>
      </c>
      <c r="F479" s="223" t="s">
        <v>509</v>
      </c>
      <c r="G479" s="223" t="s">
        <v>510</v>
      </c>
      <c r="H479" s="225" t="s">
        <v>995</v>
      </c>
      <c r="I479" s="208"/>
      <c r="J479" s="210"/>
      <c r="K479" s="210"/>
      <c r="L479" s="210"/>
      <c r="M479" s="210"/>
      <c r="N479" s="210"/>
      <c r="O479" s="210"/>
      <c r="P479" s="210"/>
      <c r="Q479" s="210"/>
      <c r="R479" s="210"/>
      <c r="S479" s="210"/>
      <c r="T479" s="210"/>
      <c r="U479" s="210"/>
      <c r="V479" s="210"/>
      <c r="W479" s="210"/>
      <c r="X479" s="210"/>
      <c r="Y479" s="210"/>
      <c r="Z479" s="210"/>
    </row>
    <row r="480" ht="21.75" customHeight="1">
      <c r="A480" s="214"/>
      <c r="B480" s="221"/>
      <c r="C480" s="222">
        <v>503.0</v>
      </c>
      <c r="D480" s="223" t="s">
        <v>996</v>
      </c>
      <c r="E480" s="223" t="s">
        <v>487</v>
      </c>
      <c r="F480" s="223" t="s">
        <v>590</v>
      </c>
      <c r="G480" s="223" t="s">
        <v>997</v>
      </c>
      <c r="H480" s="225" t="s">
        <v>998</v>
      </c>
      <c r="I480" s="208"/>
      <c r="J480" s="210"/>
      <c r="K480" s="210"/>
      <c r="L480" s="210"/>
      <c r="M480" s="210"/>
      <c r="N480" s="210"/>
      <c r="O480" s="210"/>
      <c r="P480" s="210"/>
      <c r="Q480" s="210"/>
      <c r="R480" s="210"/>
      <c r="S480" s="210"/>
      <c r="T480" s="210"/>
      <c r="U480" s="210"/>
      <c r="V480" s="210"/>
      <c r="W480" s="210"/>
      <c r="X480" s="210"/>
      <c r="Y480" s="210"/>
      <c r="Z480" s="210"/>
    </row>
    <row r="481" ht="21.75" customHeight="1">
      <c r="A481" s="214"/>
      <c r="B481" s="221"/>
      <c r="C481" s="222">
        <v>504.0</v>
      </c>
      <c r="D481" s="223" t="s">
        <v>999</v>
      </c>
      <c r="E481" s="223" t="s">
        <v>487</v>
      </c>
      <c r="F481" s="223" t="s">
        <v>603</v>
      </c>
      <c r="G481" s="223" t="s">
        <v>513</v>
      </c>
      <c r="H481" s="224" t="s">
        <v>490</v>
      </c>
      <c r="I481" s="208"/>
      <c r="J481" s="210"/>
      <c r="K481" s="210"/>
      <c r="L481" s="210"/>
      <c r="M481" s="210"/>
      <c r="N481" s="210"/>
      <c r="O481" s="210"/>
      <c r="P481" s="210"/>
      <c r="Q481" s="210"/>
      <c r="R481" s="210"/>
      <c r="S481" s="210"/>
      <c r="T481" s="210"/>
      <c r="U481" s="210"/>
      <c r="V481" s="210"/>
      <c r="W481" s="210"/>
      <c r="X481" s="210"/>
      <c r="Y481" s="210"/>
      <c r="Z481" s="210"/>
    </row>
    <row r="482" ht="21.75" customHeight="1">
      <c r="A482" s="214"/>
      <c r="B482" s="221"/>
      <c r="C482" s="222">
        <v>505.0</v>
      </c>
      <c r="D482" s="223" t="s">
        <v>982</v>
      </c>
      <c r="E482" s="223" t="s">
        <v>487</v>
      </c>
      <c r="F482" s="223" t="s">
        <v>826</v>
      </c>
      <c r="G482" s="223" t="s">
        <v>526</v>
      </c>
      <c r="H482" s="224" t="s">
        <v>490</v>
      </c>
      <c r="I482" s="208"/>
      <c r="J482" s="210"/>
      <c r="K482" s="210"/>
      <c r="L482" s="210"/>
      <c r="M482" s="210"/>
      <c r="N482" s="210"/>
      <c r="O482" s="210"/>
      <c r="P482" s="210"/>
      <c r="Q482" s="210"/>
      <c r="R482" s="210"/>
      <c r="S482" s="210"/>
      <c r="T482" s="210"/>
      <c r="U482" s="210"/>
      <c r="V482" s="210"/>
      <c r="W482" s="210"/>
      <c r="X482" s="210"/>
      <c r="Y482" s="210"/>
      <c r="Z482" s="210"/>
    </row>
    <row r="483" ht="21.75" customHeight="1">
      <c r="A483" s="214"/>
      <c r="B483" s="221"/>
      <c r="C483" s="222">
        <v>506.0</v>
      </c>
      <c r="D483" s="223" t="s">
        <v>696</v>
      </c>
      <c r="E483" s="223" t="s">
        <v>673</v>
      </c>
      <c r="F483" s="223" t="s">
        <v>696</v>
      </c>
      <c r="G483" s="218" t="s">
        <v>490</v>
      </c>
      <c r="H483" s="224" t="s">
        <v>490</v>
      </c>
      <c r="I483" s="208"/>
      <c r="J483" s="210"/>
      <c r="K483" s="210"/>
      <c r="L483" s="210"/>
      <c r="M483" s="210"/>
      <c r="N483" s="210"/>
      <c r="O483" s="210"/>
      <c r="P483" s="210"/>
      <c r="Q483" s="210"/>
      <c r="R483" s="210"/>
      <c r="S483" s="210"/>
      <c r="T483" s="210"/>
      <c r="U483" s="210"/>
      <c r="V483" s="210"/>
      <c r="W483" s="210"/>
      <c r="X483" s="210"/>
      <c r="Y483" s="210"/>
      <c r="Z483" s="210"/>
    </row>
    <row r="484" ht="21.75" customHeight="1">
      <c r="A484" s="214"/>
      <c r="B484" s="221"/>
      <c r="C484" s="222">
        <v>507.0</v>
      </c>
      <c r="D484" s="223" t="s">
        <v>253</v>
      </c>
      <c r="E484" s="223" t="s">
        <v>487</v>
      </c>
      <c r="F484" s="223" t="s">
        <v>500</v>
      </c>
      <c r="G484" s="218" t="s">
        <v>490</v>
      </c>
      <c r="H484" s="224" t="s">
        <v>490</v>
      </c>
      <c r="I484" s="208"/>
      <c r="J484" s="210"/>
      <c r="K484" s="210"/>
      <c r="L484" s="210"/>
      <c r="M484" s="210"/>
      <c r="N484" s="210"/>
      <c r="O484" s="210"/>
      <c r="P484" s="210"/>
      <c r="Q484" s="210"/>
      <c r="R484" s="210"/>
      <c r="S484" s="210"/>
      <c r="T484" s="210"/>
      <c r="U484" s="210"/>
      <c r="V484" s="210"/>
      <c r="W484" s="210"/>
      <c r="X484" s="210"/>
      <c r="Y484" s="210"/>
      <c r="Z484" s="210"/>
    </row>
    <row r="485" ht="21.75" customHeight="1">
      <c r="A485" s="214"/>
      <c r="B485" s="221"/>
      <c r="C485" s="222">
        <v>508.0</v>
      </c>
      <c r="D485" s="223" t="s">
        <v>1000</v>
      </c>
      <c r="E485" s="223" t="s">
        <v>487</v>
      </c>
      <c r="F485" s="223" t="s">
        <v>1001</v>
      </c>
      <c r="G485" s="218" t="s">
        <v>490</v>
      </c>
      <c r="H485" s="224" t="s">
        <v>490</v>
      </c>
      <c r="I485" s="208"/>
      <c r="J485" s="210"/>
      <c r="K485" s="210"/>
      <c r="L485" s="210"/>
      <c r="M485" s="210"/>
      <c r="N485" s="210"/>
      <c r="O485" s="210"/>
      <c r="P485" s="210"/>
      <c r="Q485" s="210"/>
      <c r="R485" s="210"/>
      <c r="S485" s="210"/>
      <c r="T485" s="210"/>
      <c r="U485" s="210"/>
      <c r="V485" s="210"/>
      <c r="W485" s="210"/>
      <c r="X485" s="210"/>
      <c r="Y485" s="210"/>
      <c r="Z485" s="210"/>
    </row>
    <row r="486" ht="21.75" customHeight="1">
      <c r="A486" s="214"/>
      <c r="B486" s="221"/>
      <c r="C486" s="222">
        <v>509.0</v>
      </c>
      <c r="D486" s="223" t="s">
        <v>1002</v>
      </c>
      <c r="E486" s="223" t="s">
        <v>539</v>
      </c>
      <c r="F486" s="223" t="s">
        <v>824</v>
      </c>
      <c r="G486" s="218" t="s">
        <v>490</v>
      </c>
      <c r="H486" s="224" t="s">
        <v>490</v>
      </c>
      <c r="I486" s="208"/>
      <c r="J486" s="210"/>
      <c r="K486" s="210"/>
      <c r="L486" s="210"/>
      <c r="M486" s="210"/>
      <c r="N486" s="210"/>
      <c r="O486" s="210"/>
      <c r="P486" s="210"/>
      <c r="Q486" s="210"/>
      <c r="R486" s="210"/>
      <c r="S486" s="210"/>
      <c r="T486" s="210"/>
      <c r="U486" s="210"/>
      <c r="V486" s="210"/>
      <c r="W486" s="210"/>
      <c r="X486" s="210"/>
      <c r="Y486" s="210"/>
      <c r="Z486" s="210"/>
    </row>
    <row r="487" ht="21.75" customHeight="1">
      <c r="A487" s="214"/>
      <c r="B487" s="221"/>
      <c r="C487" s="222">
        <v>510.0</v>
      </c>
      <c r="D487" s="223" t="s">
        <v>1003</v>
      </c>
      <c r="E487" s="223" t="s">
        <v>539</v>
      </c>
      <c r="F487" s="223" t="s">
        <v>625</v>
      </c>
      <c r="G487" s="218" t="s">
        <v>490</v>
      </c>
      <c r="H487" s="224" t="s">
        <v>490</v>
      </c>
      <c r="I487" s="208"/>
      <c r="J487" s="210"/>
      <c r="K487" s="210"/>
      <c r="L487" s="210"/>
      <c r="M487" s="210"/>
      <c r="N487" s="210"/>
      <c r="O487" s="210"/>
      <c r="P487" s="210"/>
      <c r="Q487" s="210"/>
      <c r="R487" s="210"/>
      <c r="S487" s="210"/>
      <c r="T487" s="210"/>
      <c r="U487" s="210"/>
      <c r="V487" s="210"/>
      <c r="W487" s="210"/>
      <c r="X487" s="210"/>
      <c r="Y487" s="210"/>
      <c r="Z487" s="210"/>
    </row>
    <row r="488" ht="21.75" customHeight="1">
      <c r="A488" s="228"/>
      <c r="B488" s="221"/>
      <c r="C488" s="222">
        <v>511.0</v>
      </c>
      <c r="D488" s="223" t="s">
        <v>992</v>
      </c>
      <c r="E488" s="223" t="s">
        <v>487</v>
      </c>
      <c r="F488" s="223" t="s">
        <v>1004</v>
      </c>
      <c r="G488" s="223" t="s">
        <v>1005</v>
      </c>
      <c r="H488" s="224" t="s">
        <v>490</v>
      </c>
      <c r="I488" s="208"/>
      <c r="J488" s="210"/>
      <c r="K488" s="210"/>
      <c r="L488" s="210"/>
      <c r="M488" s="210"/>
      <c r="N488" s="210"/>
      <c r="O488" s="210"/>
      <c r="P488" s="210"/>
      <c r="Q488" s="210"/>
      <c r="R488" s="210"/>
      <c r="S488" s="210"/>
      <c r="T488" s="210"/>
      <c r="U488" s="210"/>
      <c r="V488" s="210"/>
      <c r="W488" s="210"/>
      <c r="X488" s="210"/>
      <c r="Y488" s="210"/>
      <c r="Z488" s="210"/>
    </row>
    <row r="489" ht="21.75" customHeight="1">
      <c r="A489" s="214">
        <v>174.0</v>
      </c>
      <c r="B489" s="215" t="s">
        <v>1006</v>
      </c>
      <c r="C489" s="216"/>
      <c r="D489" s="217"/>
      <c r="E489" s="217"/>
      <c r="F489" s="217"/>
      <c r="G489" s="217"/>
      <c r="H489" s="217"/>
      <c r="I489" s="208"/>
      <c r="J489" s="210"/>
      <c r="K489" s="210"/>
      <c r="L489" s="210"/>
      <c r="M489" s="210"/>
      <c r="N489" s="210"/>
      <c r="O489" s="210"/>
      <c r="P489" s="210"/>
      <c r="Q489" s="210"/>
      <c r="R489" s="210"/>
      <c r="S489" s="210"/>
      <c r="T489" s="210"/>
      <c r="U489" s="210"/>
      <c r="V489" s="210"/>
      <c r="W489" s="210"/>
      <c r="X489" s="210"/>
      <c r="Y489" s="210"/>
      <c r="Z489" s="210"/>
    </row>
    <row r="490" ht="21.75" customHeight="1">
      <c r="A490" s="214"/>
      <c r="B490" s="218" t="s">
        <v>1007</v>
      </c>
      <c r="C490" s="219">
        <v>50855.0</v>
      </c>
      <c r="D490" s="220"/>
      <c r="E490" s="220"/>
      <c r="F490" s="220"/>
      <c r="G490" s="220"/>
      <c r="H490" s="220"/>
      <c r="I490" s="208"/>
      <c r="J490" s="210"/>
      <c r="K490" s="210"/>
      <c r="L490" s="210"/>
      <c r="M490" s="210"/>
      <c r="N490" s="210"/>
      <c r="O490" s="210"/>
      <c r="P490" s="210"/>
      <c r="Q490" s="210"/>
      <c r="R490" s="210"/>
      <c r="S490" s="210"/>
      <c r="T490" s="210"/>
      <c r="U490" s="210"/>
      <c r="V490" s="210"/>
      <c r="W490" s="210"/>
      <c r="X490" s="210"/>
      <c r="Y490" s="210"/>
      <c r="Z490" s="210"/>
    </row>
    <row r="491" ht="21.75" customHeight="1">
      <c r="A491" s="214"/>
      <c r="B491" s="221"/>
      <c r="C491" s="222">
        <v>51.0</v>
      </c>
      <c r="D491" s="223" t="s">
        <v>1008</v>
      </c>
      <c r="E491" s="223" t="s">
        <v>685</v>
      </c>
      <c r="F491" s="223" t="s">
        <v>1009</v>
      </c>
      <c r="G491" s="218" t="s">
        <v>490</v>
      </c>
      <c r="H491" s="225" t="s">
        <v>1010</v>
      </c>
      <c r="I491" s="208"/>
      <c r="J491" s="210"/>
      <c r="K491" s="210"/>
      <c r="L491" s="210"/>
      <c r="M491" s="210"/>
      <c r="N491" s="210"/>
      <c r="O491" s="210"/>
      <c r="P491" s="210"/>
      <c r="Q491" s="210"/>
      <c r="R491" s="210"/>
      <c r="S491" s="210"/>
      <c r="T491" s="210"/>
      <c r="U491" s="210"/>
      <c r="V491" s="210"/>
      <c r="W491" s="210"/>
      <c r="X491" s="210"/>
      <c r="Y491" s="210"/>
      <c r="Z491" s="210"/>
    </row>
    <row r="492" ht="21.75" customHeight="1">
      <c r="A492" s="214"/>
      <c r="B492" s="221"/>
      <c r="C492" s="222">
        <v>100.0</v>
      </c>
      <c r="D492" s="223" t="s">
        <v>486</v>
      </c>
      <c r="E492" s="223" t="s">
        <v>487</v>
      </c>
      <c r="F492" s="223" t="s">
        <v>488</v>
      </c>
      <c r="G492" s="223" t="s">
        <v>489</v>
      </c>
      <c r="H492" s="224" t="s">
        <v>490</v>
      </c>
      <c r="I492" s="208"/>
      <c r="J492" s="210"/>
      <c r="K492" s="210"/>
      <c r="L492" s="210"/>
      <c r="M492" s="210"/>
      <c r="N492" s="210"/>
      <c r="O492" s="210"/>
      <c r="P492" s="210"/>
      <c r="Q492" s="210"/>
      <c r="R492" s="210"/>
      <c r="S492" s="210"/>
      <c r="T492" s="210"/>
      <c r="U492" s="210"/>
      <c r="V492" s="210"/>
      <c r="W492" s="210"/>
      <c r="X492" s="210"/>
      <c r="Y492" s="210"/>
      <c r="Z492" s="210"/>
    </row>
    <row r="493" ht="21.75" customHeight="1">
      <c r="A493" s="214"/>
      <c r="B493" s="221"/>
      <c r="C493" s="222">
        <v>101.0</v>
      </c>
      <c r="D493" s="223" t="s">
        <v>491</v>
      </c>
      <c r="E493" s="223" t="s">
        <v>487</v>
      </c>
      <c r="F493" s="223" t="s">
        <v>492</v>
      </c>
      <c r="G493" s="223" t="s">
        <v>678</v>
      </c>
      <c r="H493" s="225" t="s">
        <v>1011</v>
      </c>
      <c r="I493" s="208"/>
      <c r="J493" s="210"/>
      <c r="K493" s="210"/>
      <c r="L493" s="210"/>
      <c r="M493" s="210"/>
      <c r="N493" s="210"/>
      <c r="O493" s="210"/>
      <c r="P493" s="210"/>
      <c r="Q493" s="210"/>
      <c r="R493" s="210"/>
      <c r="S493" s="210"/>
      <c r="T493" s="210"/>
      <c r="U493" s="210"/>
      <c r="V493" s="210"/>
      <c r="W493" s="210"/>
      <c r="X493" s="210"/>
      <c r="Y493" s="210"/>
      <c r="Z493" s="210"/>
    </row>
    <row r="494" ht="21.75" customHeight="1">
      <c r="A494" s="214"/>
      <c r="B494" s="221"/>
      <c r="C494" s="222">
        <v>102.0</v>
      </c>
      <c r="D494" s="223" t="s">
        <v>946</v>
      </c>
      <c r="E494" s="223" t="s">
        <v>487</v>
      </c>
      <c r="F494" s="223" t="s">
        <v>496</v>
      </c>
      <c r="G494" s="223" t="s">
        <v>497</v>
      </c>
      <c r="H494" s="224" t="s">
        <v>490</v>
      </c>
      <c r="I494" s="208"/>
      <c r="J494" s="210"/>
      <c r="K494" s="210"/>
      <c r="L494" s="210"/>
      <c r="M494" s="210"/>
      <c r="N494" s="210"/>
      <c r="O494" s="210"/>
      <c r="P494" s="210"/>
      <c r="Q494" s="210"/>
      <c r="R494" s="210"/>
      <c r="S494" s="210"/>
      <c r="T494" s="210"/>
      <c r="U494" s="210"/>
      <c r="V494" s="210"/>
      <c r="W494" s="210"/>
      <c r="X494" s="210"/>
      <c r="Y494" s="210"/>
      <c r="Z494" s="210"/>
    </row>
    <row r="495" ht="21.75" customHeight="1">
      <c r="A495" s="214"/>
      <c r="B495" s="221"/>
      <c r="C495" s="222">
        <v>103.0</v>
      </c>
      <c r="D495" s="223" t="s">
        <v>1012</v>
      </c>
      <c r="E495" s="223" t="s">
        <v>539</v>
      </c>
      <c r="F495" s="223" t="s">
        <v>621</v>
      </c>
      <c r="G495" s="223" t="s">
        <v>501</v>
      </c>
      <c r="H495" s="224" t="s">
        <v>490</v>
      </c>
      <c r="I495" s="208"/>
      <c r="J495" s="210"/>
      <c r="K495" s="210"/>
      <c r="L495" s="210"/>
      <c r="M495" s="210"/>
      <c r="N495" s="210"/>
      <c r="O495" s="210"/>
      <c r="P495" s="210"/>
      <c r="Q495" s="210"/>
      <c r="R495" s="210"/>
      <c r="S495" s="210"/>
      <c r="T495" s="210"/>
      <c r="U495" s="210"/>
      <c r="V495" s="210"/>
      <c r="W495" s="210"/>
      <c r="X495" s="210"/>
      <c r="Y495" s="210"/>
      <c r="Z495" s="210"/>
    </row>
    <row r="496" ht="21.75" customHeight="1">
      <c r="A496" s="214"/>
      <c r="B496" s="221"/>
      <c r="C496" s="222">
        <v>104.0</v>
      </c>
      <c r="D496" s="223" t="s">
        <v>1013</v>
      </c>
      <c r="E496" s="223" t="s">
        <v>539</v>
      </c>
      <c r="F496" s="223" t="s">
        <v>542</v>
      </c>
      <c r="G496" s="223" t="s">
        <v>493</v>
      </c>
      <c r="H496" s="224" t="s">
        <v>490</v>
      </c>
      <c r="I496" s="208"/>
      <c r="J496" s="210"/>
      <c r="K496" s="210"/>
      <c r="L496" s="210"/>
      <c r="M496" s="210"/>
      <c r="N496" s="210"/>
      <c r="O496" s="210"/>
      <c r="P496" s="210"/>
      <c r="Q496" s="210"/>
      <c r="R496" s="210"/>
      <c r="S496" s="210"/>
      <c r="T496" s="210"/>
      <c r="U496" s="210"/>
      <c r="V496" s="210"/>
      <c r="W496" s="210"/>
      <c r="X496" s="210"/>
      <c r="Y496" s="210"/>
      <c r="Z496" s="210"/>
    </row>
    <row r="497" ht="21.75" customHeight="1">
      <c r="A497" s="214"/>
      <c r="B497" s="221"/>
      <c r="C497" s="222">
        <v>105.0</v>
      </c>
      <c r="D497" s="223" t="s">
        <v>1014</v>
      </c>
      <c r="E497" s="223" t="s">
        <v>673</v>
      </c>
      <c r="F497" s="223" t="s">
        <v>505</v>
      </c>
      <c r="G497" s="218" t="s">
        <v>490</v>
      </c>
      <c r="H497" s="224" t="s">
        <v>490</v>
      </c>
      <c r="I497" s="208"/>
      <c r="J497" s="210"/>
      <c r="K497" s="210"/>
      <c r="L497" s="210"/>
      <c r="M497" s="210"/>
      <c r="N497" s="210"/>
      <c r="O497" s="210"/>
      <c r="P497" s="210"/>
      <c r="Q497" s="210"/>
      <c r="R497" s="210"/>
      <c r="S497" s="210"/>
      <c r="T497" s="210"/>
      <c r="U497" s="210"/>
      <c r="V497" s="210"/>
      <c r="W497" s="210"/>
      <c r="X497" s="210"/>
      <c r="Y497" s="210"/>
      <c r="Z497" s="210"/>
    </row>
    <row r="498" ht="21.75" customHeight="1">
      <c r="A498" s="214"/>
      <c r="B498" s="221"/>
      <c r="C498" s="222">
        <v>106.0</v>
      </c>
      <c r="D498" s="223" t="s">
        <v>519</v>
      </c>
      <c r="E498" s="223" t="s">
        <v>508</v>
      </c>
      <c r="F498" s="223" t="s">
        <v>509</v>
      </c>
      <c r="G498" s="223" t="s">
        <v>510</v>
      </c>
      <c r="H498" s="225" t="s">
        <v>1015</v>
      </c>
      <c r="I498" s="208"/>
      <c r="J498" s="210"/>
      <c r="K498" s="210"/>
      <c r="L498" s="210"/>
      <c r="M498" s="210"/>
      <c r="N498" s="210"/>
      <c r="O498" s="210"/>
      <c r="P498" s="210"/>
      <c r="Q498" s="210"/>
      <c r="R498" s="210"/>
      <c r="S498" s="210"/>
      <c r="T498" s="210"/>
      <c r="U498" s="210"/>
      <c r="V498" s="210"/>
      <c r="W498" s="210"/>
      <c r="X498" s="210"/>
      <c r="Y498" s="210"/>
      <c r="Z498" s="210"/>
    </row>
    <row r="499" ht="21.75" customHeight="1">
      <c r="A499" s="214"/>
      <c r="B499" s="221"/>
      <c r="C499" s="222">
        <v>107.0</v>
      </c>
      <c r="D499" s="223" t="s">
        <v>1016</v>
      </c>
      <c r="E499" s="223" t="s">
        <v>487</v>
      </c>
      <c r="F499" s="223" t="s">
        <v>532</v>
      </c>
      <c r="G499" s="218" t="s">
        <v>490</v>
      </c>
      <c r="H499" s="224" t="s">
        <v>490</v>
      </c>
      <c r="I499" s="208"/>
      <c r="J499" s="210"/>
      <c r="K499" s="210"/>
      <c r="L499" s="210"/>
      <c r="M499" s="210"/>
      <c r="N499" s="210"/>
      <c r="O499" s="210"/>
      <c r="P499" s="210"/>
      <c r="Q499" s="210"/>
      <c r="R499" s="210"/>
      <c r="S499" s="210"/>
      <c r="T499" s="210"/>
      <c r="U499" s="210"/>
      <c r="V499" s="210"/>
      <c r="W499" s="210"/>
      <c r="X499" s="210"/>
      <c r="Y499" s="210"/>
      <c r="Z499" s="210"/>
    </row>
    <row r="500" ht="21.75" customHeight="1">
      <c r="A500" s="214"/>
      <c r="B500" s="221"/>
      <c r="C500" s="222">
        <v>108.0</v>
      </c>
      <c r="D500" s="223" t="s">
        <v>912</v>
      </c>
      <c r="E500" s="223" t="s">
        <v>487</v>
      </c>
      <c r="F500" s="223" t="s">
        <v>512</v>
      </c>
      <c r="G500" s="218" t="s">
        <v>490</v>
      </c>
      <c r="H500" s="224" t="s">
        <v>490</v>
      </c>
      <c r="I500" s="208"/>
      <c r="J500" s="210"/>
      <c r="K500" s="210"/>
      <c r="L500" s="210"/>
      <c r="M500" s="210"/>
      <c r="N500" s="210"/>
      <c r="O500" s="210"/>
      <c r="P500" s="210"/>
      <c r="Q500" s="210"/>
      <c r="R500" s="210"/>
      <c r="S500" s="210"/>
      <c r="T500" s="210"/>
      <c r="U500" s="210"/>
      <c r="V500" s="210"/>
      <c r="W500" s="210"/>
      <c r="X500" s="210"/>
      <c r="Y500" s="210"/>
      <c r="Z500" s="210"/>
    </row>
    <row r="501" ht="21.75" customHeight="1">
      <c r="A501" s="214"/>
      <c r="B501" s="221"/>
      <c r="C501" s="222">
        <v>109.0</v>
      </c>
      <c r="D501" s="223" t="s">
        <v>1017</v>
      </c>
      <c r="E501" s="223" t="s">
        <v>487</v>
      </c>
      <c r="F501" s="223" t="s">
        <v>590</v>
      </c>
      <c r="G501" s="218" t="s">
        <v>490</v>
      </c>
      <c r="H501" s="224" t="s">
        <v>490</v>
      </c>
      <c r="I501" s="208"/>
      <c r="J501" s="210"/>
      <c r="K501" s="210"/>
      <c r="L501" s="210"/>
      <c r="M501" s="210"/>
      <c r="N501" s="210"/>
      <c r="O501" s="210"/>
      <c r="P501" s="210"/>
      <c r="Q501" s="210"/>
      <c r="R501" s="210"/>
      <c r="S501" s="210"/>
      <c r="T501" s="210"/>
      <c r="U501" s="210"/>
      <c r="V501" s="210"/>
      <c r="W501" s="210"/>
      <c r="X501" s="210"/>
      <c r="Y501" s="210"/>
      <c r="Z501" s="210"/>
    </row>
    <row r="502" ht="21.75" customHeight="1">
      <c r="A502" s="214"/>
      <c r="B502" s="221"/>
      <c r="C502" s="222">
        <v>110.0</v>
      </c>
      <c r="D502" s="223" t="s">
        <v>1018</v>
      </c>
      <c r="E502" s="223" t="s">
        <v>487</v>
      </c>
      <c r="F502" s="223" t="s">
        <v>603</v>
      </c>
      <c r="G502" s="218" t="s">
        <v>490</v>
      </c>
      <c r="H502" s="224" t="s">
        <v>490</v>
      </c>
      <c r="I502" s="208"/>
      <c r="J502" s="210"/>
      <c r="K502" s="210"/>
      <c r="L502" s="210"/>
      <c r="M502" s="210"/>
      <c r="N502" s="210"/>
      <c r="O502" s="210"/>
      <c r="P502" s="210"/>
      <c r="Q502" s="210"/>
      <c r="R502" s="210"/>
      <c r="S502" s="210"/>
      <c r="T502" s="210"/>
      <c r="U502" s="210"/>
      <c r="V502" s="210"/>
      <c r="W502" s="210"/>
      <c r="X502" s="210"/>
      <c r="Y502" s="210"/>
      <c r="Z502" s="210"/>
    </row>
    <row r="503" ht="21.75" customHeight="1">
      <c r="A503" s="214"/>
      <c r="B503" s="221"/>
      <c r="C503" s="222">
        <v>111.0</v>
      </c>
      <c r="D503" s="223" t="s">
        <v>1019</v>
      </c>
      <c r="E503" s="223" t="s">
        <v>487</v>
      </c>
      <c r="F503" s="223" t="s">
        <v>579</v>
      </c>
      <c r="G503" s="218" t="s">
        <v>490</v>
      </c>
      <c r="H503" s="224" t="s">
        <v>490</v>
      </c>
      <c r="I503" s="208"/>
      <c r="J503" s="210"/>
      <c r="K503" s="210"/>
      <c r="L503" s="210"/>
      <c r="M503" s="210"/>
      <c r="N503" s="210"/>
      <c r="O503" s="210"/>
      <c r="P503" s="210"/>
      <c r="Q503" s="210"/>
      <c r="R503" s="210"/>
      <c r="S503" s="210"/>
      <c r="T503" s="210"/>
      <c r="U503" s="210"/>
      <c r="V503" s="210"/>
      <c r="W503" s="210"/>
      <c r="X503" s="210"/>
      <c r="Y503" s="210"/>
      <c r="Z503" s="210"/>
    </row>
    <row r="504" ht="21.75" customHeight="1">
      <c r="A504" s="214"/>
      <c r="B504" s="221"/>
      <c r="C504" s="222">
        <v>112.0</v>
      </c>
      <c r="D504" s="223" t="s">
        <v>1020</v>
      </c>
      <c r="E504" s="223" t="s">
        <v>1021</v>
      </c>
      <c r="F504" s="223" t="s">
        <v>1022</v>
      </c>
      <c r="G504" s="218" t="s">
        <v>490</v>
      </c>
      <c r="H504" s="224" t="s">
        <v>490</v>
      </c>
      <c r="I504" s="208"/>
      <c r="J504" s="210"/>
      <c r="K504" s="210"/>
      <c r="L504" s="210"/>
      <c r="M504" s="210"/>
      <c r="N504" s="210"/>
      <c r="O504" s="210"/>
      <c r="P504" s="210"/>
      <c r="Q504" s="210"/>
      <c r="R504" s="210"/>
      <c r="S504" s="210"/>
      <c r="T504" s="210"/>
      <c r="U504" s="210"/>
      <c r="V504" s="210"/>
      <c r="W504" s="210"/>
      <c r="X504" s="210"/>
      <c r="Y504" s="210"/>
      <c r="Z504" s="210"/>
    </row>
    <row r="505" ht="21.75" customHeight="1">
      <c r="A505" s="214"/>
      <c r="B505" s="221"/>
      <c r="C505" s="222">
        <v>200.0</v>
      </c>
      <c r="D505" s="223" t="s">
        <v>696</v>
      </c>
      <c r="E505" s="223" t="s">
        <v>673</v>
      </c>
      <c r="F505" s="223" t="s">
        <v>696</v>
      </c>
      <c r="G505" s="218" t="s">
        <v>490</v>
      </c>
      <c r="H505" s="224" t="s">
        <v>490</v>
      </c>
      <c r="I505" s="208"/>
      <c r="J505" s="210"/>
      <c r="K505" s="210"/>
      <c r="L505" s="210"/>
      <c r="M505" s="210"/>
      <c r="N505" s="210"/>
      <c r="O505" s="210"/>
      <c r="P505" s="210"/>
      <c r="Q505" s="210"/>
      <c r="R505" s="210"/>
      <c r="S505" s="210"/>
      <c r="T505" s="210"/>
      <c r="U505" s="210"/>
      <c r="V505" s="210"/>
      <c r="W505" s="210"/>
      <c r="X505" s="210"/>
      <c r="Y505" s="210"/>
      <c r="Z505" s="210"/>
    </row>
    <row r="506" ht="21.75" customHeight="1">
      <c r="A506" s="214"/>
      <c r="B506" s="221"/>
      <c r="C506" s="222">
        <v>201.0</v>
      </c>
      <c r="D506" s="223" t="s">
        <v>1014</v>
      </c>
      <c r="E506" s="223" t="s">
        <v>487</v>
      </c>
      <c r="F506" s="223" t="s">
        <v>583</v>
      </c>
      <c r="G506" s="223" t="s">
        <v>526</v>
      </c>
      <c r="H506" s="224" t="s">
        <v>490</v>
      </c>
      <c r="I506" s="208"/>
      <c r="J506" s="210"/>
      <c r="K506" s="210"/>
      <c r="L506" s="210"/>
      <c r="M506" s="210"/>
      <c r="N506" s="210"/>
      <c r="O506" s="210"/>
      <c r="P506" s="210"/>
      <c r="Q506" s="210"/>
      <c r="R506" s="210"/>
      <c r="S506" s="210"/>
      <c r="T506" s="210"/>
      <c r="U506" s="210"/>
      <c r="V506" s="210"/>
      <c r="W506" s="210"/>
      <c r="X506" s="210"/>
      <c r="Y506" s="210"/>
      <c r="Z506" s="210"/>
    </row>
    <row r="507" ht="21.75" customHeight="1">
      <c r="A507" s="214"/>
      <c r="B507" s="221"/>
      <c r="C507" s="233" t="s">
        <v>490</v>
      </c>
      <c r="D507" s="223" t="s">
        <v>1023</v>
      </c>
      <c r="E507" s="223" t="s">
        <v>744</v>
      </c>
      <c r="F507" s="223" t="s">
        <v>1023</v>
      </c>
      <c r="G507" s="218" t="s">
        <v>490</v>
      </c>
      <c r="H507" s="224" t="s">
        <v>490</v>
      </c>
      <c r="I507" s="208"/>
      <c r="J507" s="210"/>
      <c r="K507" s="210"/>
      <c r="L507" s="210"/>
      <c r="M507" s="210"/>
      <c r="N507" s="210"/>
      <c r="O507" s="210"/>
      <c r="P507" s="210"/>
      <c r="Q507" s="210"/>
      <c r="R507" s="210"/>
      <c r="S507" s="210"/>
      <c r="T507" s="210"/>
      <c r="U507" s="210"/>
      <c r="V507" s="210"/>
      <c r="W507" s="210"/>
      <c r="X507" s="210"/>
      <c r="Y507" s="210"/>
      <c r="Z507" s="210"/>
    </row>
    <row r="508" ht="21.75" customHeight="1">
      <c r="A508" s="214"/>
      <c r="B508" s="221"/>
      <c r="C508" s="222"/>
      <c r="D508" s="223" t="s">
        <v>1024</v>
      </c>
      <c r="E508" s="223" t="s">
        <v>738</v>
      </c>
      <c r="F508" s="223" t="s">
        <v>1025</v>
      </c>
      <c r="G508" s="218" t="s">
        <v>490</v>
      </c>
      <c r="H508" s="224" t="s">
        <v>490</v>
      </c>
      <c r="I508" s="208"/>
      <c r="J508" s="210"/>
      <c r="K508" s="210"/>
      <c r="L508" s="210"/>
      <c r="M508" s="210"/>
      <c r="N508" s="210"/>
      <c r="O508" s="210"/>
      <c r="P508" s="210"/>
      <c r="Q508" s="210"/>
      <c r="R508" s="210"/>
      <c r="S508" s="210"/>
      <c r="T508" s="210"/>
      <c r="U508" s="210"/>
      <c r="V508" s="210"/>
      <c r="W508" s="210"/>
      <c r="X508" s="210"/>
      <c r="Y508" s="210"/>
      <c r="Z508" s="210"/>
    </row>
    <row r="509" ht="21.75" customHeight="1">
      <c r="A509" s="214"/>
      <c r="B509" s="221"/>
      <c r="C509" s="222"/>
      <c r="D509" s="223" t="s">
        <v>1008</v>
      </c>
      <c r="E509" s="223" t="s">
        <v>738</v>
      </c>
      <c r="F509" s="223" t="s">
        <v>1026</v>
      </c>
      <c r="G509" s="218" t="s">
        <v>490</v>
      </c>
      <c r="H509" s="224" t="s">
        <v>490</v>
      </c>
      <c r="I509" s="208"/>
      <c r="J509" s="210"/>
      <c r="K509" s="210"/>
      <c r="L509" s="210"/>
      <c r="M509" s="210"/>
      <c r="N509" s="210"/>
      <c r="O509" s="210"/>
      <c r="P509" s="210"/>
      <c r="Q509" s="210"/>
      <c r="R509" s="210"/>
      <c r="S509" s="210"/>
      <c r="T509" s="210"/>
      <c r="U509" s="210"/>
      <c r="V509" s="210"/>
      <c r="W509" s="210"/>
      <c r="X509" s="210"/>
      <c r="Y509" s="210"/>
      <c r="Z509" s="210"/>
    </row>
    <row r="510" ht="21.75" customHeight="1">
      <c r="A510" s="228"/>
      <c r="B510" s="221"/>
      <c r="C510" s="222"/>
      <c r="D510" s="218" t="s">
        <v>490</v>
      </c>
      <c r="E510" s="223" t="s">
        <v>742</v>
      </c>
      <c r="F510" s="223" t="s">
        <v>1027</v>
      </c>
      <c r="G510" s="218" t="s">
        <v>490</v>
      </c>
      <c r="H510" s="224" t="s">
        <v>490</v>
      </c>
      <c r="I510" s="208"/>
      <c r="J510" s="210"/>
      <c r="K510" s="210"/>
      <c r="L510" s="210"/>
      <c r="M510" s="210"/>
      <c r="N510" s="210"/>
      <c r="O510" s="210"/>
      <c r="P510" s="210"/>
      <c r="Q510" s="210"/>
      <c r="R510" s="210"/>
      <c r="S510" s="210"/>
      <c r="T510" s="210"/>
      <c r="U510" s="210"/>
      <c r="V510" s="210"/>
      <c r="W510" s="210"/>
      <c r="X510" s="210"/>
      <c r="Y510" s="210"/>
      <c r="Z510" s="210"/>
    </row>
    <row r="511" ht="21.75" customHeight="1">
      <c r="A511" s="214">
        <v>175.0</v>
      </c>
      <c r="B511" s="229" t="s">
        <v>1028</v>
      </c>
      <c r="C511" s="230"/>
      <c r="D511" s="217"/>
      <c r="E511" s="217"/>
      <c r="F511" s="217"/>
      <c r="G511" s="217"/>
      <c r="H511" s="217"/>
      <c r="I511" s="208"/>
      <c r="J511" s="210"/>
      <c r="K511" s="210"/>
      <c r="L511" s="210"/>
      <c r="M511" s="210"/>
      <c r="N511" s="210"/>
      <c r="O511" s="210"/>
      <c r="P511" s="210"/>
      <c r="Q511" s="210"/>
      <c r="R511" s="210"/>
      <c r="S511" s="210"/>
      <c r="T511" s="210"/>
      <c r="U511" s="210"/>
      <c r="V511" s="210"/>
      <c r="W511" s="210"/>
      <c r="X511" s="210"/>
      <c r="Y511" s="210"/>
      <c r="Z511" s="210"/>
    </row>
    <row r="512" ht="21.75" customHeight="1">
      <c r="A512" s="214"/>
      <c r="B512" s="218" t="s">
        <v>1029</v>
      </c>
      <c r="C512" s="219">
        <v>50505.0</v>
      </c>
      <c r="D512" s="220"/>
      <c r="E512" s="220"/>
      <c r="F512" s="220"/>
      <c r="G512" s="220"/>
      <c r="H512" s="220"/>
      <c r="I512" s="208"/>
      <c r="J512" s="210"/>
      <c r="K512" s="210"/>
      <c r="L512" s="210"/>
      <c r="M512" s="210"/>
      <c r="N512" s="210"/>
      <c r="O512" s="210"/>
      <c r="P512" s="210"/>
      <c r="Q512" s="210"/>
      <c r="R512" s="210"/>
      <c r="S512" s="210"/>
      <c r="T512" s="210"/>
      <c r="U512" s="210"/>
      <c r="V512" s="210"/>
      <c r="W512" s="210"/>
      <c r="X512" s="210"/>
      <c r="Y512" s="210"/>
      <c r="Z512" s="210"/>
    </row>
    <row r="513" ht="21.75" customHeight="1">
      <c r="A513" s="214"/>
      <c r="B513" s="221"/>
      <c r="C513" s="222">
        <v>100.0</v>
      </c>
      <c r="D513" s="223" t="s">
        <v>486</v>
      </c>
      <c r="E513" s="223" t="s">
        <v>487</v>
      </c>
      <c r="F513" s="223" t="s">
        <v>488</v>
      </c>
      <c r="G513" s="223" t="s">
        <v>489</v>
      </c>
      <c r="H513" s="224" t="s">
        <v>490</v>
      </c>
      <c r="I513" s="208"/>
      <c r="J513" s="210"/>
      <c r="K513" s="210"/>
      <c r="L513" s="210"/>
      <c r="M513" s="210"/>
      <c r="N513" s="210"/>
      <c r="O513" s="210"/>
      <c r="P513" s="210"/>
      <c r="Q513" s="210"/>
      <c r="R513" s="210"/>
      <c r="S513" s="210"/>
      <c r="T513" s="210"/>
      <c r="U513" s="210"/>
      <c r="V513" s="210"/>
      <c r="W513" s="210"/>
      <c r="X513" s="210"/>
      <c r="Y513" s="210"/>
      <c r="Z513" s="210"/>
    </row>
    <row r="514" ht="21.75" customHeight="1">
      <c r="A514" s="214"/>
      <c r="B514" s="221"/>
      <c r="C514" s="222">
        <v>101.0</v>
      </c>
      <c r="D514" s="223" t="s">
        <v>369</v>
      </c>
      <c r="E514" s="223" t="s">
        <v>487</v>
      </c>
      <c r="F514" s="223" t="s">
        <v>492</v>
      </c>
      <c r="G514" s="223" t="s">
        <v>526</v>
      </c>
      <c r="H514" s="225" t="s">
        <v>1030</v>
      </c>
      <c r="I514" s="208"/>
      <c r="J514" s="210"/>
      <c r="K514" s="210"/>
      <c r="L514" s="210"/>
      <c r="M514" s="210"/>
      <c r="N514" s="210"/>
      <c r="O514" s="210"/>
      <c r="P514" s="210"/>
      <c r="Q514" s="210"/>
      <c r="R514" s="210"/>
      <c r="S514" s="210"/>
      <c r="T514" s="210"/>
      <c r="U514" s="210"/>
      <c r="V514" s="210"/>
      <c r="W514" s="210"/>
      <c r="X514" s="210"/>
      <c r="Y514" s="210"/>
      <c r="Z514" s="210"/>
    </row>
    <row r="515" ht="21.75" customHeight="1">
      <c r="A515" s="214"/>
      <c r="B515" s="221"/>
      <c r="C515" s="222">
        <v>102.0</v>
      </c>
      <c r="D515" s="223" t="s">
        <v>912</v>
      </c>
      <c r="E515" s="223" t="s">
        <v>487</v>
      </c>
      <c r="F515" s="223" t="s">
        <v>496</v>
      </c>
      <c r="G515" s="223" t="s">
        <v>493</v>
      </c>
      <c r="H515" s="225" t="s">
        <v>1031</v>
      </c>
      <c r="I515" s="208"/>
      <c r="J515" s="210"/>
      <c r="K515" s="210"/>
      <c r="L515" s="210"/>
      <c r="M515" s="210"/>
      <c r="N515" s="210"/>
      <c r="O515" s="210"/>
      <c r="P515" s="210"/>
      <c r="Q515" s="210"/>
      <c r="R515" s="210"/>
      <c r="S515" s="210"/>
      <c r="T515" s="210"/>
      <c r="U515" s="210"/>
      <c r="V515" s="210"/>
      <c r="W515" s="210"/>
      <c r="X515" s="210"/>
      <c r="Y515" s="210"/>
      <c r="Z515" s="210"/>
    </row>
    <row r="516" ht="21.75" customHeight="1">
      <c r="A516" s="214"/>
      <c r="B516" s="221"/>
      <c r="C516" s="222">
        <v>103.0</v>
      </c>
      <c r="D516" s="223" t="s">
        <v>884</v>
      </c>
      <c r="E516" s="223" t="s">
        <v>487</v>
      </c>
      <c r="F516" s="223" t="s">
        <v>500</v>
      </c>
      <c r="G516" s="223" t="s">
        <v>497</v>
      </c>
      <c r="H516" s="225" t="s">
        <v>1032</v>
      </c>
      <c r="I516" s="208"/>
      <c r="J516" s="210"/>
      <c r="K516" s="210"/>
      <c r="L516" s="210"/>
      <c r="M516" s="210"/>
      <c r="N516" s="210"/>
      <c r="O516" s="210"/>
      <c r="P516" s="210"/>
      <c r="Q516" s="210"/>
      <c r="R516" s="210"/>
      <c r="S516" s="210"/>
      <c r="T516" s="210"/>
      <c r="U516" s="210"/>
      <c r="V516" s="210"/>
      <c r="W516" s="210"/>
      <c r="X516" s="210"/>
      <c r="Y516" s="210"/>
      <c r="Z516" s="210"/>
    </row>
    <row r="517" ht="21.75" customHeight="1">
      <c r="A517" s="214"/>
      <c r="B517" s="221"/>
      <c r="C517" s="222">
        <v>104.0</v>
      </c>
      <c r="D517" s="223" t="s">
        <v>662</v>
      </c>
      <c r="E517" s="223" t="s">
        <v>487</v>
      </c>
      <c r="F517" s="223" t="s">
        <v>512</v>
      </c>
      <c r="G517" s="223" t="s">
        <v>501</v>
      </c>
      <c r="H517" s="225" t="s">
        <v>1033</v>
      </c>
      <c r="I517" s="208"/>
      <c r="J517" s="210"/>
      <c r="K517" s="210"/>
      <c r="L517" s="210"/>
      <c r="M517" s="210"/>
      <c r="N517" s="210"/>
      <c r="O517" s="210"/>
      <c r="P517" s="210"/>
      <c r="Q517" s="210"/>
      <c r="R517" s="210"/>
      <c r="S517" s="210"/>
      <c r="T517" s="210"/>
      <c r="U517" s="210"/>
      <c r="V517" s="210"/>
      <c r="W517" s="210"/>
      <c r="X517" s="210"/>
      <c r="Y517" s="210"/>
      <c r="Z517" s="210"/>
    </row>
    <row r="518" ht="21.75" customHeight="1">
      <c r="A518" s="228"/>
      <c r="B518" s="221"/>
      <c r="C518" s="222">
        <v>105.0</v>
      </c>
      <c r="D518" s="223" t="s">
        <v>376</v>
      </c>
      <c r="E518" s="223" t="s">
        <v>508</v>
      </c>
      <c r="F518" s="223" t="s">
        <v>509</v>
      </c>
      <c r="G518" s="223" t="s">
        <v>510</v>
      </c>
      <c r="H518" s="225" t="s">
        <v>1034</v>
      </c>
      <c r="I518" s="208"/>
      <c r="J518" s="210"/>
      <c r="K518" s="210"/>
      <c r="L518" s="210"/>
      <c r="M518" s="210"/>
      <c r="N518" s="210"/>
      <c r="O518" s="210"/>
      <c r="P518" s="210"/>
      <c r="Q518" s="210"/>
      <c r="R518" s="210"/>
      <c r="S518" s="210"/>
      <c r="T518" s="210"/>
      <c r="U518" s="210"/>
      <c r="V518" s="210"/>
      <c r="W518" s="210"/>
      <c r="X518" s="210"/>
      <c r="Y518" s="210"/>
      <c r="Z518" s="210"/>
    </row>
    <row r="519" ht="21.75" customHeight="1">
      <c r="A519" s="214">
        <v>179.0</v>
      </c>
      <c r="B519" s="215" t="s">
        <v>1035</v>
      </c>
      <c r="C519" s="216"/>
      <c r="D519" s="217"/>
      <c r="E519" s="217"/>
      <c r="F519" s="217"/>
      <c r="G519" s="217"/>
      <c r="H519" s="217"/>
      <c r="I519" s="208"/>
      <c r="J519" s="210"/>
      <c r="K519" s="210"/>
      <c r="L519" s="210"/>
      <c r="M519" s="210"/>
      <c r="N519" s="210"/>
      <c r="O519" s="210"/>
      <c r="P519" s="210"/>
      <c r="Q519" s="210"/>
      <c r="R519" s="210"/>
      <c r="S519" s="210"/>
      <c r="T519" s="210"/>
      <c r="U519" s="210"/>
      <c r="V519" s="210"/>
      <c r="W519" s="210"/>
      <c r="X519" s="210"/>
      <c r="Y519" s="210"/>
      <c r="Z519" s="210"/>
    </row>
    <row r="520" ht="21.75" customHeight="1">
      <c r="A520" s="214"/>
      <c r="B520" s="218" t="s">
        <v>1036</v>
      </c>
      <c r="C520" s="219">
        <v>50593.0</v>
      </c>
      <c r="D520" s="220"/>
      <c r="E520" s="220"/>
      <c r="F520" s="220"/>
      <c r="G520" s="220"/>
      <c r="H520" s="220"/>
      <c r="I520" s="208"/>
      <c r="J520" s="210"/>
      <c r="K520" s="210"/>
      <c r="L520" s="210"/>
      <c r="M520" s="210"/>
      <c r="N520" s="210"/>
      <c r="O520" s="210"/>
      <c r="P520" s="210"/>
      <c r="Q520" s="210"/>
      <c r="R520" s="210"/>
      <c r="S520" s="210"/>
      <c r="T520" s="210"/>
      <c r="U520" s="210"/>
      <c r="V520" s="210"/>
      <c r="W520" s="210"/>
      <c r="X520" s="210"/>
      <c r="Y520" s="210"/>
      <c r="Z520" s="210"/>
    </row>
    <row r="521" ht="21.75" customHeight="1">
      <c r="A521" s="214"/>
      <c r="B521" s="221"/>
      <c r="C521" s="222">
        <v>100.0</v>
      </c>
      <c r="D521" s="223" t="s">
        <v>486</v>
      </c>
      <c r="E521" s="223" t="s">
        <v>487</v>
      </c>
      <c r="F521" s="223" t="s">
        <v>488</v>
      </c>
      <c r="G521" s="223" t="s">
        <v>489</v>
      </c>
      <c r="H521" s="224" t="s">
        <v>490</v>
      </c>
      <c r="I521" s="208"/>
      <c r="J521" s="210"/>
      <c r="K521" s="210"/>
      <c r="L521" s="210"/>
      <c r="M521" s="210"/>
      <c r="N521" s="210"/>
      <c r="O521" s="210"/>
      <c r="P521" s="210"/>
      <c r="Q521" s="210"/>
      <c r="R521" s="210"/>
      <c r="S521" s="210"/>
      <c r="T521" s="210"/>
      <c r="U521" s="210"/>
      <c r="V521" s="210"/>
      <c r="W521" s="210"/>
      <c r="X521" s="210"/>
      <c r="Y521" s="210"/>
      <c r="Z521" s="210"/>
    </row>
    <row r="522" ht="21.75" customHeight="1">
      <c r="A522" s="214"/>
      <c r="B522" s="221"/>
      <c r="C522" s="222">
        <v>101.0</v>
      </c>
      <c r="D522" s="223" t="s">
        <v>491</v>
      </c>
      <c r="E522" s="223" t="s">
        <v>487</v>
      </c>
      <c r="F522" s="223" t="s">
        <v>492</v>
      </c>
      <c r="G522" s="223" t="s">
        <v>678</v>
      </c>
      <c r="H522" s="225" t="s">
        <v>1037</v>
      </c>
      <c r="I522" s="208"/>
      <c r="J522" s="210"/>
      <c r="K522" s="210"/>
      <c r="L522" s="210"/>
      <c r="M522" s="210"/>
      <c r="N522" s="210"/>
      <c r="O522" s="210"/>
      <c r="P522" s="210"/>
      <c r="Q522" s="210"/>
      <c r="R522" s="210"/>
      <c r="S522" s="210"/>
      <c r="T522" s="210"/>
      <c r="U522" s="210"/>
      <c r="V522" s="210"/>
      <c r="W522" s="210"/>
      <c r="X522" s="210"/>
      <c r="Y522" s="210"/>
      <c r="Z522" s="210"/>
    </row>
    <row r="523" ht="21.75" customHeight="1">
      <c r="A523" s="214"/>
      <c r="B523" s="221"/>
      <c r="C523" s="222">
        <v>102.0</v>
      </c>
      <c r="D523" s="223" t="s">
        <v>516</v>
      </c>
      <c r="E523" s="223" t="s">
        <v>487</v>
      </c>
      <c r="F523" s="223" t="s">
        <v>496</v>
      </c>
      <c r="G523" s="223" t="s">
        <v>497</v>
      </c>
      <c r="H523" s="225" t="s">
        <v>1038</v>
      </c>
      <c r="I523" s="208"/>
      <c r="J523" s="210"/>
      <c r="K523" s="210"/>
      <c r="L523" s="210"/>
      <c r="M523" s="210"/>
      <c r="N523" s="210"/>
      <c r="O523" s="210"/>
      <c r="P523" s="210"/>
      <c r="Q523" s="210"/>
      <c r="R523" s="210"/>
      <c r="S523" s="210"/>
      <c r="T523" s="210"/>
      <c r="U523" s="210"/>
      <c r="V523" s="210"/>
      <c r="W523" s="210"/>
      <c r="X523" s="210"/>
      <c r="Y523" s="210"/>
      <c r="Z523" s="210"/>
    </row>
    <row r="524" ht="21.75" customHeight="1">
      <c r="A524" s="214"/>
      <c r="B524" s="221"/>
      <c r="C524" s="222">
        <v>103.0</v>
      </c>
      <c r="D524" s="223" t="s">
        <v>369</v>
      </c>
      <c r="E524" s="223" t="s">
        <v>487</v>
      </c>
      <c r="F524" s="223" t="s">
        <v>500</v>
      </c>
      <c r="G524" s="223" t="s">
        <v>526</v>
      </c>
      <c r="H524" s="224" t="s">
        <v>490</v>
      </c>
      <c r="I524" s="208"/>
      <c r="J524" s="210"/>
      <c r="K524" s="210"/>
      <c r="L524" s="210"/>
      <c r="M524" s="210"/>
      <c r="N524" s="210"/>
      <c r="O524" s="210"/>
      <c r="P524" s="210"/>
      <c r="Q524" s="210"/>
      <c r="R524" s="210"/>
      <c r="S524" s="210"/>
      <c r="T524" s="210"/>
      <c r="U524" s="210"/>
      <c r="V524" s="210"/>
      <c r="W524" s="210"/>
      <c r="X524" s="210"/>
      <c r="Y524" s="210"/>
      <c r="Z524" s="210"/>
    </row>
    <row r="525" ht="21.75" customHeight="1">
      <c r="A525" s="214"/>
      <c r="B525" s="221"/>
      <c r="C525" s="222">
        <v>104.0</v>
      </c>
      <c r="D525" s="223" t="s">
        <v>928</v>
      </c>
      <c r="E525" s="223" t="s">
        <v>487</v>
      </c>
      <c r="F525" s="223" t="s">
        <v>512</v>
      </c>
      <c r="G525" s="223" t="s">
        <v>501</v>
      </c>
      <c r="H525" s="224" t="s">
        <v>490</v>
      </c>
      <c r="I525" s="208"/>
      <c r="J525" s="210"/>
      <c r="K525" s="210"/>
      <c r="L525" s="210"/>
      <c r="M525" s="210"/>
      <c r="N525" s="210"/>
      <c r="O525" s="210"/>
      <c r="P525" s="210"/>
      <c r="Q525" s="210"/>
      <c r="R525" s="210"/>
      <c r="S525" s="210"/>
      <c r="T525" s="210"/>
      <c r="U525" s="210"/>
      <c r="V525" s="210"/>
      <c r="W525" s="210"/>
      <c r="X525" s="210"/>
      <c r="Y525" s="210"/>
      <c r="Z525" s="210"/>
    </row>
    <row r="526" ht="21.75" customHeight="1">
      <c r="A526" s="214"/>
      <c r="B526" s="221"/>
      <c r="C526" s="222">
        <v>105.0</v>
      </c>
      <c r="D526" s="223" t="s">
        <v>779</v>
      </c>
      <c r="E526" s="223" t="s">
        <v>487</v>
      </c>
      <c r="F526" s="223" t="s">
        <v>532</v>
      </c>
      <c r="G526" s="223" t="s">
        <v>493</v>
      </c>
      <c r="H526" s="224" t="s">
        <v>490</v>
      </c>
      <c r="I526" s="208"/>
      <c r="J526" s="210"/>
      <c r="K526" s="210"/>
      <c r="L526" s="210"/>
      <c r="M526" s="210"/>
      <c r="N526" s="210"/>
      <c r="O526" s="210"/>
      <c r="P526" s="210"/>
      <c r="Q526" s="210"/>
      <c r="R526" s="210"/>
      <c r="S526" s="210"/>
      <c r="T526" s="210"/>
      <c r="U526" s="210"/>
      <c r="V526" s="210"/>
      <c r="W526" s="210"/>
      <c r="X526" s="210"/>
      <c r="Y526" s="210"/>
      <c r="Z526" s="210"/>
    </row>
    <row r="527" ht="21.75" customHeight="1">
      <c r="A527" s="214"/>
      <c r="B527" s="217"/>
      <c r="C527" s="222">
        <v>106.0</v>
      </c>
      <c r="D527" s="215" t="s">
        <v>541</v>
      </c>
      <c r="E527" s="215" t="s">
        <v>508</v>
      </c>
      <c r="F527" s="215" t="s">
        <v>509</v>
      </c>
      <c r="G527" s="215" t="s">
        <v>510</v>
      </c>
      <c r="H527" s="225" t="s">
        <v>1039</v>
      </c>
      <c r="I527" s="208"/>
      <c r="J527" s="210"/>
      <c r="K527" s="210"/>
      <c r="L527" s="210"/>
      <c r="M527" s="210"/>
      <c r="N527" s="210"/>
      <c r="O527" s="210"/>
      <c r="P527" s="210"/>
      <c r="Q527" s="210"/>
      <c r="R527" s="210"/>
      <c r="S527" s="210"/>
      <c r="T527" s="210"/>
      <c r="U527" s="210"/>
      <c r="V527" s="210"/>
      <c r="W527" s="210"/>
      <c r="X527" s="210"/>
      <c r="Y527" s="210"/>
      <c r="Z527" s="210"/>
    </row>
    <row r="528" ht="21.75" customHeight="1">
      <c r="A528" s="214"/>
      <c r="B528" s="218" t="s">
        <v>1040</v>
      </c>
      <c r="C528" s="226">
        <v>50743.0</v>
      </c>
      <c r="D528" s="220"/>
      <c r="E528" s="220"/>
      <c r="F528" s="220"/>
      <c r="G528" s="220"/>
      <c r="H528" s="221"/>
      <c r="I528" s="208"/>
      <c r="J528" s="210"/>
      <c r="K528" s="210"/>
      <c r="L528" s="210"/>
      <c r="M528" s="210"/>
      <c r="N528" s="210"/>
      <c r="O528" s="210"/>
      <c r="P528" s="210"/>
      <c r="Q528" s="210"/>
      <c r="R528" s="210"/>
      <c r="S528" s="210"/>
      <c r="T528" s="210"/>
      <c r="U528" s="210"/>
      <c r="V528" s="210"/>
      <c r="W528" s="210"/>
      <c r="X528" s="210"/>
      <c r="Y528" s="210"/>
      <c r="Z528" s="210"/>
    </row>
    <row r="529" ht="21.75" customHeight="1">
      <c r="A529" s="214"/>
      <c r="B529" s="221"/>
      <c r="C529" s="222">
        <v>100.0</v>
      </c>
      <c r="D529" s="223" t="s">
        <v>486</v>
      </c>
      <c r="E529" s="223" t="s">
        <v>487</v>
      </c>
      <c r="F529" s="223" t="s">
        <v>488</v>
      </c>
      <c r="G529" s="223" t="s">
        <v>489</v>
      </c>
      <c r="H529" s="224" t="s">
        <v>490</v>
      </c>
      <c r="I529" s="208"/>
      <c r="J529" s="210"/>
      <c r="K529" s="210"/>
      <c r="L529" s="210"/>
      <c r="M529" s="210"/>
      <c r="N529" s="210"/>
      <c r="O529" s="210"/>
      <c r="P529" s="210"/>
      <c r="Q529" s="210"/>
      <c r="R529" s="210"/>
      <c r="S529" s="210"/>
      <c r="T529" s="210"/>
      <c r="U529" s="210"/>
      <c r="V529" s="210"/>
      <c r="W529" s="210"/>
      <c r="X529" s="210"/>
      <c r="Y529" s="210"/>
      <c r="Z529" s="210"/>
    </row>
    <row r="530" ht="21.75" customHeight="1">
      <c r="A530" s="214"/>
      <c r="B530" s="221"/>
      <c r="C530" s="222">
        <v>101.0</v>
      </c>
      <c r="D530" s="223" t="s">
        <v>1041</v>
      </c>
      <c r="E530" s="223" t="s">
        <v>487</v>
      </c>
      <c r="F530" s="223" t="s">
        <v>492</v>
      </c>
      <c r="G530" s="223" t="s">
        <v>678</v>
      </c>
      <c r="H530" s="225" t="s">
        <v>1042</v>
      </c>
      <c r="I530" s="208"/>
      <c r="J530" s="210"/>
      <c r="K530" s="210"/>
      <c r="L530" s="210"/>
      <c r="M530" s="210"/>
      <c r="N530" s="210"/>
      <c r="O530" s="210"/>
      <c r="P530" s="210"/>
      <c r="Q530" s="210"/>
      <c r="R530" s="210"/>
      <c r="S530" s="210"/>
      <c r="T530" s="210"/>
      <c r="U530" s="210"/>
      <c r="V530" s="210"/>
      <c r="W530" s="210"/>
      <c r="X530" s="210"/>
      <c r="Y530" s="210"/>
      <c r="Z530" s="210"/>
    </row>
    <row r="531" ht="21.75" customHeight="1">
      <c r="A531" s="214"/>
      <c r="B531" s="221"/>
      <c r="C531" s="222">
        <v>102.0</v>
      </c>
      <c r="D531" s="223" t="s">
        <v>749</v>
      </c>
      <c r="E531" s="223" t="s">
        <v>487</v>
      </c>
      <c r="F531" s="223" t="s">
        <v>496</v>
      </c>
      <c r="G531" s="223" t="s">
        <v>497</v>
      </c>
      <c r="H531" s="225" t="s">
        <v>1043</v>
      </c>
      <c r="I531" s="208"/>
      <c r="J531" s="210"/>
      <c r="K531" s="210"/>
      <c r="L531" s="210"/>
      <c r="M531" s="210"/>
      <c r="N531" s="210"/>
      <c r="O531" s="210"/>
      <c r="P531" s="210"/>
      <c r="Q531" s="210"/>
      <c r="R531" s="210"/>
      <c r="S531" s="210"/>
      <c r="T531" s="210"/>
      <c r="U531" s="210"/>
      <c r="V531" s="210"/>
      <c r="W531" s="210"/>
      <c r="X531" s="210"/>
      <c r="Y531" s="210"/>
      <c r="Z531" s="210"/>
    </row>
    <row r="532" ht="21.75" customHeight="1">
      <c r="A532" s="214"/>
      <c r="B532" s="221"/>
      <c r="C532" s="222">
        <v>103.0</v>
      </c>
      <c r="D532" s="223" t="s">
        <v>665</v>
      </c>
      <c r="E532" s="223" t="s">
        <v>487</v>
      </c>
      <c r="F532" s="223" t="s">
        <v>500</v>
      </c>
      <c r="G532" s="223" t="s">
        <v>501</v>
      </c>
      <c r="H532" s="224" t="s">
        <v>490</v>
      </c>
      <c r="I532" s="208"/>
      <c r="J532" s="210"/>
      <c r="K532" s="210"/>
      <c r="L532" s="210"/>
      <c r="M532" s="210"/>
      <c r="N532" s="210"/>
      <c r="O532" s="210"/>
      <c r="P532" s="210"/>
      <c r="Q532" s="210"/>
      <c r="R532" s="210"/>
      <c r="S532" s="210"/>
      <c r="T532" s="210"/>
      <c r="U532" s="210"/>
      <c r="V532" s="210"/>
      <c r="W532" s="210"/>
      <c r="X532" s="210"/>
      <c r="Y532" s="210"/>
      <c r="Z532" s="210"/>
    </row>
    <row r="533" ht="21.75" customHeight="1">
      <c r="A533" s="214"/>
      <c r="B533" s="221"/>
      <c r="C533" s="222">
        <v>104.0</v>
      </c>
      <c r="D533" s="223" t="s">
        <v>750</v>
      </c>
      <c r="E533" s="223" t="s">
        <v>487</v>
      </c>
      <c r="F533" s="223" t="s">
        <v>512</v>
      </c>
      <c r="G533" s="223" t="s">
        <v>526</v>
      </c>
      <c r="H533" s="224" t="s">
        <v>490</v>
      </c>
      <c r="I533" s="208"/>
      <c r="J533" s="210"/>
      <c r="K533" s="210"/>
      <c r="L533" s="210"/>
      <c r="M533" s="210"/>
      <c r="N533" s="210"/>
      <c r="O533" s="210"/>
      <c r="P533" s="210"/>
      <c r="Q533" s="210"/>
      <c r="R533" s="210"/>
      <c r="S533" s="210"/>
      <c r="T533" s="210"/>
      <c r="U533" s="210"/>
      <c r="V533" s="210"/>
      <c r="W533" s="210"/>
      <c r="X533" s="210"/>
      <c r="Y533" s="210"/>
      <c r="Z533" s="210"/>
    </row>
    <row r="534" ht="21.75" customHeight="1">
      <c r="A534" s="214"/>
      <c r="B534" s="221"/>
      <c r="C534" s="222">
        <v>105.0</v>
      </c>
      <c r="D534" s="223" t="s">
        <v>1044</v>
      </c>
      <c r="E534" s="223" t="s">
        <v>487</v>
      </c>
      <c r="F534" s="223" t="s">
        <v>532</v>
      </c>
      <c r="G534" s="223" t="s">
        <v>493</v>
      </c>
      <c r="H534" s="225" t="s">
        <v>1045</v>
      </c>
      <c r="I534" s="208"/>
      <c r="J534" s="210"/>
      <c r="K534" s="210"/>
      <c r="L534" s="210"/>
      <c r="M534" s="210"/>
      <c r="N534" s="210"/>
      <c r="O534" s="210"/>
      <c r="P534" s="210"/>
      <c r="Q534" s="210"/>
      <c r="R534" s="210"/>
      <c r="S534" s="210"/>
      <c r="T534" s="210"/>
      <c r="U534" s="210"/>
      <c r="V534" s="210"/>
      <c r="W534" s="210"/>
      <c r="X534" s="210"/>
      <c r="Y534" s="210"/>
      <c r="Z534" s="210"/>
    </row>
    <row r="535" ht="21.75" customHeight="1">
      <c r="A535" s="214"/>
      <c r="B535" s="217"/>
      <c r="C535" s="222">
        <v>106.0</v>
      </c>
      <c r="D535" s="215" t="s">
        <v>519</v>
      </c>
      <c r="E535" s="215" t="s">
        <v>508</v>
      </c>
      <c r="F535" s="215" t="s">
        <v>509</v>
      </c>
      <c r="G535" s="215" t="s">
        <v>510</v>
      </c>
      <c r="H535" s="225" t="s">
        <v>879</v>
      </c>
      <c r="I535" s="208"/>
      <c r="J535" s="210"/>
      <c r="K535" s="210"/>
      <c r="L535" s="210"/>
      <c r="M535" s="210"/>
      <c r="N535" s="210"/>
      <c r="O535" s="210"/>
      <c r="P535" s="210"/>
      <c r="Q535" s="210"/>
      <c r="R535" s="210"/>
      <c r="S535" s="210"/>
      <c r="T535" s="210"/>
      <c r="U535" s="210"/>
      <c r="V535" s="210"/>
      <c r="W535" s="210"/>
      <c r="X535" s="210"/>
      <c r="Y535" s="210"/>
      <c r="Z535" s="210"/>
    </row>
    <row r="536" ht="21.75" customHeight="1">
      <c r="A536" s="214"/>
      <c r="B536" s="218" t="s">
        <v>1046</v>
      </c>
      <c r="C536" s="226">
        <v>50742.0</v>
      </c>
      <c r="D536" s="220"/>
      <c r="E536" s="220"/>
      <c r="F536" s="220"/>
      <c r="G536" s="220"/>
      <c r="H536" s="221"/>
      <c r="I536" s="208"/>
      <c r="J536" s="210"/>
      <c r="K536" s="210"/>
      <c r="L536" s="210"/>
      <c r="M536" s="210"/>
      <c r="N536" s="210"/>
      <c r="O536" s="210"/>
      <c r="P536" s="210"/>
      <c r="Q536" s="210"/>
      <c r="R536" s="210"/>
      <c r="S536" s="210"/>
      <c r="T536" s="210"/>
      <c r="U536" s="210"/>
      <c r="V536" s="210"/>
      <c r="W536" s="210"/>
      <c r="X536" s="210"/>
      <c r="Y536" s="210"/>
      <c r="Z536" s="210"/>
    </row>
    <row r="537" ht="21.75" customHeight="1">
      <c r="A537" s="214"/>
      <c r="B537" s="221"/>
      <c r="C537" s="222">
        <v>100.0</v>
      </c>
      <c r="D537" s="223" t="s">
        <v>486</v>
      </c>
      <c r="E537" s="223" t="s">
        <v>487</v>
      </c>
      <c r="F537" s="223" t="s">
        <v>488</v>
      </c>
      <c r="G537" s="223" t="s">
        <v>489</v>
      </c>
      <c r="H537" s="224" t="s">
        <v>490</v>
      </c>
      <c r="I537" s="208"/>
      <c r="J537" s="210"/>
      <c r="K537" s="210"/>
      <c r="L537" s="210"/>
      <c r="M537" s="210"/>
      <c r="N537" s="210"/>
      <c r="O537" s="210"/>
      <c r="P537" s="210"/>
      <c r="Q537" s="210"/>
      <c r="R537" s="210"/>
      <c r="S537" s="210"/>
      <c r="T537" s="210"/>
      <c r="U537" s="210"/>
      <c r="V537" s="210"/>
      <c r="W537" s="210"/>
      <c r="X537" s="210"/>
      <c r="Y537" s="210"/>
      <c r="Z537" s="210"/>
    </row>
    <row r="538" ht="21.75" customHeight="1">
      <c r="A538" s="214"/>
      <c r="B538" s="221"/>
      <c r="C538" s="222">
        <v>101.0</v>
      </c>
      <c r="D538" s="223" t="s">
        <v>491</v>
      </c>
      <c r="E538" s="223" t="s">
        <v>487</v>
      </c>
      <c r="F538" s="223" t="s">
        <v>492</v>
      </c>
      <c r="G538" s="223" t="s">
        <v>678</v>
      </c>
      <c r="H538" s="225" t="s">
        <v>1047</v>
      </c>
      <c r="I538" s="208"/>
      <c r="J538" s="210"/>
      <c r="K538" s="210"/>
      <c r="L538" s="210"/>
      <c r="M538" s="210"/>
      <c r="N538" s="210"/>
      <c r="O538" s="210"/>
      <c r="P538" s="210"/>
      <c r="Q538" s="210"/>
      <c r="R538" s="210"/>
      <c r="S538" s="210"/>
      <c r="T538" s="210"/>
      <c r="U538" s="210"/>
      <c r="V538" s="210"/>
      <c r="W538" s="210"/>
      <c r="X538" s="210"/>
      <c r="Y538" s="210"/>
      <c r="Z538" s="210"/>
    </row>
    <row r="539" ht="21.75" customHeight="1">
      <c r="A539" s="214"/>
      <c r="B539" s="221"/>
      <c r="C539" s="222">
        <v>102.0</v>
      </c>
      <c r="D539" s="223" t="s">
        <v>749</v>
      </c>
      <c r="E539" s="223" t="s">
        <v>487</v>
      </c>
      <c r="F539" s="223" t="s">
        <v>496</v>
      </c>
      <c r="G539" s="223" t="s">
        <v>497</v>
      </c>
      <c r="H539" s="225" t="s">
        <v>877</v>
      </c>
      <c r="I539" s="208"/>
      <c r="J539" s="210"/>
      <c r="K539" s="210"/>
      <c r="L539" s="210"/>
      <c r="M539" s="210"/>
      <c r="N539" s="210"/>
      <c r="O539" s="210"/>
      <c r="P539" s="210"/>
      <c r="Q539" s="210"/>
      <c r="R539" s="210"/>
      <c r="S539" s="210"/>
      <c r="T539" s="210"/>
      <c r="U539" s="210"/>
      <c r="V539" s="210"/>
      <c r="W539" s="210"/>
      <c r="X539" s="210"/>
      <c r="Y539" s="210"/>
      <c r="Z539" s="210"/>
    </row>
    <row r="540" ht="21.75" customHeight="1">
      <c r="A540" s="214"/>
      <c r="B540" s="221"/>
      <c r="C540" s="222">
        <v>103.0</v>
      </c>
      <c r="D540" s="223" t="s">
        <v>750</v>
      </c>
      <c r="E540" s="223" t="s">
        <v>487</v>
      </c>
      <c r="F540" s="223" t="s">
        <v>500</v>
      </c>
      <c r="G540" s="223" t="s">
        <v>526</v>
      </c>
      <c r="H540" s="225" t="s">
        <v>877</v>
      </c>
      <c r="I540" s="208"/>
      <c r="J540" s="210"/>
      <c r="K540" s="210"/>
      <c r="L540" s="210"/>
      <c r="M540" s="210"/>
      <c r="N540" s="210"/>
      <c r="O540" s="210"/>
      <c r="P540" s="210"/>
      <c r="Q540" s="210"/>
      <c r="R540" s="210"/>
      <c r="S540" s="210"/>
      <c r="T540" s="210"/>
      <c r="U540" s="210"/>
      <c r="V540" s="210"/>
      <c r="W540" s="210"/>
      <c r="X540" s="210"/>
      <c r="Y540" s="210"/>
      <c r="Z540" s="210"/>
    </row>
    <row r="541" ht="21.75" customHeight="1">
      <c r="A541" s="214"/>
      <c r="B541" s="221"/>
      <c r="C541" s="222">
        <v>104.0</v>
      </c>
      <c r="D541" s="223" t="s">
        <v>912</v>
      </c>
      <c r="E541" s="223" t="s">
        <v>487</v>
      </c>
      <c r="F541" s="223" t="s">
        <v>512</v>
      </c>
      <c r="G541" s="223" t="s">
        <v>493</v>
      </c>
      <c r="H541" s="225" t="s">
        <v>666</v>
      </c>
      <c r="I541" s="208"/>
      <c r="J541" s="210"/>
      <c r="K541" s="210"/>
      <c r="L541" s="210"/>
      <c r="M541" s="210"/>
      <c r="N541" s="210"/>
      <c r="O541" s="210"/>
      <c r="P541" s="210"/>
      <c r="Q541" s="210"/>
      <c r="R541" s="210"/>
      <c r="S541" s="210"/>
      <c r="T541" s="210"/>
      <c r="U541" s="210"/>
      <c r="V541" s="210"/>
      <c r="W541" s="210"/>
      <c r="X541" s="210"/>
      <c r="Y541" s="210"/>
      <c r="Z541" s="210"/>
    </row>
    <row r="542" ht="21.75" customHeight="1">
      <c r="A542" s="214"/>
      <c r="B542" s="217"/>
      <c r="C542" s="222">
        <v>105.0</v>
      </c>
      <c r="D542" s="215" t="s">
        <v>519</v>
      </c>
      <c r="E542" s="215" t="s">
        <v>508</v>
      </c>
      <c r="F542" s="215" t="s">
        <v>509</v>
      </c>
      <c r="G542" s="215" t="s">
        <v>510</v>
      </c>
      <c r="H542" s="225" t="s">
        <v>879</v>
      </c>
      <c r="I542" s="208"/>
      <c r="J542" s="210"/>
      <c r="K542" s="210"/>
      <c r="L542" s="210"/>
      <c r="M542" s="210"/>
      <c r="N542" s="210"/>
      <c r="O542" s="210"/>
      <c r="P542" s="210"/>
      <c r="Q542" s="210"/>
      <c r="R542" s="210"/>
      <c r="S542" s="210"/>
      <c r="T542" s="210"/>
      <c r="U542" s="210"/>
      <c r="V542" s="210"/>
      <c r="W542" s="210"/>
      <c r="X542" s="210"/>
      <c r="Y542" s="210"/>
      <c r="Z542" s="210"/>
    </row>
    <row r="543" ht="21.75" customHeight="1">
      <c r="A543" s="214"/>
      <c r="B543" s="218" t="s">
        <v>1048</v>
      </c>
      <c r="C543" s="226">
        <v>50645.0</v>
      </c>
      <c r="D543" s="220"/>
      <c r="E543" s="220"/>
      <c r="F543" s="220"/>
      <c r="G543" s="220"/>
      <c r="H543" s="221"/>
      <c r="I543" s="208"/>
      <c r="J543" s="210"/>
      <c r="K543" s="210"/>
      <c r="L543" s="210"/>
      <c r="M543" s="210"/>
      <c r="N543" s="210"/>
      <c r="O543" s="210"/>
      <c r="P543" s="210"/>
      <c r="Q543" s="210"/>
      <c r="R543" s="210"/>
      <c r="S543" s="210"/>
      <c r="T543" s="210"/>
      <c r="U543" s="210"/>
      <c r="V543" s="210"/>
      <c r="W543" s="210"/>
      <c r="X543" s="210"/>
      <c r="Y543" s="210"/>
      <c r="Z543" s="210"/>
    </row>
    <row r="544" ht="21.75" customHeight="1">
      <c r="A544" s="214"/>
      <c r="B544" s="221"/>
      <c r="C544" s="222">
        <v>100.0</v>
      </c>
      <c r="D544" s="223" t="s">
        <v>486</v>
      </c>
      <c r="E544" s="223" t="s">
        <v>487</v>
      </c>
      <c r="F544" s="223" t="s">
        <v>488</v>
      </c>
      <c r="G544" s="223" t="s">
        <v>489</v>
      </c>
      <c r="H544" s="224" t="s">
        <v>490</v>
      </c>
      <c r="I544" s="208"/>
      <c r="J544" s="210"/>
      <c r="K544" s="210"/>
      <c r="L544" s="210"/>
      <c r="M544" s="210"/>
      <c r="N544" s="210"/>
      <c r="O544" s="210"/>
      <c r="P544" s="210"/>
      <c r="Q544" s="210"/>
      <c r="R544" s="210"/>
      <c r="S544" s="210"/>
      <c r="T544" s="210"/>
      <c r="U544" s="210"/>
      <c r="V544" s="210"/>
      <c r="W544" s="210"/>
      <c r="X544" s="210"/>
      <c r="Y544" s="210"/>
      <c r="Z544" s="210"/>
    </row>
    <row r="545" ht="21.75" customHeight="1">
      <c r="A545" s="214"/>
      <c r="B545" s="221"/>
      <c r="C545" s="222">
        <v>101.0</v>
      </c>
      <c r="D545" s="223" t="s">
        <v>1041</v>
      </c>
      <c r="E545" s="223" t="s">
        <v>487</v>
      </c>
      <c r="F545" s="223" t="s">
        <v>492</v>
      </c>
      <c r="G545" s="223" t="s">
        <v>678</v>
      </c>
      <c r="H545" s="225" t="s">
        <v>1049</v>
      </c>
      <c r="I545" s="208"/>
      <c r="J545" s="210"/>
      <c r="K545" s="210"/>
      <c r="L545" s="210"/>
      <c r="M545" s="210"/>
      <c r="N545" s="210"/>
      <c r="O545" s="210"/>
      <c r="P545" s="210"/>
      <c r="Q545" s="210"/>
      <c r="R545" s="210"/>
      <c r="S545" s="210"/>
      <c r="T545" s="210"/>
      <c r="U545" s="210"/>
      <c r="V545" s="210"/>
      <c r="W545" s="210"/>
      <c r="X545" s="210"/>
      <c r="Y545" s="210"/>
      <c r="Z545" s="210"/>
    </row>
    <row r="546" ht="21.75" customHeight="1">
      <c r="A546" s="214"/>
      <c r="B546" s="221"/>
      <c r="C546" s="222">
        <v>102.0</v>
      </c>
      <c r="D546" s="223" t="s">
        <v>749</v>
      </c>
      <c r="E546" s="223" t="s">
        <v>487</v>
      </c>
      <c r="F546" s="223" t="s">
        <v>496</v>
      </c>
      <c r="G546" s="223" t="s">
        <v>497</v>
      </c>
      <c r="H546" s="225" t="s">
        <v>1050</v>
      </c>
      <c r="I546" s="208"/>
      <c r="J546" s="210"/>
      <c r="K546" s="210"/>
      <c r="L546" s="210"/>
      <c r="M546" s="210"/>
      <c r="N546" s="210"/>
      <c r="O546" s="210"/>
      <c r="P546" s="210"/>
      <c r="Q546" s="210"/>
      <c r="R546" s="210"/>
      <c r="S546" s="210"/>
      <c r="T546" s="210"/>
      <c r="U546" s="210"/>
      <c r="V546" s="210"/>
      <c r="W546" s="210"/>
      <c r="X546" s="210"/>
      <c r="Y546" s="210"/>
      <c r="Z546" s="210"/>
    </row>
    <row r="547" ht="21.75" customHeight="1">
      <c r="A547" s="214"/>
      <c r="B547" s="221"/>
      <c r="C547" s="222">
        <v>103.0</v>
      </c>
      <c r="D547" s="223" t="s">
        <v>665</v>
      </c>
      <c r="E547" s="223" t="s">
        <v>487</v>
      </c>
      <c r="F547" s="223" t="s">
        <v>500</v>
      </c>
      <c r="G547" s="223" t="s">
        <v>501</v>
      </c>
      <c r="H547" s="225" t="s">
        <v>1051</v>
      </c>
      <c r="I547" s="208"/>
      <c r="J547" s="210"/>
      <c r="K547" s="210"/>
      <c r="L547" s="210"/>
      <c r="M547" s="210"/>
      <c r="N547" s="210"/>
      <c r="O547" s="210"/>
      <c r="P547" s="210"/>
      <c r="Q547" s="210"/>
      <c r="R547" s="210"/>
      <c r="S547" s="210"/>
      <c r="T547" s="210"/>
      <c r="U547" s="210"/>
      <c r="V547" s="210"/>
      <c r="W547" s="210"/>
      <c r="X547" s="210"/>
      <c r="Y547" s="210"/>
      <c r="Z547" s="210"/>
    </row>
    <row r="548" ht="21.75" customHeight="1">
      <c r="A548" s="214"/>
      <c r="B548" s="221"/>
      <c r="C548" s="222">
        <v>104.0</v>
      </c>
      <c r="D548" s="223" t="s">
        <v>750</v>
      </c>
      <c r="E548" s="223" t="s">
        <v>487</v>
      </c>
      <c r="F548" s="223" t="s">
        <v>512</v>
      </c>
      <c r="G548" s="223" t="s">
        <v>526</v>
      </c>
      <c r="H548" s="225" t="s">
        <v>1052</v>
      </c>
      <c r="I548" s="208"/>
      <c r="J548" s="210"/>
      <c r="K548" s="210"/>
      <c r="L548" s="210"/>
      <c r="M548" s="210"/>
      <c r="N548" s="210"/>
      <c r="O548" s="210"/>
      <c r="P548" s="210"/>
      <c r="Q548" s="210"/>
      <c r="R548" s="210"/>
      <c r="S548" s="210"/>
      <c r="T548" s="210"/>
      <c r="U548" s="210"/>
      <c r="V548" s="210"/>
      <c r="W548" s="210"/>
      <c r="X548" s="210"/>
      <c r="Y548" s="210"/>
      <c r="Z548" s="210"/>
    </row>
    <row r="549" ht="21.75" customHeight="1">
      <c r="A549" s="214"/>
      <c r="B549" s="221"/>
      <c r="C549" s="222">
        <v>105.0</v>
      </c>
      <c r="D549" s="223" t="s">
        <v>1044</v>
      </c>
      <c r="E549" s="223" t="s">
        <v>487</v>
      </c>
      <c r="F549" s="223" t="s">
        <v>532</v>
      </c>
      <c r="G549" s="223" t="s">
        <v>493</v>
      </c>
      <c r="H549" s="225" t="s">
        <v>1053</v>
      </c>
      <c r="I549" s="208"/>
      <c r="J549" s="210"/>
      <c r="K549" s="210"/>
      <c r="L549" s="210"/>
      <c r="M549" s="210"/>
      <c r="N549" s="210"/>
      <c r="O549" s="210"/>
      <c r="P549" s="210"/>
      <c r="Q549" s="210"/>
      <c r="R549" s="210"/>
      <c r="S549" s="210"/>
      <c r="T549" s="210"/>
      <c r="U549" s="210"/>
      <c r="V549" s="210"/>
      <c r="W549" s="210"/>
      <c r="X549" s="210"/>
      <c r="Y549" s="210"/>
      <c r="Z549" s="210"/>
    </row>
    <row r="550" ht="21.75" customHeight="1">
      <c r="A550" s="214"/>
      <c r="B550" s="217"/>
      <c r="C550" s="222">
        <v>106.0</v>
      </c>
      <c r="D550" s="215" t="s">
        <v>519</v>
      </c>
      <c r="E550" s="215" t="s">
        <v>508</v>
      </c>
      <c r="F550" s="215" t="s">
        <v>509</v>
      </c>
      <c r="G550" s="215" t="s">
        <v>510</v>
      </c>
      <c r="H550" s="225" t="s">
        <v>1054</v>
      </c>
      <c r="I550" s="208"/>
      <c r="J550" s="210"/>
      <c r="K550" s="210"/>
      <c r="L550" s="210"/>
      <c r="M550" s="210"/>
      <c r="N550" s="210"/>
      <c r="O550" s="210"/>
      <c r="P550" s="210"/>
      <c r="Q550" s="210"/>
      <c r="R550" s="210"/>
      <c r="S550" s="210"/>
      <c r="T550" s="210"/>
      <c r="U550" s="210"/>
      <c r="V550" s="210"/>
      <c r="W550" s="210"/>
      <c r="X550" s="210"/>
      <c r="Y550" s="210"/>
      <c r="Z550" s="210"/>
    </row>
    <row r="551" ht="21.75" customHeight="1">
      <c r="A551" s="214"/>
      <c r="B551" s="218" t="s">
        <v>1055</v>
      </c>
      <c r="C551" s="226">
        <v>50630.0</v>
      </c>
      <c r="D551" s="220"/>
      <c r="E551" s="220"/>
      <c r="F551" s="220"/>
      <c r="G551" s="220"/>
      <c r="H551" s="221"/>
      <c r="I551" s="208"/>
      <c r="J551" s="210"/>
      <c r="K551" s="210"/>
      <c r="L551" s="210"/>
      <c r="M551" s="210"/>
      <c r="N551" s="210"/>
      <c r="O551" s="210"/>
      <c r="P551" s="210"/>
      <c r="Q551" s="210"/>
      <c r="R551" s="210"/>
      <c r="S551" s="210"/>
      <c r="T551" s="210"/>
      <c r="U551" s="210"/>
      <c r="V551" s="210"/>
      <c r="W551" s="210"/>
      <c r="X551" s="210"/>
      <c r="Y551" s="210"/>
      <c r="Z551" s="210"/>
    </row>
    <row r="552" ht="21.75" customHeight="1">
      <c r="A552" s="214"/>
      <c r="B552" s="221"/>
      <c r="C552" s="222">
        <v>100.0</v>
      </c>
      <c r="D552" s="223" t="s">
        <v>486</v>
      </c>
      <c r="E552" s="223" t="s">
        <v>487</v>
      </c>
      <c r="F552" s="223" t="s">
        <v>488</v>
      </c>
      <c r="G552" s="223" t="s">
        <v>489</v>
      </c>
      <c r="H552" s="224" t="s">
        <v>490</v>
      </c>
      <c r="I552" s="208"/>
      <c r="J552" s="210"/>
      <c r="K552" s="210"/>
      <c r="L552" s="210"/>
      <c r="M552" s="210"/>
      <c r="N552" s="210"/>
      <c r="O552" s="210"/>
      <c r="P552" s="210"/>
      <c r="Q552" s="210"/>
      <c r="R552" s="210"/>
      <c r="S552" s="210"/>
      <c r="T552" s="210"/>
      <c r="U552" s="210"/>
      <c r="V552" s="210"/>
      <c r="W552" s="210"/>
      <c r="X552" s="210"/>
      <c r="Y552" s="210"/>
      <c r="Z552" s="210"/>
    </row>
    <row r="553" ht="21.75" customHeight="1">
      <c r="A553" s="214"/>
      <c r="B553" s="221"/>
      <c r="C553" s="222">
        <v>101.0</v>
      </c>
      <c r="D553" s="223" t="s">
        <v>491</v>
      </c>
      <c r="E553" s="223" t="s">
        <v>487</v>
      </c>
      <c r="F553" s="223" t="s">
        <v>492</v>
      </c>
      <c r="G553" s="223" t="s">
        <v>678</v>
      </c>
      <c r="H553" s="225" t="s">
        <v>1056</v>
      </c>
      <c r="I553" s="208"/>
      <c r="J553" s="210"/>
      <c r="K553" s="210"/>
      <c r="L553" s="210"/>
      <c r="M553" s="210"/>
      <c r="N553" s="210"/>
      <c r="O553" s="210"/>
      <c r="P553" s="210"/>
      <c r="Q553" s="210"/>
      <c r="R553" s="210"/>
      <c r="S553" s="210"/>
      <c r="T553" s="210"/>
      <c r="U553" s="210"/>
      <c r="V553" s="210"/>
      <c r="W553" s="210"/>
      <c r="X553" s="210"/>
      <c r="Y553" s="210"/>
      <c r="Z553" s="210"/>
    </row>
    <row r="554" ht="21.75" customHeight="1">
      <c r="A554" s="214"/>
      <c r="B554" s="221"/>
      <c r="C554" s="222">
        <v>102.0</v>
      </c>
      <c r="D554" s="223" t="s">
        <v>928</v>
      </c>
      <c r="E554" s="223" t="s">
        <v>487</v>
      </c>
      <c r="F554" s="223" t="s">
        <v>496</v>
      </c>
      <c r="G554" s="223" t="s">
        <v>497</v>
      </c>
      <c r="H554" s="224" t="s">
        <v>490</v>
      </c>
      <c r="I554" s="208"/>
      <c r="J554" s="210"/>
      <c r="K554" s="210"/>
      <c r="L554" s="210"/>
      <c r="M554" s="210"/>
      <c r="N554" s="210"/>
      <c r="O554" s="210"/>
      <c r="P554" s="210"/>
      <c r="Q554" s="210"/>
      <c r="R554" s="210"/>
      <c r="S554" s="210"/>
      <c r="T554" s="210"/>
      <c r="U554" s="210"/>
      <c r="V554" s="210"/>
      <c r="W554" s="210"/>
      <c r="X554" s="210"/>
      <c r="Y554" s="210"/>
      <c r="Z554" s="210"/>
    </row>
    <row r="555" ht="21.75" customHeight="1">
      <c r="A555" s="214"/>
      <c r="B555" s="221"/>
      <c r="C555" s="222">
        <v>103.0</v>
      </c>
      <c r="D555" s="223" t="s">
        <v>837</v>
      </c>
      <c r="E555" s="223" t="s">
        <v>487</v>
      </c>
      <c r="F555" s="223" t="s">
        <v>826</v>
      </c>
      <c r="G555" s="223" t="s">
        <v>501</v>
      </c>
      <c r="H555" s="224" t="s">
        <v>490</v>
      </c>
      <c r="I555" s="208"/>
      <c r="J555" s="210"/>
      <c r="K555" s="210"/>
      <c r="L555" s="210"/>
      <c r="M555" s="210"/>
      <c r="N555" s="210"/>
      <c r="O555" s="210"/>
      <c r="P555" s="210"/>
      <c r="Q555" s="210"/>
      <c r="R555" s="210"/>
      <c r="S555" s="210"/>
      <c r="T555" s="210"/>
      <c r="U555" s="210"/>
      <c r="V555" s="210"/>
      <c r="W555" s="210"/>
      <c r="X555" s="210"/>
      <c r="Y555" s="210"/>
      <c r="Z555" s="210"/>
    </row>
    <row r="556" ht="21.75" customHeight="1">
      <c r="A556" s="214"/>
      <c r="B556" s="221"/>
      <c r="C556" s="222">
        <v>104.0</v>
      </c>
      <c r="D556" s="223" t="s">
        <v>516</v>
      </c>
      <c r="E556" s="223" t="s">
        <v>487</v>
      </c>
      <c r="F556" s="223" t="s">
        <v>512</v>
      </c>
      <c r="G556" s="223" t="s">
        <v>493</v>
      </c>
      <c r="H556" s="225" t="s">
        <v>1057</v>
      </c>
      <c r="I556" s="208"/>
      <c r="J556" s="210"/>
      <c r="K556" s="210"/>
      <c r="L556" s="210"/>
      <c r="M556" s="210"/>
      <c r="N556" s="210"/>
      <c r="O556" s="210"/>
      <c r="P556" s="210"/>
      <c r="Q556" s="210"/>
      <c r="R556" s="210"/>
      <c r="S556" s="210"/>
      <c r="T556" s="210"/>
      <c r="U556" s="210"/>
      <c r="V556" s="210"/>
      <c r="W556" s="210"/>
      <c r="X556" s="210"/>
      <c r="Y556" s="210"/>
      <c r="Z556" s="210"/>
    </row>
    <row r="557" ht="21.75" customHeight="1">
      <c r="A557" s="214"/>
      <c r="B557" s="221"/>
      <c r="C557" s="222">
        <v>105.0</v>
      </c>
      <c r="D557" s="223" t="s">
        <v>727</v>
      </c>
      <c r="E557" s="223" t="s">
        <v>487</v>
      </c>
      <c r="F557" s="223" t="s">
        <v>532</v>
      </c>
      <c r="G557" s="223" t="s">
        <v>526</v>
      </c>
      <c r="H557" s="225" t="s">
        <v>1058</v>
      </c>
      <c r="I557" s="208"/>
      <c r="J557" s="210"/>
      <c r="K557" s="210"/>
      <c r="L557" s="210"/>
      <c r="M557" s="210"/>
      <c r="N557" s="210"/>
      <c r="O557" s="210"/>
      <c r="P557" s="210"/>
      <c r="Q557" s="210"/>
      <c r="R557" s="210"/>
      <c r="S557" s="210"/>
      <c r="T557" s="210"/>
      <c r="U557" s="210"/>
      <c r="V557" s="210"/>
      <c r="W557" s="210"/>
      <c r="X557" s="210"/>
      <c r="Y557" s="210"/>
      <c r="Z557" s="210"/>
    </row>
    <row r="558" ht="21.75" customHeight="1">
      <c r="A558" s="214"/>
      <c r="B558" s="221"/>
      <c r="C558" s="222">
        <v>106.0</v>
      </c>
      <c r="D558" s="223" t="s">
        <v>519</v>
      </c>
      <c r="E558" s="223" t="s">
        <v>508</v>
      </c>
      <c r="F558" s="223" t="s">
        <v>509</v>
      </c>
      <c r="G558" s="223" t="s">
        <v>510</v>
      </c>
      <c r="H558" s="225" t="s">
        <v>520</v>
      </c>
      <c r="I558" s="208"/>
      <c r="J558" s="210"/>
      <c r="K558" s="210"/>
      <c r="L558" s="210"/>
      <c r="M558" s="210"/>
      <c r="N558" s="210"/>
      <c r="O558" s="210"/>
      <c r="P558" s="210"/>
      <c r="Q558" s="210"/>
      <c r="R558" s="210"/>
      <c r="S558" s="210"/>
      <c r="T558" s="210"/>
      <c r="U558" s="210"/>
      <c r="V558" s="210"/>
      <c r="W558" s="210"/>
      <c r="X558" s="210"/>
      <c r="Y558" s="210"/>
      <c r="Z558" s="210"/>
    </row>
    <row r="559" ht="21.75" customHeight="1">
      <c r="A559" s="214"/>
      <c r="B559" s="217"/>
      <c r="C559" s="222">
        <v>107.0</v>
      </c>
      <c r="D559" s="215" t="s">
        <v>837</v>
      </c>
      <c r="E559" s="215" t="s">
        <v>529</v>
      </c>
      <c r="F559" s="215" t="s">
        <v>530</v>
      </c>
      <c r="G559" s="234" t="s">
        <v>490</v>
      </c>
      <c r="H559" s="224" t="s">
        <v>490</v>
      </c>
      <c r="I559" s="208"/>
      <c r="J559" s="210"/>
      <c r="K559" s="210"/>
      <c r="L559" s="210"/>
      <c r="M559" s="210"/>
      <c r="N559" s="210"/>
      <c r="O559" s="210"/>
      <c r="P559" s="210"/>
      <c r="Q559" s="210"/>
      <c r="R559" s="210"/>
      <c r="S559" s="210"/>
      <c r="T559" s="210"/>
      <c r="U559" s="210"/>
      <c r="V559" s="210"/>
      <c r="W559" s="210"/>
      <c r="X559" s="210"/>
      <c r="Y559" s="210"/>
      <c r="Z559" s="210"/>
    </row>
    <row r="560" ht="21.75" customHeight="1">
      <c r="A560" s="214"/>
      <c r="B560" s="218" t="s">
        <v>1059</v>
      </c>
      <c r="C560" s="226">
        <v>50628.0</v>
      </c>
      <c r="D560" s="220"/>
      <c r="E560" s="220"/>
      <c r="F560" s="220"/>
      <c r="G560" s="220"/>
      <c r="H560" s="221"/>
      <c r="I560" s="208"/>
      <c r="J560" s="210"/>
      <c r="K560" s="210"/>
      <c r="L560" s="210"/>
      <c r="M560" s="210"/>
      <c r="N560" s="210"/>
      <c r="O560" s="210"/>
      <c r="P560" s="210"/>
      <c r="Q560" s="210"/>
      <c r="R560" s="210"/>
      <c r="S560" s="210"/>
      <c r="T560" s="210"/>
      <c r="U560" s="210"/>
      <c r="V560" s="210"/>
      <c r="W560" s="210"/>
      <c r="X560" s="210"/>
      <c r="Y560" s="210"/>
      <c r="Z560" s="210"/>
    </row>
    <row r="561" ht="21.75" customHeight="1">
      <c r="A561" s="214"/>
      <c r="B561" s="221"/>
      <c r="C561" s="222">
        <v>101.0</v>
      </c>
      <c r="D561" s="223" t="s">
        <v>486</v>
      </c>
      <c r="E561" s="223" t="s">
        <v>487</v>
      </c>
      <c r="F561" s="223" t="s">
        <v>488</v>
      </c>
      <c r="G561" s="223" t="s">
        <v>489</v>
      </c>
      <c r="H561" s="224" t="s">
        <v>490</v>
      </c>
      <c r="I561" s="208"/>
      <c r="J561" s="210"/>
      <c r="K561" s="210"/>
      <c r="L561" s="210"/>
      <c r="M561" s="210"/>
      <c r="N561" s="210"/>
      <c r="O561" s="210"/>
      <c r="P561" s="210"/>
      <c r="Q561" s="210"/>
      <c r="R561" s="210"/>
      <c r="S561" s="210"/>
      <c r="T561" s="210"/>
      <c r="U561" s="210"/>
      <c r="V561" s="210"/>
      <c r="W561" s="210"/>
      <c r="X561" s="210"/>
      <c r="Y561" s="210"/>
      <c r="Z561" s="210"/>
    </row>
    <row r="562" ht="21.75" customHeight="1">
      <c r="A562" s="214"/>
      <c r="B562" s="221"/>
      <c r="C562" s="222">
        <v>103.0</v>
      </c>
      <c r="D562" s="223" t="s">
        <v>491</v>
      </c>
      <c r="E562" s="223" t="s">
        <v>487</v>
      </c>
      <c r="F562" s="223" t="s">
        <v>492</v>
      </c>
      <c r="G562" s="223" t="s">
        <v>678</v>
      </c>
      <c r="H562" s="225" t="s">
        <v>1060</v>
      </c>
      <c r="I562" s="208"/>
      <c r="J562" s="210"/>
      <c r="K562" s="210"/>
      <c r="L562" s="210"/>
      <c r="M562" s="210"/>
      <c r="N562" s="210"/>
      <c r="O562" s="210"/>
      <c r="P562" s="210"/>
      <c r="Q562" s="210"/>
      <c r="R562" s="210"/>
      <c r="S562" s="210"/>
      <c r="T562" s="210"/>
      <c r="U562" s="210"/>
      <c r="V562" s="210"/>
      <c r="W562" s="210"/>
      <c r="X562" s="210"/>
      <c r="Y562" s="210"/>
      <c r="Z562" s="210"/>
    </row>
    <row r="563" ht="21.75" customHeight="1">
      <c r="A563" s="214"/>
      <c r="B563" s="221"/>
      <c r="C563" s="222">
        <v>105.0</v>
      </c>
      <c r="D563" s="223" t="s">
        <v>928</v>
      </c>
      <c r="E563" s="223" t="s">
        <v>487</v>
      </c>
      <c r="F563" s="223" t="s">
        <v>496</v>
      </c>
      <c r="G563" s="223" t="s">
        <v>497</v>
      </c>
      <c r="H563" s="224" t="s">
        <v>490</v>
      </c>
      <c r="I563" s="208"/>
      <c r="J563" s="210"/>
      <c r="K563" s="210"/>
      <c r="L563" s="210"/>
      <c r="M563" s="210"/>
      <c r="N563" s="210"/>
      <c r="O563" s="210"/>
      <c r="P563" s="210"/>
      <c r="Q563" s="210"/>
      <c r="R563" s="210"/>
      <c r="S563" s="210"/>
      <c r="T563" s="210"/>
      <c r="U563" s="210"/>
      <c r="V563" s="210"/>
      <c r="W563" s="210"/>
      <c r="X563" s="210"/>
      <c r="Y563" s="210"/>
      <c r="Z563" s="210"/>
    </row>
    <row r="564" ht="21.75" customHeight="1">
      <c r="A564" s="214"/>
      <c r="B564" s="221"/>
      <c r="C564" s="222">
        <v>107.0</v>
      </c>
      <c r="D564" s="223" t="s">
        <v>837</v>
      </c>
      <c r="E564" s="223" t="s">
        <v>529</v>
      </c>
      <c r="F564" s="223" t="s">
        <v>530</v>
      </c>
      <c r="G564" s="218" t="s">
        <v>490</v>
      </c>
      <c r="H564" s="225" t="s">
        <v>1061</v>
      </c>
      <c r="I564" s="208"/>
      <c r="J564" s="210"/>
      <c r="K564" s="210"/>
      <c r="L564" s="210"/>
      <c r="M564" s="210"/>
      <c r="N564" s="210"/>
      <c r="O564" s="210"/>
      <c r="P564" s="210"/>
      <c r="Q564" s="210"/>
      <c r="R564" s="210"/>
      <c r="S564" s="210"/>
      <c r="T564" s="210"/>
      <c r="U564" s="210"/>
      <c r="V564" s="210"/>
      <c r="W564" s="210"/>
      <c r="X564" s="210"/>
      <c r="Y564" s="210"/>
      <c r="Z564" s="210"/>
    </row>
    <row r="565" ht="21.75" customHeight="1">
      <c r="A565" s="214"/>
      <c r="B565" s="221"/>
      <c r="C565" s="222">
        <v>109.0</v>
      </c>
      <c r="D565" s="223" t="s">
        <v>516</v>
      </c>
      <c r="E565" s="223" t="s">
        <v>487</v>
      </c>
      <c r="F565" s="223" t="s">
        <v>512</v>
      </c>
      <c r="G565" s="223" t="s">
        <v>493</v>
      </c>
      <c r="H565" s="225" t="s">
        <v>1062</v>
      </c>
      <c r="I565" s="208"/>
      <c r="J565" s="210"/>
      <c r="K565" s="210"/>
      <c r="L565" s="210"/>
      <c r="M565" s="210"/>
      <c r="N565" s="210"/>
      <c r="O565" s="210"/>
      <c r="P565" s="210"/>
      <c r="Q565" s="210"/>
      <c r="R565" s="210"/>
      <c r="S565" s="210"/>
      <c r="T565" s="210"/>
      <c r="U565" s="210"/>
      <c r="V565" s="210"/>
      <c r="W565" s="210"/>
      <c r="X565" s="210"/>
      <c r="Y565" s="210"/>
      <c r="Z565" s="210"/>
    </row>
    <row r="566" ht="21.75" customHeight="1">
      <c r="A566" s="214"/>
      <c r="B566" s="221"/>
      <c r="C566" s="222">
        <v>111.0</v>
      </c>
      <c r="D566" s="223" t="s">
        <v>727</v>
      </c>
      <c r="E566" s="223" t="s">
        <v>487</v>
      </c>
      <c r="F566" s="223" t="s">
        <v>532</v>
      </c>
      <c r="G566" s="223" t="s">
        <v>526</v>
      </c>
      <c r="H566" s="225" t="s">
        <v>1063</v>
      </c>
      <c r="I566" s="208"/>
      <c r="J566" s="210"/>
      <c r="K566" s="210"/>
      <c r="L566" s="210"/>
      <c r="M566" s="210"/>
      <c r="N566" s="210"/>
      <c r="O566" s="210"/>
      <c r="P566" s="210"/>
      <c r="Q566" s="210"/>
      <c r="R566" s="210"/>
      <c r="S566" s="210"/>
      <c r="T566" s="210"/>
      <c r="U566" s="210"/>
      <c r="V566" s="210"/>
      <c r="W566" s="210"/>
      <c r="X566" s="210"/>
      <c r="Y566" s="210"/>
      <c r="Z566" s="210"/>
    </row>
    <row r="567" ht="21.75" customHeight="1">
      <c r="A567" s="214"/>
      <c r="B567" s="221"/>
      <c r="C567" s="222">
        <v>113.0</v>
      </c>
      <c r="D567" s="223" t="s">
        <v>519</v>
      </c>
      <c r="E567" s="223" t="s">
        <v>508</v>
      </c>
      <c r="F567" s="223" t="s">
        <v>509</v>
      </c>
      <c r="G567" s="223" t="s">
        <v>510</v>
      </c>
      <c r="H567" s="225" t="s">
        <v>1064</v>
      </c>
      <c r="I567" s="208"/>
      <c r="J567" s="210"/>
      <c r="K567" s="210"/>
      <c r="L567" s="210"/>
      <c r="M567" s="210"/>
      <c r="N567" s="210"/>
      <c r="O567" s="210"/>
      <c r="P567" s="210"/>
      <c r="Q567" s="210"/>
      <c r="R567" s="210"/>
      <c r="S567" s="210"/>
      <c r="T567" s="210"/>
      <c r="U567" s="210"/>
      <c r="V567" s="210"/>
      <c r="W567" s="210"/>
      <c r="X567" s="210"/>
      <c r="Y567" s="210"/>
      <c r="Z567" s="210"/>
    </row>
    <row r="568" ht="21.75" customHeight="1">
      <c r="A568" s="228"/>
      <c r="B568" s="221"/>
      <c r="C568" s="222">
        <v>115.0</v>
      </c>
      <c r="D568" s="223" t="s">
        <v>837</v>
      </c>
      <c r="E568" s="223" t="s">
        <v>487</v>
      </c>
      <c r="F568" s="223" t="s">
        <v>826</v>
      </c>
      <c r="G568" s="223" t="s">
        <v>501</v>
      </c>
      <c r="H568" s="224" t="s">
        <v>490</v>
      </c>
      <c r="I568" s="208"/>
      <c r="J568" s="210"/>
      <c r="K568" s="210"/>
      <c r="L568" s="210"/>
      <c r="M568" s="210"/>
      <c r="N568" s="210"/>
      <c r="O568" s="210"/>
      <c r="P568" s="210"/>
      <c r="Q568" s="210"/>
      <c r="R568" s="210"/>
      <c r="S568" s="210"/>
      <c r="T568" s="210"/>
      <c r="U568" s="210"/>
      <c r="V568" s="210"/>
      <c r="W568" s="210"/>
      <c r="X568" s="210"/>
      <c r="Y568" s="210"/>
      <c r="Z568" s="210"/>
    </row>
    <row r="569" ht="21.75" customHeight="1">
      <c r="A569" s="214">
        <v>181.0</v>
      </c>
      <c r="B569" s="229" t="s">
        <v>1065</v>
      </c>
      <c r="C569" s="230"/>
      <c r="D569" s="217"/>
      <c r="E569" s="217"/>
      <c r="F569" s="217"/>
      <c r="G569" s="217"/>
      <c r="H569" s="217"/>
      <c r="I569" s="208"/>
      <c r="J569" s="210"/>
      <c r="K569" s="210"/>
      <c r="L569" s="210"/>
      <c r="M569" s="210"/>
      <c r="N569" s="210"/>
      <c r="O569" s="210"/>
      <c r="P569" s="210"/>
      <c r="Q569" s="210"/>
      <c r="R569" s="210"/>
      <c r="S569" s="210"/>
      <c r="T569" s="210"/>
      <c r="U569" s="210"/>
      <c r="V569" s="210"/>
      <c r="W569" s="210"/>
      <c r="X569" s="210"/>
      <c r="Y569" s="210"/>
      <c r="Z569" s="210"/>
    </row>
    <row r="570" ht="21.75" customHeight="1">
      <c r="A570" s="214"/>
      <c r="B570" s="218" t="s">
        <v>1066</v>
      </c>
      <c r="C570" s="219">
        <v>50489.0</v>
      </c>
      <c r="D570" s="220"/>
      <c r="E570" s="220"/>
      <c r="F570" s="220"/>
      <c r="G570" s="220"/>
      <c r="H570" s="220"/>
      <c r="I570" s="208"/>
      <c r="J570" s="210"/>
      <c r="K570" s="210"/>
      <c r="L570" s="210"/>
      <c r="M570" s="210"/>
      <c r="N570" s="210"/>
      <c r="O570" s="210"/>
      <c r="P570" s="210"/>
      <c r="Q570" s="210"/>
      <c r="R570" s="210"/>
      <c r="S570" s="210"/>
      <c r="T570" s="210"/>
      <c r="U570" s="210"/>
      <c r="V570" s="210"/>
      <c r="W570" s="210"/>
      <c r="X570" s="210"/>
      <c r="Y570" s="210"/>
      <c r="Z570" s="210"/>
    </row>
    <row r="571" ht="21.75" customHeight="1">
      <c r="A571" s="214"/>
      <c r="B571" s="221"/>
      <c r="C571" s="222">
        <v>100.0</v>
      </c>
      <c r="D571" s="223" t="s">
        <v>486</v>
      </c>
      <c r="E571" s="223" t="s">
        <v>487</v>
      </c>
      <c r="F571" s="223" t="s">
        <v>488</v>
      </c>
      <c r="G571" s="223" t="s">
        <v>489</v>
      </c>
      <c r="H571" s="224" t="s">
        <v>490</v>
      </c>
      <c r="I571" s="208"/>
      <c r="J571" s="210"/>
      <c r="K571" s="210"/>
      <c r="L571" s="210"/>
      <c r="M571" s="210"/>
      <c r="N571" s="210"/>
      <c r="O571" s="210"/>
      <c r="P571" s="210"/>
      <c r="Q571" s="210"/>
      <c r="R571" s="210"/>
      <c r="S571" s="210"/>
      <c r="T571" s="210"/>
      <c r="U571" s="210"/>
      <c r="V571" s="210"/>
      <c r="W571" s="210"/>
      <c r="X571" s="210"/>
      <c r="Y571" s="210"/>
      <c r="Z571" s="210"/>
    </row>
    <row r="572" ht="21.75" customHeight="1">
      <c r="A572" s="214"/>
      <c r="B572" s="221"/>
      <c r="C572" s="222">
        <v>101.0</v>
      </c>
      <c r="D572" s="223" t="s">
        <v>491</v>
      </c>
      <c r="E572" s="223" t="s">
        <v>487</v>
      </c>
      <c r="F572" s="223" t="s">
        <v>492</v>
      </c>
      <c r="G572" s="223" t="s">
        <v>678</v>
      </c>
      <c r="H572" s="225" t="s">
        <v>1067</v>
      </c>
      <c r="I572" s="208"/>
      <c r="J572" s="210"/>
      <c r="K572" s="210"/>
      <c r="L572" s="210"/>
      <c r="M572" s="210"/>
      <c r="N572" s="210"/>
      <c r="O572" s="210"/>
      <c r="P572" s="210"/>
      <c r="Q572" s="210"/>
      <c r="R572" s="210"/>
      <c r="S572" s="210"/>
      <c r="T572" s="210"/>
      <c r="U572" s="210"/>
      <c r="V572" s="210"/>
      <c r="W572" s="210"/>
      <c r="X572" s="210"/>
      <c r="Y572" s="210"/>
      <c r="Z572" s="210"/>
    </row>
    <row r="573" ht="21.75" customHeight="1">
      <c r="A573" s="214"/>
      <c r="B573" s="221"/>
      <c r="C573" s="222">
        <v>102.0</v>
      </c>
      <c r="D573" s="223" t="s">
        <v>516</v>
      </c>
      <c r="E573" s="223" t="s">
        <v>487</v>
      </c>
      <c r="F573" s="223" t="s">
        <v>496</v>
      </c>
      <c r="G573" s="223" t="s">
        <v>501</v>
      </c>
      <c r="H573" s="225" t="s">
        <v>666</v>
      </c>
      <c r="I573" s="208"/>
      <c r="J573" s="210"/>
      <c r="K573" s="210"/>
      <c r="L573" s="210"/>
      <c r="M573" s="210"/>
      <c r="N573" s="210"/>
      <c r="O573" s="210"/>
      <c r="P573" s="210"/>
      <c r="Q573" s="210"/>
      <c r="R573" s="210"/>
      <c r="S573" s="210"/>
      <c r="T573" s="210"/>
      <c r="U573" s="210"/>
      <c r="V573" s="210"/>
      <c r="W573" s="210"/>
      <c r="X573" s="210"/>
      <c r="Y573" s="210"/>
      <c r="Z573" s="210"/>
    </row>
    <row r="574" ht="21.75" customHeight="1">
      <c r="A574" s="214"/>
      <c r="B574" s="221"/>
      <c r="C574" s="222">
        <v>103.0</v>
      </c>
      <c r="D574" s="223" t="s">
        <v>369</v>
      </c>
      <c r="E574" s="223" t="s">
        <v>487</v>
      </c>
      <c r="F574" s="223" t="s">
        <v>500</v>
      </c>
      <c r="G574" s="223" t="s">
        <v>493</v>
      </c>
      <c r="H574" s="224" t="s">
        <v>490</v>
      </c>
      <c r="I574" s="208"/>
      <c r="J574" s="210"/>
      <c r="K574" s="210"/>
      <c r="L574" s="210"/>
      <c r="M574" s="210"/>
      <c r="N574" s="210"/>
      <c r="O574" s="210"/>
      <c r="P574" s="210"/>
      <c r="Q574" s="210"/>
      <c r="R574" s="210"/>
      <c r="S574" s="210"/>
      <c r="T574" s="210"/>
      <c r="U574" s="210"/>
      <c r="V574" s="210"/>
      <c r="W574" s="210"/>
      <c r="X574" s="210"/>
      <c r="Y574" s="210"/>
      <c r="Z574" s="210"/>
    </row>
    <row r="575" ht="21.75" customHeight="1">
      <c r="A575" s="214"/>
      <c r="B575" s="221"/>
      <c r="C575" s="222">
        <v>104.0</v>
      </c>
      <c r="D575" s="223" t="s">
        <v>408</v>
      </c>
      <c r="E575" s="223" t="s">
        <v>487</v>
      </c>
      <c r="F575" s="223" t="s">
        <v>512</v>
      </c>
      <c r="G575" s="223" t="s">
        <v>497</v>
      </c>
      <c r="H575" s="224" t="s">
        <v>490</v>
      </c>
      <c r="I575" s="208"/>
      <c r="J575" s="210"/>
      <c r="K575" s="210"/>
      <c r="L575" s="210"/>
      <c r="M575" s="210"/>
      <c r="N575" s="210"/>
      <c r="O575" s="210"/>
      <c r="P575" s="210"/>
      <c r="Q575" s="210"/>
      <c r="R575" s="210"/>
      <c r="S575" s="210"/>
      <c r="T575" s="210"/>
      <c r="U575" s="210"/>
      <c r="V575" s="210"/>
      <c r="W575" s="210"/>
      <c r="X575" s="210"/>
      <c r="Y575" s="210"/>
      <c r="Z575" s="210"/>
    </row>
    <row r="576" ht="21.75" customHeight="1">
      <c r="A576" s="214"/>
      <c r="B576" s="221"/>
      <c r="C576" s="222">
        <v>105.0</v>
      </c>
      <c r="D576" s="223" t="s">
        <v>946</v>
      </c>
      <c r="E576" s="223" t="s">
        <v>487</v>
      </c>
      <c r="F576" s="223" t="s">
        <v>532</v>
      </c>
      <c r="G576" s="223" t="s">
        <v>526</v>
      </c>
      <c r="H576" s="224" t="s">
        <v>490</v>
      </c>
      <c r="I576" s="208"/>
      <c r="J576" s="210"/>
      <c r="K576" s="210"/>
      <c r="L576" s="210"/>
      <c r="M576" s="210"/>
      <c r="N576" s="210"/>
      <c r="O576" s="210"/>
      <c r="P576" s="210"/>
      <c r="Q576" s="210"/>
      <c r="R576" s="210"/>
      <c r="S576" s="210"/>
      <c r="T576" s="210"/>
      <c r="U576" s="210"/>
      <c r="V576" s="210"/>
      <c r="W576" s="210"/>
      <c r="X576" s="210"/>
      <c r="Y576" s="210"/>
      <c r="Z576" s="210"/>
    </row>
    <row r="577" ht="21.75" customHeight="1">
      <c r="A577" s="228"/>
      <c r="B577" s="221"/>
      <c r="C577" s="222">
        <v>106.0</v>
      </c>
      <c r="D577" s="223" t="s">
        <v>541</v>
      </c>
      <c r="E577" s="223" t="s">
        <v>508</v>
      </c>
      <c r="F577" s="223" t="s">
        <v>509</v>
      </c>
      <c r="G577" s="223" t="s">
        <v>510</v>
      </c>
      <c r="H577" s="225" t="s">
        <v>879</v>
      </c>
      <c r="I577" s="208"/>
      <c r="J577" s="210"/>
      <c r="K577" s="210"/>
      <c r="L577" s="210"/>
      <c r="M577" s="210"/>
      <c r="N577" s="210"/>
      <c r="O577" s="210"/>
      <c r="P577" s="210"/>
      <c r="Q577" s="210"/>
      <c r="R577" s="210"/>
      <c r="S577" s="210"/>
      <c r="T577" s="210"/>
      <c r="U577" s="210"/>
      <c r="V577" s="210"/>
      <c r="W577" s="210"/>
      <c r="X577" s="210"/>
      <c r="Y577" s="210"/>
      <c r="Z577" s="210"/>
    </row>
    <row r="578" ht="21.75" customHeight="1">
      <c r="A578" s="214">
        <v>183.0</v>
      </c>
      <c r="B578" s="215" t="s">
        <v>484</v>
      </c>
      <c r="C578" s="216"/>
      <c r="D578" s="217"/>
      <c r="E578" s="217"/>
      <c r="F578" s="217"/>
      <c r="G578" s="217"/>
      <c r="H578" s="217"/>
      <c r="I578" s="208"/>
      <c r="J578" s="210"/>
      <c r="K578" s="210"/>
      <c r="L578" s="210"/>
      <c r="M578" s="210"/>
      <c r="N578" s="210"/>
      <c r="O578" s="210"/>
      <c r="P578" s="210"/>
      <c r="Q578" s="210"/>
      <c r="R578" s="210"/>
      <c r="S578" s="210"/>
      <c r="T578" s="210"/>
      <c r="U578" s="210"/>
      <c r="V578" s="210"/>
      <c r="W578" s="210"/>
      <c r="X578" s="210"/>
      <c r="Y578" s="210"/>
      <c r="Z578" s="210"/>
    </row>
    <row r="579" ht="21.75" customHeight="1">
      <c r="A579" s="214"/>
      <c r="B579" s="218" t="s">
        <v>1068</v>
      </c>
      <c r="C579" s="219">
        <v>50492.0</v>
      </c>
      <c r="D579" s="220"/>
      <c r="E579" s="220"/>
      <c r="F579" s="220"/>
      <c r="G579" s="220"/>
      <c r="H579" s="220"/>
      <c r="I579" s="208"/>
      <c r="J579" s="210"/>
      <c r="K579" s="210"/>
      <c r="L579" s="210"/>
      <c r="M579" s="210"/>
      <c r="N579" s="210"/>
      <c r="O579" s="210"/>
      <c r="P579" s="210"/>
      <c r="Q579" s="210"/>
      <c r="R579" s="210"/>
      <c r="S579" s="210"/>
      <c r="T579" s="210"/>
      <c r="U579" s="210"/>
      <c r="V579" s="210"/>
      <c r="W579" s="210"/>
      <c r="X579" s="210"/>
      <c r="Y579" s="210"/>
      <c r="Z579" s="210"/>
    </row>
    <row r="580" ht="21.75" customHeight="1">
      <c r="A580" s="214"/>
      <c r="B580" s="221"/>
      <c r="C580" s="222">
        <v>100.0</v>
      </c>
      <c r="D580" s="223" t="s">
        <v>486</v>
      </c>
      <c r="E580" s="223" t="s">
        <v>487</v>
      </c>
      <c r="F580" s="223" t="s">
        <v>488</v>
      </c>
      <c r="G580" s="223" t="s">
        <v>489</v>
      </c>
      <c r="H580" s="224" t="s">
        <v>490</v>
      </c>
      <c r="I580" s="208"/>
      <c r="J580" s="210"/>
      <c r="K580" s="210"/>
      <c r="L580" s="210"/>
      <c r="M580" s="210"/>
      <c r="N580" s="210"/>
      <c r="O580" s="210"/>
      <c r="P580" s="210"/>
      <c r="Q580" s="210"/>
      <c r="R580" s="210"/>
      <c r="S580" s="210"/>
      <c r="T580" s="210"/>
      <c r="U580" s="210"/>
      <c r="V580" s="210"/>
      <c r="W580" s="210"/>
      <c r="X580" s="210"/>
      <c r="Y580" s="210"/>
      <c r="Z580" s="210"/>
    </row>
    <row r="581" ht="21.75" customHeight="1">
      <c r="A581" s="214"/>
      <c r="B581" s="221"/>
      <c r="C581" s="222">
        <v>101.0</v>
      </c>
      <c r="D581" s="223" t="s">
        <v>663</v>
      </c>
      <c r="E581" s="223" t="s">
        <v>487</v>
      </c>
      <c r="F581" s="223" t="s">
        <v>601</v>
      </c>
      <c r="G581" s="223" t="s">
        <v>606</v>
      </c>
      <c r="H581" s="224" t="s">
        <v>490</v>
      </c>
      <c r="I581" s="208"/>
      <c r="J581" s="210"/>
      <c r="K581" s="210"/>
      <c r="L581" s="210"/>
      <c r="M581" s="210"/>
      <c r="N581" s="210"/>
      <c r="O581" s="210"/>
      <c r="P581" s="210"/>
      <c r="Q581" s="210"/>
      <c r="R581" s="210"/>
      <c r="S581" s="210"/>
      <c r="T581" s="210"/>
      <c r="U581" s="210"/>
      <c r="V581" s="210"/>
      <c r="W581" s="210"/>
      <c r="X581" s="210"/>
      <c r="Y581" s="210"/>
      <c r="Z581" s="210"/>
    </row>
    <row r="582" ht="21.75" customHeight="1">
      <c r="A582" s="214"/>
      <c r="B582" s="221"/>
      <c r="C582" s="222">
        <v>102.0</v>
      </c>
      <c r="D582" s="223" t="s">
        <v>1069</v>
      </c>
      <c r="E582" s="223" t="s">
        <v>487</v>
      </c>
      <c r="F582" s="223" t="s">
        <v>674</v>
      </c>
      <c r="G582" s="218" t="s">
        <v>490</v>
      </c>
      <c r="H582" s="224" t="s">
        <v>490</v>
      </c>
      <c r="I582" s="208"/>
      <c r="J582" s="210"/>
      <c r="K582" s="210"/>
      <c r="L582" s="210"/>
      <c r="M582" s="210"/>
      <c r="N582" s="210"/>
      <c r="O582" s="210"/>
      <c r="P582" s="210"/>
      <c r="Q582" s="210"/>
      <c r="R582" s="210"/>
      <c r="S582" s="210"/>
      <c r="T582" s="210"/>
      <c r="U582" s="210"/>
      <c r="V582" s="210"/>
      <c r="W582" s="210"/>
      <c r="X582" s="210"/>
      <c r="Y582" s="210"/>
      <c r="Z582" s="210"/>
    </row>
    <row r="583" ht="21.75" customHeight="1">
      <c r="A583" s="214"/>
      <c r="B583" s="221"/>
      <c r="C583" s="222">
        <v>200.0</v>
      </c>
      <c r="D583" s="223" t="s">
        <v>495</v>
      </c>
      <c r="E583" s="223" t="s">
        <v>487</v>
      </c>
      <c r="F583" s="223" t="s">
        <v>492</v>
      </c>
      <c r="G583" s="223" t="s">
        <v>497</v>
      </c>
      <c r="H583" s="225" t="s">
        <v>1070</v>
      </c>
      <c r="I583" s="208"/>
      <c r="J583" s="210"/>
      <c r="K583" s="210"/>
      <c r="L583" s="210"/>
      <c r="M583" s="210"/>
      <c r="N583" s="210"/>
      <c r="O583" s="210"/>
      <c r="P583" s="210"/>
      <c r="Q583" s="210"/>
      <c r="R583" s="210"/>
      <c r="S583" s="210"/>
      <c r="T583" s="210"/>
      <c r="U583" s="210"/>
      <c r="V583" s="210"/>
      <c r="W583" s="210"/>
      <c r="X583" s="210"/>
      <c r="Y583" s="210"/>
      <c r="Z583" s="210"/>
    </row>
    <row r="584" ht="21.75" customHeight="1">
      <c r="A584" s="214"/>
      <c r="B584" s="221"/>
      <c r="C584" s="222">
        <v>201.0</v>
      </c>
      <c r="D584" s="223" t="s">
        <v>663</v>
      </c>
      <c r="E584" s="223" t="s">
        <v>504</v>
      </c>
      <c r="F584" s="223" t="s">
        <v>505</v>
      </c>
      <c r="G584" s="218" t="s">
        <v>490</v>
      </c>
      <c r="H584" s="225" t="s">
        <v>1071</v>
      </c>
      <c r="I584" s="208"/>
      <c r="J584" s="210"/>
      <c r="K584" s="210"/>
      <c r="L584" s="210"/>
      <c r="M584" s="210"/>
      <c r="N584" s="210"/>
      <c r="O584" s="210"/>
      <c r="P584" s="210"/>
      <c r="Q584" s="210"/>
      <c r="R584" s="210"/>
      <c r="S584" s="210"/>
      <c r="T584" s="210"/>
      <c r="U584" s="210"/>
      <c r="V584" s="210"/>
      <c r="W584" s="210"/>
      <c r="X584" s="210"/>
      <c r="Y584" s="210"/>
      <c r="Z584" s="210"/>
    </row>
    <row r="585" ht="21.75" customHeight="1">
      <c r="A585" s="214"/>
      <c r="B585" s="221"/>
      <c r="C585" s="222">
        <v>202.0</v>
      </c>
      <c r="D585" s="223" t="s">
        <v>665</v>
      </c>
      <c r="E585" s="223" t="s">
        <v>487</v>
      </c>
      <c r="F585" s="223" t="s">
        <v>500</v>
      </c>
      <c r="G585" s="223" t="s">
        <v>501</v>
      </c>
      <c r="H585" s="225" t="s">
        <v>1072</v>
      </c>
      <c r="I585" s="208"/>
      <c r="J585" s="210"/>
      <c r="K585" s="210"/>
      <c r="L585" s="210"/>
      <c r="M585" s="210"/>
      <c r="N585" s="210"/>
      <c r="O585" s="210"/>
      <c r="P585" s="210"/>
      <c r="Q585" s="210"/>
      <c r="R585" s="210"/>
      <c r="S585" s="210"/>
      <c r="T585" s="210"/>
      <c r="U585" s="210"/>
      <c r="V585" s="210"/>
      <c r="W585" s="210"/>
      <c r="X585" s="210"/>
      <c r="Y585" s="210"/>
      <c r="Z585" s="210"/>
    </row>
    <row r="586" ht="21.75" customHeight="1">
      <c r="A586" s="214"/>
      <c r="B586" s="221"/>
      <c r="C586" s="222">
        <v>203.0</v>
      </c>
      <c r="D586" s="223" t="s">
        <v>667</v>
      </c>
      <c r="E586" s="223" t="s">
        <v>487</v>
      </c>
      <c r="F586" s="223" t="s">
        <v>512</v>
      </c>
      <c r="G586" s="223" t="s">
        <v>493</v>
      </c>
      <c r="H586" s="225" t="s">
        <v>1073</v>
      </c>
      <c r="I586" s="208"/>
      <c r="J586" s="210"/>
      <c r="K586" s="210"/>
      <c r="L586" s="210"/>
      <c r="M586" s="210"/>
      <c r="N586" s="210"/>
      <c r="O586" s="210"/>
      <c r="P586" s="210"/>
      <c r="Q586" s="210"/>
      <c r="R586" s="210"/>
      <c r="S586" s="210"/>
      <c r="T586" s="210"/>
      <c r="U586" s="210"/>
      <c r="V586" s="210"/>
      <c r="W586" s="210"/>
      <c r="X586" s="210"/>
      <c r="Y586" s="210"/>
      <c r="Z586" s="210"/>
    </row>
    <row r="587" ht="21.75" customHeight="1">
      <c r="A587" s="214"/>
      <c r="B587" s="221"/>
      <c r="C587" s="222">
        <v>300.0</v>
      </c>
      <c r="D587" s="223" t="s">
        <v>1074</v>
      </c>
      <c r="E587" s="223" t="s">
        <v>504</v>
      </c>
      <c r="F587" s="223" t="s">
        <v>588</v>
      </c>
      <c r="G587" s="218" t="s">
        <v>490</v>
      </c>
      <c r="H587" s="225" t="s">
        <v>1075</v>
      </c>
      <c r="I587" s="208"/>
      <c r="J587" s="210"/>
      <c r="K587" s="210"/>
      <c r="L587" s="210"/>
      <c r="M587" s="210"/>
      <c r="N587" s="210"/>
      <c r="O587" s="210"/>
      <c r="P587" s="210"/>
      <c r="Q587" s="210"/>
      <c r="R587" s="210"/>
      <c r="S587" s="210"/>
      <c r="T587" s="210"/>
      <c r="U587" s="210"/>
      <c r="V587" s="210"/>
      <c r="W587" s="210"/>
      <c r="X587" s="210"/>
      <c r="Y587" s="210"/>
      <c r="Z587" s="210"/>
    </row>
    <row r="588" ht="21.75" customHeight="1">
      <c r="A588" s="214"/>
      <c r="B588" s="221"/>
      <c r="C588" s="222">
        <v>301.0</v>
      </c>
      <c r="D588" s="223" t="s">
        <v>1076</v>
      </c>
      <c r="E588" s="223" t="s">
        <v>673</v>
      </c>
      <c r="F588" s="223" t="s">
        <v>597</v>
      </c>
      <c r="G588" s="218" t="s">
        <v>490</v>
      </c>
      <c r="H588" s="225" t="s">
        <v>1077</v>
      </c>
      <c r="I588" s="208"/>
      <c r="J588" s="210"/>
      <c r="K588" s="210"/>
      <c r="L588" s="210"/>
      <c r="M588" s="210"/>
      <c r="N588" s="210"/>
      <c r="O588" s="210"/>
      <c r="P588" s="210"/>
      <c r="Q588" s="210"/>
      <c r="R588" s="210"/>
      <c r="S588" s="210"/>
      <c r="T588" s="210"/>
      <c r="U588" s="210"/>
      <c r="V588" s="210"/>
      <c r="W588" s="210"/>
      <c r="X588" s="210"/>
      <c r="Y588" s="210"/>
      <c r="Z588" s="210"/>
    </row>
    <row r="589" ht="21.75" customHeight="1">
      <c r="A589" s="214"/>
      <c r="B589" s="221"/>
      <c r="C589" s="222">
        <v>302.0</v>
      </c>
      <c r="D589" s="223" t="s">
        <v>1074</v>
      </c>
      <c r="E589" s="223" t="s">
        <v>487</v>
      </c>
      <c r="F589" s="223" t="s">
        <v>603</v>
      </c>
      <c r="G589" s="223" t="s">
        <v>561</v>
      </c>
      <c r="H589" s="225" t="s">
        <v>1078</v>
      </c>
      <c r="I589" s="208"/>
      <c r="J589" s="210"/>
      <c r="K589" s="210"/>
      <c r="L589" s="210"/>
      <c r="M589" s="210"/>
      <c r="N589" s="210"/>
      <c r="O589" s="210"/>
      <c r="P589" s="210"/>
      <c r="Q589" s="210"/>
      <c r="R589" s="210"/>
      <c r="S589" s="210"/>
      <c r="T589" s="210"/>
      <c r="U589" s="210"/>
      <c r="V589" s="210"/>
      <c r="W589" s="210"/>
      <c r="X589" s="210"/>
      <c r="Y589" s="210"/>
      <c r="Z589" s="210"/>
    </row>
    <row r="590" ht="21.75" customHeight="1">
      <c r="A590" s="214"/>
      <c r="B590" s="221"/>
      <c r="C590" s="222">
        <v>303.0</v>
      </c>
      <c r="D590" s="223" t="s">
        <v>1079</v>
      </c>
      <c r="E590" s="223" t="s">
        <v>539</v>
      </c>
      <c r="F590" s="223" t="s">
        <v>625</v>
      </c>
      <c r="G590" s="218" t="s">
        <v>490</v>
      </c>
      <c r="H590" s="224" t="s">
        <v>490</v>
      </c>
      <c r="I590" s="208"/>
      <c r="J590" s="210"/>
      <c r="K590" s="210"/>
      <c r="L590" s="210"/>
      <c r="M590" s="210"/>
      <c r="N590" s="210"/>
      <c r="O590" s="210"/>
      <c r="P590" s="210"/>
      <c r="Q590" s="210"/>
      <c r="R590" s="210"/>
      <c r="S590" s="210"/>
      <c r="T590" s="210"/>
      <c r="U590" s="210"/>
      <c r="V590" s="210"/>
      <c r="W590" s="210"/>
      <c r="X590" s="210"/>
      <c r="Y590" s="210"/>
      <c r="Z590" s="210"/>
    </row>
    <row r="591" ht="21.75" customHeight="1">
      <c r="A591" s="214"/>
      <c r="B591" s="221"/>
      <c r="C591" s="222">
        <v>400.0</v>
      </c>
      <c r="D591" s="223" t="s">
        <v>555</v>
      </c>
      <c r="E591" s="223" t="s">
        <v>487</v>
      </c>
      <c r="F591" s="223" t="s">
        <v>496</v>
      </c>
      <c r="G591" s="223" t="s">
        <v>580</v>
      </c>
      <c r="H591" s="224" t="s">
        <v>490</v>
      </c>
      <c r="I591" s="208"/>
      <c r="J591" s="210"/>
      <c r="K591" s="210"/>
      <c r="L591" s="210"/>
      <c r="M591" s="210"/>
      <c r="N591" s="210"/>
      <c r="O591" s="210"/>
      <c r="P591" s="210"/>
      <c r="Q591" s="210"/>
      <c r="R591" s="210"/>
      <c r="S591" s="210"/>
      <c r="T591" s="210"/>
      <c r="U591" s="210"/>
      <c r="V591" s="210"/>
      <c r="W591" s="210"/>
      <c r="X591" s="210"/>
      <c r="Y591" s="210"/>
      <c r="Z591" s="210"/>
    </row>
    <row r="592" ht="21.75" customHeight="1">
      <c r="A592" s="214"/>
      <c r="B592" s="221"/>
      <c r="C592" s="222">
        <v>500.0</v>
      </c>
      <c r="D592" s="223" t="s">
        <v>1080</v>
      </c>
      <c r="E592" s="223" t="s">
        <v>504</v>
      </c>
      <c r="F592" s="223" t="s">
        <v>564</v>
      </c>
      <c r="G592" s="218" t="s">
        <v>490</v>
      </c>
      <c r="H592" s="225" t="s">
        <v>1081</v>
      </c>
      <c r="I592" s="208"/>
      <c r="J592" s="210"/>
      <c r="K592" s="210"/>
      <c r="L592" s="210"/>
      <c r="M592" s="210"/>
      <c r="N592" s="210"/>
      <c r="O592" s="210"/>
      <c r="P592" s="210"/>
      <c r="Q592" s="210"/>
      <c r="R592" s="210"/>
      <c r="S592" s="210"/>
      <c r="T592" s="210"/>
      <c r="U592" s="210"/>
      <c r="V592" s="210"/>
      <c r="W592" s="210"/>
      <c r="X592" s="210"/>
      <c r="Y592" s="210"/>
      <c r="Z592" s="210"/>
    </row>
    <row r="593" ht="21.75" customHeight="1">
      <c r="A593" s="214"/>
      <c r="B593" s="221"/>
      <c r="C593" s="222">
        <v>501.0</v>
      </c>
      <c r="D593" s="223" t="s">
        <v>1076</v>
      </c>
      <c r="E593" s="223" t="s">
        <v>673</v>
      </c>
      <c r="F593" s="223" t="s">
        <v>570</v>
      </c>
      <c r="G593" s="218" t="s">
        <v>490</v>
      </c>
      <c r="H593" s="225" t="s">
        <v>1082</v>
      </c>
      <c r="I593" s="208"/>
      <c r="J593" s="210"/>
      <c r="K593" s="210"/>
      <c r="L593" s="210"/>
      <c r="M593" s="210"/>
      <c r="N593" s="210"/>
      <c r="O593" s="210"/>
      <c r="P593" s="210"/>
      <c r="Q593" s="210"/>
      <c r="R593" s="210"/>
      <c r="S593" s="210"/>
      <c r="T593" s="210"/>
      <c r="U593" s="210"/>
      <c r="V593" s="210"/>
      <c r="W593" s="210"/>
      <c r="X593" s="210"/>
      <c r="Y593" s="210"/>
      <c r="Z593" s="210"/>
    </row>
    <row r="594" ht="21.75" customHeight="1">
      <c r="A594" s="214"/>
      <c r="B594" s="221"/>
      <c r="C594" s="222">
        <v>502.0</v>
      </c>
      <c r="D594" s="223" t="s">
        <v>1080</v>
      </c>
      <c r="E594" s="223" t="s">
        <v>487</v>
      </c>
      <c r="F594" s="223" t="s">
        <v>579</v>
      </c>
      <c r="G594" s="223" t="s">
        <v>591</v>
      </c>
      <c r="H594" s="225" t="s">
        <v>1083</v>
      </c>
      <c r="I594" s="208"/>
      <c r="J594" s="210"/>
      <c r="K594" s="210"/>
      <c r="L594" s="210"/>
      <c r="M594" s="210"/>
      <c r="N594" s="210"/>
      <c r="O594" s="210"/>
      <c r="P594" s="210"/>
      <c r="Q594" s="210"/>
      <c r="R594" s="210"/>
      <c r="S594" s="210"/>
      <c r="T594" s="210"/>
      <c r="U594" s="210"/>
      <c r="V594" s="210"/>
      <c r="W594" s="210"/>
      <c r="X594" s="210"/>
      <c r="Y594" s="210"/>
      <c r="Z594" s="210"/>
    </row>
    <row r="595" ht="21.75" customHeight="1">
      <c r="A595" s="214"/>
      <c r="B595" s="221"/>
      <c r="C595" s="222">
        <v>503.0</v>
      </c>
      <c r="D595" s="223" t="s">
        <v>1079</v>
      </c>
      <c r="E595" s="223" t="s">
        <v>539</v>
      </c>
      <c r="F595" s="223" t="s">
        <v>621</v>
      </c>
      <c r="G595" s="218" t="s">
        <v>490</v>
      </c>
      <c r="H595" s="224" t="s">
        <v>490</v>
      </c>
      <c r="I595" s="208"/>
      <c r="J595" s="210"/>
      <c r="K595" s="210"/>
      <c r="L595" s="210"/>
      <c r="M595" s="210"/>
      <c r="N595" s="210"/>
      <c r="O595" s="210"/>
      <c r="P595" s="210"/>
      <c r="Q595" s="210"/>
      <c r="R595" s="210"/>
      <c r="S595" s="210"/>
      <c r="T595" s="210"/>
      <c r="U595" s="210"/>
      <c r="V595" s="210"/>
      <c r="W595" s="210"/>
      <c r="X595" s="210"/>
      <c r="Y595" s="210"/>
      <c r="Z595" s="210"/>
    </row>
    <row r="596" ht="21.75" customHeight="1">
      <c r="A596" s="214"/>
      <c r="B596" s="221"/>
      <c r="C596" s="222">
        <v>600.0</v>
      </c>
      <c r="D596" s="223" t="s">
        <v>555</v>
      </c>
      <c r="E596" s="223" t="s">
        <v>487</v>
      </c>
      <c r="F596" s="223" t="s">
        <v>590</v>
      </c>
      <c r="G596" s="223" t="s">
        <v>602</v>
      </c>
      <c r="H596" s="224" t="s">
        <v>490</v>
      </c>
      <c r="I596" s="208"/>
      <c r="J596" s="210"/>
      <c r="K596" s="210"/>
      <c r="L596" s="210"/>
      <c r="M596" s="210"/>
      <c r="N596" s="210"/>
      <c r="O596" s="210"/>
      <c r="P596" s="210"/>
      <c r="Q596" s="210"/>
      <c r="R596" s="210"/>
      <c r="S596" s="210"/>
      <c r="T596" s="210"/>
      <c r="U596" s="210"/>
      <c r="V596" s="210"/>
      <c r="W596" s="210"/>
      <c r="X596" s="210"/>
      <c r="Y596" s="210"/>
      <c r="Z596" s="210"/>
    </row>
    <row r="597" ht="21.75" customHeight="1">
      <c r="A597" s="214"/>
      <c r="B597" s="221"/>
      <c r="C597" s="222">
        <v>700.0</v>
      </c>
      <c r="D597" s="223" t="s">
        <v>1084</v>
      </c>
      <c r="E597" s="223" t="s">
        <v>504</v>
      </c>
      <c r="F597" s="223" t="s">
        <v>567</v>
      </c>
      <c r="G597" s="218" t="s">
        <v>490</v>
      </c>
      <c r="H597" s="225" t="s">
        <v>1085</v>
      </c>
      <c r="I597" s="208"/>
      <c r="J597" s="210"/>
      <c r="K597" s="210"/>
      <c r="L597" s="210"/>
      <c r="M597" s="210"/>
      <c r="N597" s="210"/>
      <c r="O597" s="210"/>
      <c r="P597" s="210"/>
      <c r="Q597" s="210"/>
      <c r="R597" s="210"/>
      <c r="S597" s="210"/>
      <c r="T597" s="210"/>
      <c r="U597" s="210"/>
      <c r="V597" s="210"/>
      <c r="W597" s="210"/>
      <c r="X597" s="210"/>
      <c r="Y597" s="210"/>
      <c r="Z597" s="210"/>
    </row>
    <row r="598" ht="21.75" customHeight="1">
      <c r="A598" s="214"/>
      <c r="B598" s="221"/>
      <c r="C598" s="222">
        <v>701.0</v>
      </c>
      <c r="D598" s="223" t="s">
        <v>1076</v>
      </c>
      <c r="E598" s="223" t="s">
        <v>673</v>
      </c>
      <c r="F598" s="223" t="s">
        <v>761</v>
      </c>
      <c r="G598" s="218" t="s">
        <v>490</v>
      </c>
      <c r="H598" s="225" t="s">
        <v>1086</v>
      </c>
      <c r="I598" s="208"/>
      <c r="J598" s="210"/>
      <c r="K598" s="210"/>
      <c r="L598" s="210"/>
      <c r="M598" s="210"/>
      <c r="N598" s="210"/>
      <c r="O598" s="210"/>
      <c r="P598" s="210"/>
      <c r="Q598" s="210"/>
      <c r="R598" s="210"/>
      <c r="S598" s="210"/>
      <c r="T598" s="210"/>
      <c r="U598" s="210"/>
      <c r="V598" s="210"/>
      <c r="W598" s="210"/>
      <c r="X598" s="210"/>
      <c r="Y598" s="210"/>
      <c r="Z598" s="210"/>
    </row>
    <row r="599" ht="21.75" customHeight="1">
      <c r="A599" s="214"/>
      <c r="B599" s="221"/>
      <c r="C599" s="222">
        <v>702.0</v>
      </c>
      <c r="D599" s="223" t="s">
        <v>1084</v>
      </c>
      <c r="E599" s="223" t="s">
        <v>487</v>
      </c>
      <c r="F599" s="223" t="s">
        <v>583</v>
      </c>
      <c r="G599" s="223" t="s">
        <v>608</v>
      </c>
      <c r="H599" s="225" t="s">
        <v>1087</v>
      </c>
      <c r="I599" s="208"/>
      <c r="J599" s="210"/>
      <c r="K599" s="210"/>
      <c r="L599" s="210"/>
      <c r="M599" s="210"/>
      <c r="N599" s="210"/>
      <c r="O599" s="210"/>
      <c r="P599" s="210"/>
      <c r="Q599" s="210"/>
      <c r="R599" s="210"/>
      <c r="S599" s="210"/>
      <c r="T599" s="210"/>
      <c r="U599" s="210"/>
      <c r="V599" s="210"/>
      <c r="W599" s="210"/>
      <c r="X599" s="210"/>
      <c r="Y599" s="210"/>
      <c r="Z599" s="210"/>
    </row>
    <row r="600" ht="21.75" customHeight="1">
      <c r="A600" s="214"/>
      <c r="B600" s="221"/>
      <c r="C600" s="222">
        <v>703.0</v>
      </c>
      <c r="D600" s="223" t="s">
        <v>1079</v>
      </c>
      <c r="E600" s="223" t="s">
        <v>539</v>
      </c>
      <c r="F600" s="223" t="s">
        <v>542</v>
      </c>
      <c r="G600" s="218" t="s">
        <v>490</v>
      </c>
      <c r="H600" s="224" t="s">
        <v>490</v>
      </c>
      <c r="I600" s="208"/>
      <c r="J600" s="210"/>
      <c r="K600" s="210"/>
      <c r="L600" s="210"/>
      <c r="M600" s="210"/>
      <c r="N600" s="210"/>
      <c r="O600" s="210"/>
      <c r="P600" s="210"/>
      <c r="Q600" s="210"/>
      <c r="R600" s="210"/>
      <c r="S600" s="210"/>
      <c r="T600" s="210"/>
      <c r="U600" s="210"/>
      <c r="V600" s="210"/>
      <c r="W600" s="210"/>
      <c r="X600" s="210"/>
      <c r="Y600" s="210"/>
      <c r="Z600" s="210"/>
    </row>
    <row r="601" ht="21.75" customHeight="1">
      <c r="A601" s="214"/>
      <c r="B601" s="221"/>
      <c r="C601" s="222">
        <v>800.0</v>
      </c>
      <c r="D601" s="223" t="s">
        <v>555</v>
      </c>
      <c r="E601" s="223" t="s">
        <v>487</v>
      </c>
      <c r="F601" s="223" t="s">
        <v>532</v>
      </c>
      <c r="G601" s="223" t="s">
        <v>644</v>
      </c>
      <c r="H601" s="224" t="s">
        <v>490</v>
      </c>
      <c r="I601" s="208"/>
      <c r="J601" s="210"/>
      <c r="K601" s="210"/>
      <c r="L601" s="210"/>
      <c r="M601" s="210"/>
      <c r="N601" s="210"/>
      <c r="O601" s="210"/>
      <c r="P601" s="210"/>
      <c r="Q601" s="210"/>
      <c r="R601" s="210"/>
      <c r="S601" s="210"/>
      <c r="T601" s="210"/>
      <c r="U601" s="210"/>
      <c r="V601" s="210"/>
      <c r="W601" s="210"/>
      <c r="X601" s="210"/>
      <c r="Y601" s="210"/>
      <c r="Z601" s="210"/>
    </row>
    <row r="602" ht="21.75" customHeight="1">
      <c r="A602" s="214"/>
      <c r="B602" s="217"/>
      <c r="C602" s="222">
        <v>900.0</v>
      </c>
      <c r="D602" s="215" t="s">
        <v>507</v>
      </c>
      <c r="E602" s="215" t="s">
        <v>508</v>
      </c>
      <c r="F602" s="215" t="s">
        <v>509</v>
      </c>
      <c r="G602" s="215" t="s">
        <v>510</v>
      </c>
      <c r="H602" s="225" t="s">
        <v>1088</v>
      </c>
      <c r="I602" s="208"/>
      <c r="J602" s="210"/>
      <c r="K602" s="210"/>
      <c r="L602" s="210"/>
      <c r="M602" s="210"/>
      <c r="N602" s="210"/>
      <c r="O602" s="210"/>
      <c r="P602" s="210"/>
      <c r="Q602" s="210"/>
      <c r="R602" s="210"/>
      <c r="S602" s="210"/>
      <c r="T602" s="210"/>
      <c r="U602" s="210"/>
      <c r="V602" s="210"/>
      <c r="W602" s="210"/>
      <c r="X602" s="210"/>
      <c r="Y602" s="210"/>
      <c r="Z602" s="210"/>
    </row>
    <row r="603" ht="21.75" customHeight="1">
      <c r="A603" s="214"/>
      <c r="B603" s="218" t="s">
        <v>1089</v>
      </c>
      <c r="C603" s="226">
        <v>50476.0</v>
      </c>
      <c r="D603" s="220"/>
      <c r="E603" s="220"/>
      <c r="F603" s="220"/>
      <c r="G603" s="220"/>
      <c r="H603" s="221"/>
      <c r="I603" s="208"/>
      <c r="J603" s="210"/>
      <c r="K603" s="210"/>
      <c r="L603" s="210"/>
      <c r="M603" s="210"/>
      <c r="N603" s="210"/>
      <c r="O603" s="210"/>
      <c r="P603" s="210"/>
      <c r="Q603" s="210"/>
      <c r="R603" s="210"/>
      <c r="S603" s="210"/>
      <c r="T603" s="210"/>
      <c r="U603" s="210"/>
      <c r="V603" s="210"/>
      <c r="W603" s="210"/>
      <c r="X603" s="210"/>
      <c r="Y603" s="210"/>
      <c r="Z603" s="210"/>
    </row>
    <row r="604" ht="21.75" customHeight="1">
      <c r="A604" s="214"/>
      <c r="B604" s="221"/>
      <c r="C604" s="222">
        <v>100.0</v>
      </c>
      <c r="D604" s="223" t="s">
        <v>486</v>
      </c>
      <c r="E604" s="223" t="s">
        <v>487</v>
      </c>
      <c r="F604" s="223" t="s">
        <v>488</v>
      </c>
      <c r="G604" s="223" t="s">
        <v>489</v>
      </c>
      <c r="H604" s="224" t="s">
        <v>490</v>
      </c>
      <c r="I604" s="208"/>
      <c r="J604" s="210"/>
      <c r="K604" s="210"/>
      <c r="L604" s="210"/>
      <c r="M604" s="210"/>
      <c r="N604" s="210"/>
      <c r="O604" s="210"/>
      <c r="P604" s="210"/>
      <c r="Q604" s="210"/>
      <c r="R604" s="210"/>
      <c r="S604" s="210"/>
      <c r="T604" s="210"/>
      <c r="U604" s="210"/>
      <c r="V604" s="210"/>
      <c r="W604" s="210"/>
      <c r="X604" s="210"/>
      <c r="Y604" s="210"/>
      <c r="Z604" s="210"/>
    </row>
    <row r="605" ht="21.75" customHeight="1">
      <c r="A605" s="214"/>
      <c r="B605" s="221"/>
      <c r="C605" s="222">
        <v>101.0</v>
      </c>
      <c r="D605" s="223" t="s">
        <v>495</v>
      </c>
      <c r="E605" s="223" t="s">
        <v>487</v>
      </c>
      <c r="F605" s="223" t="s">
        <v>492</v>
      </c>
      <c r="G605" s="223" t="s">
        <v>497</v>
      </c>
      <c r="H605" s="225" t="s">
        <v>1090</v>
      </c>
      <c r="I605" s="208"/>
      <c r="J605" s="210"/>
      <c r="K605" s="210"/>
      <c r="L605" s="210"/>
      <c r="M605" s="210"/>
      <c r="N605" s="210"/>
      <c r="O605" s="210"/>
      <c r="P605" s="210"/>
      <c r="Q605" s="210"/>
      <c r="R605" s="210"/>
      <c r="S605" s="210"/>
      <c r="T605" s="210"/>
      <c r="U605" s="210"/>
      <c r="V605" s="210"/>
      <c r="W605" s="210"/>
      <c r="X605" s="210"/>
      <c r="Y605" s="210"/>
      <c r="Z605" s="210"/>
    </row>
    <row r="606" ht="21.75" customHeight="1">
      <c r="A606" s="214"/>
      <c r="B606" s="221"/>
      <c r="C606" s="222">
        <v>102.0</v>
      </c>
      <c r="D606" s="223" t="s">
        <v>663</v>
      </c>
      <c r="E606" s="223" t="s">
        <v>504</v>
      </c>
      <c r="F606" s="223" t="s">
        <v>505</v>
      </c>
      <c r="G606" s="218" t="s">
        <v>490</v>
      </c>
      <c r="H606" s="225" t="s">
        <v>1091</v>
      </c>
      <c r="I606" s="208"/>
      <c r="J606" s="210"/>
      <c r="K606" s="210"/>
      <c r="L606" s="210"/>
      <c r="M606" s="210"/>
      <c r="N606" s="210"/>
      <c r="O606" s="210"/>
      <c r="P606" s="210"/>
      <c r="Q606" s="210"/>
      <c r="R606" s="210"/>
      <c r="S606" s="210"/>
      <c r="T606" s="210"/>
      <c r="U606" s="210"/>
      <c r="V606" s="210"/>
      <c r="W606" s="210"/>
      <c r="X606" s="210"/>
      <c r="Y606" s="210"/>
      <c r="Z606" s="210"/>
    </row>
    <row r="607" ht="21.75" customHeight="1">
      <c r="A607" s="214"/>
      <c r="B607" s="221"/>
      <c r="C607" s="222">
        <v>103.0</v>
      </c>
      <c r="D607" s="223" t="s">
        <v>665</v>
      </c>
      <c r="E607" s="223" t="s">
        <v>487</v>
      </c>
      <c r="F607" s="223" t="s">
        <v>500</v>
      </c>
      <c r="G607" s="223" t="s">
        <v>501</v>
      </c>
      <c r="H607" s="225" t="s">
        <v>666</v>
      </c>
      <c r="I607" s="208"/>
      <c r="J607" s="210"/>
      <c r="K607" s="210"/>
      <c r="L607" s="210"/>
      <c r="M607" s="210"/>
      <c r="N607" s="210"/>
      <c r="O607" s="210"/>
      <c r="P607" s="210"/>
      <c r="Q607" s="210"/>
      <c r="R607" s="210"/>
      <c r="S607" s="210"/>
      <c r="T607" s="210"/>
      <c r="U607" s="210"/>
      <c r="V607" s="210"/>
      <c r="W607" s="210"/>
      <c r="X607" s="210"/>
      <c r="Y607" s="210"/>
      <c r="Z607" s="210"/>
    </row>
    <row r="608" ht="21.75" customHeight="1">
      <c r="A608" s="214"/>
      <c r="B608" s="221"/>
      <c r="C608" s="222">
        <v>104.0</v>
      </c>
      <c r="D608" s="223" t="s">
        <v>667</v>
      </c>
      <c r="E608" s="223" t="s">
        <v>487</v>
      </c>
      <c r="F608" s="223" t="s">
        <v>512</v>
      </c>
      <c r="G608" s="223" t="s">
        <v>493</v>
      </c>
      <c r="H608" s="225" t="s">
        <v>1092</v>
      </c>
      <c r="I608" s="208"/>
      <c r="J608" s="210"/>
      <c r="K608" s="210"/>
      <c r="L608" s="210"/>
      <c r="M608" s="210"/>
      <c r="N608" s="210"/>
      <c r="O608" s="210"/>
      <c r="P608" s="210"/>
      <c r="Q608" s="210"/>
      <c r="R608" s="210"/>
      <c r="S608" s="210"/>
      <c r="T608" s="210"/>
      <c r="U608" s="210"/>
      <c r="V608" s="210"/>
      <c r="W608" s="210"/>
      <c r="X608" s="210"/>
      <c r="Y608" s="210"/>
      <c r="Z608" s="210"/>
    </row>
    <row r="609" ht="21.75" customHeight="1">
      <c r="A609" s="214"/>
      <c r="B609" s="221"/>
      <c r="C609" s="222">
        <v>105.0</v>
      </c>
      <c r="D609" s="223" t="s">
        <v>1093</v>
      </c>
      <c r="E609" s="223" t="s">
        <v>504</v>
      </c>
      <c r="F609" s="223" t="s">
        <v>599</v>
      </c>
      <c r="G609" s="218" t="s">
        <v>490</v>
      </c>
      <c r="H609" s="225" t="s">
        <v>1094</v>
      </c>
      <c r="I609" s="208"/>
      <c r="J609" s="210"/>
      <c r="K609" s="210"/>
      <c r="L609" s="210"/>
      <c r="M609" s="210"/>
      <c r="N609" s="210"/>
      <c r="O609" s="210"/>
      <c r="P609" s="210"/>
      <c r="Q609" s="210"/>
      <c r="R609" s="210"/>
      <c r="S609" s="210"/>
      <c r="T609" s="210"/>
      <c r="U609" s="210"/>
      <c r="V609" s="210"/>
      <c r="W609" s="210"/>
      <c r="X609" s="210"/>
      <c r="Y609" s="210"/>
      <c r="Z609" s="210"/>
    </row>
    <row r="610" ht="21.75" customHeight="1">
      <c r="A610" s="214"/>
      <c r="B610" s="221"/>
      <c r="C610" s="222">
        <v>106.0</v>
      </c>
      <c r="D610" s="223" t="s">
        <v>507</v>
      </c>
      <c r="E610" s="223" t="s">
        <v>508</v>
      </c>
      <c r="F610" s="223" t="s">
        <v>509</v>
      </c>
      <c r="G610" s="223" t="s">
        <v>510</v>
      </c>
      <c r="H610" s="225" t="s">
        <v>1095</v>
      </c>
      <c r="I610" s="208"/>
      <c r="J610" s="210"/>
      <c r="K610" s="210"/>
      <c r="L610" s="210"/>
      <c r="M610" s="210"/>
      <c r="N610" s="210"/>
      <c r="O610" s="210"/>
      <c r="P610" s="210"/>
      <c r="Q610" s="210"/>
      <c r="R610" s="210"/>
      <c r="S610" s="210"/>
      <c r="T610" s="210"/>
      <c r="U610" s="210"/>
      <c r="V610" s="210"/>
      <c r="W610" s="210"/>
      <c r="X610" s="210"/>
      <c r="Y610" s="210"/>
      <c r="Z610" s="210"/>
    </row>
    <row r="611" ht="21.75" customHeight="1">
      <c r="A611" s="214"/>
      <c r="B611" s="221"/>
      <c r="C611" s="222">
        <v>107.0</v>
      </c>
      <c r="D611" s="223" t="s">
        <v>672</v>
      </c>
      <c r="E611" s="223" t="s">
        <v>673</v>
      </c>
      <c r="F611" s="223" t="s">
        <v>674</v>
      </c>
      <c r="G611" s="218" t="s">
        <v>490</v>
      </c>
      <c r="H611" s="224" t="s">
        <v>490</v>
      </c>
      <c r="I611" s="208"/>
      <c r="J611" s="210"/>
      <c r="K611" s="210"/>
      <c r="L611" s="210"/>
      <c r="M611" s="210"/>
      <c r="N611" s="210"/>
      <c r="O611" s="210"/>
      <c r="P611" s="210"/>
      <c r="Q611" s="210"/>
      <c r="R611" s="210"/>
      <c r="S611" s="210"/>
      <c r="T611" s="210"/>
      <c r="U611" s="210"/>
      <c r="V611" s="210"/>
      <c r="W611" s="210"/>
      <c r="X611" s="210"/>
      <c r="Y611" s="210"/>
      <c r="Z611" s="210"/>
    </row>
    <row r="612" ht="21.75" customHeight="1">
      <c r="A612" s="214"/>
      <c r="B612" s="221"/>
      <c r="C612" s="222">
        <v>108.0</v>
      </c>
      <c r="D612" s="223" t="s">
        <v>663</v>
      </c>
      <c r="E612" s="223" t="s">
        <v>487</v>
      </c>
      <c r="F612" s="223" t="s">
        <v>496</v>
      </c>
      <c r="G612" s="223" t="s">
        <v>606</v>
      </c>
      <c r="H612" s="224" t="s">
        <v>490</v>
      </c>
      <c r="I612" s="208"/>
      <c r="J612" s="210"/>
      <c r="K612" s="210"/>
      <c r="L612" s="210"/>
      <c r="M612" s="210"/>
      <c r="N612" s="210"/>
      <c r="O612" s="210"/>
      <c r="P612" s="210"/>
      <c r="Q612" s="210"/>
      <c r="R612" s="210"/>
      <c r="S612" s="210"/>
      <c r="T612" s="210"/>
      <c r="U612" s="210"/>
      <c r="V612" s="210"/>
      <c r="W612" s="210"/>
      <c r="X612" s="210"/>
      <c r="Y612" s="210"/>
      <c r="Z612" s="210"/>
    </row>
    <row r="613" ht="21.75" customHeight="1">
      <c r="A613" s="214"/>
      <c r="B613" s="217"/>
      <c r="C613" s="222">
        <v>109.0</v>
      </c>
      <c r="D613" s="215" t="s">
        <v>1096</v>
      </c>
      <c r="E613" s="215" t="s">
        <v>539</v>
      </c>
      <c r="F613" s="215" t="s">
        <v>1097</v>
      </c>
      <c r="G613" s="234" t="s">
        <v>490</v>
      </c>
      <c r="H613" s="225" t="s">
        <v>1098</v>
      </c>
      <c r="I613" s="208"/>
      <c r="J613" s="210"/>
      <c r="K613" s="210"/>
      <c r="L613" s="210"/>
      <c r="M613" s="210"/>
      <c r="N613" s="210"/>
      <c r="O613" s="210"/>
      <c r="P613" s="210"/>
      <c r="Q613" s="210"/>
      <c r="R613" s="210"/>
      <c r="S613" s="210"/>
      <c r="T613" s="210"/>
      <c r="U613" s="210"/>
      <c r="V613" s="210"/>
      <c r="W613" s="210"/>
      <c r="X613" s="210"/>
      <c r="Y613" s="210"/>
      <c r="Z613" s="210"/>
    </row>
    <row r="614" ht="21.75" customHeight="1">
      <c r="A614" s="214"/>
      <c r="B614" s="218" t="s">
        <v>1099</v>
      </c>
      <c r="C614" s="226">
        <v>50474.0</v>
      </c>
      <c r="D614" s="220"/>
      <c r="E614" s="220"/>
      <c r="F614" s="220"/>
      <c r="G614" s="220"/>
      <c r="H614" s="221"/>
      <c r="I614" s="208"/>
      <c r="J614" s="210"/>
      <c r="K614" s="210"/>
      <c r="L614" s="210"/>
      <c r="M614" s="210"/>
      <c r="N614" s="210"/>
      <c r="O614" s="210"/>
      <c r="P614" s="210"/>
      <c r="Q614" s="210"/>
      <c r="R614" s="210"/>
      <c r="S614" s="210"/>
      <c r="T614" s="210"/>
      <c r="U614" s="210"/>
      <c r="V614" s="210"/>
      <c r="W614" s="210"/>
      <c r="X614" s="210"/>
      <c r="Y614" s="210"/>
      <c r="Z614" s="210"/>
    </row>
    <row r="615" ht="21.75" customHeight="1">
      <c r="A615" s="214"/>
      <c r="B615" s="221"/>
      <c r="C615" s="222">
        <v>100.0</v>
      </c>
      <c r="D615" s="223" t="s">
        <v>486</v>
      </c>
      <c r="E615" s="223" t="s">
        <v>487</v>
      </c>
      <c r="F615" s="223" t="s">
        <v>488</v>
      </c>
      <c r="G615" s="223" t="s">
        <v>489</v>
      </c>
      <c r="H615" s="224" t="s">
        <v>490</v>
      </c>
      <c r="I615" s="208"/>
      <c r="J615" s="210"/>
      <c r="K615" s="210"/>
      <c r="L615" s="210"/>
      <c r="M615" s="210"/>
      <c r="N615" s="210"/>
      <c r="O615" s="210"/>
      <c r="P615" s="210"/>
      <c r="Q615" s="210"/>
      <c r="R615" s="210"/>
      <c r="S615" s="210"/>
      <c r="T615" s="210"/>
      <c r="U615" s="210"/>
      <c r="V615" s="210"/>
      <c r="W615" s="210"/>
      <c r="X615" s="210"/>
      <c r="Y615" s="210"/>
      <c r="Z615" s="210"/>
    </row>
    <row r="616" ht="21.75" customHeight="1">
      <c r="A616" s="214"/>
      <c r="B616" s="221"/>
      <c r="C616" s="222">
        <v>101.0</v>
      </c>
      <c r="D616" s="223" t="s">
        <v>1100</v>
      </c>
      <c r="E616" s="223" t="s">
        <v>487</v>
      </c>
      <c r="F616" s="223" t="s">
        <v>492</v>
      </c>
      <c r="G616" s="223" t="s">
        <v>497</v>
      </c>
      <c r="H616" s="225" t="s">
        <v>1101</v>
      </c>
      <c r="I616" s="208"/>
      <c r="J616" s="210"/>
      <c r="K616" s="210"/>
      <c r="L616" s="210"/>
      <c r="M616" s="210"/>
      <c r="N616" s="210"/>
      <c r="O616" s="210"/>
      <c r="P616" s="210"/>
      <c r="Q616" s="210"/>
      <c r="R616" s="210"/>
      <c r="S616" s="210"/>
      <c r="T616" s="210"/>
      <c r="U616" s="210"/>
      <c r="V616" s="210"/>
      <c r="W616" s="210"/>
      <c r="X616" s="210"/>
      <c r="Y616" s="210"/>
      <c r="Z616" s="210"/>
    </row>
    <row r="617" ht="21.75" customHeight="1">
      <c r="A617" s="214"/>
      <c r="B617" s="221"/>
      <c r="C617" s="222">
        <v>102.0</v>
      </c>
      <c r="D617" s="223" t="s">
        <v>663</v>
      </c>
      <c r="E617" s="223" t="s">
        <v>504</v>
      </c>
      <c r="F617" s="223" t="s">
        <v>505</v>
      </c>
      <c r="G617" s="218" t="s">
        <v>490</v>
      </c>
      <c r="H617" s="225" t="s">
        <v>1102</v>
      </c>
      <c r="I617" s="208"/>
      <c r="J617" s="210"/>
      <c r="K617" s="210"/>
      <c r="L617" s="210"/>
      <c r="M617" s="210"/>
      <c r="N617" s="210"/>
      <c r="O617" s="210"/>
      <c r="P617" s="210"/>
      <c r="Q617" s="210"/>
      <c r="R617" s="210"/>
      <c r="S617" s="210"/>
      <c r="T617" s="210"/>
      <c r="U617" s="210"/>
      <c r="V617" s="210"/>
      <c r="W617" s="210"/>
      <c r="X617" s="210"/>
      <c r="Y617" s="210"/>
      <c r="Z617" s="210"/>
    </row>
    <row r="618" ht="21.75" customHeight="1">
      <c r="A618" s="214"/>
      <c r="B618" s="221"/>
      <c r="C618" s="222">
        <v>103.0</v>
      </c>
      <c r="D618" s="223" t="s">
        <v>665</v>
      </c>
      <c r="E618" s="223" t="s">
        <v>487</v>
      </c>
      <c r="F618" s="223" t="s">
        <v>500</v>
      </c>
      <c r="G618" s="223" t="s">
        <v>501</v>
      </c>
      <c r="H618" s="225" t="s">
        <v>1103</v>
      </c>
      <c r="I618" s="208"/>
      <c r="J618" s="210"/>
      <c r="K618" s="210"/>
      <c r="L618" s="210"/>
      <c r="M618" s="210"/>
      <c r="N618" s="210"/>
      <c r="O618" s="210"/>
      <c r="P618" s="210"/>
      <c r="Q618" s="210"/>
      <c r="R618" s="210"/>
      <c r="S618" s="210"/>
      <c r="T618" s="210"/>
      <c r="U618" s="210"/>
      <c r="V618" s="210"/>
      <c r="W618" s="210"/>
      <c r="X618" s="210"/>
      <c r="Y618" s="210"/>
      <c r="Z618" s="210"/>
    </row>
    <row r="619" ht="21.75" customHeight="1">
      <c r="A619" s="214"/>
      <c r="B619" s="221"/>
      <c r="C619" s="222">
        <v>104.0</v>
      </c>
      <c r="D619" s="223" t="s">
        <v>667</v>
      </c>
      <c r="E619" s="223" t="s">
        <v>487</v>
      </c>
      <c r="F619" s="223" t="s">
        <v>512</v>
      </c>
      <c r="G619" s="223" t="s">
        <v>493</v>
      </c>
      <c r="H619" s="225" t="s">
        <v>666</v>
      </c>
      <c r="I619" s="208"/>
      <c r="J619" s="210"/>
      <c r="K619" s="210"/>
      <c r="L619" s="210"/>
      <c r="M619" s="210"/>
      <c r="N619" s="210"/>
      <c r="O619" s="210"/>
      <c r="P619" s="210"/>
      <c r="Q619" s="210"/>
      <c r="R619" s="210"/>
      <c r="S619" s="210"/>
      <c r="T619" s="210"/>
      <c r="U619" s="210"/>
      <c r="V619" s="210"/>
      <c r="W619" s="210"/>
      <c r="X619" s="210"/>
      <c r="Y619" s="210"/>
      <c r="Z619" s="210"/>
    </row>
    <row r="620" ht="21.75" customHeight="1">
      <c r="A620" s="214"/>
      <c r="B620" s="221"/>
      <c r="C620" s="222">
        <v>105.0</v>
      </c>
      <c r="D620" s="223" t="s">
        <v>1104</v>
      </c>
      <c r="E620" s="223" t="s">
        <v>504</v>
      </c>
      <c r="F620" s="223" t="s">
        <v>588</v>
      </c>
      <c r="G620" s="218" t="s">
        <v>490</v>
      </c>
      <c r="H620" s="225" t="s">
        <v>1105</v>
      </c>
      <c r="I620" s="208"/>
      <c r="J620" s="210"/>
      <c r="K620" s="210"/>
      <c r="L620" s="210"/>
      <c r="M620" s="210"/>
      <c r="N620" s="210"/>
      <c r="O620" s="210"/>
      <c r="P620" s="210"/>
      <c r="Q620" s="210"/>
      <c r="R620" s="210"/>
      <c r="S620" s="210"/>
      <c r="T620" s="210"/>
      <c r="U620" s="210"/>
      <c r="V620" s="210"/>
      <c r="W620" s="210"/>
      <c r="X620" s="210"/>
      <c r="Y620" s="210"/>
      <c r="Z620" s="210"/>
    </row>
    <row r="621" ht="21.75" customHeight="1">
      <c r="A621" s="214"/>
      <c r="B621" s="221"/>
      <c r="C621" s="222">
        <v>106.0</v>
      </c>
      <c r="D621" s="223" t="s">
        <v>1106</v>
      </c>
      <c r="E621" s="223" t="s">
        <v>487</v>
      </c>
      <c r="F621" s="223" t="s">
        <v>590</v>
      </c>
      <c r="G621" s="223" t="s">
        <v>513</v>
      </c>
      <c r="H621" s="224" t="s">
        <v>490</v>
      </c>
      <c r="I621" s="208"/>
      <c r="J621" s="210"/>
      <c r="K621" s="210"/>
      <c r="L621" s="210"/>
      <c r="M621" s="210"/>
      <c r="N621" s="210"/>
      <c r="O621" s="210"/>
      <c r="P621" s="210"/>
      <c r="Q621" s="210"/>
      <c r="R621" s="210"/>
      <c r="S621" s="210"/>
      <c r="T621" s="210"/>
      <c r="U621" s="210"/>
      <c r="V621" s="210"/>
      <c r="W621" s="210"/>
      <c r="X621" s="210"/>
      <c r="Y621" s="210"/>
      <c r="Z621" s="210"/>
    </row>
    <row r="622" ht="21.75" customHeight="1">
      <c r="A622" s="214"/>
      <c r="B622" s="221"/>
      <c r="C622" s="222">
        <v>107.0</v>
      </c>
      <c r="D622" s="223" t="s">
        <v>507</v>
      </c>
      <c r="E622" s="223" t="s">
        <v>539</v>
      </c>
      <c r="F622" s="223" t="s">
        <v>542</v>
      </c>
      <c r="G622" s="223" t="s">
        <v>561</v>
      </c>
      <c r="H622" s="224" t="s">
        <v>490</v>
      </c>
      <c r="I622" s="208"/>
      <c r="J622" s="210"/>
      <c r="K622" s="210"/>
      <c r="L622" s="210"/>
      <c r="M622" s="210"/>
      <c r="N622" s="210"/>
      <c r="O622" s="210"/>
      <c r="P622" s="210"/>
      <c r="Q622" s="210"/>
      <c r="R622" s="210"/>
      <c r="S622" s="210"/>
      <c r="T622" s="210"/>
      <c r="U622" s="210"/>
      <c r="V622" s="210"/>
      <c r="W622" s="210"/>
      <c r="X622" s="210"/>
      <c r="Y622" s="210"/>
      <c r="Z622" s="210"/>
    </row>
    <row r="623" ht="21.75" customHeight="1">
      <c r="A623" s="214"/>
      <c r="B623" s="221"/>
      <c r="C623" s="222">
        <v>108.0</v>
      </c>
      <c r="D623" s="223" t="s">
        <v>519</v>
      </c>
      <c r="E623" s="223" t="s">
        <v>508</v>
      </c>
      <c r="F623" s="223" t="s">
        <v>509</v>
      </c>
      <c r="G623" s="223" t="s">
        <v>510</v>
      </c>
      <c r="H623" s="225" t="s">
        <v>1107</v>
      </c>
      <c r="I623" s="208"/>
      <c r="J623" s="210"/>
      <c r="K623" s="210"/>
      <c r="L623" s="210"/>
      <c r="M623" s="210"/>
      <c r="N623" s="210"/>
      <c r="O623" s="210"/>
      <c r="P623" s="210"/>
      <c r="Q623" s="210"/>
      <c r="R623" s="210"/>
      <c r="S623" s="210"/>
      <c r="T623" s="210"/>
      <c r="U623" s="210"/>
      <c r="V623" s="210"/>
      <c r="W623" s="210"/>
      <c r="X623" s="210"/>
      <c r="Y623" s="210"/>
      <c r="Z623" s="210"/>
    </row>
    <row r="624" ht="21.75" customHeight="1">
      <c r="A624" s="214"/>
      <c r="B624" s="221"/>
      <c r="C624" s="222">
        <v>109.0</v>
      </c>
      <c r="D624" s="223" t="s">
        <v>672</v>
      </c>
      <c r="E624" s="223" t="s">
        <v>673</v>
      </c>
      <c r="F624" s="223" t="s">
        <v>674</v>
      </c>
      <c r="G624" s="218" t="s">
        <v>490</v>
      </c>
      <c r="H624" s="224" t="s">
        <v>490</v>
      </c>
      <c r="I624" s="208"/>
      <c r="J624" s="210"/>
      <c r="K624" s="210"/>
      <c r="L624" s="210"/>
      <c r="M624" s="210"/>
      <c r="N624" s="210"/>
      <c r="O624" s="210"/>
      <c r="P624" s="210"/>
      <c r="Q624" s="210"/>
      <c r="R624" s="210"/>
      <c r="S624" s="210"/>
      <c r="T624" s="210"/>
      <c r="U624" s="210"/>
      <c r="V624" s="210"/>
      <c r="W624" s="210"/>
      <c r="X624" s="210"/>
      <c r="Y624" s="210"/>
      <c r="Z624" s="210"/>
    </row>
    <row r="625" ht="21.75" customHeight="1">
      <c r="A625" s="214"/>
      <c r="B625" s="221"/>
      <c r="C625" s="222">
        <v>110.0</v>
      </c>
      <c r="D625" s="223" t="s">
        <v>1108</v>
      </c>
      <c r="E625" s="223" t="s">
        <v>487</v>
      </c>
      <c r="F625" s="223" t="s">
        <v>496</v>
      </c>
      <c r="G625" s="223" t="s">
        <v>606</v>
      </c>
      <c r="H625" s="224" t="s">
        <v>490</v>
      </c>
      <c r="I625" s="208"/>
      <c r="J625" s="210"/>
      <c r="K625" s="210"/>
      <c r="L625" s="210"/>
      <c r="M625" s="210"/>
      <c r="N625" s="210"/>
      <c r="O625" s="210"/>
      <c r="P625" s="210"/>
      <c r="Q625" s="210"/>
      <c r="R625" s="210"/>
      <c r="S625" s="210"/>
      <c r="T625" s="210"/>
      <c r="U625" s="210"/>
      <c r="V625" s="210"/>
      <c r="W625" s="210"/>
      <c r="X625" s="210"/>
      <c r="Y625" s="210"/>
      <c r="Z625" s="210"/>
    </row>
    <row r="626" ht="21.75" customHeight="1">
      <c r="A626" s="214"/>
      <c r="B626" s="217"/>
      <c r="C626" s="222">
        <v>111.0</v>
      </c>
      <c r="D626" s="215" t="s">
        <v>1104</v>
      </c>
      <c r="E626" s="215" t="s">
        <v>673</v>
      </c>
      <c r="F626" s="215" t="s">
        <v>1109</v>
      </c>
      <c r="G626" s="215" t="s">
        <v>526</v>
      </c>
      <c r="H626" s="224" t="s">
        <v>490</v>
      </c>
      <c r="I626" s="208"/>
      <c r="J626" s="210"/>
      <c r="K626" s="210"/>
      <c r="L626" s="210"/>
      <c r="M626" s="210"/>
      <c r="N626" s="210"/>
      <c r="O626" s="210"/>
      <c r="P626" s="210"/>
      <c r="Q626" s="210"/>
      <c r="R626" s="210"/>
      <c r="S626" s="210"/>
      <c r="T626" s="210"/>
      <c r="U626" s="210"/>
      <c r="V626" s="210"/>
      <c r="W626" s="210"/>
      <c r="X626" s="210"/>
      <c r="Y626" s="210"/>
      <c r="Z626" s="210"/>
    </row>
    <row r="627" ht="21.75" customHeight="1">
      <c r="A627" s="214"/>
      <c r="B627" s="218" t="s">
        <v>1110</v>
      </c>
      <c r="C627" s="226">
        <v>50471.0</v>
      </c>
      <c r="D627" s="220"/>
      <c r="E627" s="220"/>
      <c r="F627" s="220"/>
      <c r="G627" s="220"/>
      <c r="H627" s="221"/>
      <c r="I627" s="208"/>
      <c r="J627" s="210"/>
      <c r="K627" s="210"/>
      <c r="L627" s="210"/>
      <c r="M627" s="210"/>
      <c r="N627" s="210"/>
      <c r="O627" s="210"/>
      <c r="P627" s="210"/>
      <c r="Q627" s="210"/>
      <c r="R627" s="210"/>
      <c r="S627" s="210"/>
      <c r="T627" s="210"/>
      <c r="U627" s="210"/>
      <c r="V627" s="210"/>
      <c r="W627" s="210"/>
      <c r="X627" s="210"/>
      <c r="Y627" s="210"/>
      <c r="Z627" s="210"/>
    </row>
    <row r="628" ht="21.75" customHeight="1">
      <c r="A628" s="214"/>
      <c r="B628" s="221"/>
      <c r="C628" s="222">
        <v>100.0</v>
      </c>
      <c r="D628" s="223" t="s">
        <v>486</v>
      </c>
      <c r="E628" s="223" t="s">
        <v>487</v>
      </c>
      <c r="F628" s="223" t="s">
        <v>488</v>
      </c>
      <c r="G628" s="223" t="s">
        <v>489</v>
      </c>
      <c r="H628" s="224" t="s">
        <v>490</v>
      </c>
      <c r="I628" s="208"/>
      <c r="J628" s="210"/>
      <c r="K628" s="210"/>
      <c r="L628" s="210"/>
      <c r="M628" s="210"/>
      <c r="N628" s="210"/>
      <c r="O628" s="210"/>
      <c r="P628" s="210"/>
      <c r="Q628" s="210"/>
      <c r="R628" s="210"/>
      <c r="S628" s="210"/>
      <c r="T628" s="210"/>
      <c r="U628" s="210"/>
      <c r="V628" s="210"/>
      <c r="W628" s="210"/>
      <c r="X628" s="210"/>
      <c r="Y628" s="210"/>
      <c r="Z628" s="210"/>
    </row>
    <row r="629" ht="21.75" customHeight="1">
      <c r="A629" s="214"/>
      <c r="B629" s="221"/>
      <c r="C629" s="222">
        <v>101.0</v>
      </c>
      <c r="D629" s="223" t="s">
        <v>503</v>
      </c>
      <c r="E629" s="223" t="s">
        <v>487</v>
      </c>
      <c r="F629" s="223" t="s">
        <v>492</v>
      </c>
      <c r="G629" s="223" t="s">
        <v>594</v>
      </c>
      <c r="H629" s="225" t="s">
        <v>1111</v>
      </c>
      <c r="I629" s="208"/>
      <c r="J629" s="210"/>
      <c r="K629" s="210"/>
      <c r="L629" s="210"/>
      <c r="M629" s="210"/>
      <c r="N629" s="210"/>
      <c r="O629" s="210"/>
      <c r="P629" s="210"/>
      <c r="Q629" s="210"/>
      <c r="R629" s="210"/>
      <c r="S629" s="210"/>
      <c r="T629" s="210"/>
      <c r="U629" s="210"/>
      <c r="V629" s="210"/>
      <c r="W629" s="210"/>
      <c r="X629" s="210"/>
      <c r="Y629" s="210"/>
      <c r="Z629" s="210"/>
    </row>
    <row r="630" ht="21.75" customHeight="1">
      <c r="A630" s="214"/>
      <c r="B630" s="221"/>
      <c r="C630" s="222">
        <v>200.0</v>
      </c>
      <c r="D630" s="223" t="s">
        <v>566</v>
      </c>
      <c r="E630" s="223" t="s">
        <v>504</v>
      </c>
      <c r="F630" s="223" t="s">
        <v>505</v>
      </c>
      <c r="G630" s="218" t="s">
        <v>490</v>
      </c>
      <c r="H630" s="225" t="s">
        <v>1112</v>
      </c>
      <c r="I630" s="208"/>
      <c r="J630" s="210"/>
      <c r="K630" s="210"/>
      <c r="L630" s="210"/>
      <c r="M630" s="210"/>
      <c r="N630" s="210"/>
      <c r="O630" s="210"/>
      <c r="P630" s="210"/>
      <c r="Q630" s="210"/>
      <c r="R630" s="210"/>
      <c r="S630" s="210"/>
      <c r="T630" s="210"/>
      <c r="U630" s="210"/>
      <c r="V630" s="210"/>
      <c r="W630" s="210"/>
      <c r="X630" s="210"/>
      <c r="Y630" s="210"/>
      <c r="Z630" s="210"/>
    </row>
    <row r="631" ht="21.75" customHeight="1">
      <c r="A631" s="214"/>
      <c r="B631" s="221"/>
      <c r="C631" s="222">
        <v>201.0</v>
      </c>
      <c r="D631" s="223" t="s">
        <v>569</v>
      </c>
      <c r="E631" s="223" t="s">
        <v>504</v>
      </c>
      <c r="F631" s="223" t="s">
        <v>564</v>
      </c>
      <c r="G631" s="218" t="s">
        <v>490</v>
      </c>
      <c r="H631" s="225" t="s">
        <v>1113</v>
      </c>
      <c r="I631" s="208"/>
      <c r="J631" s="210"/>
      <c r="K631" s="210"/>
      <c r="L631" s="210"/>
      <c r="M631" s="210"/>
      <c r="N631" s="210"/>
      <c r="O631" s="210"/>
      <c r="P631" s="210"/>
      <c r="Q631" s="210"/>
      <c r="R631" s="210"/>
      <c r="S631" s="210"/>
      <c r="T631" s="210"/>
      <c r="U631" s="210"/>
      <c r="V631" s="210"/>
      <c r="W631" s="210"/>
      <c r="X631" s="210"/>
      <c r="Y631" s="210"/>
      <c r="Z631" s="210"/>
    </row>
    <row r="632" ht="21.75" customHeight="1">
      <c r="A632" s="214"/>
      <c r="B632" s="221"/>
      <c r="C632" s="222">
        <v>202.0</v>
      </c>
      <c r="D632" s="223" t="s">
        <v>1114</v>
      </c>
      <c r="E632" s="223" t="s">
        <v>487</v>
      </c>
      <c r="F632" s="223" t="s">
        <v>496</v>
      </c>
      <c r="G632" s="223" t="s">
        <v>526</v>
      </c>
      <c r="H632" s="225" t="s">
        <v>1115</v>
      </c>
      <c r="I632" s="208"/>
      <c r="J632" s="210"/>
      <c r="K632" s="210"/>
      <c r="L632" s="210"/>
      <c r="M632" s="210"/>
      <c r="N632" s="210"/>
      <c r="O632" s="210"/>
      <c r="P632" s="210"/>
      <c r="Q632" s="210"/>
      <c r="R632" s="210"/>
      <c r="S632" s="210"/>
      <c r="T632" s="210"/>
      <c r="U632" s="210"/>
      <c r="V632" s="210"/>
      <c r="W632" s="210"/>
      <c r="X632" s="210"/>
      <c r="Y632" s="210"/>
      <c r="Z632" s="210"/>
    </row>
    <row r="633" ht="21.75" customHeight="1">
      <c r="A633" s="214"/>
      <c r="B633" s="221"/>
      <c r="C633" s="222">
        <v>203.0</v>
      </c>
      <c r="D633" s="223" t="s">
        <v>669</v>
      </c>
      <c r="E633" s="223" t="s">
        <v>487</v>
      </c>
      <c r="F633" s="223" t="s">
        <v>590</v>
      </c>
      <c r="G633" s="223" t="s">
        <v>497</v>
      </c>
      <c r="H633" s="225" t="s">
        <v>1116</v>
      </c>
      <c r="I633" s="208"/>
      <c r="J633" s="210"/>
      <c r="K633" s="210"/>
      <c r="L633" s="210"/>
      <c r="M633" s="210"/>
      <c r="N633" s="210"/>
      <c r="O633" s="210"/>
      <c r="P633" s="210"/>
      <c r="Q633" s="210"/>
      <c r="R633" s="210"/>
      <c r="S633" s="210"/>
      <c r="T633" s="210"/>
      <c r="U633" s="210"/>
      <c r="V633" s="210"/>
      <c r="W633" s="210"/>
      <c r="X633" s="210"/>
      <c r="Y633" s="210"/>
      <c r="Z633" s="210"/>
    </row>
    <row r="634" ht="21.75" customHeight="1">
      <c r="A634" s="214"/>
      <c r="B634" s="221"/>
      <c r="C634" s="222">
        <v>204.0</v>
      </c>
      <c r="D634" s="223" t="s">
        <v>663</v>
      </c>
      <c r="E634" s="223" t="s">
        <v>504</v>
      </c>
      <c r="F634" s="223" t="s">
        <v>588</v>
      </c>
      <c r="G634" s="218" t="s">
        <v>490</v>
      </c>
      <c r="H634" s="225" t="s">
        <v>1117</v>
      </c>
      <c r="I634" s="208"/>
      <c r="J634" s="210"/>
      <c r="K634" s="210"/>
      <c r="L634" s="210"/>
      <c r="M634" s="210"/>
      <c r="N634" s="210"/>
      <c r="O634" s="210"/>
      <c r="P634" s="210"/>
      <c r="Q634" s="210"/>
      <c r="R634" s="210"/>
      <c r="S634" s="210"/>
      <c r="T634" s="210"/>
      <c r="U634" s="210"/>
      <c r="V634" s="210"/>
      <c r="W634" s="210"/>
      <c r="X634" s="210"/>
      <c r="Y634" s="210"/>
      <c r="Z634" s="210"/>
    </row>
    <row r="635" ht="21.75" customHeight="1">
      <c r="A635" s="214"/>
      <c r="B635" s="221"/>
      <c r="C635" s="222">
        <v>300.0</v>
      </c>
      <c r="D635" s="223" t="s">
        <v>665</v>
      </c>
      <c r="E635" s="223" t="s">
        <v>487</v>
      </c>
      <c r="F635" s="223" t="s">
        <v>512</v>
      </c>
      <c r="G635" s="223" t="s">
        <v>501</v>
      </c>
      <c r="H635" s="225" t="s">
        <v>1118</v>
      </c>
      <c r="I635" s="208"/>
      <c r="J635" s="210"/>
      <c r="K635" s="210"/>
      <c r="L635" s="210"/>
      <c r="M635" s="210"/>
      <c r="N635" s="210"/>
      <c r="O635" s="210"/>
      <c r="P635" s="210"/>
      <c r="Q635" s="210"/>
      <c r="R635" s="210"/>
      <c r="S635" s="210"/>
      <c r="T635" s="210"/>
      <c r="U635" s="210"/>
      <c r="V635" s="210"/>
      <c r="W635" s="210"/>
      <c r="X635" s="210"/>
      <c r="Y635" s="210"/>
      <c r="Z635" s="210"/>
    </row>
    <row r="636" ht="21.75" customHeight="1">
      <c r="A636" s="214"/>
      <c r="B636" s="221"/>
      <c r="C636" s="222">
        <v>301.0</v>
      </c>
      <c r="D636" s="223" t="s">
        <v>667</v>
      </c>
      <c r="E636" s="223" t="s">
        <v>487</v>
      </c>
      <c r="F636" s="223" t="s">
        <v>532</v>
      </c>
      <c r="G636" s="223" t="s">
        <v>493</v>
      </c>
      <c r="H636" s="225" t="s">
        <v>1118</v>
      </c>
      <c r="I636" s="208"/>
      <c r="J636" s="210"/>
      <c r="K636" s="210"/>
      <c r="L636" s="210"/>
      <c r="M636" s="210"/>
      <c r="N636" s="210"/>
      <c r="O636" s="210"/>
      <c r="P636" s="210"/>
      <c r="Q636" s="210"/>
      <c r="R636" s="210"/>
      <c r="S636" s="210"/>
      <c r="T636" s="210"/>
      <c r="U636" s="210"/>
      <c r="V636" s="210"/>
      <c r="W636" s="210"/>
      <c r="X636" s="210"/>
      <c r="Y636" s="210"/>
      <c r="Z636" s="210"/>
    </row>
    <row r="637" ht="21.75" customHeight="1">
      <c r="A637" s="214"/>
      <c r="B637" s="221"/>
      <c r="C637" s="222">
        <v>400.0</v>
      </c>
      <c r="D637" s="223" t="s">
        <v>1119</v>
      </c>
      <c r="E637" s="223" t="s">
        <v>504</v>
      </c>
      <c r="F637" s="223" t="s">
        <v>599</v>
      </c>
      <c r="G637" s="218" t="s">
        <v>490</v>
      </c>
      <c r="H637" s="225" t="s">
        <v>1120</v>
      </c>
      <c r="I637" s="208"/>
      <c r="J637" s="210"/>
      <c r="K637" s="210"/>
      <c r="L637" s="210"/>
      <c r="M637" s="210"/>
      <c r="N637" s="210"/>
      <c r="O637" s="210"/>
      <c r="P637" s="210"/>
      <c r="Q637" s="210"/>
      <c r="R637" s="210"/>
      <c r="S637" s="210"/>
      <c r="T637" s="210"/>
      <c r="U637" s="210"/>
      <c r="V637" s="210"/>
      <c r="W637" s="210"/>
      <c r="X637" s="210"/>
      <c r="Y637" s="210"/>
      <c r="Z637" s="210"/>
    </row>
    <row r="638" ht="21.75" customHeight="1">
      <c r="A638" s="214"/>
      <c r="B638" s="221"/>
      <c r="C638" s="222">
        <v>401.0</v>
      </c>
      <c r="D638" s="223" t="s">
        <v>1121</v>
      </c>
      <c r="E638" s="223" t="s">
        <v>504</v>
      </c>
      <c r="F638" s="223" t="s">
        <v>567</v>
      </c>
      <c r="G638" s="218" t="s">
        <v>490</v>
      </c>
      <c r="H638" s="225" t="s">
        <v>1122</v>
      </c>
      <c r="I638" s="208"/>
      <c r="J638" s="210"/>
      <c r="K638" s="210"/>
      <c r="L638" s="210"/>
      <c r="M638" s="210"/>
      <c r="N638" s="210"/>
      <c r="O638" s="210"/>
      <c r="P638" s="210"/>
      <c r="Q638" s="210"/>
      <c r="R638" s="210"/>
      <c r="S638" s="210"/>
      <c r="T638" s="210"/>
      <c r="U638" s="210"/>
      <c r="V638" s="210"/>
      <c r="W638" s="210"/>
      <c r="X638" s="210"/>
      <c r="Y638" s="210"/>
      <c r="Z638" s="210"/>
    </row>
    <row r="639" ht="21.75" customHeight="1">
      <c r="A639" s="214"/>
      <c r="B639" s="221"/>
      <c r="C639" s="222">
        <v>402.0</v>
      </c>
      <c r="D639" s="223" t="s">
        <v>578</v>
      </c>
      <c r="E639" s="223" t="s">
        <v>487</v>
      </c>
      <c r="F639" s="223" t="s">
        <v>579</v>
      </c>
      <c r="G639" s="223" t="s">
        <v>580</v>
      </c>
      <c r="H639" s="224" t="s">
        <v>490</v>
      </c>
      <c r="I639" s="208"/>
      <c r="J639" s="210"/>
      <c r="K639" s="210"/>
      <c r="L639" s="210"/>
      <c r="M639" s="210"/>
      <c r="N639" s="210"/>
      <c r="O639" s="210"/>
      <c r="P639" s="210"/>
      <c r="Q639" s="210"/>
      <c r="R639" s="210"/>
      <c r="S639" s="210"/>
      <c r="T639" s="210"/>
      <c r="U639" s="210"/>
      <c r="V639" s="210"/>
      <c r="W639" s="210"/>
      <c r="X639" s="210"/>
      <c r="Y639" s="210"/>
      <c r="Z639" s="210"/>
    </row>
    <row r="640" ht="21.75" customHeight="1">
      <c r="A640" s="214"/>
      <c r="B640" s="221"/>
      <c r="C640" s="222">
        <v>403.0</v>
      </c>
      <c r="D640" s="223" t="s">
        <v>1121</v>
      </c>
      <c r="E640" s="223" t="s">
        <v>673</v>
      </c>
      <c r="F640" s="223" t="s">
        <v>1123</v>
      </c>
      <c r="G640" s="218" t="s">
        <v>490</v>
      </c>
      <c r="H640" s="225" t="s">
        <v>1124</v>
      </c>
      <c r="I640" s="208"/>
      <c r="J640" s="210"/>
      <c r="K640" s="210"/>
      <c r="L640" s="210"/>
      <c r="M640" s="210"/>
      <c r="N640" s="210"/>
      <c r="O640" s="210"/>
      <c r="P640" s="210"/>
      <c r="Q640" s="210"/>
      <c r="R640" s="210"/>
      <c r="S640" s="210"/>
      <c r="T640" s="210"/>
      <c r="U640" s="210"/>
      <c r="V640" s="210"/>
      <c r="W640" s="210"/>
      <c r="X640" s="210"/>
      <c r="Y640" s="210"/>
      <c r="Z640" s="210"/>
    </row>
    <row r="641" ht="21.75" customHeight="1">
      <c r="A641" s="214"/>
      <c r="B641" s="221"/>
      <c r="C641" s="222">
        <v>404.0</v>
      </c>
      <c r="D641" s="223" t="s">
        <v>1119</v>
      </c>
      <c r="E641" s="223" t="s">
        <v>487</v>
      </c>
      <c r="F641" s="223" t="s">
        <v>583</v>
      </c>
      <c r="G641" s="223" t="s">
        <v>513</v>
      </c>
      <c r="H641" s="225" t="s">
        <v>1125</v>
      </c>
      <c r="I641" s="208"/>
      <c r="J641" s="210"/>
      <c r="K641" s="210"/>
      <c r="L641" s="210"/>
      <c r="M641" s="210"/>
      <c r="N641" s="210"/>
      <c r="O641" s="210"/>
      <c r="P641" s="210"/>
      <c r="Q641" s="210"/>
      <c r="R641" s="210"/>
      <c r="S641" s="210"/>
      <c r="T641" s="210"/>
      <c r="U641" s="210"/>
      <c r="V641" s="210"/>
      <c r="W641" s="210"/>
      <c r="X641" s="210"/>
      <c r="Y641" s="210"/>
      <c r="Z641" s="210"/>
    </row>
    <row r="642" ht="21.75" customHeight="1">
      <c r="A642" s="214"/>
      <c r="B642" s="221"/>
      <c r="C642" s="222">
        <v>405.0</v>
      </c>
      <c r="D642" s="223" t="s">
        <v>663</v>
      </c>
      <c r="E642" s="223" t="s">
        <v>487</v>
      </c>
      <c r="F642" s="223" t="s">
        <v>603</v>
      </c>
      <c r="G642" s="223" t="s">
        <v>606</v>
      </c>
      <c r="H642" s="224" t="s">
        <v>490</v>
      </c>
      <c r="I642" s="208"/>
      <c r="J642" s="210"/>
      <c r="K642" s="210"/>
      <c r="L642" s="210"/>
      <c r="M642" s="210"/>
      <c r="N642" s="210"/>
      <c r="O642" s="210"/>
      <c r="P642" s="210"/>
      <c r="Q642" s="210"/>
      <c r="R642" s="210"/>
      <c r="S642" s="210"/>
      <c r="T642" s="210"/>
      <c r="U642" s="210"/>
      <c r="V642" s="210"/>
      <c r="W642" s="210"/>
      <c r="X642" s="210"/>
      <c r="Y642" s="210"/>
      <c r="Z642" s="210"/>
    </row>
    <row r="643" ht="21.75" customHeight="1">
      <c r="A643" s="214"/>
      <c r="B643" s="217"/>
      <c r="C643" s="222">
        <v>500.0</v>
      </c>
      <c r="D643" s="215" t="s">
        <v>507</v>
      </c>
      <c r="E643" s="215" t="s">
        <v>508</v>
      </c>
      <c r="F643" s="215" t="s">
        <v>509</v>
      </c>
      <c r="G643" s="215" t="s">
        <v>510</v>
      </c>
      <c r="H643" s="225" t="s">
        <v>1126</v>
      </c>
      <c r="I643" s="208"/>
      <c r="J643" s="210"/>
      <c r="K643" s="210"/>
      <c r="L643" s="210"/>
      <c r="M643" s="210"/>
      <c r="N643" s="210"/>
      <c r="O643" s="210"/>
      <c r="P643" s="210"/>
      <c r="Q643" s="210"/>
      <c r="R643" s="210"/>
      <c r="S643" s="210"/>
      <c r="T643" s="210"/>
      <c r="U643" s="210"/>
      <c r="V643" s="210"/>
      <c r="W643" s="210"/>
      <c r="X643" s="210"/>
      <c r="Y643" s="210"/>
      <c r="Z643" s="210"/>
    </row>
    <row r="644" ht="21.75" customHeight="1">
      <c r="A644" s="214"/>
      <c r="B644" s="218" t="s">
        <v>1127</v>
      </c>
      <c r="C644" s="226">
        <v>51069.0</v>
      </c>
      <c r="D644" s="220"/>
      <c r="E644" s="220"/>
      <c r="F644" s="220"/>
      <c r="G644" s="220"/>
      <c r="H644" s="221"/>
      <c r="I644" s="208"/>
      <c r="J644" s="210"/>
      <c r="K644" s="210"/>
      <c r="L644" s="210"/>
      <c r="M644" s="210"/>
      <c r="N644" s="210"/>
      <c r="O644" s="210"/>
      <c r="P644" s="210"/>
      <c r="Q644" s="210"/>
      <c r="R644" s="210"/>
      <c r="S644" s="210"/>
      <c r="T644" s="210"/>
      <c r="U644" s="210"/>
      <c r="V644" s="210"/>
      <c r="W644" s="210"/>
      <c r="X644" s="210"/>
      <c r="Y644" s="210"/>
      <c r="Z644" s="210"/>
    </row>
    <row r="645" ht="21.75" customHeight="1">
      <c r="A645" s="214"/>
      <c r="B645" s="221"/>
      <c r="C645" s="222">
        <v>1.0</v>
      </c>
      <c r="D645" s="223" t="s">
        <v>486</v>
      </c>
      <c r="E645" s="223" t="s">
        <v>487</v>
      </c>
      <c r="F645" s="223" t="s">
        <v>488</v>
      </c>
      <c r="G645" s="223" t="s">
        <v>489</v>
      </c>
      <c r="H645" s="224" t="s">
        <v>490</v>
      </c>
      <c r="I645" s="208"/>
      <c r="J645" s="210"/>
      <c r="K645" s="210"/>
      <c r="L645" s="210"/>
      <c r="M645" s="210"/>
      <c r="N645" s="210"/>
      <c r="O645" s="210"/>
      <c r="P645" s="210"/>
      <c r="Q645" s="210"/>
      <c r="R645" s="210"/>
      <c r="S645" s="210"/>
      <c r="T645" s="210"/>
      <c r="U645" s="210"/>
      <c r="V645" s="210"/>
      <c r="W645" s="210"/>
      <c r="X645" s="210"/>
      <c r="Y645" s="210"/>
      <c r="Z645" s="210"/>
    </row>
    <row r="646" ht="21.75" customHeight="1">
      <c r="A646" s="214"/>
      <c r="B646" s="221"/>
      <c r="C646" s="222">
        <v>2.0</v>
      </c>
      <c r="D646" s="223" t="s">
        <v>495</v>
      </c>
      <c r="E646" s="223" t="s">
        <v>487</v>
      </c>
      <c r="F646" s="223" t="s">
        <v>492</v>
      </c>
      <c r="G646" s="223" t="s">
        <v>497</v>
      </c>
      <c r="H646" s="225" t="s">
        <v>1128</v>
      </c>
      <c r="I646" s="208"/>
      <c r="J646" s="210"/>
      <c r="K646" s="210"/>
      <c r="L646" s="210"/>
      <c r="M646" s="210"/>
      <c r="N646" s="210"/>
      <c r="O646" s="210"/>
      <c r="P646" s="210"/>
      <c r="Q646" s="210"/>
      <c r="R646" s="210"/>
      <c r="S646" s="210"/>
      <c r="T646" s="210"/>
      <c r="U646" s="210"/>
      <c r="V646" s="210"/>
      <c r="W646" s="210"/>
      <c r="X646" s="210"/>
      <c r="Y646" s="210"/>
      <c r="Z646" s="210"/>
    </row>
    <row r="647" ht="21.75" customHeight="1">
      <c r="A647" s="214"/>
      <c r="B647" s="221"/>
      <c r="C647" s="222">
        <v>3.0</v>
      </c>
      <c r="D647" s="223" t="s">
        <v>663</v>
      </c>
      <c r="E647" s="223" t="s">
        <v>504</v>
      </c>
      <c r="F647" s="223" t="s">
        <v>505</v>
      </c>
      <c r="G647" s="218" t="s">
        <v>490</v>
      </c>
      <c r="H647" s="225" t="s">
        <v>1129</v>
      </c>
      <c r="I647" s="208"/>
      <c r="J647" s="210"/>
      <c r="K647" s="210"/>
      <c r="L647" s="210"/>
      <c r="M647" s="210"/>
      <c r="N647" s="210"/>
      <c r="O647" s="210"/>
      <c r="P647" s="210"/>
      <c r="Q647" s="210"/>
      <c r="R647" s="210"/>
      <c r="S647" s="210"/>
      <c r="T647" s="210"/>
      <c r="U647" s="210"/>
      <c r="V647" s="210"/>
      <c r="W647" s="210"/>
      <c r="X647" s="210"/>
      <c r="Y647" s="210"/>
      <c r="Z647" s="210"/>
    </row>
    <row r="648" ht="21.75" customHeight="1">
      <c r="A648" s="214"/>
      <c r="B648" s="221"/>
      <c r="C648" s="222">
        <v>4.0</v>
      </c>
      <c r="D648" s="223" t="s">
        <v>665</v>
      </c>
      <c r="E648" s="223" t="s">
        <v>487</v>
      </c>
      <c r="F648" s="223" t="s">
        <v>500</v>
      </c>
      <c r="G648" s="223" t="s">
        <v>501</v>
      </c>
      <c r="H648" s="225" t="s">
        <v>1130</v>
      </c>
      <c r="I648" s="208"/>
      <c r="J648" s="210"/>
      <c r="K648" s="210"/>
      <c r="L648" s="210"/>
      <c r="M648" s="210"/>
      <c r="N648" s="210"/>
      <c r="O648" s="210"/>
      <c r="P648" s="210"/>
      <c r="Q648" s="210"/>
      <c r="R648" s="210"/>
      <c r="S648" s="210"/>
      <c r="T648" s="210"/>
      <c r="U648" s="210"/>
      <c r="V648" s="210"/>
      <c r="W648" s="210"/>
      <c r="X648" s="210"/>
      <c r="Y648" s="210"/>
      <c r="Z648" s="210"/>
    </row>
    <row r="649" ht="21.75" customHeight="1">
      <c r="A649" s="214"/>
      <c r="B649" s="221"/>
      <c r="C649" s="222">
        <v>5.0</v>
      </c>
      <c r="D649" s="223" t="s">
        <v>667</v>
      </c>
      <c r="E649" s="223" t="s">
        <v>487</v>
      </c>
      <c r="F649" s="223" t="s">
        <v>512</v>
      </c>
      <c r="G649" s="223" t="s">
        <v>493</v>
      </c>
      <c r="H649" s="225" t="s">
        <v>1130</v>
      </c>
      <c r="I649" s="208"/>
      <c r="J649" s="210"/>
      <c r="K649" s="210"/>
      <c r="L649" s="210"/>
      <c r="M649" s="210"/>
      <c r="N649" s="210"/>
      <c r="O649" s="210"/>
      <c r="P649" s="210"/>
      <c r="Q649" s="210"/>
      <c r="R649" s="210"/>
      <c r="S649" s="210"/>
      <c r="T649" s="210"/>
      <c r="U649" s="210"/>
      <c r="V649" s="210"/>
      <c r="W649" s="210"/>
      <c r="X649" s="210"/>
      <c r="Y649" s="210"/>
      <c r="Z649" s="210"/>
    </row>
    <row r="650" ht="21.75" customHeight="1">
      <c r="A650" s="214"/>
      <c r="B650" s="221"/>
      <c r="C650" s="222">
        <v>7.0</v>
      </c>
      <c r="D650" s="223" t="s">
        <v>1106</v>
      </c>
      <c r="E650" s="223" t="s">
        <v>487</v>
      </c>
      <c r="F650" s="223" t="s">
        <v>590</v>
      </c>
      <c r="G650" s="223" t="s">
        <v>513</v>
      </c>
      <c r="H650" s="224" t="s">
        <v>490</v>
      </c>
      <c r="I650" s="208"/>
      <c r="J650" s="210"/>
      <c r="K650" s="210"/>
      <c r="L650" s="210"/>
      <c r="M650" s="210"/>
      <c r="N650" s="210"/>
      <c r="O650" s="210"/>
      <c r="P650" s="210"/>
      <c r="Q650" s="210"/>
      <c r="R650" s="210"/>
      <c r="S650" s="210"/>
      <c r="T650" s="210"/>
      <c r="U650" s="210"/>
      <c r="V650" s="210"/>
      <c r="W650" s="210"/>
      <c r="X650" s="210"/>
      <c r="Y650" s="210"/>
      <c r="Z650" s="210"/>
    </row>
    <row r="651" ht="21.75" customHeight="1">
      <c r="A651" s="214"/>
      <c r="B651" s="221"/>
      <c r="C651" s="222"/>
      <c r="D651" s="223" t="s">
        <v>1104</v>
      </c>
      <c r="E651" s="223" t="s">
        <v>504</v>
      </c>
      <c r="F651" s="223" t="s">
        <v>588</v>
      </c>
      <c r="G651" s="218" t="s">
        <v>490</v>
      </c>
      <c r="H651" s="225" t="s">
        <v>1131</v>
      </c>
      <c r="I651" s="208"/>
      <c r="J651" s="210"/>
      <c r="K651" s="210"/>
      <c r="L651" s="210"/>
      <c r="M651" s="210"/>
      <c r="N651" s="210"/>
      <c r="O651" s="210"/>
      <c r="P651" s="210"/>
      <c r="Q651" s="210"/>
      <c r="R651" s="210"/>
      <c r="S651" s="210"/>
      <c r="T651" s="210"/>
      <c r="U651" s="210"/>
      <c r="V651" s="210"/>
      <c r="W651" s="210"/>
      <c r="X651" s="210"/>
      <c r="Y651" s="210"/>
      <c r="Z651" s="210"/>
    </row>
    <row r="652" ht="21.75" customHeight="1">
      <c r="A652" s="214"/>
      <c r="B652" s="221"/>
      <c r="C652" s="222">
        <v>8.0</v>
      </c>
      <c r="D652" s="223" t="s">
        <v>507</v>
      </c>
      <c r="E652" s="223" t="s">
        <v>539</v>
      </c>
      <c r="F652" s="223" t="s">
        <v>542</v>
      </c>
      <c r="G652" s="223" t="s">
        <v>561</v>
      </c>
      <c r="H652" s="224" t="s">
        <v>490</v>
      </c>
      <c r="I652" s="208"/>
      <c r="J652" s="210"/>
      <c r="K652" s="210"/>
      <c r="L652" s="210"/>
      <c r="M652" s="210"/>
      <c r="N652" s="210"/>
      <c r="O652" s="210"/>
      <c r="P652" s="210"/>
      <c r="Q652" s="210"/>
      <c r="R652" s="210"/>
      <c r="S652" s="210"/>
      <c r="T652" s="210"/>
      <c r="U652" s="210"/>
      <c r="V652" s="210"/>
      <c r="W652" s="210"/>
      <c r="X652" s="210"/>
      <c r="Y652" s="210"/>
      <c r="Z652" s="210"/>
    </row>
    <row r="653" ht="21.75" customHeight="1">
      <c r="A653" s="214"/>
      <c r="B653" s="221"/>
      <c r="C653" s="222">
        <v>9.0</v>
      </c>
      <c r="D653" s="223" t="s">
        <v>519</v>
      </c>
      <c r="E653" s="223" t="s">
        <v>508</v>
      </c>
      <c r="F653" s="223" t="s">
        <v>509</v>
      </c>
      <c r="G653" s="223" t="s">
        <v>510</v>
      </c>
      <c r="H653" s="225" t="s">
        <v>1132</v>
      </c>
      <c r="I653" s="208"/>
      <c r="J653" s="210"/>
      <c r="K653" s="210"/>
      <c r="L653" s="210"/>
      <c r="M653" s="210"/>
      <c r="N653" s="210"/>
      <c r="O653" s="210"/>
      <c r="P653" s="210"/>
      <c r="Q653" s="210"/>
      <c r="R653" s="210"/>
      <c r="S653" s="210"/>
      <c r="T653" s="210"/>
      <c r="U653" s="210"/>
      <c r="V653" s="210"/>
      <c r="W653" s="210"/>
      <c r="X653" s="210"/>
      <c r="Y653" s="210"/>
      <c r="Z653" s="210"/>
    </row>
    <row r="654" ht="21.75" customHeight="1">
      <c r="A654" s="214"/>
      <c r="B654" s="221"/>
      <c r="C654" s="222">
        <v>10.0</v>
      </c>
      <c r="D654" s="223" t="s">
        <v>663</v>
      </c>
      <c r="E654" s="223" t="s">
        <v>487</v>
      </c>
      <c r="F654" s="223" t="s">
        <v>496</v>
      </c>
      <c r="G654" s="223" t="s">
        <v>606</v>
      </c>
      <c r="H654" s="224" t="s">
        <v>490</v>
      </c>
      <c r="I654" s="208"/>
      <c r="J654" s="210"/>
      <c r="K654" s="210"/>
      <c r="L654" s="210"/>
      <c r="M654" s="210"/>
      <c r="N654" s="210"/>
      <c r="O654" s="210"/>
      <c r="P654" s="210"/>
      <c r="Q654" s="210"/>
      <c r="R654" s="210"/>
      <c r="S654" s="210"/>
      <c r="T654" s="210"/>
      <c r="U654" s="210"/>
      <c r="V654" s="210"/>
      <c r="W654" s="210"/>
      <c r="X654" s="210"/>
      <c r="Y654" s="210"/>
      <c r="Z654" s="210"/>
    </row>
    <row r="655" ht="21.75" customHeight="1">
      <c r="A655" s="214"/>
      <c r="B655" s="217"/>
      <c r="C655" s="222">
        <v>11.0</v>
      </c>
      <c r="D655" s="215" t="s">
        <v>1104</v>
      </c>
      <c r="E655" s="215" t="s">
        <v>487</v>
      </c>
      <c r="F655" s="215" t="s">
        <v>532</v>
      </c>
      <c r="G655" s="215" t="s">
        <v>526</v>
      </c>
      <c r="H655" s="224" t="s">
        <v>490</v>
      </c>
      <c r="I655" s="208"/>
      <c r="J655" s="210"/>
      <c r="K655" s="210"/>
      <c r="L655" s="210"/>
      <c r="M655" s="210"/>
      <c r="N655" s="210"/>
      <c r="O655" s="210"/>
      <c r="P655" s="210"/>
      <c r="Q655" s="210"/>
      <c r="R655" s="210"/>
      <c r="S655" s="210"/>
      <c r="T655" s="210"/>
      <c r="U655" s="210"/>
      <c r="V655" s="210"/>
      <c r="W655" s="210"/>
      <c r="X655" s="210"/>
      <c r="Y655" s="210"/>
      <c r="Z655" s="210"/>
    </row>
    <row r="656" ht="21.75" customHeight="1">
      <c r="A656" s="214"/>
      <c r="B656" s="218" t="s">
        <v>1133</v>
      </c>
      <c r="C656" s="226">
        <v>50491.0</v>
      </c>
      <c r="D656" s="220"/>
      <c r="E656" s="220"/>
      <c r="F656" s="220"/>
      <c r="G656" s="220"/>
      <c r="H656" s="221"/>
      <c r="I656" s="208"/>
      <c r="J656" s="210"/>
      <c r="K656" s="210"/>
      <c r="L656" s="210"/>
      <c r="M656" s="210"/>
      <c r="N656" s="210"/>
      <c r="O656" s="210"/>
      <c r="P656" s="210"/>
      <c r="Q656" s="210"/>
      <c r="R656" s="210"/>
      <c r="S656" s="210"/>
      <c r="T656" s="210"/>
      <c r="U656" s="210"/>
      <c r="V656" s="210"/>
      <c r="W656" s="210"/>
      <c r="X656" s="210"/>
      <c r="Y656" s="210"/>
      <c r="Z656" s="210"/>
    </row>
    <row r="657" ht="21.75" customHeight="1">
      <c r="A657" s="214"/>
      <c r="B657" s="221"/>
      <c r="C657" s="222">
        <v>100.0</v>
      </c>
      <c r="D657" s="223" t="s">
        <v>486</v>
      </c>
      <c r="E657" s="223" t="s">
        <v>487</v>
      </c>
      <c r="F657" s="223" t="s">
        <v>488</v>
      </c>
      <c r="G657" s="223" t="s">
        <v>489</v>
      </c>
      <c r="H657" s="224" t="s">
        <v>490</v>
      </c>
      <c r="I657" s="208"/>
      <c r="J657" s="210"/>
      <c r="K657" s="210"/>
      <c r="L657" s="210"/>
      <c r="M657" s="210"/>
      <c r="N657" s="210"/>
      <c r="O657" s="210"/>
      <c r="P657" s="210"/>
      <c r="Q657" s="210"/>
      <c r="R657" s="210"/>
      <c r="S657" s="210"/>
      <c r="T657" s="210"/>
      <c r="U657" s="210"/>
      <c r="V657" s="210"/>
      <c r="W657" s="210"/>
      <c r="X657" s="210"/>
      <c r="Y657" s="210"/>
      <c r="Z657" s="210"/>
    </row>
    <row r="658" ht="21.75" customHeight="1">
      <c r="A658" s="214"/>
      <c r="B658" s="221"/>
      <c r="C658" s="222">
        <v>101.0</v>
      </c>
      <c r="D658" s="223" t="s">
        <v>495</v>
      </c>
      <c r="E658" s="223" t="s">
        <v>487</v>
      </c>
      <c r="F658" s="223" t="s">
        <v>492</v>
      </c>
      <c r="G658" s="223" t="s">
        <v>497</v>
      </c>
      <c r="H658" s="225" t="s">
        <v>1134</v>
      </c>
      <c r="I658" s="208"/>
      <c r="J658" s="210"/>
      <c r="K658" s="210"/>
      <c r="L658" s="210"/>
      <c r="M658" s="210"/>
      <c r="N658" s="210"/>
      <c r="O658" s="210"/>
      <c r="P658" s="210"/>
      <c r="Q658" s="210"/>
      <c r="R658" s="210"/>
      <c r="S658" s="210"/>
      <c r="T658" s="210"/>
      <c r="U658" s="210"/>
      <c r="V658" s="210"/>
      <c r="W658" s="210"/>
      <c r="X658" s="210"/>
      <c r="Y658" s="210"/>
      <c r="Z658" s="210"/>
    </row>
    <row r="659" ht="21.75" customHeight="1">
      <c r="A659" s="214"/>
      <c r="B659" s="221"/>
      <c r="C659" s="222">
        <v>102.0</v>
      </c>
      <c r="D659" s="223" t="s">
        <v>663</v>
      </c>
      <c r="E659" s="223" t="s">
        <v>504</v>
      </c>
      <c r="F659" s="223" t="s">
        <v>505</v>
      </c>
      <c r="G659" s="218" t="s">
        <v>490</v>
      </c>
      <c r="H659" s="225" t="s">
        <v>1135</v>
      </c>
      <c r="I659" s="208"/>
      <c r="J659" s="210"/>
      <c r="K659" s="210"/>
      <c r="L659" s="210"/>
      <c r="M659" s="210"/>
      <c r="N659" s="210"/>
      <c r="O659" s="210"/>
      <c r="P659" s="210"/>
      <c r="Q659" s="210"/>
      <c r="R659" s="210"/>
      <c r="S659" s="210"/>
      <c r="T659" s="210"/>
      <c r="U659" s="210"/>
      <c r="V659" s="210"/>
      <c r="W659" s="210"/>
      <c r="X659" s="210"/>
      <c r="Y659" s="210"/>
      <c r="Z659" s="210"/>
    </row>
    <row r="660" ht="21.75" customHeight="1">
      <c r="A660" s="214"/>
      <c r="B660" s="221"/>
      <c r="C660" s="222">
        <v>103.0</v>
      </c>
      <c r="D660" s="223" t="s">
        <v>1136</v>
      </c>
      <c r="E660" s="223" t="s">
        <v>487</v>
      </c>
      <c r="F660" s="223" t="s">
        <v>496</v>
      </c>
      <c r="G660" s="223" t="s">
        <v>606</v>
      </c>
      <c r="H660" s="224" t="s">
        <v>490</v>
      </c>
      <c r="I660" s="208"/>
      <c r="J660" s="210"/>
      <c r="K660" s="210"/>
      <c r="L660" s="210"/>
      <c r="M660" s="210"/>
      <c r="N660" s="210"/>
      <c r="O660" s="210"/>
      <c r="P660" s="210"/>
      <c r="Q660" s="210"/>
      <c r="R660" s="210"/>
      <c r="S660" s="210"/>
      <c r="T660" s="210"/>
      <c r="U660" s="210"/>
      <c r="V660" s="210"/>
      <c r="W660" s="210"/>
      <c r="X660" s="210"/>
      <c r="Y660" s="210"/>
      <c r="Z660" s="210"/>
    </row>
    <row r="661" ht="21.75" customHeight="1">
      <c r="A661" s="214"/>
      <c r="B661" s="221"/>
      <c r="C661" s="222">
        <v>104.0</v>
      </c>
      <c r="D661" s="223" t="s">
        <v>1137</v>
      </c>
      <c r="E661" s="223" t="s">
        <v>487</v>
      </c>
      <c r="F661" s="223" t="s">
        <v>674</v>
      </c>
      <c r="G661" s="218" t="s">
        <v>490</v>
      </c>
      <c r="H661" s="224" t="s">
        <v>490</v>
      </c>
      <c r="I661" s="208"/>
      <c r="J661" s="210"/>
      <c r="K661" s="210"/>
      <c r="L661" s="210"/>
      <c r="M661" s="210"/>
      <c r="N661" s="210"/>
      <c r="O661" s="210"/>
      <c r="P661" s="210"/>
      <c r="Q661" s="210"/>
      <c r="R661" s="210"/>
      <c r="S661" s="210"/>
      <c r="T661" s="210"/>
      <c r="U661" s="210"/>
      <c r="V661" s="210"/>
      <c r="W661" s="210"/>
      <c r="X661" s="210"/>
      <c r="Y661" s="210"/>
      <c r="Z661" s="210"/>
    </row>
    <row r="662" ht="21.75" customHeight="1">
      <c r="A662" s="214"/>
      <c r="B662" s="221"/>
      <c r="C662" s="222">
        <v>105.0</v>
      </c>
      <c r="D662" s="223" t="s">
        <v>665</v>
      </c>
      <c r="E662" s="223" t="s">
        <v>487</v>
      </c>
      <c r="F662" s="223" t="s">
        <v>500</v>
      </c>
      <c r="G662" s="223" t="s">
        <v>501</v>
      </c>
      <c r="H662" s="225" t="s">
        <v>1138</v>
      </c>
      <c r="I662" s="208"/>
      <c r="J662" s="210"/>
      <c r="K662" s="210"/>
      <c r="L662" s="210"/>
      <c r="M662" s="210"/>
      <c r="N662" s="210"/>
      <c r="O662" s="210"/>
      <c r="P662" s="210"/>
      <c r="Q662" s="210"/>
      <c r="R662" s="210"/>
      <c r="S662" s="210"/>
      <c r="T662" s="210"/>
      <c r="U662" s="210"/>
      <c r="V662" s="210"/>
      <c r="W662" s="210"/>
      <c r="X662" s="210"/>
      <c r="Y662" s="210"/>
      <c r="Z662" s="210"/>
    </row>
    <row r="663" ht="21.75" customHeight="1">
      <c r="A663" s="214"/>
      <c r="B663" s="221"/>
      <c r="C663" s="222">
        <v>106.0</v>
      </c>
      <c r="D663" s="223" t="s">
        <v>667</v>
      </c>
      <c r="E663" s="223" t="s">
        <v>487</v>
      </c>
      <c r="F663" s="223" t="s">
        <v>512</v>
      </c>
      <c r="G663" s="223" t="s">
        <v>493</v>
      </c>
      <c r="H663" s="225" t="s">
        <v>1138</v>
      </c>
      <c r="I663" s="208"/>
      <c r="J663" s="210"/>
      <c r="K663" s="210"/>
      <c r="L663" s="210"/>
      <c r="M663" s="210"/>
      <c r="N663" s="210"/>
      <c r="O663" s="210"/>
      <c r="P663" s="210"/>
      <c r="Q663" s="210"/>
      <c r="R663" s="210"/>
      <c r="S663" s="210"/>
      <c r="T663" s="210"/>
      <c r="U663" s="210"/>
      <c r="V663" s="210"/>
      <c r="W663" s="210"/>
      <c r="X663" s="210"/>
      <c r="Y663" s="210"/>
      <c r="Z663" s="210"/>
    </row>
    <row r="664" ht="21.75" customHeight="1">
      <c r="A664" s="214"/>
      <c r="B664" s="221"/>
      <c r="C664" s="222">
        <v>200.0</v>
      </c>
      <c r="D664" s="223" t="s">
        <v>1139</v>
      </c>
      <c r="E664" s="223" t="s">
        <v>673</v>
      </c>
      <c r="F664" s="223" t="s">
        <v>599</v>
      </c>
      <c r="G664" s="223" t="s">
        <v>526</v>
      </c>
      <c r="H664" s="225" t="s">
        <v>1140</v>
      </c>
      <c r="I664" s="208"/>
      <c r="J664" s="210"/>
      <c r="K664" s="210"/>
      <c r="L664" s="210"/>
      <c r="M664" s="210"/>
      <c r="N664" s="210"/>
      <c r="O664" s="210"/>
      <c r="P664" s="210"/>
      <c r="Q664" s="210"/>
      <c r="R664" s="210"/>
      <c r="S664" s="210"/>
      <c r="T664" s="210"/>
      <c r="U664" s="210"/>
      <c r="V664" s="210"/>
      <c r="W664" s="210"/>
      <c r="X664" s="210"/>
      <c r="Y664" s="210"/>
      <c r="Z664" s="210"/>
    </row>
    <row r="665" ht="21.75" customHeight="1">
      <c r="A665" s="214"/>
      <c r="B665" s="221"/>
      <c r="C665" s="222">
        <v>201.0</v>
      </c>
      <c r="D665" s="223" t="s">
        <v>1141</v>
      </c>
      <c r="E665" s="223" t="s">
        <v>673</v>
      </c>
      <c r="F665" s="223" t="s">
        <v>564</v>
      </c>
      <c r="G665" s="223" t="s">
        <v>513</v>
      </c>
      <c r="H665" s="225" t="s">
        <v>1142</v>
      </c>
      <c r="I665" s="208"/>
      <c r="J665" s="210"/>
      <c r="K665" s="210"/>
      <c r="L665" s="210"/>
      <c r="M665" s="210"/>
      <c r="N665" s="210"/>
      <c r="O665" s="210"/>
      <c r="P665" s="210"/>
      <c r="Q665" s="210"/>
      <c r="R665" s="210"/>
      <c r="S665" s="210"/>
      <c r="T665" s="210"/>
      <c r="U665" s="210"/>
      <c r="V665" s="210"/>
      <c r="W665" s="210"/>
      <c r="X665" s="210"/>
      <c r="Y665" s="210"/>
      <c r="Z665" s="210"/>
    </row>
    <row r="666" ht="21.75" customHeight="1">
      <c r="A666" s="214"/>
      <c r="B666" s="221"/>
      <c r="C666" s="222">
        <v>202.0</v>
      </c>
      <c r="D666" s="223" t="s">
        <v>1143</v>
      </c>
      <c r="E666" s="223" t="s">
        <v>673</v>
      </c>
      <c r="F666" s="223" t="s">
        <v>567</v>
      </c>
      <c r="G666" s="223" t="s">
        <v>594</v>
      </c>
      <c r="H666" s="225" t="s">
        <v>1144</v>
      </c>
      <c r="I666" s="208"/>
      <c r="J666" s="210"/>
      <c r="K666" s="210"/>
      <c r="L666" s="210"/>
      <c r="M666" s="210"/>
      <c r="N666" s="210"/>
      <c r="O666" s="210"/>
      <c r="P666" s="210"/>
      <c r="Q666" s="210"/>
      <c r="R666" s="210"/>
      <c r="S666" s="210"/>
      <c r="T666" s="210"/>
      <c r="U666" s="210"/>
      <c r="V666" s="210"/>
      <c r="W666" s="210"/>
      <c r="X666" s="210"/>
      <c r="Y666" s="210"/>
      <c r="Z666" s="210"/>
    </row>
    <row r="667" ht="21.75" customHeight="1">
      <c r="A667" s="214"/>
      <c r="B667" s="221"/>
      <c r="C667" s="222">
        <v>203.0</v>
      </c>
      <c r="D667" s="223" t="s">
        <v>1145</v>
      </c>
      <c r="E667" s="223" t="s">
        <v>673</v>
      </c>
      <c r="F667" s="223" t="s">
        <v>574</v>
      </c>
      <c r="G667" s="218" t="s">
        <v>490</v>
      </c>
      <c r="H667" s="225" t="s">
        <v>1142</v>
      </c>
      <c r="I667" s="208"/>
      <c r="J667" s="210"/>
      <c r="K667" s="210"/>
      <c r="L667" s="210"/>
      <c r="M667" s="210"/>
      <c r="N667" s="210"/>
      <c r="O667" s="210"/>
      <c r="P667" s="210"/>
      <c r="Q667" s="210"/>
      <c r="R667" s="210"/>
      <c r="S667" s="210"/>
      <c r="T667" s="210"/>
      <c r="U667" s="210"/>
      <c r="V667" s="210"/>
      <c r="W667" s="210"/>
      <c r="X667" s="210"/>
      <c r="Y667" s="210"/>
      <c r="Z667" s="210"/>
    </row>
    <row r="668" ht="21.75" customHeight="1">
      <c r="A668" s="214"/>
      <c r="B668" s="221"/>
      <c r="C668" s="222">
        <v>204.0</v>
      </c>
      <c r="D668" s="223" t="s">
        <v>1146</v>
      </c>
      <c r="E668" s="223" t="s">
        <v>673</v>
      </c>
      <c r="F668" s="223" t="s">
        <v>586</v>
      </c>
      <c r="G668" s="223" t="s">
        <v>561</v>
      </c>
      <c r="H668" s="225" t="s">
        <v>1142</v>
      </c>
      <c r="I668" s="208"/>
      <c r="J668" s="210"/>
      <c r="K668" s="210"/>
      <c r="L668" s="210"/>
      <c r="M668" s="210"/>
      <c r="N668" s="210"/>
      <c r="O668" s="210"/>
      <c r="P668" s="210"/>
      <c r="Q668" s="210"/>
      <c r="R668" s="210"/>
      <c r="S668" s="210"/>
      <c r="T668" s="210"/>
      <c r="U668" s="210"/>
      <c r="V668" s="210"/>
      <c r="W668" s="210"/>
      <c r="X668" s="210"/>
      <c r="Y668" s="210"/>
      <c r="Z668" s="210"/>
    </row>
    <row r="669" ht="21.75" customHeight="1">
      <c r="A669" s="214"/>
      <c r="B669" s="221"/>
      <c r="C669" s="222">
        <v>205.0</v>
      </c>
      <c r="D669" s="223" t="s">
        <v>1147</v>
      </c>
      <c r="E669" s="223" t="s">
        <v>673</v>
      </c>
      <c r="F669" s="223" t="s">
        <v>597</v>
      </c>
      <c r="G669" s="218" t="s">
        <v>490</v>
      </c>
      <c r="H669" s="225" t="s">
        <v>1142</v>
      </c>
      <c r="I669" s="208"/>
      <c r="J669" s="210"/>
      <c r="K669" s="210"/>
      <c r="L669" s="210"/>
      <c r="M669" s="210"/>
      <c r="N669" s="210"/>
      <c r="O669" s="210"/>
      <c r="P669" s="210"/>
      <c r="Q669" s="210"/>
      <c r="R669" s="210"/>
      <c r="S669" s="210"/>
      <c r="T669" s="210"/>
      <c r="U669" s="210"/>
      <c r="V669" s="210"/>
      <c r="W669" s="210"/>
      <c r="X669" s="210"/>
      <c r="Y669" s="210"/>
      <c r="Z669" s="210"/>
    </row>
    <row r="670" ht="21.75" customHeight="1">
      <c r="A670" s="214"/>
      <c r="B670" s="217"/>
      <c r="C670" s="222">
        <v>300.0</v>
      </c>
      <c r="D670" s="215" t="s">
        <v>507</v>
      </c>
      <c r="E670" s="215" t="s">
        <v>508</v>
      </c>
      <c r="F670" s="215" t="s">
        <v>509</v>
      </c>
      <c r="G670" s="215" t="s">
        <v>510</v>
      </c>
      <c r="H670" s="225" t="s">
        <v>1148</v>
      </c>
      <c r="I670" s="208"/>
      <c r="J670" s="210"/>
      <c r="K670" s="210"/>
      <c r="L670" s="210"/>
      <c r="M670" s="210"/>
      <c r="N670" s="210"/>
      <c r="O670" s="210"/>
      <c r="P670" s="210"/>
      <c r="Q670" s="210"/>
      <c r="R670" s="210"/>
      <c r="S670" s="210"/>
      <c r="T670" s="210"/>
      <c r="U670" s="210"/>
      <c r="V670" s="210"/>
      <c r="W670" s="210"/>
      <c r="X670" s="210"/>
      <c r="Y670" s="210"/>
      <c r="Z670" s="210"/>
    </row>
    <row r="671" ht="21.75" customHeight="1">
      <c r="A671" s="214"/>
      <c r="B671" s="218" t="s">
        <v>1149</v>
      </c>
      <c r="C671" s="226">
        <v>50849.0</v>
      </c>
      <c r="D671" s="220"/>
      <c r="E671" s="220"/>
      <c r="F671" s="220"/>
      <c r="G671" s="220"/>
      <c r="H671" s="221"/>
      <c r="I671" s="208"/>
      <c r="J671" s="210"/>
      <c r="K671" s="210"/>
      <c r="L671" s="210"/>
      <c r="M671" s="210"/>
      <c r="N671" s="210"/>
      <c r="O671" s="210"/>
      <c r="P671" s="210"/>
      <c r="Q671" s="210"/>
      <c r="R671" s="210"/>
      <c r="S671" s="210"/>
      <c r="T671" s="210"/>
      <c r="U671" s="210"/>
      <c r="V671" s="210"/>
      <c r="W671" s="210"/>
      <c r="X671" s="210"/>
      <c r="Y671" s="210"/>
      <c r="Z671" s="210"/>
    </row>
    <row r="672" ht="21.75" customHeight="1">
      <c r="A672" s="214"/>
      <c r="B672" s="221"/>
      <c r="C672" s="222">
        <v>100.0</v>
      </c>
      <c r="D672" s="223" t="s">
        <v>486</v>
      </c>
      <c r="E672" s="223" t="s">
        <v>487</v>
      </c>
      <c r="F672" s="223" t="s">
        <v>488</v>
      </c>
      <c r="G672" s="223" t="s">
        <v>489</v>
      </c>
      <c r="H672" s="224" t="s">
        <v>490</v>
      </c>
      <c r="I672" s="208"/>
      <c r="J672" s="210"/>
      <c r="K672" s="210"/>
      <c r="L672" s="210"/>
      <c r="M672" s="210"/>
      <c r="N672" s="210"/>
      <c r="O672" s="210"/>
      <c r="P672" s="210"/>
      <c r="Q672" s="210"/>
      <c r="R672" s="210"/>
      <c r="S672" s="210"/>
      <c r="T672" s="210"/>
      <c r="U672" s="210"/>
      <c r="V672" s="210"/>
      <c r="W672" s="210"/>
      <c r="X672" s="210"/>
      <c r="Y672" s="210"/>
      <c r="Z672" s="210"/>
    </row>
    <row r="673" ht="21.75" customHeight="1">
      <c r="A673" s="214"/>
      <c r="B673" s="221"/>
      <c r="C673" s="222">
        <v>101.0</v>
      </c>
      <c r="D673" s="223" t="s">
        <v>516</v>
      </c>
      <c r="E673" s="223" t="s">
        <v>487</v>
      </c>
      <c r="F673" s="223" t="s">
        <v>492</v>
      </c>
      <c r="G673" s="223" t="s">
        <v>501</v>
      </c>
      <c r="H673" s="225" t="s">
        <v>1150</v>
      </c>
      <c r="I673" s="208"/>
      <c r="J673" s="210"/>
      <c r="K673" s="210"/>
      <c r="L673" s="210"/>
      <c r="M673" s="210"/>
      <c r="N673" s="210"/>
      <c r="O673" s="210"/>
      <c r="P673" s="210"/>
      <c r="Q673" s="210"/>
      <c r="R673" s="210"/>
      <c r="S673" s="210"/>
      <c r="T673" s="210"/>
      <c r="U673" s="210"/>
      <c r="V673" s="210"/>
      <c r="W673" s="210"/>
      <c r="X673" s="210"/>
      <c r="Y673" s="210"/>
      <c r="Z673" s="210"/>
    </row>
    <row r="674" ht="21.75" customHeight="1">
      <c r="A674" s="214"/>
      <c r="B674" s="221"/>
      <c r="C674" s="222">
        <v>102.0</v>
      </c>
      <c r="D674" s="223" t="s">
        <v>669</v>
      </c>
      <c r="E674" s="223" t="s">
        <v>487</v>
      </c>
      <c r="F674" s="223" t="s">
        <v>496</v>
      </c>
      <c r="G674" s="223" t="s">
        <v>497</v>
      </c>
      <c r="H674" s="225" t="s">
        <v>1151</v>
      </c>
      <c r="I674" s="208"/>
      <c r="J674" s="210"/>
      <c r="K674" s="210"/>
      <c r="L674" s="210"/>
      <c r="M674" s="210"/>
      <c r="N674" s="210"/>
      <c r="O674" s="210"/>
      <c r="P674" s="210"/>
      <c r="Q674" s="210"/>
      <c r="R674" s="210"/>
      <c r="S674" s="210"/>
      <c r="T674" s="210"/>
      <c r="U674" s="210"/>
      <c r="V674" s="210"/>
      <c r="W674" s="210"/>
      <c r="X674" s="210"/>
      <c r="Y674" s="210"/>
      <c r="Z674" s="210"/>
    </row>
    <row r="675" ht="21.75" customHeight="1">
      <c r="A675" s="214"/>
      <c r="B675" s="221"/>
      <c r="C675" s="222">
        <v>103.0</v>
      </c>
      <c r="D675" s="223" t="s">
        <v>1152</v>
      </c>
      <c r="E675" s="223" t="s">
        <v>673</v>
      </c>
      <c r="F675" s="223" t="s">
        <v>505</v>
      </c>
      <c r="G675" s="223" t="s">
        <v>493</v>
      </c>
      <c r="H675" s="225" t="s">
        <v>1153</v>
      </c>
      <c r="I675" s="208"/>
      <c r="J675" s="210"/>
      <c r="K675" s="210"/>
      <c r="L675" s="210"/>
      <c r="M675" s="210"/>
      <c r="N675" s="210"/>
      <c r="O675" s="210"/>
      <c r="P675" s="210"/>
      <c r="Q675" s="210"/>
      <c r="R675" s="210"/>
      <c r="S675" s="210"/>
      <c r="T675" s="210"/>
      <c r="U675" s="210"/>
      <c r="V675" s="210"/>
      <c r="W675" s="210"/>
      <c r="X675" s="210"/>
      <c r="Y675" s="210"/>
      <c r="Z675" s="210"/>
    </row>
    <row r="676" ht="21.75" customHeight="1">
      <c r="A676" s="214"/>
      <c r="B676" s="217"/>
      <c r="C676" s="222">
        <v>104.0</v>
      </c>
      <c r="D676" s="215" t="s">
        <v>507</v>
      </c>
      <c r="E676" s="215" t="s">
        <v>508</v>
      </c>
      <c r="F676" s="215" t="s">
        <v>509</v>
      </c>
      <c r="G676" s="215" t="s">
        <v>510</v>
      </c>
      <c r="H676" s="225" t="s">
        <v>1154</v>
      </c>
      <c r="I676" s="208"/>
      <c r="J676" s="210"/>
      <c r="K676" s="210"/>
      <c r="L676" s="210"/>
      <c r="M676" s="210"/>
      <c r="N676" s="210"/>
      <c r="O676" s="210"/>
      <c r="P676" s="210"/>
      <c r="Q676" s="210"/>
      <c r="R676" s="210"/>
      <c r="S676" s="210"/>
      <c r="T676" s="210"/>
      <c r="U676" s="210"/>
      <c r="V676" s="210"/>
      <c r="W676" s="210"/>
      <c r="X676" s="210"/>
      <c r="Y676" s="210"/>
      <c r="Z676" s="210"/>
    </row>
    <row r="677" ht="21.75" customHeight="1">
      <c r="A677" s="214"/>
      <c r="B677" s="218" t="s">
        <v>1155</v>
      </c>
      <c r="C677" s="226">
        <v>50475.0</v>
      </c>
      <c r="D677" s="220"/>
      <c r="E677" s="220"/>
      <c r="F677" s="220"/>
      <c r="G677" s="220"/>
      <c r="H677" s="221"/>
      <c r="I677" s="208"/>
      <c r="J677" s="210"/>
      <c r="K677" s="210"/>
      <c r="L677" s="210"/>
      <c r="M677" s="210"/>
      <c r="N677" s="210"/>
      <c r="O677" s="210"/>
      <c r="P677" s="210"/>
      <c r="Q677" s="210"/>
      <c r="R677" s="210"/>
      <c r="S677" s="210"/>
      <c r="T677" s="210"/>
      <c r="U677" s="210"/>
      <c r="V677" s="210"/>
      <c r="W677" s="210"/>
      <c r="X677" s="210"/>
      <c r="Y677" s="210"/>
      <c r="Z677" s="210"/>
    </row>
    <row r="678" ht="21.75" customHeight="1">
      <c r="A678" s="214"/>
      <c r="B678" s="221"/>
      <c r="C678" s="222">
        <v>100.0</v>
      </c>
      <c r="D678" s="223" t="s">
        <v>486</v>
      </c>
      <c r="E678" s="223" t="s">
        <v>487</v>
      </c>
      <c r="F678" s="223" t="s">
        <v>488</v>
      </c>
      <c r="G678" s="223" t="s">
        <v>489</v>
      </c>
      <c r="H678" s="224" t="s">
        <v>490</v>
      </c>
      <c r="I678" s="208"/>
      <c r="J678" s="210"/>
      <c r="K678" s="210"/>
      <c r="L678" s="210"/>
      <c r="M678" s="210"/>
      <c r="N678" s="210"/>
      <c r="O678" s="210"/>
      <c r="P678" s="210"/>
      <c r="Q678" s="210"/>
      <c r="R678" s="210"/>
      <c r="S678" s="210"/>
      <c r="T678" s="210"/>
      <c r="U678" s="210"/>
      <c r="V678" s="210"/>
      <c r="W678" s="210"/>
      <c r="X678" s="210"/>
      <c r="Y678" s="210"/>
      <c r="Z678" s="210"/>
    </row>
    <row r="679" ht="21.75" customHeight="1">
      <c r="A679" s="214"/>
      <c r="B679" s="221"/>
      <c r="C679" s="222">
        <v>101.0</v>
      </c>
      <c r="D679" s="223" t="s">
        <v>495</v>
      </c>
      <c r="E679" s="223" t="s">
        <v>487</v>
      </c>
      <c r="F679" s="223" t="s">
        <v>492</v>
      </c>
      <c r="G679" s="223" t="s">
        <v>497</v>
      </c>
      <c r="H679" s="225" t="s">
        <v>1156</v>
      </c>
      <c r="I679" s="208"/>
      <c r="J679" s="210"/>
      <c r="K679" s="210"/>
      <c r="L679" s="210"/>
      <c r="M679" s="210"/>
      <c r="N679" s="210"/>
      <c r="O679" s="210"/>
      <c r="P679" s="210"/>
      <c r="Q679" s="210"/>
      <c r="R679" s="210"/>
      <c r="S679" s="210"/>
      <c r="T679" s="210"/>
      <c r="U679" s="210"/>
      <c r="V679" s="210"/>
      <c r="W679" s="210"/>
      <c r="X679" s="210"/>
      <c r="Y679" s="210"/>
      <c r="Z679" s="210"/>
    </row>
    <row r="680" ht="21.75" customHeight="1">
      <c r="A680" s="214"/>
      <c r="B680" s="221"/>
      <c r="C680" s="222">
        <v>102.0</v>
      </c>
      <c r="D680" s="223" t="s">
        <v>499</v>
      </c>
      <c r="E680" s="223" t="s">
        <v>487</v>
      </c>
      <c r="F680" s="223" t="s">
        <v>613</v>
      </c>
      <c r="G680" s="223" t="s">
        <v>493</v>
      </c>
      <c r="H680" s="225" t="s">
        <v>1157</v>
      </c>
      <c r="I680" s="208"/>
      <c r="J680" s="210"/>
      <c r="K680" s="210"/>
      <c r="L680" s="210"/>
      <c r="M680" s="210"/>
      <c r="N680" s="210"/>
      <c r="O680" s="210"/>
      <c r="P680" s="210"/>
      <c r="Q680" s="210"/>
      <c r="R680" s="210"/>
      <c r="S680" s="210"/>
      <c r="T680" s="210"/>
      <c r="U680" s="210"/>
      <c r="V680" s="210"/>
      <c r="W680" s="210"/>
      <c r="X680" s="210"/>
      <c r="Y680" s="210"/>
      <c r="Z680" s="210"/>
    </row>
    <row r="681" ht="21.75" customHeight="1">
      <c r="A681" s="214"/>
      <c r="B681" s="221"/>
      <c r="C681" s="222">
        <v>103.0</v>
      </c>
      <c r="D681" s="223" t="s">
        <v>1104</v>
      </c>
      <c r="E681" s="223" t="s">
        <v>504</v>
      </c>
      <c r="F681" s="223" t="s">
        <v>1158</v>
      </c>
      <c r="G681" s="218" t="s">
        <v>490</v>
      </c>
      <c r="H681" s="225" t="s">
        <v>1159</v>
      </c>
      <c r="I681" s="208"/>
      <c r="J681" s="210"/>
      <c r="K681" s="210"/>
      <c r="L681" s="210"/>
      <c r="M681" s="210"/>
      <c r="N681" s="210"/>
      <c r="O681" s="210"/>
      <c r="P681" s="210"/>
      <c r="Q681" s="210"/>
      <c r="R681" s="210"/>
      <c r="S681" s="210"/>
      <c r="T681" s="210"/>
      <c r="U681" s="210"/>
      <c r="V681" s="210"/>
      <c r="W681" s="210"/>
      <c r="X681" s="210"/>
      <c r="Y681" s="210"/>
      <c r="Z681" s="210"/>
    </row>
    <row r="682" ht="21.75" customHeight="1">
      <c r="A682" s="214"/>
      <c r="B682" s="221"/>
      <c r="C682" s="222">
        <v>104.0</v>
      </c>
      <c r="D682" s="223" t="s">
        <v>566</v>
      </c>
      <c r="E682" s="223" t="s">
        <v>504</v>
      </c>
      <c r="F682" s="223" t="s">
        <v>1160</v>
      </c>
      <c r="G682" s="218" t="s">
        <v>490</v>
      </c>
      <c r="H682" s="225" t="s">
        <v>1161</v>
      </c>
      <c r="I682" s="208"/>
      <c r="J682" s="210"/>
      <c r="K682" s="210"/>
      <c r="L682" s="210"/>
      <c r="M682" s="210"/>
      <c r="N682" s="210"/>
      <c r="O682" s="210"/>
      <c r="P682" s="210"/>
      <c r="Q682" s="210"/>
      <c r="R682" s="210"/>
      <c r="S682" s="210"/>
      <c r="T682" s="210"/>
      <c r="U682" s="210"/>
      <c r="V682" s="210"/>
      <c r="W682" s="210"/>
      <c r="X682" s="210"/>
      <c r="Y682" s="210"/>
      <c r="Z682" s="210"/>
    </row>
    <row r="683" ht="21.75" customHeight="1">
      <c r="A683" s="214"/>
      <c r="B683" s="221"/>
      <c r="C683" s="222">
        <v>105.0</v>
      </c>
      <c r="D683" s="223" t="s">
        <v>569</v>
      </c>
      <c r="E683" s="223" t="s">
        <v>504</v>
      </c>
      <c r="F683" s="223" t="s">
        <v>567</v>
      </c>
      <c r="G683" s="218" t="s">
        <v>490</v>
      </c>
      <c r="H683" s="225" t="s">
        <v>1162</v>
      </c>
      <c r="I683" s="208"/>
      <c r="J683" s="210"/>
      <c r="K683" s="210"/>
      <c r="L683" s="210"/>
      <c r="M683" s="210"/>
      <c r="N683" s="210"/>
      <c r="O683" s="210"/>
      <c r="P683" s="210"/>
      <c r="Q683" s="210"/>
      <c r="R683" s="210"/>
      <c r="S683" s="210"/>
      <c r="T683" s="210"/>
      <c r="U683" s="210"/>
      <c r="V683" s="210"/>
      <c r="W683" s="210"/>
      <c r="X683" s="210"/>
      <c r="Y683" s="210"/>
      <c r="Z683" s="210"/>
    </row>
    <row r="684" ht="21.75" customHeight="1">
      <c r="A684" s="214"/>
      <c r="B684" s="221"/>
      <c r="C684" s="222">
        <v>106.0</v>
      </c>
      <c r="D684" s="223" t="s">
        <v>1104</v>
      </c>
      <c r="E684" s="223" t="s">
        <v>487</v>
      </c>
      <c r="F684" s="223" t="s">
        <v>1163</v>
      </c>
      <c r="G684" s="223" t="s">
        <v>501</v>
      </c>
      <c r="H684" s="224" t="s">
        <v>490</v>
      </c>
      <c r="I684" s="208"/>
      <c r="J684" s="210"/>
      <c r="K684" s="210"/>
      <c r="L684" s="210"/>
      <c r="M684" s="210"/>
      <c r="N684" s="210"/>
      <c r="O684" s="210"/>
      <c r="P684" s="210"/>
      <c r="Q684" s="210"/>
      <c r="R684" s="210"/>
      <c r="S684" s="210"/>
      <c r="T684" s="210"/>
      <c r="U684" s="210"/>
      <c r="V684" s="210"/>
      <c r="W684" s="210"/>
      <c r="X684" s="210"/>
      <c r="Y684" s="210"/>
      <c r="Z684" s="210"/>
    </row>
    <row r="685" ht="21.75" customHeight="1">
      <c r="A685" s="214"/>
      <c r="B685" s="221"/>
      <c r="C685" s="222">
        <v>200.0</v>
      </c>
      <c r="D685" s="223" t="s">
        <v>573</v>
      </c>
      <c r="E685" s="223" t="s">
        <v>504</v>
      </c>
      <c r="F685" s="223" t="s">
        <v>574</v>
      </c>
      <c r="G685" s="218" t="s">
        <v>490</v>
      </c>
      <c r="H685" s="225" t="s">
        <v>1164</v>
      </c>
      <c r="I685" s="208"/>
      <c r="J685" s="210"/>
      <c r="K685" s="210"/>
      <c r="L685" s="210"/>
      <c r="M685" s="210"/>
      <c r="N685" s="210"/>
      <c r="O685" s="210"/>
      <c r="P685" s="210"/>
      <c r="Q685" s="210"/>
      <c r="R685" s="210"/>
      <c r="S685" s="210"/>
      <c r="T685" s="210"/>
      <c r="U685" s="210"/>
      <c r="V685" s="210"/>
      <c r="W685" s="210"/>
      <c r="X685" s="210"/>
      <c r="Y685" s="210"/>
      <c r="Z685" s="210"/>
    </row>
    <row r="686" ht="21.75" customHeight="1">
      <c r="A686" s="214"/>
      <c r="B686" s="221"/>
      <c r="C686" s="222">
        <v>201.0</v>
      </c>
      <c r="D686" s="223" t="s">
        <v>1165</v>
      </c>
      <c r="E686" s="223" t="s">
        <v>504</v>
      </c>
      <c r="F686" s="223" t="s">
        <v>1166</v>
      </c>
      <c r="G686" s="218" t="s">
        <v>490</v>
      </c>
      <c r="H686" s="225" t="s">
        <v>1167</v>
      </c>
      <c r="I686" s="208"/>
      <c r="J686" s="210"/>
      <c r="K686" s="210"/>
      <c r="L686" s="210"/>
      <c r="M686" s="210"/>
      <c r="N686" s="210"/>
      <c r="O686" s="210"/>
      <c r="P686" s="210"/>
      <c r="Q686" s="210"/>
      <c r="R686" s="210"/>
      <c r="S686" s="210"/>
      <c r="T686" s="210"/>
      <c r="U686" s="210"/>
      <c r="V686" s="210"/>
      <c r="W686" s="210"/>
      <c r="X686" s="210"/>
      <c r="Y686" s="210"/>
      <c r="Z686" s="210"/>
    </row>
    <row r="687" ht="21.75" customHeight="1">
      <c r="A687" s="214"/>
      <c r="B687" s="221"/>
      <c r="C687" s="222">
        <v>202.0</v>
      </c>
      <c r="D687" s="223" t="s">
        <v>578</v>
      </c>
      <c r="E687" s="223" t="s">
        <v>487</v>
      </c>
      <c r="F687" s="223" t="s">
        <v>532</v>
      </c>
      <c r="G687" s="223" t="s">
        <v>580</v>
      </c>
      <c r="H687" s="224" t="s">
        <v>490</v>
      </c>
      <c r="I687" s="208"/>
      <c r="J687" s="210"/>
      <c r="K687" s="210"/>
      <c r="L687" s="210"/>
      <c r="M687" s="210"/>
      <c r="N687" s="210"/>
      <c r="O687" s="210"/>
      <c r="P687" s="210"/>
      <c r="Q687" s="210"/>
      <c r="R687" s="210"/>
      <c r="S687" s="210"/>
      <c r="T687" s="210"/>
      <c r="U687" s="210"/>
      <c r="V687" s="210"/>
      <c r="W687" s="210"/>
      <c r="X687" s="210"/>
      <c r="Y687" s="210"/>
      <c r="Z687" s="210"/>
    </row>
    <row r="688" ht="21.75" customHeight="1">
      <c r="A688" s="214"/>
      <c r="B688" s="221"/>
      <c r="C688" s="222">
        <v>203.0</v>
      </c>
      <c r="D688" s="223" t="s">
        <v>576</v>
      </c>
      <c r="E688" s="223" t="s">
        <v>504</v>
      </c>
      <c r="F688" s="223" t="s">
        <v>505</v>
      </c>
      <c r="G688" s="218" t="s">
        <v>490</v>
      </c>
      <c r="H688" s="225" t="s">
        <v>1167</v>
      </c>
      <c r="I688" s="208"/>
      <c r="J688" s="210"/>
      <c r="K688" s="210"/>
      <c r="L688" s="210"/>
      <c r="M688" s="210"/>
      <c r="N688" s="210"/>
      <c r="O688" s="210"/>
      <c r="P688" s="210"/>
      <c r="Q688" s="210"/>
      <c r="R688" s="210"/>
      <c r="S688" s="210"/>
      <c r="T688" s="210"/>
      <c r="U688" s="210"/>
      <c r="V688" s="210"/>
      <c r="W688" s="210"/>
      <c r="X688" s="210"/>
      <c r="Y688" s="210"/>
      <c r="Z688" s="210"/>
    </row>
    <row r="689" ht="21.75" customHeight="1">
      <c r="A689" s="214"/>
      <c r="B689" s="221"/>
      <c r="C689" s="222">
        <v>204.0</v>
      </c>
      <c r="D689" s="223" t="s">
        <v>573</v>
      </c>
      <c r="E689" s="223" t="s">
        <v>487</v>
      </c>
      <c r="F689" s="223" t="s">
        <v>500</v>
      </c>
      <c r="G689" s="223" t="s">
        <v>561</v>
      </c>
      <c r="H689" s="225" t="s">
        <v>1168</v>
      </c>
      <c r="I689" s="208"/>
      <c r="J689" s="210"/>
      <c r="K689" s="210"/>
      <c r="L689" s="210"/>
      <c r="M689" s="210"/>
      <c r="N689" s="210"/>
      <c r="O689" s="210"/>
      <c r="P689" s="210"/>
      <c r="Q689" s="210"/>
      <c r="R689" s="210"/>
      <c r="S689" s="210"/>
      <c r="T689" s="210"/>
      <c r="U689" s="210"/>
      <c r="V689" s="210"/>
      <c r="W689" s="210"/>
      <c r="X689" s="210"/>
      <c r="Y689" s="210"/>
      <c r="Z689" s="210"/>
    </row>
    <row r="690" ht="21.75" customHeight="1">
      <c r="A690" s="214"/>
      <c r="B690" s="221"/>
      <c r="C690" s="222">
        <v>205.0</v>
      </c>
      <c r="D690" s="223" t="s">
        <v>1169</v>
      </c>
      <c r="E690" s="223" t="s">
        <v>487</v>
      </c>
      <c r="F690" s="223" t="s">
        <v>674</v>
      </c>
      <c r="G690" s="218" t="s">
        <v>490</v>
      </c>
      <c r="H690" s="224" t="s">
        <v>490</v>
      </c>
      <c r="I690" s="208"/>
      <c r="J690" s="210"/>
      <c r="K690" s="210"/>
      <c r="L690" s="210"/>
      <c r="M690" s="210"/>
      <c r="N690" s="210"/>
      <c r="O690" s="210"/>
      <c r="P690" s="210"/>
      <c r="Q690" s="210"/>
      <c r="R690" s="210"/>
      <c r="S690" s="210"/>
      <c r="T690" s="210"/>
      <c r="U690" s="210"/>
      <c r="V690" s="210"/>
      <c r="W690" s="210"/>
      <c r="X690" s="210"/>
      <c r="Y690" s="210"/>
      <c r="Z690" s="210"/>
    </row>
    <row r="691" ht="21.75" customHeight="1">
      <c r="A691" s="214"/>
      <c r="B691" s="221"/>
      <c r="C691" s="222">
        <v>207.0</v>
      </c>
      <c r="D691" s="223" t="s">
        <v>1170</v>
      </c>
      <c r="E691" s="223" t="s">
        <v>487</v>
      </c>
      <c r="F691" s="223" t="s">
        <v>1171</v>
      </c>
      <c r="G691" s="218" t="s">
        <v>490</v>
      </c>
      <c r="H691" s="224" t="s">
        <v>490</v>
      </c>
      <c r="I691" s="208"/>
      <c r="J691" s="210"/>
      <c r="K691" s="210"/>
      <c r="L691" s="210"/>
      <c r="M691" s="210"/>
      <c r="N691" s="210"/>
      <c r="O691" s="210"/>
      <c r="P691" s="210"/>
      <c r="Q691" s="210"/>
      <c r="R691" s="210"/>
      <c r="S691" s="210"/>
      <c r="T691" s="210"/>
      <c r="U691" s="210"/>
      <c r="V691" s="210"/>
      <c r="W691" s="210"/>
      <c r="X691" s="210"/>
      <c r="Y691" s="210"/>
      <c r="Z691" s="210"/>
    </row>
    <row r="692" ht="21.75" customHeight="1">
      <c r="A692" s="214"/>
      <c r="B692" s="221"/>
      <c r="C692" s="222">
        <v>300.0</v>
      </c>
      <c r="D692" s="223" t="s">
        <v>585</v>
      </c>
      <c r="E692" s="223" t="s">
        <v>504</v>
      </c>
      <c r="F692" s="223" t="s">
        <v>586</v>
      </c>
      <c r="G692" s="218" t="s">
        <v>490</v>
      </c>
      <c r="H692" s="225" t="s">
        <v>1172</v>
      </c>
      <c r="I692" s="208"/>
      <c r="J692" s="210"/>
      <c r="K692" s="210"/>
      <c r="L692" s="210"/>
      <c r="M692" s="210"/>
      <c r="N692" s="210"/>
      <c r="O692" s="210"/>
      <c r="P692" s="210"/>
      <c r="Q692" s="210"/>
      <c r="R692" s="210"/>
      <c r="S692" s="210"/>
      <c r="T692" s="210"/>
      <c r="U692" s="210"/>
      <c r="V692" s="210"/>
      <c r="W692" s="210"/>
      <c r="X692" s="210"/>
      <c r="Y692" s="210"/>
      <c r="Z692" s="210"/>
    </row>
    <row r="693" ht="21.75" customHeight="1">
      <c r="A693" s="214"/>
      <c r="B693" s="221"/>
      <c r="C693" s="222">
        <v>301.0</v>
      </c>
      <c r="D693" s="223" t="s">
        <v>1165</v>
      </c>
      <c r="E693" s="223" t="s">
        <v>504</v>
      </c>
      <c r="F693" s="223" t="s">
        <v>1173</v>
      </c>
      <c r="G693" s="218" t="s">
        <v>490</v>
      </c>
      <c r="H693" s="225" t="s">
        <v>1174</v>
      </c>
      <c r="I693" s="208"/>
      <c r="J693" s="210"/>
      <c r="K693" s="210"/>
      <c r="L693" s="210"/>
      <c r="M693" s="210"/>
      <c r="N693" s="210"/>
      <c r="O693" s="210"/>
      <c r="P693" s="210"/>
      <c r="Q693" s="210"/>
      <c r="R693" s="210"/>
      <c r="S693" s="210"/>
      <c r="T693" s="210"/>
      <c r="U693" s="210"/>
      <c r="V693" s="210"/>
      <c r="W693" s="210"/>
      <c r="X693" s="210"/>
      <c r="Y693" s="210"/>
      <c r="Z693" s="210"/>
    </row>
    <row r="694" ht="21.75" customHeight="1">
      <c r="A694" s="214"/>
      <c r="B694" s="221"/>
      <c r="C694" s="222">
        <v>302.0</v>
      </c>
      <c r="D694" s="223" t="s">
        <v>578</v>
      </c>
      <c r="E694" s="223" t="s">
        <v>487</v>
      </c>
      <c r="F694" s="223" t="s">
        <v>603</v>
      </c>
      <c r="G694" s="223" t="s">
        <v>602</v>
      </c>
      <c r="H694" s="224" t="s">
        <v>490</v>
      </c>
      <c r="I694" s="208"/>
      <c r="J694" s="210"/>
      <c r="K694" s="210"/>
      <c r="L694" s="210"/>
      <c r="M694" s="210"/>
      <c r="N694" s="210"/>
      <c r="O694" s="210"/>
      <c r="P694" s="210"/>
      <c r="Q694" s="210"/>
      <c r="R694" s="210"/>
      <c r="S694" s="210"/>
      <c r="T694" s="210"/>
      <c r="U694" s="210"/>
      <c r="V694" s="210"/>
      <c r="W694" s="210"/>
      <c r="X694" s="210"/>
      <c r="Y694" s="210"/>
      <c r="Z694" s="210"/>
    </row>
    <row r="695" ht="21.75" customHeight="1">
      <c r="A695" s="214"/>
      <c r="B695" s="221"/>
      <c r="C695" s="222">
        <v>303.0</v>
      </c>
      <c r="D695" s="223" t="s">
        <v>576</v>
      </c>
      <c r="E695" s="223" t="s">
        <v>504</v>
      </c>
      <c r="F695" s="223" t="s">
        <v>588</v>
      </c>
      <c r="G695" s="218" t="s">
        <v>490</v>
      </c>
      <c r="H695" s="225" t="s">
        <v>1175</v>
      </c>
      <c r="I695" s="208"/>
      <c r="J695" s="210"/>
      <c r="K695" s="210"/>
      <c r="L695" s="210"/>
      <c r="M695" s="210"/>
      <c r="N695" s="210"/>
      <c r="O695" s="210"/>
      <c r="P695" s="210"/>
      <c r="Q695" s="210"/>
      <c r="R695" s="210"/>
      <c r="S695" s="210"/>
      <c r="T695" s="210"/>
      <c r="U695" s="210"/>
      <c r="V695" s="210"/>
      <c r="W695" s="210"/>
      <c r="X695" s="210"/>
      <c r="Y695" s="210"/>
      <c r="Z695" s="210"/>
    </row>
    <row r="696" ht="21.75" customHeight="1">
      <c r="A696" s="214"/>
      <c r="B696" s="221"/>
      <c r="C696" s="222">
        <v>304.0</v>
      </c>
      <c r="D696" s="223" t="s">
        <v>585</v>
      </c>
      <c r="E696" s="223" t="s">
        <v>487</v>
      </c>
      <c r="F696" s="223" t="s">
        <v>512</v>
      </c>
      <c r="G696" s="223" t="s">
        <v>591</v>
      </c>
      <c r="H696" s="225" t="s">
        <v>1176</v>
      </c>
      <c r="I696" s="208"/>
      <c r="J696" s="210"/>
      <c r="K696" s="210"/>
      <c r="L696" s="210"/>
      <c r="M696" s="210"/>
      <c r="N696" s="210"/>
      <c r="O696" s="210"/>
      <c r="P696" s="210"/>
      <c r="Q696" s="210"/>
      <c r="R696" s="210"/>
      <c r="S696" s="210"/>
      <c r="T696" s="210"/>
      <c r="U696" s="210"/>
      <c r="V696" s="210"/>
      <c r="W696" s="210"/>
      <c r="X696" s="210"/>
      <c r="Y696" s="210"/>
      <c r="Z696" s="210"/>
    </row>
    <row r="697" ht="21.75" customHeight="1">
      <c r="A697" s="214"/>
      <c r="B697" s="221"/>
      <c r="C697" s="222">
        <v>305.0</v>
      </c>
      <c r="D697" s="223" t="s">
        <v>1177</v>
      </c>
      <c r="E697" s="223" t="s">
        <v>487</v>
      </c>
      <c r="F697" s="223" t="s">
        <v>1178</v>
      </c>
      <c r="G697" s="218" t="s">
        <v>490</v>
      </c>
      <c r="H697" s="224" t="s">
        <v>490</v>
      </c>
      <c r="I697" s="208"/>
      <c r="J697" s="210"/>
      <c r="K697" s="210"/>
      <c r="L697" s="210"/>
      <c r="M697" s="210"/>
      <c r="N697" s="210"/>
      <c r="O697" s="210"/>
      <c r="P697" s="210"/>
      <c r="Q697" s="210"/>
      <c r="R697" s="210"/>
      <c r="S697" s="210"/>
      <c r="T697" s="210"/>
      <c r="U697" s="210"/>
      <c r="V697" s="210"/>
      <c r="W697" s="210"/>
      <c r="X697" s="210"/>
      <c r="Y697" s="210"/>
      <c r="Z697" s="210"/>
    </row>
    <row r="698" ht="21.75" customHeight="1">
      <c r="A698" s="214"/>
      <c r="B698" s="221"/>
      <c r="C698" s="222">
        <v>307.0</v>
      </c>
      <c r="D698" s="223" t="s">
        <v>1179</v>
      </c>
      <c r="E698" s="223" t="s">
        <v>487</v>
      </c>
      <c r="F698" s="223" t="s">
        <v>1109</v>
      </c>
      <c r="G698" s="218" t="s">
        <v>490</v>
      </c>
      <c r="H698" s="224" t="s">
        <v>490</v>
      </c>
      <c r="I698" s="208"/>
      <c r="J698" s="210"/>
      <c r="K698" s="210"/>
      <c r="L698" s="210"/>
      <c r="M698" s="210"/>
      <c r="N698" s="210"/>
      <c r="O698" s="210"/>
      <c r="P698" s="210"/>
      <c r="Q698" s="210"/>
      <c r="R698" s="210"/>
      <c r="S698" s="210"/>
      <c r="T698" s="210"/>
      <c r="U698" s="210"/>
      <c r="V698" s="210"/>
      <c r="W698" s="210"/>
      <c r="X698" s="210"/>
      <c r="Y698" s="210"/>
      <c r="Z698" s="210"/>
    </row>
    <row r="699" ht="21.75" customHeight="1">
      <c r="A699" s="214"/>
      <c r="B699" s="221"/>
      <c r="C699" s="222">
        <v>400.0</v>
      </c>
      <c r="D699" s="223" t="s">
        <v>596</v>
      </c>
      <c r="E699" s="223" t="s">
        <v>504</v>
      </c>
      <c r="F699" s="223" t="s">
        <v>597</v>
      </c>
      <c r="G699" s="218" t="s">
        <v>490</v>
      </c>
      <c r="H699" s="225" t="s">
        <v>1180</v>
      </c>
      <c r="I699" s="208"/>
      <c r="J699" s="210"/>
      <c r="K699" s="210"/>
      <c r="L699" s="210"/>
      <c r="M699" s="210"/>
      <c r="N699" s="210"/>
      <c r="O699" s="210"/>
      <c r="P699" s="210"/>
      <c r="Q699" s="210"/>
      <c r="R699" s="210"/>
      <c r="S699" s="210"/>
      <c r="T699" s="210"/>
      <c r="U699" s="210"/>
      <c r="V699" s="210"/>
      <c r="W699" s="210"/>
      <c r="X699" s="210"/>
      <c r="Y699" s="210"/>
      <c r="Z699" s="210"/>
    </row>
    <row r="700" ht="21.75" customHeight="1">
      <c r="A700" s="214"/>
      <c r="B700" s="221"/>
      <c r="C700" s="222">
        <v>401.0</v>
      </c>
      <c r="D700" s="223" t="s">
        <v>1165</v>
      </c>
      <c r="E700" s="223" t="s">
        <v>504</v>
      </c>
      <c r="F700" s="223" t="s">
        <v>1181</v>
      </c>
      <c r="G700" s="218" t="s">
        <v>490</v>
      </c>
      <c r="H700" s="225" t="s">
        <v>1182</v>
      </c>
      <c r="I700" s="208"/>
      <c r="J700" s="210"/>
      <c r="K700" s="210"/>
      <c r="L700" s="210"/>
      <c r="M700" s="210"/>
      <c r="N700" s="210"/>
      <c r="O700" s="210"/>
      <c r="P700" s="210"/>
      <c r="Q700" s="210"/>
      <c r="R700" s="210"/>
      <c r="S700" s="210"/>
      <c r="T700" s="210"/>
      <c r="U700" s="210"/>
      <c r="V700" s="210"/>
      <c r="W700" s="210"/>
      <c r="X700" s="210"/>
      <c r="Y700" s="210"/>
      <c r="Z700" s="210"/>
    </row>
    <row r="701" ht="21.75" customHeight="1">
      <c r="A701" s="214"/>
      <c r="B701" s="221"/>
      <c r="C701" s="222">
        <v>402.0</v>
      </c>
      <c r="D701" s="223" t="s">
        <v>578</v>
      </c>
      <c r="E701" s="223" t="s">
        <v>487</v>
      </c>
      <c r="F701" s="223" t="s">
        <v>583</v>
      </c>
      <c r="G701" s="223" t="s">
        <v>644</v>
      </c>
      <c r="H701" s="224" t="s">
        <v>490</v>
      </c>
      <c r="I701" s="208"/>
      <c r="J701" s="210"/>
      <c r="K701" s="210"/>
      <c r="L701" s="210"/>
      <c r="M701" s="210"/>
      <c r="N701" s="210"/>
      <c r="O701" s="210"/>
      <c r="P701" s="210"/>
      <c r="Q701" s="210"/>
      <c r="R701" s="210"/>
      <c r="S701" s="210"/>
      <c r="T701" s="210"/>
      <c r="U701" s="210"/>
      <c r="V701" s="210"/>
      <c r="W701" s="210"/>
      <c r="X701" s="210"/>
      <c r="Y701" s="210"/>
      <c r="Z701" s="210"/>
    </row>
    <row r="702" ht="21.75" customHeight="1">
      <c r="A702" s="214"/>
      <c r="B702" s="221"/>
      <c r="C702" s="222">
        <v>403.0</v>
      </c>
      <c r="D702" s="223" t="s">
        <v>576</v>
      </c>
      <c r="E702" s="223" t="s">
        <v>504</v>
      </c>
      <c r="F702" s="223" t="s">
        <v>599</v>
      </c>
      <c r="G702" s="218" t="s">
        <v>490</v>
      </c>
      <c r="H702" s="225" t="s">
        <v>1182</v>
      </c>
      <c r="I702" s="208"/>
      <c r="J702" s="210"/>
      <c r="K702" s="210"/>
      <c r="L702" s="210"/>
      <c r="M702" s="210"/>
      <c r="N702" s="210"/>
      <c r="O702" s="210"/>
      <c r="P702" s="210"/>
      <c r="Q702" s="210"/>
      <c r="R702" s="210"/>
      <c r="S702" s="210"/>
      <c r="T702" s="210"/>
      <c r="U702" s="210"/>
      <c r="V702" s="210"/>
      <c r="W702" s="210"/>
      <c r="X702" s="210"/>
      <c r="Y702" s="210"/>
      <c r="Z702" s="210"/>
    </row>
    <row r="703" ht="21.75" customHeight="1">
      <c r="A703" s="214"/>
      <c r="B703" s="221"/>
      <c r="C703" s="222">
        <v>404.0</v>
      </c>
      <c r="D703" s="223" t="s">
        <v>596</v>
      </c>
      <c r="E703" s="223" t="s">
        <v>487</v>
      </c>
      <c r="F703" s="223" t="s">
        <v>590</v>
      </c>
      <c r="G703" s="223" t="s">
        <v>608</v>
      </c>
      <c r="H703" s="225" t="s">
        <v>1183</v>
      </c>
      <c r="I703" s="208"/>
      <c r="J703" s="210"/>
      <c r="K703" s="210"/>
      <c r="L703" s="210"/>
      <c r="M703" s="210"/>
      <c r="N703" s="210"/>
      <c r="O703" s="210"/>
      <c r="P703" s="210"/>
      <c r="Q703" s="210"/>
      <c r="R703" s="210"/>
      <c r="S703" s="210"/>
      <c r="T703" s="210"/>
      <c r="U703" s="210"/>
      <c r="V703" s="210"/>
      <c r="W703" s="210"/>
      <c r="X703" s="210"/>
      <c r="Y703" s="210"/>
      <c r="Z703" s="210"/>
    </row>
    <row r="704" ht="21.75" customHeight="1">
      <c r="A704" s="214"/>
      <c r="B704" s="221"/>
      <c r="C704" s="222">
        <v>405.0</v>
      </c>
      <c r="D704" s="223" t="s">
        <v>1184</v>
      </c>
      <c r="E704" s="223" t="s">
        <v>487</v>
      </c>
      <c r="F704" s="223" t="s">
        <v>1185</v>
      </c>
      <c r="G704" s="218" t="s">
        <v>490</v>
      </c>
      <c r="H704" s="224" t="s">
        <v>490</v>
      </c>
      <c r="I704" s="208"/>
      <c r="J704" s="210"/>
      <c r="K704" s="210"/>
      <c r="L704" s="210"/>
      <c r="M704" s="210"/>
      <c r="N704" s="210"/>
      <c r="O704" s="210"/>
      <c r="P704" s="210"/>
      <c r="Q704" s="210"/>
      <c r="R704" s="210"/>
      <c r="S704" s="210"/>
      <c r="T704" s="210"/>
      <c r="U704" s="210"/>
      <c r="V704" s="210"/>
      <c r="W704" s="210"/>
      <c r="X704" s="210"/>
      <c r="Y704" s="210"/>
      <c r="Z704" s="210"/>
    </row>
    <row r="705" ht="21.75" customHeight="1">
      <c r="A705" s="214"/>
      <c r="B705" s="221"/>
      <c r="C705" s="222">
        <v>407.0</v>
      </c>
      <c r="D705" s="223" t="s">
        <v>1186</v>
      </c>
      <c r="E705" s="223" t="s">
        <v>487</v>
      </c>
      <c r="F705" s="223" t="s">
        <v>1097</v>
      </c>
      <c r="G705" s="218" t="s">
        <v>490</v>
      </c>
      <c r="H705" s="224" t="s">
        <v>490</v>
      </c>
      <c r="I705" s="208"/>
      <c r="J705" s="210"/>
      <c r="K705" s="210"/>
      <c r="L705" s="210"/>
      <c r="M705" s="210"/>
      <c r="N705" s="210"/>
      <c r="O705" s="210"/>
      <c r="P705" s="210"/>
      <c r="Q705" s="210"/>
      <c r="R705" s="210"/>
      <c r="S705" s="210"/>
      <c r="T705" s="210"/>
      <c r="U705" s="210"/>
      <c r="V705" s="210"/>
      <c r="W705" s="210"/>
      <c r="X705" s="210"/>
      <c r="Y705" s="210"/>
      <c r="Z705" s="210"/>
    </row>
    <row r="706" ht="21.75" customHeight="1">
      <c r="A706" s="214"/>
      <c r="B706" s="221"/>
      <c r="C706" s="222">
        <v>500.0</v>
      </c>
      <c r="D706" s="223" t="s">
        <v>1187</v>
      </c>
      <c r="E706" s="223" t="s">
        <v>504</v>
      </c>
      <c r="F706" s="223" t="s">
        <v>570</v>
      </c>
      <c r="G706" s="218" t="s">
        <v>490</v>
      </c>
      <c r="H706" s="225" t="s">
        <v>1188</v>
      </c>
      <c r="I706" s="208"/>
      <c r="J706" s="210"/>
      <c r="K706" s="210"/>
      <c r="L706" s="210"/>
      <c r="M706" s="210"/>
      <c r="N706" s="210"/>
      <c r="O706" s="210"/>
      <c r="P706" s="210"/>
      <c r="Q706" s="210"/>
      <c r="R706" s="210"/>
      <c r="S706" s="210"/>
      <c r="T706" s="210"/>
      <c r="U706" s="210"/>
      <c r="V706" s="210"/>
      <c r="W706" s="210"/>
      <c r="X706" s="210"/>
      <c r="Y706" s="210"/>
      <c r="Z706" s="210"/>
    </row>
    <row r="707" ht="21.75" customHeight="1">
      <c r="A707" s="214"/>
      <c r="B707" s="221"/>
      <c r="C707" s="222">
        <v>501.0</v>
      </c>
      <c r="D707" s="223" t="s">
        <v>1165</v>
      </c>
      <c r="E707" s="223" t="s">
        <v>504</v>
      </c>
      <c r="F707" s="223" t="s">
        <v>761</v>
      </c>
      <c r="G707" s="218" t="s">
        <v>490</v>
      </c>
      <c r="H707" s="225" t="s">
        <v>1189</v>
      </c>
      <c r="I707" s="208"/>
      <c r="J707" s="210"/>
      <c r="K707" s="210"/>
      <c r="L707" s="210"/>
      <c r="M707" s="210"/>
      <c r="N707" s="210"/>
      <c r="O707" s="210"/>
      <c r="P707" s="210"/>
      <c r="Q707" s="210"/>
      <c r="R707" s="210"/>
      <c r="S707" s="210"/>
      <c r="T707" s="210"/>
      <c r="U707" s="210"/>
      <c r="V707" s="210"/>
      <c r="W707" s="210"/>
      <c r="X707" s="210"/>
      <c r="Y707" s="210"/>
      <c r="Z707" s="210"/>
    </row>
    <row r="708" ht="21.75" customHeight="1">
      <c r="A708" s="214"/>
      <c r="B708" s="221"/>
      <c r="C708" s="222">
        <v>502.0</v>
      </c>
      <c r="D708" s="223" t="s">
        <v>578</v>
      </c>
      <c r="E708" s="223" t="s">
        <v>487</v>
      </c>
      <c r="F708" s="223" t="s">
        <v>560</v>
      </c>
      <c r="G708" s="223" t="s">
        <v>987</v>
      </c>
      <c r="H708" s="224" t="s">
        <v>490</v>
      </c>
      <c r="I708" s="208"/>
      <c r="J708" s="210"/>
      <c r="K708" s="210"/>
      <c r="L708" s="210"/>
      <c r="M708" s="210"/>
      <c r="N708" s="210"/>
      <c r="O708" s="210"/>
      <c r="P708" s="210"/>
      <c r="Q708" s="210"/>
      <c r="R708" s="210"/>
      <c r="S708" s="210"/>
      <c r="T708" s="210"/>
      <c r="U708" s="210"/>
      <c r="V708" s="210"/>
      <c r="W708" s="210"/>
      <c r="X708" s="210"/>
      <c r="Y708" s="210"/>
      <c r="Z708" s="210"/>
    </row>
    <row r="709" ht="21.75" customHeight="1">
      <c r="A709" s="214"/>
      <c r="B709" s="221"/>
      <c r="C709" s="222">
        <v>503.0</v>
      </c>
      <c r="D709" s="223" t="s">
        <v>576</v>
      </c>
      <c r="E709" s="223" t="s">
        <v>504</v>
      </c>
      <c r="F709" s="223" t="s">
        <v>564</v>
      </c>
      <c r="G709" s="218" t="s">
        <v>490</v>
      </c>
      <c r="H709" s="225" t="s">
        <v>1189</v>
      </c>
      <c r="I709" s="208"/>
      <c r="J709" s="210"/>
      <c r="K709" s="210"/>
      <c r="L709" s="210"/>
      <c r="M709" s="210"/>
      <c r="N709" s="210"/>
      <c r="O709" s="210"/>
      <c r="P709" s="210"/>
      <c r="Q709" s="210"/>
      <c r="R709" s="210"/>
      <c r="S709" s="210"/>
      <c r="T709" s="210"/>
      <c r="U709" s="210"/>
      <c r="V709" s="210"/>
      <c r="W709" s="210"/>
      <c r="X709" s="210"/>
      <c r="Y709" s="210"/>
      <c r="Z709" s="210"/>
    </row>
    <row r="710" ht="21.75" customHeight="1">
      <c r="A710" s="214"/>
      <c r="B710" s="221"/>
      <c r="C710" s="222">
        <v>504.0</v>
      </c>
      <c r="D710" s="223" t="s">
        <v>1187</v>
      </c>
      <c r="E710" s="223" t="s">
        <v>487</v>
      </c>
      <c r="F710" s="223" t="s">
        <v>579</v>
      </c>
      <c r="G710" s="223" t="s">
        <v>997</v>
      </c>
      <c r="H710" s="225" t="s">
        <v>1190</v>
      </c>
      <c r="I710" s="208"/>
      <c r="J710" s="210"/>
      <c r="K710" s="210"/>
      <c r="L710" s="210"/>
      <c r="M710" s="210"/>
      <c r="N710" s="210"/>
      <c r="O710" s="210"/>
      <c r="P710" s="210"/>
      <c r="Q710" s="210"/>
      <c r="R710" s="210"/>
      <c r="S710" s="210"/>
      <c r="T710" s="210"/>
      <c r="U710" s="210"/>
      <c r="V710" s="210"/>
      <c r="W710" s="210"/>
      <c r="X710" s="210"/>
      <c r="Y710" s="210"/>
      <c r="Z710" s="210"/>
    </row>
    <row r="711" ht="21.75" customHeight="1">
      <c r="A711" s="214"/>
      <c r="B711" s="221"/>
      <c r="C711" s="222">
        <v>505.0</v>
      </c>
      <c r="D711" s="223" t="s">
        <v>1191</v>
      </c>
      <c r="E711" s="223" t="s">
        <v>487</v>
      </c>
      <c r="F711" s="223" t="s">
        <v>763</v>
      </c>
      <c r="G711" s="218" t="s">
        <v>490</v>
      </c>
      <c r="H711" s="224" t="s">
        <v>490</v>
      </c>
      <c r="I711" s="208"/>
      <c r="J711" s="210"/>
      <c r="K711" s="210"/>
      <c r="L711" s="210"/>
      <c r="M711" s="210"/>
      <c r="N711" s="210"/>
      <c r="O711" s="210"/>
      <c r="P711" s="210"/>
      <c r="Q711" s="210"/>
      <c r="R711" s="210"/>
      <c r="S711" s="210"/>
      <c r="T711" s="210"/>
      <c r="U711" s="210"/>
      <c r="V711" s="210"/>
      <c r="W711" s="210"/>
      <c r="X711" s="210"/>
      <c r="Y711" s="210"/>
      <c r="Z711" s="210"/>
    </row>
    <row r="712" ht="21.75" customHeight="1">
      <c r="A712" s="214"/>
      <c r="B712" s="221"/>
      <c r="C712" s="222">
        <v>507.0</v>
      </c>
      <c r="D712" s="223" t="s">
        <v>1192</v>
      </c>
      <c r="E712" s="223" t="s">
        <v>487</v>
      </c>
      <c r="F712" s="223" t="s">
        <v>1193</v>
      </c>
      <c r="G712" s="218" t="s">
        <v>490</v>
      </c>
      <c r="H712" s="224" t="s">
        <v>490</v>
      </c>
      <c r="I712" s="208"/>
      <c r="J712" s="210"/>
      <c r="K712" s="210"/>
      <c r="L712" s="210"/>
      <c r="M712" s="210"/>
      <c r="N712" s="210"/>
      <c r="O712" s="210"/>
      <c r="P712" s="210"/>
      <c r="Q712" s="210"/>
      <c r="R712" s="210"/>
      <c r="S712" s="210"/>
      <c r="T712" s="210"/>
      <c r="U712" s="210"/>
      <c r="V712" s="210"/>
      <c r="W712" s="210"/>
      <c r="X712" s="210"/>
      <c r="Y712" s="210"/>
      <c r="Z712" s="210"/>
    </row>
    <row r="713" ht="21.75" customHeight="1">
      <c r="A713" s="214"/>
      <c r="B713" s="221"/>
      <c r="C713" s="222">
        <v>600.0</v>
      </c>
      <c r="D713" s="223" t="s">
        <v>503</v>
      </c>
      <c r="E713" s="223" t="s">
        <v>487</v>
      </c>
      <c r="F713" s="223" t="s">
        <v>1001</v>
      </c>
      <c r="G713" s="223" t="s">
        <v>594</v>
      </c>
      <c r="H713" s="225" t="s">
        <v>1194</v>
      </c>
      <c r="I713" s="208"/>
      <c r="J713" s="210"/>
      <c r="K713" s="210"/>
      <c r="L713" s="210"/>
      <c r="M713" s="210"/>
      <c r="N713" s="210"/>
      <c r="O713" s="210"/>
      <c r="P713" s="210"/>
      <c r="Q713" s="210"/>
      <c r="R713" s="210"/>
      <c r="S713" s="210"/>
      <c r="T713" s="210"/>
      <c r="U713" s="210"/>
      <c r="V713" s="210"/>
      <c r="W713" s="210"/>
      <c r="X713" s="210"/>
      <c r="Y713" s="210"/>
      <c r="Z713" s="210"/>
    </row>
    <row r="714" ht="21.75" customHeight="1">
      <c r="A714" s="214"/>
      <c r="B714" s="217"/>
      <c r="C714" s="222">
        <v>601.0</v>
      </c>
      <c r="D714" s="215" t="s">
        <v>519</v>
      </c>
      <c r="E714" s="215" t="s">
        <v>508</v>
      </c>
      <c r="F714" s="215" t="s">
        <v>509</v>
      </c>
      <c r="G714" s="215" t="s">
        <v>510</v>
      </c>
      <c r="H714" s="225" t="s">
        <v>1195</v>
      </c>
      <c r="I714" s="208"/>
      <c r="J714" s="210"/>
      <c r="K714" s="210"/>
      <c r="L714" s="210"/>
      <c r="M714" s="210"/>
      <c r="N714" s="210"/>
      <c r="O714" s="210"/>
      <c r="P714" s="210"/>
      <c r="Q714" s="210"/>
      <c r="R714" s="210"/>
      <c r="S714" s="210"/>
      <c r="T714" s="210"/>
      <c r="U714" s="210"/>
      <c r="V714" s="210"/>
      <c r="W714" s="210"/>
      <c r="X714" s="210"/>
      <c r="Y714" s="210"/>
      <c r="Z714" s="210"/>
    </row>
    <row r="715" ht="21.75" customHeight="1">
      <c r="A715" s="214"/>
      <c r="B715" s="218" t="s">
        <v>1196</v>
      </c>
      <c r="C715" s="226">
        <v>50658.0</v>
      </c>
      <c r="D715" s="220"/>
      <c r="E715" s="220"/>
      <c r="F715" s="220"/>
      <c r="G715" s="220"/>
      <c r="H715" s="221"/>
      <c r="I715" s="208"/>
      <c r="J715" s="210"/>
      <c r="K715" s="210"/>
      <c r="L715" s="210"/>
      <c r="M715" s="210"/>
      <c r="N715" s="210"/>
      <c r="O715" s="210"/>
      <c r="P715" s="210"/>
      <c r="Q715" s="210"/>
      <c r="R715" s="210"/>
      <c r="S715" s="210"/>
      <c r="T715" s="210"/>
      <c r="U715" s="210"/>
      <c r="V715" s="210"/>
      <c r="W715" s="210"/>
      <c r="X715" s="210"/>
      <c r="Y715" s="210"/>
      <c r="Z715" s="210"/>
    </row>
    <row r="716" ht="21.75" customHeight="1">
      <c r="A716" s="214"/>
      <c r="B716" s="221"/>
      <c r="C716" s="222">
        <v>100.0</v>
      </c>
      <c r="D716" s="223" t="s">
        <v>486</v>
      </c>
      <c r="E716" s="223" t="s">
        <v>487</v>
      </c>
      <c r="F716" s="223" t="s">
        <v>488</v>
      </c>
      <c r="G716" s="223" t="s">
        <v>489</v>
      </c>
      <c r="H716" s="224" t="s">
        <v>490</v>
      </c>
      <c r="I716" s="208"/>
      <c r="J716" s="210"/>
      <c r="K716" s="210"/>
      <c r="L716" s="210"/>
      <c r="M716" s="210"/>
      <c r="N716" s="210"/>
      <c r="O716" s="210"/>
      <c r="P716" s="210"/>
      <c r="Q716" s="210"/>
      <c r="R716" s="210"/>
      <c r="S716" s="210"/>
      <c r="T716" s="210"/>
      <c r="U716" s="210"/>
      <c r="V716" s="210"/>
      <c r="W716" s="210"/>
      <c r="X716" s="210"/>
      <c r="Y716" s="210"/>
      <c r="Z716" s="210"/>
    </row>
    <row r="717" ht="21.75" customHeight="1">
      <c r="A717" s="214"/>
      <c r="B717" s="221"/>
      <c r="C717" s="222">
        <v>200.0</v>
      </c>
      <c r="D717" s="223" t="s">
        <v>499</v>
      </c>
      <c r="E717" s="223" t="s">
        <v>487</v>
      </c>
      <c r="F717" s="223" t="s">
        <v>492</v>
      </c>
      <c r="G717" s="223" t="s">
        <v>501</v>
      </c>
      <c r="H717" s="225" t="s">
        <v>1197</v>
      </c>
      <c r="I717" s="208"/>
      <c r="J717" s="210"/>
      <c r="K717" s="210"/>
      <c r="L717" s="210"/>
      <c r="M717" s="210"/>
      <c r="N717" s="210"/>
      <c r="O717" s="210"/>
      <c r="P717" s="210"/>
      <c r="Q717" s="210"/>
      <c r="R717" s="210"/>
      <c r="S717" s="210"/>
      <c r="T717" s="210"/>
      <c r="U717" s="210"/>
      <c r="V717" s="210"/>
      <c r="W717" s="210"/>
      <c r="X717" s="210"/>
      <c r="Y717" s="210"/>
      <c r="Z717" s="210"/>
    </row>
    <row r="718" ht="21.75" customHeight="1">
      <c r="A718" s="214"/>
      <c r="B718" s="221"/>
      <c r="C718" s="222">
        <v>201.0</v>
      </c>
      <c r="D718" s="223" t="s">
        <v>495</v>
      </c>
      <c r="E718" s="223" t="s">
        <v>487</v>
      </c>
      <c r="F718" s="223" t="s">
        <v>496</v>
      </c>
      <c r="G718" s="223" t="s">
        <v>497</v>
      </c>
      <c r="H718" s="225" t="s">
        <v>1198</v>
      </c>
      <c r="I718" s="208"/>
      <c r="J718" s="210"/>
      <c r="K718" s="210"/>
      <c r="L718" s="210"/>
      <c r="M718" s="210"/>
      <c r="N718" s="210"/>
      <c r="O718" s="210"/>
      <c r="P718" s="210"/>
      <c r="Q718" s="210"/>
      <c r="R718" s="210"/>
      <c r="S718" s="210"/>
      <c r="T718" s="210"/>
      <c r="U718" s="210"/>
      <c r="V718" s="210"/>
      <c r="W718" s="210"/>
      <c r="X718" s="210"/>
      <c r="Y718" s="210"/>
      <c r="Z718" s="210"/>
    </row>
    <row r="719" ht="21.75" customHeight="1">
      <c r="A719" s="214"/>
      <c r="B719" s="221"/>
      <c r="C719" s="222">
        <v>202.0</v>
      </c>
      <c r="D719" s="223" t="s">
        <v>566</v>
      </c>
      <c r="E719" s="223" t="s">
        <v>504</v>
      </c>
      <c r="F719" s="223" t="s">
        <v>505</v>
      </c>
      <c r="G719" s="218" t="s">
        <v>490</v>
      </c>
      <c r="H719" s="225" t="s">
        <v>1199</v>
      </c>
      <c r="I719" s="208"/>
      <c r="J719" s="210"/>
      <c r="K719" s="210"/>
      <c r="L719" s="210"/>
      <c r="M719" s="210"/>
      <c r="N719" s="210"/>
      <c r="O719" s="210"/>
      <c r="P719" s="210"/>
      <c r="Q719" s="210"/>
      <c r="R719" s="210"/>
      <c r="S719" s="210"/>
      <c r="T719" s="210"/>
      <c r="U719" s="210"/>
      <c r="V719" s="210"/>
      <c r="W719" s="210"/>
      <c r="X719" s="210"/>
      <c r="Y719" s="210"/>
      <c r="Z719" s="210"/>
    </row>
    <row r="720" ht="21.75" customHeight="1">
      <c r="A720" s="214"/>
      <c r="B720" s="221"/>
      <c r="C720" s="222">
        <v>203.0</v>
      </c>
      <c r="D720" s="223" t="s">
        <v>569</v>
      </c>
      <c r="E720" s="223" t="s">
        <v>504</v>
      </c>
      <c r="F720" s="223" t="s">
        <v>597</v>
      </c>
      <c r="G720" s="218" t="s">
        <v>490</v>
      </c>
      <c r="H720" s="225" t="s">
        <v>1200</v>
      </c>
      <c r="I720" s="208"/>
      <c r="J720" s="210"/>
      <c r="K720" s="210"/>
      <c r="L720" s="210"/>
      <c r="M720" s="210"/>
      <c r="N720" s="210"/>
      <c r="O720" s="210"/>
      <c r="P720" s="210"/>
      <c r="Q720" s="210"/>
      <c r="R720" s="210"/>
      <c r="S720" s="210"/>
      <c r="T720" s="210"/>
      <c r="U720" s="210"/>
      <c r="V720" s="210"/>
      <c r="W720" s="210"/>
      <c r="X720" s="210"/>
      <c r="Y720" s="210"/>
      <c r="Z720" s="210"/>
    </row>
    <row r="721" ht="21.75" customHeight="1">
      <c r="A721" s="214"/>
      <c r="B721" s="221"/>
      <c r="C721" s="222">
        <v>204.0</v>
      </c>
      <c r="D721" s="223" t="s">
        <v>618</v>
      </c>
      <c r="E721" s="223" t="s">
        <v>487</v>
      </c>
      <c r="F721" s="223" t="s">
        <v>560</v>
      </c>
      <c r="G721" s="223" t="s">
        <v>493</v>
      </c>
      <c r="H721" s="225" t="s">
        <v>1201</v>
      </c>
      <c r="I721" s="208"/>
      <c r="J721" s="210"/>
      <c r="K721" s="210"/>
      <c r="L721" s="210"/>
      <c r="M721" s="210"/>
      <c r="N721" s="210"/>
      <c r="O721" s="210"/>
      <c r="P721" s="210"/>
      <c r="Q721" s="210"/>
      <c r="R721" s="210"/>
      <c r="S721" s="210"/>
      <c r="T721" s="210"/>
      <c r="U721" s="210"/>
      <c r="V721" s="210"/>
      <c r="W721" s="210"/>
      <c r="X721" s="210"/>
      <c r="Y721" s="210"/>
      <c r="Z721" s="210"/>
    </row>
    <row r="722" ht="21.75" customHeight="1">
      <c r="A722" s="214"/>
      <c r="B722" s="221"/>
      <c r="C722" s="222">
        <v>205.0</v>
      </c>
      <c r="D722" s="223" t="s">
        <v>569</v>
      </c>
      <c r="E722" s="223" t="s">
        <v>487</v>
      </c>
      <c r="F722" s="223" t="s">
        <v>500</v>
      </c>
      <c r="G722" s="218" t="s">
        <v>490</v>
      </c>
      <c r="H722" s="224" t="s">
        <v>490</v>
      </c>
      <c r="I722" s="208"/>
      <c r="J722" s="210"/>
      <c r="K722" s="210"/>
      <c r="L722" s="210"/>
      <c r="M722" s="210"/>
      <c r="N722" s="210"/>
      <c r="O722" s="210"/>
      <c r="P722" s="210"/>
      <c r="Q722" s="210"/>
      <c r="R722" s="210"/>
      <c r="S722" s="210"/>
      <c r="T722" s="210"/>
      <c r="U722" s="210"/>
      <c r="V722" s="210"/>
      <c r="W722" s="210"/>
      <c r="X722" s="210"/>
      <c r="Y722" s="210"/>
      <c r="Z722" s="210"/>
    </row>
    <row r="723" ht="21.75" customHeight="1">
      <c r="A723" s="214"/>
      <c r="B723" s="221"/>
      <c r="C723" s="222">
        <v>300.0</v>
      </c>
      <c r="D723" s="223" t="s">
        <v>573</v>
      </c>
      <c r="E723" s="223" t="s">
        <v>504</v>
      </c>
      <c r="F723" s="223" t="s">
        <v>567</v>
      </c>
      <c r="G723" s="218" t="s">
        <v>490</v>
      </c>
      <c r="H723" s="225" t="s">
        <v>1202</v>
      </c>
      <c r="I723" s="208"/>
      <c r="J723" s="210"/>
      <c r="K723" s="210"/>
      <c r="L723" s="210"/>
      <c r="M723" s="210"/>
      <c r="N723" s="210"/>
      <c r="O723" s="210"/>
      <c r="P723" s="210"/>
      <c r="Q723" s="210"/>
      <c r="R723" s="210"/>
      <c r="S723" s="210"/>
      <c r="T723" s="210"/>
      <c r="U723" s="210"/>
      <c r="V723" s="210"/>
      <c r="W723" s="210"/>
      <c r="X723" s="210"/>
      <c r="Y723" s="210"/>
      <c r="Z723" s="210"/>
    </row>
    <row r="724" ht="21.75" customHeight="1">
      <c r="A724" s="214"/>
      <c r="B724" s="221"/>
      <c r="C724" s="222">
        <v>301.0</v>
      </c>
      <c r="D724" s="223" t="s">
        <v>1165</v>
      </c>
      <c r="E724" s="223" t="s">
        <v>504</v>
      </c>
      <c r="F724" s="223" t="s">
        <v>570</v>
      </c>
      <c r="G724" s="218" t="s">
        <v>490</v>
      </c>
      <c r="H724" s="225" t="s">
        <v>1203</v>
      </c>
      <c r="I724" s="208"/>
      <c r="J724" s="210"/>
      <c r="K724" s="210"/>
      <c r="L724" s="210"/>
      <c r="M724" s="210"/>
      <c r="N724" s="210"/>
      <c r="O724" s="210"/>
      <c r="P724" s="210"/>
      <c r="Q724" s="210"/>
      <c r="R724" s="210"/>
      <c r="S724" s="210"/>
      <c r="T724" s="210"/>
      <c r="U724" s="210"/>
      <c r="V724" s="210"/>
      <c r="W724" s="210"/>
      <c r="X724" s="210"/>
      <c r="Y724" s="210"/>
      <c r="Z724" s="210"/>
    </row>
    <row r="725" ht="21.75" customHeight="1">
      <c r="A725" s="214"/>
      <c r="B725" s="221"/>
      <c r="C725" s="222">
        <v>302.0</v>
      </c>
      <c r="D725" s="223" t="s">
        <v>578</v>
      </c>
      <c r="E725" s="223" t="s">
        <v>487</v>
      </c>
      <c r="F725" s="223" t="s">
        <v>532</v>
      </c>
      <c r="G725" s="223" t="s">
        <v>513</v>
      </c>
      <c r="H725" s="224" t="s">
        <v>490</v>
      </c>
      <c r="I725" s="208"/>
      <c r="J725" s="210"/>
      <c r="K725" s="210"/>
      <c r="L725" s="210"/>
      <c r="M725" s="210"/>
      <c r="N725" s="210"/>
      <c r="O725" s="210"/>
      <c r="P725" s="210"/>
      <c r="Q725" s="210"/>
      <c r="R725" s="210"/>
      <c r="S725" s="210"/>
      <c r="T725" s="210"/>
      <c r="U725" s="210"/>
      <c r="V725" s="210"/>
      <c r="W725" s="210"/>
      <c r="X725" s="210"/>
      <c r="Y725" s="210"/>
      <c r="Z725" s="210"/>
    </row>
    <row r="726" ht="21.75" customHeight="1">
      <c r="A726" s="214"/>
      <c r="B726" s="221"/>
      <c r="C726" s="222">
        <v>303.0</v>
      </c>
      <c r="D726" s="223" t="s">
        <v>1165</v>
      </c>
      <c r="E726" s="223" t="s">
        <v>487</v>
      </c>
      <c r="F726" s="223" t="s">
        <v>1204</v>
      </c>
      <c r="G726" s="218" t="s">
        <v>490</v>
      </c>
      <c r="H726" s="224" t="s">
        <v>490</v>
      </c>
      <c r="I726" s="208"/>
      <c r="J726" s="210"/>
      <c r="K726" s="210"/>
      <c r="L726" s="210"/>
      <c r="M726" s="210"/>
      <c r="N726" s="210"/>
      <c r="O726" s="210"/>
      <c r="P726" s="210"/>
      <c r="Q726" s="210"/>
      <c r="R726" s="210"/>
      <c r="S726" s="210"/>
      <c r="T726" s="210"/>
      <c r="U726" s="210"/>
      <c r="V726" s="210"/>
      <c r="W726" s="210"/>
      <c r="X726" s="210"/>
      <c r="Y726" s="210"/>
      <c r="Z726" s="210"/>
    </row>
    <row r="727" ht="21.75" customHeight="1">
      <c r="A727" s="214"/>
      <c r="B727" s="221"/>
      <c r="C727" s="222">
        <v>400.0</v>
      </c>
      <c r="D727" s="223" t="s">
        <v>585</v>
      </c>
      <c r="E727" s="223" t="s">
        <v>504</v>
      </c>
      <c r="F727" s="223" t="s">
        <v>574</v>
      </c>
      <c r="G727" s="218" t="s">
        <v>490</v>
      </c>
      <c r="H727" s="225" t="s">
        <v>1205</v>
      </c>
      <c r="I727" s="208"/>
      <c r="J727" s="210"/>
      <c r="K727" s="210"/>
      <c r="L727" s="210"/>
      <c r="M727" s="210"/>
      <c r="N727" s="210"/>
      <c r="O727" s="210"/>
      <c r="P727" s="210"/>
      <c r="Q727" s="210"/>
      <c r="R727" s="210"/>
      <c r="S727" s="210"/>
      <c r="T727" s="210"/>
      <c r="U727" s="210"/>
      <c r="V727" s="210"/>
      <c r="W727" s="210"/>
      <c r="X727" s="210"/>
      <c r="Y727" s="210"/>
      <c r="Z727" s="210"/>
    </row>
    <row r="728" ht="21.75" customHeight="1">
      <c r="A728" s="214"/>
      <c r="B728" s="221"/>
      <c r="C728" s="222">
        <v>401.0</v>
      </c>
      <c r="D728" s="223" t="s">
        <v>1165</v>
      </c>
      <c r="E728" s="223" t="s">
        <v>504</v>
      </c>
      <c r="F728" s="223" t="s">
        <v>761</v>
      </c>
      <c r="G728" s="218" t="s">
        <v>490</v>
      </c>
      <c r="H728" s="225" t="s">
        <v>1206</v>
      </c>
      <c r="I728" s="208"/>
      <c r="J728" s="210"/>
      <c r="K728" s="210"/>
      <c r="L728" s="210"/>
      <c r="M728" s="210"/>
      <c r="N728" s="210"/>
      <c r="O728" s="210"/>
      <c r="P728" s="210"/>
      <c r="Q728" s="210"/>
      <c r="R728" s="210"/>
      <c r="S728" s="210"/>
      <c r="T728" s="210"/>
      <c r="U728" s="210"/>
      <c r="V728" s="210"/>
      <c r="W728" s="210"/>
      <c r="X728" s="210"/>
      <c r="Y728" s="210"/>
      <c r="Z728" s="210"/>
    </row>
    <row r="729" ht="21.75" customHeight="1">
      <c r="A729" s="214"/>
      <c r="B729" s="221"/>
      <c r="C729" s="222">
        <v>402.0</v>
      </c>
      <c r="D729" s="223" t="s">
        <v>578</v>
      </c>
      <c r="E729" s="223" t="s">
        <v>487</v>
      </c>
      <c r="F729" s="223" t="s">
        <v>603</v>
      </c>
      <c r="G729" s="223" t="s">
        <v>606</v>
      </c>
      <c r="H729" s="224" t="s">
        <v>490</v>
      </c>
      <c r="I729" s="208"/>
      <c r="J729" s="210"/>
      <c r="K729" s="210"/>
      <c r="L729" s="210"/>
      <c r="M729" s="210"/>
      <c r="N729" s="210"/>
      <c r="O729" s="210"/>
      <c r="P729" s="210"/>
      <c r="Q729" s="210"/>
      <c r="R729" s="210"/>
      <c r="S729" s="210"/>
      <c r="T729" s="210"/>
      <c r="U729" s="210"/>
      <c r="V729" s="210"/>
      <c r="W729" s="210"/>
      <c r="X729" s="210"/>
      <c r="Y729" s="210"/>
      <c r="Z729" s="210"/>
    </row>
    <row r="730" ht="21.75" customHeight="1">
      <c r="A730" s="214"/>
      <c r="B730" s="221"/>
      <c r="C730" s="222">
        <v>403.0</v>
      </c>
      <c r="D730" s="223" t="s">
        <v>1165</v>
      </c>
      <c r="E730" s="223" t="s">
        <v>487</v>
      </c>
      <c r="F730" s="223" t="s">
        <v>763</v>
      </c>
      <c r="G730" s="218" t="s">
        <v>490</v>
      </c>
      <c r="H730" s="224" t="s">
        <v>490</v>
      </c>
      <c r="I730" s="208"/>
      <c r="J730" s="210"/>
      <c r="K730" s="210"/>
      <c r="L730" s="210"/>
      <c r="M730" s="210"/>
      <c r="N730" s="210"/>
      <c r="O730" s="210"/>
      <c r="P730" s="210"/>
      <c r="Q730" s="210"/>
      <c r="R730" s="210"/>
      <c r="S730" s="210"/>
      <c r="T730" s="210"/>
      <c r="U730" s="210"/>
      <c r="V730" s="210"/>
      <c r="W730" s="210"/>
      <c r="X730" s="210"/>
      <c r="Y730" s="210"/>
      <c r="Z730" s="210"/>
    </row>
    <row r="731" ht="21.75" customHeight="1">
      <c r="A731" s="214"/>
      <c r="B731" s="221"/>
      <c r="C731" s="222">
        <v>500.0</v>
      </c>
      <c r="D731" s="223" t="s">
        <v>596</v>
      </c>
      <c r="E731" s="223" t="s">
        <v>504</v>
      </c>
      <c r="F731" s="223" t="s">
        <v>586</v>
      </c>
      <c r="G731" s="218" t="s">
        <v>490</v>
      </c>
      <c r="H731" s="225" t="s">
        <v>1207</v>
      </c>
      <c r="I731" s="208"/>
      <c r="J731" s="210"/>
      <c r="K731" s="210"/>
      <c r="L731" s="210"/>
      <c r="M731" s="210"/>
      <c r="N731" s="210"/>
      <c r="O731" s="210"/>
      <c r="P731" s="210"/>
      <c r="Q731" s="210"/>
      <c r="R731" s="210"/>
      <c r="S731" s="210"/>
      <c r="T731" s="210"/>
      <c r="U731" s="210"/>
      <c r="V731" s="210"/>
      <c r="W731" s="210"/>
      <c r="X731" s="210"/>
      <c r="Y731" s="210"/>
      <c r="Z731" s="210"/>
    </row>
    <row r="732" ht="21.75" customHeight="1">
      <c r="A732" s="214"/>
      <c r="B732" s="221"/>
      <c r="C732" s="222">
        <v>501.0</v>
      </c>
      <c r="D732" s="223" t="s">
        <v>1165</v>
      </c>
      <c r="E732" s="223" t="s">
        <v>504</v>
      </c>
      <c r="F732" s="223" t="s">
        <v>1181</v>
      </c>
      <c r="G732" s="218" t="s">
        <v>490</v>
      </c>
      <c r="H732" s="225" t="s">
        <v>1208</v>
      </c>
      <c r="I732" s="208"/>
      <c r="J732" s="210"/>
      <c r="K732" s="210"/>
      <c r="L732" s="210"/>
      <c r="M732" s="210"/>
      <c r="N732" s="210"/>
      <c r="O732" s="210"/>
      <c r="P732" s="210"/>
      <c r="Q732" s="210"/>
      <c r="R732" s="210"/>
      <c r="S732" s="210"/>
      <c r="T732" s="210"/>
      <c r="U732" s="210"/>
      <c r="V732" s="210"/>
      <c r="W732" s="210"/>
      <c r="X732" s="210"/>
      <c r="Y732" s="210"/>
      <c r="Z732" s="210"/>
    </row>
    <row r="733" ht="21.75" customHeight="1">
      <c r="A733" s="214"/>
      <c r="B733" s="221"/>
      <c r="C733" s="222">
        <v>502.0</v>
      </c>
      <c r="D733" s="223" t="s">
        <v>578</v>
      </c>
      <c r="E733" s="223" t="s">
        <v>487</v>
      </c>
      <c r="F733" s="223" t="s">
        <v>583</v>
      </c>
      <c r="G733" s="223" t="s">
        <v>580</v>
      </c>
      <c r="H733" s="224" t="s">
        <v>490</v>
      </c>
      <c r="I733" s="208"/>
      <c r="J733" s="210"/>
      <c r="K733" s="210"/>
      <c r="L733" s="210"/>
      <c r="M733" s="210"/>
      <c r="N733" s="210"/>
      <c r="O733" s="210"/>
      <c r="P733" s="210"/>
      <c r="Q733" s="210"/>
      <c r="R733" s="210"/>
      <c r="S733" s="210"/>
      <c r="T733" s="210"/>
      <c r="U733" s="210"/>
      <c r="V733" s="210"/>
      <c r="W733" s="210"/>
      <c r="X733" s="210"/>
      <c r="Y733" s="210"/>
      <c r="Z733" s="210"/>
    </row>
    <row r="734" ht="21.75" customHeight="1">
      <c r="A734" s="214"/>
      <c r="B734" s="221"/>
      <c r="C734" s="222">
        <v>503.0</v>
      </c>
      <c r="D734" s="223" t="s">
        <v>1165</v>
      </c>
      <c r="E734" s="223" t="s">
        <v>487</v>
      </c>
      <c r="F734" s="223" t="s">
        <v>1185</v>
      </c>
      <c r="G734" s="218" t="s">
        <v>490</v>
      </c>
      <c r="H734" s="224" t="s">
        <v>490</v>
      </c>
      <c r="I734" s="208"/>
      <c r="J734" s="210"/>
      <c r="K734" s="210"/>
      <c r="L734" s="210"/>
      <c r="M734" s="210"/>
      <c r="N734" s="210"/>
      <c r="O734" s="210"/>
      <c r="P734" s="210"/>
      <c r="Q734" s="210"/>
      <c r="R734" s="210"/>
      <c r="S734" s="210"/>
      <c r="T734" s="210"/>
      <c r="U734" s="210"/>
      <c r="V734" s="210"/>
      <c r="W734" s="210"/>
      <c r="X734" s="210"/>
      <c r="Y734" s="210"/>
      <c r="Z734" s="210"/>
    </row>
    <row r="735" ht="21.75" customHeight="1">
      <c r="A735" s="214"/>
      <c r="B735" s="221"/>
      <c r="C735" s="222">
        <v>600.0</v>
      </c>
      <c r="D735" s="223" t="s">
        <v>582</v>
      </c>
      <c r="E735" s="223" t="s">
        <v>487</v>
      </c>
      <c r="F735" s="223" t="s">
        <v>613</v>
      </c>
      <c r="G735" s="223" t="s">
        <v>526</v>
      </c>
      <c r="H735" s="225" t="s">
        <v>1209</v>
      </c>
      <c r="I735" s="208"/>
      <c r="J735" s="210"/>
      <c r="K735" s="210"/>
      <c r="L735" s="210"/>
      <c r="M735" s="210"/>
      <c r="N735" s="210"/>
      <c r="O735" s="210"/>
      <c r="P735" s="210"/>
      <c r="Q735" s="210"/>
      <c r="R735" s="210"/>
      <c r="S735" s="210"/>
      <c r="T735" s="210"/>
      <c r="U735" s="210"/>
      <c r="V735" s="210"/>
      <c r="W735" s="210"/>
      <c r="X735" s="210"/>
      <c r="Y735" s="210"/>
      <c r="Z735" s="210"/>
    </row>
    <row r="736" ht="21.75" customHeight="1">
      <c r="A736" s="214"/>
      <c r="B736" s="221"/>
      <c r="C736" s="222">
        <v>601.0</v>
      </c>
      <c r="D736" s="223" t="s">
        <v>592</v>
      </c>
      <c r="E736" s="223" t="s">
        <v>487</v>
      </c>
      <c r="F736" s="223" t="s">
        <v>593</v>
      </c>
      <c r="G736" s="223" t="s">
        <v>594</v>
      </c>
      <c r="H736" s="225" t="s">
        <v>1210</v>
      </c>
      <c r="I736" s="208"/>
      <c r="J736" s="210"/>
      <c r="K736" s="210"/>
      <c r="L736" s="210"/>
      <c r="M736" s="210"/>
      <c r="N736" s="210"/>
      <c r="O736" s="210"/>
      <c r="P736" s="210"/>
      <c r="Q736" s="210"/>
      <c r="R736" s="210"/>
      <c r="S736" s="210"/>
      <c r="T736" s="210"/>
      <c r="U736" s="210"/>
      <c r="V736" s="210"/>
      <c r="W736" s="210"/>
      <c r="X736" s="210"/>
      <c r="Y736" s="210"/>
      <c r="Z736" s="210"/>
    </row>
    <row r="737" ht="21.75" customHeight="1">
      <c r="A737" s="214"/>
      <c r="B737" s="221"/>
      <c r="C737" s="222">
        <v>602.0</v>
      </c>
      <c r="D737" s="223" t="s">
        <v>604</v>
      </c>
      <c r="E737" s="223" t="s">
        <v>487</v>
      </c>
      <c r="F737" s="223" t="s">
        <v>605</v>
      </c>
      <c r="G737" s="223" t="s">
        <v>561</v>
      </c>
      <c r="H737" s="225" t="s">
        <v>1211</v>
      </c>
      <c r="I737" s="208"/>
      <c r="J737" s="210"/>
      <c r="K737" s="210"/>
      <c r="L737" s="210"/>
      <c r="M737" s="210"/>
      <c r="N737" s="210"/>
      <c r="O737" s="210"/>
      <c r="P737" s="210"/>
      <c r="Q737" s="210"/>
      <c r="R737" s="210"/>
      <c r="S737" s="210"/>
      <c r="T737" s="210"/>
      <c r="U737" s="210"/>
      <c r="V737" s="210"/>
      <c r="W737" s="210"/>
      <c r="X737" s="210"/>
      <c r="Y737" s="210"/>
      <c r="Z737" s="210"/>
    </row>
    <row r="738" ht="21.75" customHeight="1">
      <c r="A738" s="214"/>
      <c r="B738" s="221"/>
      <c r="C738" s="222">
        <v>603.0</v>
      </c>
      <c r="D738" s="223" t="s">
        <v>1212</v>
      </c>
      <c r="E738" s="223" t="s">
        <v>487</v>
      </c>
      <c r="F738" s="223" t="s">
        <v>601</v>
      </c>
      <c r="G738" s="223" t="s">
        <v>591</v>
      </c>
      <c r="H738" s="225" t="s">
        <v>1213</v>
      </c>
      <c r="I738" s="208"/>
      <c r="J738" s="210"/>
      <c r="K738" s="210"/>
      <c r="L738" s="210"/>
      <c r="M738" s="210"/>
      <c r="N738" s="210"/>
      <c r="O738" s="210"/>
      <c r="P738" s="210"/>
      <c r="Q738" s="210"/>
      <c r="R738" s="210"/>
      <c r="S738" s="210"/>
      <c r="T738" s="210"/>
      <c r="U738" s="210"/>
      <c r="V738" s="210"/>
      <c r="W738" s="210"/>
      <c r="X738" s="210"/>
      <c r="Y738" s="210"/>
      <c r="Z738" s="210"/>
    </row>
    <row r="739" ht="21.75" customHeight="1">
      <c r="A739" s="214"/>
      <c r="B739" s="221"/>
      <c r="C739" s="222">
        <v>604.0</v>
      </c>
      <c r="D739" s="223" t="s">
        <v>507</v>
      </c>
      <c r="E739" s="223" t="s">
        <v>539</v>
      </c>
      <c r="F739" s="223" t="s">
        <v>824</v>
      </c>
      <c r="G739" s="218" t="s">
        <v>490</v>
      </c>
      <c r="H739" s="225" t="s">
        <v>1214</v>
      </c>
      <c r="I739" s="208"/>
      <c r="J739" s="210"/>
      <c r="K739" s="210"/>
      <c r="L739" s="210"/>
      <c r="M739" s="210"/>
      <c r="N739" s="210"/>
      <c r="O739" s="210"/>
      <c r="P739" s="210"/>
      <c r="Q739" s="210"/>
      <c r="R739" s="210"/>
      <c r="S739" s="210"/>
      <c r="T739" s="210"/>
      <c r="U739" s="210"/>
      <c r="V739" s="210"/>
      <c r="W739" s="210"/>
      <c r="X739" s="210"/>
      <c r="Y739" s="210"/>
      <c r="Z739" s="210"/>
    </row>
    <row r="740" ht="21.75" customHeight="1">
      <c r="A740" s="214"/>
      <c r="B740" s="217"/>
      <c r="C740" s="222">
        <v>605.0</v>
      </c>
      <c r="D740" s="215" t="s">
        <v>519</v>
      </c>
      <c r="E740" s="215" t="s">
        <v>508</v>
      </c>
      <c r="F740" s="215" t="s">
        <v>509</v>
      </c>
      <c r="G740" s="215" t="s">
        <v>510</v>
      </c>
      <c r="H740" s="225" t="s">
        <v>1215</v>
      </c>
      <c r="I740" s="208"/>
      <c r="J740" s="210"/>
      <c r="K740" s="210"/>
      <c r="L740" s="210"/>
      <c r="M740" s="210"/>
      <c r="N740" s="210"/>
      <c r="O740" s="210"/>
      <c r="P740" s="210"/>
      <c r="Q740" s="210"/>
      <c r="R740" s="210"/>
      <c r="S740" s="210"/>
      <c r="T740" s="210"/>
      <c r="U740" s="210"/>
      <c r="V740" s="210"/>
      <c r="W740" s="210"/>
      <c r="X740" s="210"/>
      <c r="Y740" s="210"/>
      <c r="Z740" s="210"/>
    </row>
    <row r="741" ht="21.75" customHeight="1">
      <c r="A741" s="214"/>
      <c r="B741" s="218" t="s">
        <v>1216</v>
      </c>
      <c r="C741" s="226">
        <v>50477.0</v>
      </c>
      <c r="D741" s="220"/>
      <c r="E741" s="220"/>
      <c r="F741" s="220"/>
      <c r="G741" s="220"/>
      <c r="H741" s="221"/>
      <c r="I741" s="208"/>
      <c r="J741" s="210"/>
      <c r="K741" s="210"/>
      <c r="L741" s="210"/>
      <c r="M741" s="210"/>
      <c r="N741" s="210"/>
      <c r="O741" s="210"/>
      <c r="P741" s="210"/>
      <c r="Q741" s="210"/>
      <c r="R741" s="210"/>
      <c r="S741" s="210"/>
      <c r="T741" s="210"/>
      <c r="U741" s="210"/>
      <c r="V741" s="210"/>
      <c r="W741" s="210"/>
      <c r="X741" s="210"/>
      <c r="Y741" s="210"/>
      <c r="Z741" s="210"/>
    </row>
    <row r="742" ht="21.75" customHeight="1">
      <c r="A742" s="214"/>
      <c r="B742" s="221"/>
      <c r="C742" s="222">
        <v>100.0</v>
      </c>
      <c r="D742" s="223" t="s">
        <v>486</v>
      </c>
      <c r="E742" s="223" t="s">
        <v>487</v>
      </c>
      <c r="F742" s="223" t="s">
        <v>488</v>
      </c>
      <c r="G742" s="223" t="s">
        <v>489</v>
      </c>
      <c r="H742" s="224" t="s">
        <v>490</v>
      </c>
      <c r="I742" s="208"/>
      <c r="J742" s="210"/>
      <c r="K742" s="210"/>
      <c r="L742" s="210"/>
      <c r="M742" s="210"/>
      <c r="N742" s="210"/>
      <c r="O742" s="210"/>
      <c r="P742" s="210"/>
      <c r="Q742" s="210"/>
      <c r="R742" s="210"/>
      <c r="S742" s="210"/>
      <c r="T742" s="210"/>
      <c r="U742" s="210"/>
      <c r="V742" s="210"/>
      <c r="W742" s="210"/>
      <c r="X742" s="210"/>
      <c r="Y742" s="210"/>
      <c r="Z742" s="210"/>
    </row>
    <row r="743" ht="21.75" customHeight="1">
      <c r="A743" s="214"/>
      <c r="B743" s="221"/>
      <c r="C743" s="222">
        <v>200.0</v>
      </c>
      <c r="D743" s="223" t="s">
        <v>495</v>
      </c>
      <c r="E743" s="223" t="s">
        <v>487</v>
      </c>
      <c r="F743" s="223" t="s">
        <v>492</v>
      </c>
      <c r="G743" s="223" t="s">
        <v>497</v>
      </c>
      <c r="H743" s="225" t="s">
        <v>1217</v>
      </c>
      <c r="I743" s="208"/>
      <c r="J743" s="210"/>
      <c r="K743" s="210"/>
      <c r="L743" s="210"/>
      <c r="M743" s="210"/>
      <c r="N743" s="210"/>
      <c r="O743" s="210"/>
      <c r="P743" s="210"/>
      <c r="Q743" s="210"/>
      <c r="R743" s="210"/>
      <c r="S743" s="210"/>
      <c r="T743" s="210"/>
      <c r="U743" s="210"/>
      <c r="V743" s="210"/>
      <c r="W743" s="210"/>
      <c r="X743" s="210"/>
      <c r="Y743" s="210"/>
      <c r="Z743" s="210"/>
    </row>
    <row r="744" ht="21.75" customHeight="1">
      <c r="A744" s="214"/>
      <c r="B744" s="221"/>
      <c r="C744" s="222">
        <v>201.0</v>
      </c>
      <c r="D744" s="223" t="s">
        <v>643</v>
      </c>
      <c r="E744" s="223" t="s">
        <v>487</v>
      </c>
      <c r="F744" s="223" t="s">
        <v>601</v>
      </c>
      <c r="G744" s="223" t="s">
        <v>513</v>
      </c>
      <c r="H744" s="224" t="s">
        <v>490</v>
      </c>
      <c r="I744" s="208"/>
      <c r="J744" s="210"/>
      <c r="K744" s="210"/>
      <c r="L744" s="210"/>
      <c r="M744" s="210"/>
      <c r="N744" s="210"/>
      <c r="O744" s="210"/>
      <c r="P744" s="210"/>
      <c r="Q744" s="210"/>
      <c r="R744" s="210"/>
      <c r="S744" s="210"/>
      <c r="T744" s="210"/>
      <c r="U744" s="210"/>
      <c r="V744" s="210"/>
      <c r="W744" s="210"/>
      <c r="X744" s="210"/>
      <c r="Y744" s="210"/>
      <c r="Z744" s="210"/>
    </row>
    <row r="745" ht="21.75" customHeight="1">
      <c r="A745" s="214"/>
      <c r="B745" s="221"/>
      <c r="C745" s="222">
        <v>202.0</v>
      </c>
      <c r="D745" s="223" t="s">
        <v>566</v>
      </c>
      <c r="E745" s="223" t="s">
        <v>504</v>
      </c>
      <c r="F745" s="223" t="s">
        <v>599</v>
      </c>
      <c r="G745" s="218" t="s">
        <v>490</v>
      </c>
      <c r="H745" s="225" t="s">
        <v>1218</v>
      </c>
      <c r="I745" s="208"/>
      <c r="J745" s="210"/>
      <c r="K745" s="210"/>
      <c r="L745" s="210"/>
      <c r="M745" s="210"/>
      <c r="N745" s="210"/>
      <c r="O745" s="210"/>
      <c r="P745" s="210"/>
      <c r="Q745" s="210"/>
      <c r="R745" s="210"/>
      <c r="S745" s="210"/>
      <c r="T745" s="210"/>
      <c r="U745" s="210"/>
      <c r="V745" s="210"/>
      <c r="W745" s="210"/>
      <c r="X745" s="210"/>
      <c r="Y745" s="210"/>
      <c r="Z745" s="210"/>
    </row>
    <row r="746" ht="21.75" customHeight="1">
      <c r="A746" s="214"/>
      <c r="B746" s="221"/>
      <c r="C746" s="222">
        <v>203.0</v>
      </c>
      <c r="D746" s="223" t="s">
        <v>569</v>
      </c>
      <c r="E746" s="223" t="s">
        <v>504</v>
      </c>
      <c r="F746" s="223" t="s">
        <v>505</v>
      </c>
      <c r="G746" s="218" t="s">
        <v>490</v>
      </c>
      <c r="H746" s="225" t="s">
        <v>1219</v>
      </c>
      <c r="I746" s="208"/>
      <c r="J746" s="210"/>
      <c r="K746" s="210"/>
      <c r="L746" s="210"/>
      <c r="M746" s="210"/>
      <c r="N746" s="210"/>
      <c r="O746" s="210"/>
      <c r="P746" s="210"/>
      <c r="Q746" s="210"/>
      <c r="R746" s="210"/>
      <c r="S746" s="210"/>
      <c r="T746" s="210"/>
      <c r="U746" s="210"/>
      <c r="V746" s="210"/>
      <c r="W746" s="210"/>
      <c r="X746" s="210"/>
      <c r="Y746" s="210"/>
      <c r="Z746" s="210"/>
    </row>
    <row r="747" ht="21.75" customHeight="1">
      <c r="A747" s="214"/>
      <c r="B747" s="221"/>
      <c r="C747" s="222">
        <v>204.0</v>
      </c>
      <c r="D747" s="223" t="s">
        <v>503</v>
      </c>
      <c r="E747" s="223" t="s">
        <v>487</v>
      </c>
      <c r="F747" s="223" t="s">
        <v>496</v>
      </c>
      <c r="G747" s="223" t="s">
        <v>594</v>
      </c>
      <c r="H747" s="225" t="s">
        <v>1220</v>
      </c>
      <c r="I747" s="208"/>
      <c r="J747" s="210"/>
      <c r="K747" s="210"/>
      <c r="L747" s="210"/>
      <c r="M747" s="210"/>
      <c r="N747" s="210"/>
      <c r="O747" s="210"/>
      <c r="P747" s="210"/>
      <c r="Q747" s="210"/>
      <c r="R747" s="210"/>
      <c r="S747" s="210"/>
      <c r="T747" s="210"/>
      <c r="U747" s="210"/>
      <c r="V747" s="210"/>
      <c r="W747" s="210"/>
      <c r="X747" s="210"/>
      <c r="Y747" s="210"/>
      <c r="Z747" s="210"/>
    </row>
    <row r="748" ht="21.75" customHeight="1">
      <c r="A748" s="214"/>
      <c r="B748" s="221"/>
      <c r="C748" s="222">
        <v>300.0</v>
      </c>
      <c r="D748" s="223" t="s">
        <v>573</v>
      </c>
      <c r="E748" s="223" t="s">
        <v>504</v>
      </c>
      <c r="F748" s="223" t="s">
        <v>564</v>
      </c>
      <c r="G748" s="218" t="s">
        <v>490</v>
      </c>
      <c r="H748" s="225" t="s">
        <v>1221</v>
      </c>
      <c r="I748" s="208"/>
      <c r="J748" s="210"/>
      <c r="K748" s="210"/>
      <c r="L748" s="210"/>
      <c r="M748" s="210"/>
      <c r="N748" s="210"/>
      <c r="O748" s="210"/>
      <c r="P748" s="210"/>
      <c r="Q748" s="210"/>
      <c r="R748" s="210"/>
      <c r="S748" s="210"/>
      <c r="T748" s="210"/>
      <c r="U748" s="210"/>
      <c r="V748" s="210"/>
      <c r="W748" s="210"/>
      <c r="X748" s="210"/>
      <c r="Y748" s="210"/>
      <c r="Z748" s="210"/>
    </row>
    <row r="749" ht="21.75" customHeight="1">
      <c r="A749" s="214"/>
      <c r="B749" s="221"/>
      <c r="C749" s="222">
        <v>301.0</v>
      </c>
      <c r="D749" s="223" t="s">
        <v>1165</v>
      </c>
      <c r="E749" s="223" t="s">
        <v>504</v>
      </c>
      <c r="F749" s="223" t="s">
        <v>570</v>
      </c>
      <c r="G749" s="218" t="s">
        <v>490</v>
      </c>
      <c r="H749" s="225" t="s">
        <v>1222</v>
      </c>
      <c r="I749" s="208"/>
      <c r="J749" s="210"/>
      <c r="K749" s="210"/>
      <c r="L749" s="210"/>
      <c r="M749" s="210"/>
      <c r="N749" s="210"/>
      <c r="O749" s="210"/>
      <c r="P749" s="210"/>
      <c r="Q749" s="210"/>
      <c r="R749" s="210"/>
      <c r="S749" s="210"/>
      <c r="T749" s="210"/>
      <c r="U749" s="210"/>
      <c r="V749" s="210"/>
      <c r="W749" s="210"/>
      <c r="X749" s="210"/>
      <c r="Y749" s="210"/>
      <c r="Z749" s="210"/>
    </row>
    <row r="750" ht="21.75" customHeight="1">
      <c r="A750" s="214"/>
      <c r="B750" s="221"/>
      <c r="C750" s="222">
        <v>302.0</v>
      </c>
      <c r="D750" s="223" t="s">
        <v>578</v>
      </c>
      <c r="E750" s="223" t="s">
        <v>487</v>
      </c>
      <c r="F750" s="223" t="s">
        <v>532</v>
      </c>
      <c r="G750" s="223" t="s">
        <v>580</v>
      </c>
      <c r="H750" s="224" t="s">
        <v>490</v>
      </c>
      <c r="I750" s="208"/>
      <c r="J750" s="210"/>
      <c r="K750" s="210"/>
      <c r="L750" s="210"/>
      <c r="M750" s="210"/>
      <c r="N750" s="210"/>
      <c r="O750" s="210"/>
      <c r="P750" s="210"/>
      <c r="Q750" s="210"/>
      <c r="R750" s="210"/>
      <c r="S750" s="210"/>
      <c r="T750" s="210"/>
      <c r="U750" s="210"/>
      <c r="V750" s="210"/>
      <c r="W750" s="210"/>
      <c r="X750" s="210"/>
      <c r="Y750" s="210"/>
      <c r="Z750" s="210"/>
    </row>
    <row r="751" ht="21.75" customHeight="1">
      <c r="A751" s="214"/>
      <c r="B751" s="221"/>
      <c r="C751" s="222">
        <v>303.0</v>
      </c>
      <c r="D751" s="223" t="s">
        <v>581</v>
      </c>
      <c r="E751" s="223" t="s">
        <v>504</v>
      </c>
      <c r="F751" s="223" t="s">
        <v>588</v>
      </c>
      <c r="G751" s="218" t="s">
        <v>490</v>
      </c>
      <c r="H751" s="225" t="s">
        <v>1223</v>
      </c>
      <c r="I751" s="208"/>
      <c r="J751" s="210"/>
      <c r="K751" s="210"/>
      <c r="L751" s="210"/>
      <c r="M751" s="210"/>
      <c r="N751" s="210"/>
      <c r="O751" s="210"/>
      <c r="P751" s="210"/>
      <c r="Q751" s="210"/>
      <c r="R751" s="210"/>
      <c r="S751" s="210"/>
      <c r="T751" s="210"/>
      <c r="U751" s="210"/>
      <c r="V751" s="210"/>
      <c r="W751" s="210"/>
      <c r="X751" s="210"/>
      <c r="Y751" s="210"/>
      <c r="Z751" s="210"/>
    </row>
    <row r="752" ht="21.75" customHeight="1">
      <c r="A752" s="214"/>
      <c r="B752" s="221"/>
      <c r="C752" s="222">
        <v>304.0</v>
      </c>
      <c r="D752" s="223" t="s">
        <v>573</v>
      </c>
      <c r="E752" s="223" t="s">
        <v>487</v>
      </c>
      <c r="F752" s="223" t="s">
        <v>512</v>
      </c>
      <c r="G752" s="223" t="s">
        <v>561</v>
      </c>
      <c r="H752" s="225" t="s">
        <v>1224</v>
      </c>
      <c r="I752" s="208"/>
      <c r="J752" s="210"/>
      <c r="K752" s="210"/>
      <c r="L752" s="210"/>
      <c r="M752" s="210"/>
      <c r="N752" s="210"/>
      <c r="O752" s="210"/>
      <c r="P752" s="210"/>
      <c r="Q752" s="210"/>
      <c r="R752" s="210"/>
      <c r="S752" s="210"/>
      <c r="T752" s="210"/>
      <c r="U752" s="210"/>
      <c r="V752" s="210"/>
      <c r="W752" s="210"/>
      <c r="X752" s="210"/>
      <c r="Y752" s="210"/>
      <c r="Z752" s="210"/>
    </row>
    <row r="753" ht="21.75" customHeight="1">
      <c r="A753" s="214"/>
      <c r="B753" s="221"/>
      <c r="C753" s="222">
        <v>305.0</v>
      </c>
      <c r="D753" s="223" t="s">
        <v>581</v>
      </c>
      <c r="E753" s="223" t="s">
        <v>487</v>
      </c>
      <c r="F753" s="223" t="s">
        <v>500</v>
      </c>
      <c r="G753" s="218" t="s">
        <v>490</v>
      </c>
      <c r="H753" s="224" t="s">
        <v>490</v>
      </c>
      <c r="I753" s="208"/>
      <c r="J753" s="210"/>
      <c r="K753" s="210"/>
      <c r="L753" s="210"/>
      <c r="M753" s="210"/>
      <c r="N753" s="210"/>
      <c r="O753" s="210"/>
      <c r="P753" s="210"/>
      <c r="Q753" s="210"/>
      <c r="R753" s="210"/>
      <c r="S753" s="210"/>
      <c r="T753" s="210"/>
      <c r="U753" s="210"/>
      <c r="V753" s="210"/>
      <c r="W753" s="210"/>
      <c r="X753" s="210"/>
      <c r="Y753" s="210"/>
      <c r="Z753" s="210"/>
    </row>
    <row r="754" ht="21.75" customHeight="1">
      <c r="A754" s="214"/>
      <c r="B754" s="221"/>
      <c r="C754" s="222">
        <v>307.0</v>
      </c>
      <c r="D754" s="223" t="s">
        <v>1165</v>
      </c>
      <c r="E754" s="223" t="s">
        <v>487</v>
      </c>
      <c r="F754" s="223" t="s">
        <v>583</v>
      </c>
      <c r="G754" s="218" t="s">
        <v>490</v>
      </c>
      <c r="H754" s="224" t="s">
        <v>490</v>
      </c>
      <c r="I754" s="208"/>
      <c r="J754" s="210"/>
      <c r="K754" s="210"/>
      <c r="L754" s="210"/>
      <c r="M754" s="210"/>
      <c r="N754" s="210"/>
      <c r="O754" s="210"/>
      <c r="P754" s="210"/>
      <c r="Q754" s="210"/>
      <c r="R754" s="210"/>
      <c r="S754" s="210"/>
      <c r="T754" s="210"/>
      <c r="U754" s="210"/>
      <c r="V754" s="210"/>
      <c r="W754" s="210"/>
      <c r="X754" s="210"/>
      <c r="Y754" s="210"/>
      <c r="Z754" s="210"/>
    </row>
    <row r="755" ht="21.75" customHeight="1">
      <c r="A755" s="214"/>
      <c r="B755" s="221"/>
      <c r="C755" s="222">
        <v>400.0</v>
      </c>
      <c r="D755" s="223" t="s">
        <v>585</v>
      </c>
      <c r="E755" s="223" t="s">
        <v>504</v>
      </c>
      <c r="F755" s="223" t="s">
        <v>567</v>
      </c>
      <c r="G755" s="218" t="s">
        <v>490</v>
      </c>
      <c r="H755" s="225" t="s">
        <v>1225</v>
      </c>
      <c r="I755" s="208"/>
      <c r="J755" s="210"/>
      <c r="K755" s="210"/>
      <c r="L755" s="210"/>
      <c r="M755" s="210"/>
      <c r="N755" s="210"/>
      <c r="O755" s="210"/>
      <c r="P755" s="210"/>
      <c r="Q755" s="210"/>
      <c r="R755" s="210"/>
      <c r="S755" s="210"/>
      <c r="T755" s="210"/>
      <c r="U755" s="210"/>
      <c r="V755" s="210"/>
      <c r="W755" s="210"/>
      <c r="X755" s="210"/>
      <c r="Y755" s="210"/>
      <c r="Z755" s="210"/>
    </row>
    <row r="756" ht="21.75" customHeight="1">
      <c r="A756" s="214"/>
      <c r="B756" s="221"/>
      <c r="C756" s="222">
        <v>401.0</v>
      </c>
      <c r="D756" s="223" t="s">
        <v>1165</v>
      </c>
      <c r="E756" s="223" t="s">
        <v>504</v>
      </c>
      <c r="F756" s="223" t="s">
        <v>586</v>
      </c>
      <c r="G756" s="218" t="s">
        <v>490</v>
      </c>
      <c r="H756" s="225" t="s">
        <v>1226</v>
      </c>
      <c r="I756" s="208"/>
      <c r="J756" s="210"/>
      <c r="K756" s="210"/>
      <c r="L756" s="210"/>
      <c r="M756" s="210"/>
      <c r="N756" s="210"/>
      <c r="O756" s="210"/>
      <c r="P756" s="210"/>
      <c r="Q756" s="210"/>
      <c r="R756" s="210"/>
      <c r="S756" s="210"/>
      <c r="T756" s="210"/>
      <c r="U756" s="210"/>
      <c r="V756" s="210"/>
      <c r="W756" s="210"/>
      <c r="X756" s="210"/>
      <c r="Y756" s="210"/>
      <c r="Z756" s="210"/>
    </row>
    <row r="757" ht="21.75" customHeight="1">
      <c r="A757" s="214"/>
      <c r="B757" s="221"/>
      <c r="C757" s="222">
        <v>402.0</v>
      </c>
      <c r="D757" s="223" t="s">
        <v>578</v>
      </c>
      <c r="E757" s="223" t="s">
        <v>487</v>
      </c>
      <c r="F757" s="223" t="s">
        <v>603</v>
      </c>
      <c r="G757" s="223" t="s">
        <v>602</v>
      </c>
      <c r="H757" s="224" t="s">
        <v>490</v>
      </c>
      <c r="I757" s="208"/>
      <c r="J757" s="210"/>
      <c r="K757" s="210"/>
      <c r="L757" s="210"/>
      <c r="M757" s="210"/>
      <c r="N757" s="210"/>
      <c r="O757" s="210"/>
      <c r="P757" s="210"/>
      <c r="Q757" s="210"/>
      <c r="R757" s="210"/>
      <c r="S757" s="210"/>
      <c r="T757" s="210"/>
      <c r="U757" s="210"/>
      <c r="V757" s="210"/>
      <c r="W757" s="210"/>
      <c r="X757" s="210"/>
      <c r="Y757" s="210"/>
      <c r="Z757" s="210"/>
    </row>
    <row r="758" ht="21.75" customHeight="1">
      <c r="A758" s="214"/>
      <c r="B758" s="221"/>
      <c r="C758" s="222">
        <v>403.0</v>
      </c>
      <c r="D758" s="223" t="s">
        <v>581</v>
      </c>
      <c r="E758" s="223" t="s">
        <v>504</v>
      </c>
      <c r="F758" s="223" t="s">
        <v>574</v>
      </c>
      <c r="G758" s="218" t="s">
        <v>490</v>
      </c>
      <c r="H758" s="225" t="s">
        <v>1227</v>
      </c>
      <c r="I758" s="208"/>
      <c r="J758" s="210"/>
      <c r="K758" s="210"/>
      <c r="L758" s="210"/>
      <c r="M758" s="210"/>
      <c r="N758" s="210"/>
      <c r="O758" s="210"/>
      <c r="P758" s="210"/>
      <c r="Q758" s="210"/>
      <c r="R758" s="210"/>
      <c r="S758" s="210"/>
      <c r="T758" s="210"/>
      <c r="U758" s="210"/>
      <c r="V758" s="210"/>
      <c r="W758" s="210"/>
      <c r="X758" s="210"/>
      <c r="Y758" s="210"/>
      <c r="Z758" s="210"/>
    </row>
    <row r="759" ht="21.75" customHeight="1">
      <c r="A759" s="214"/>
      <c r="B759" s="221"/>
      <c r="C759" s="222">
        <v>404.0</v>
      </c>
      <c r="D759" s="223" t="s">
        <v>585</v>
      </c>
      <c r="E759" s="223" t="s">
        <v>487</v>
      </c>
      <c r="F759" s="223" t="s">
        <v>590</v>
      </c>
      <c r="G759" s="223" t="s">
        <v>591</v>
      </c>
      <c r="H759" s="225" t="s">
        <v>1228</v>
      </c>
      <c r="I759" s="208"/>
      <c r="J759" s="210"/>
      <c r="K759" s="210"/>
      <c r="L759" s="210"/>
      <c r="M759" s="210"/>
      <c r="N759" s="210"/>
      <c r="O759" s="210"/>
      <c r="P759" s="210"/>
      <c r="Q759" s="210"/>
      <c r="R759" s="210"/>
      <c r="S759" s="210"/>
      <c r="T759" s="210"/>
      <c r="U759" s="210"/>
      <c r="V759" s="210"/>
      <c r="W759" s="210"/>
      <c r="X759" s="210"/>
      <c r="Y759" s="210"/>
      <c r="Z759" s="210"/>
    </row>
    <row r="760" ht="21.75" customHeight="1">
      <c r="A760" s="214"/>
      <c r="B760" s="221"/>
      <c r="C760" s="222">
        <v>405.0</v>
      </c>
      <c r="D760" s="223" t="s">
        <v>581</v>
      </c>
      <c r="E760" s="223" t="s">
        <v>487</v>
      </c>
      <c r="F760" s="223" t="s">
        <v>560</v>
      </c>
      <c r="G760" s="218" t="s">
        <v>490</v>
      </c>
      <c r="H760" s="224" t="s">
        <v>490</v>
      </c>
      <c r="I760" s="208"/>
      <c r="J760" s="210"/>
      <c r="K760" s="210"/>
      <c r="L760" s="210"/>
      <c r="M760" s="210"/>
      <c r="N760" s="210"/>
      <c r="O760" s="210"/>
      <c r="P760" s="210"/>
      <c r="Q760" s="210"/>
      <c r="R760" s="210"/>
      <c r="S760" s="210"/>
      <c r="T760" s="210"/>
      <c r="U760" s="210"/>
      <c r="V760" s="210"/>
      <c r="W760" s="210"/>
      <c r="X760" s="210"/>
      <c r="Y760" s="210"/>
      <c r="Z760" s="210"/>
    </row>
    <row r="761" ht="21.75" customHeight="1">
      <c r="A761" s="214"/>
      <c r="B761" s="221"/>
      <c r="C761" s="222">
        <v>407.0</v>
      </c>
      <c r="D761" s="223" t="s">
        <v>1165</v>
      </c>
      <c r="E761" s="223" t="s">
        <v>487</v>
      </c>
      <c r="F761" s="223" t="s">
        <v>613</v>
      </c>
      <c r="G761" s="218" t="s">
        <v>490</v>
      </c>
      <c r="H761" s="224" t="s">
        <v>490</v>
      </c>
      <c r="I761" s="208"/>
      <c r="J761" s="210"/>
      <c r="K761" s="210"/>
      <c r="L761" s="210"/>
      <c r="M761" s="210"/>
      <c r="N761" s="210"/>
      <c r="O761" s="210"/>
      <c r="P761" s="210"/>
      <c r="Q761" s="210"/>
      <c r="R761" s="210"/>
      <c r="S761" s="210"/>
      <c r="T761" s="210"/>
      <c r="U761" s="210"/>
      <c r="V761" s="210"/>
      <c r="W761" s="210"/>
      <c r="X761" s="210"/>
      <c r="Y761" s="210"/>
      <c r="Z761" s="210"/>
    </row>
    <row r="762" ht="21.75" customHeight="1">
      <c r="A762" s="214"/>
      <c r="B762" s="221"/>
      <c r="C762" s="222">
        <v>500.0</v>
      </c>
      <c r="D762" s="223" t="s">
        <v>499</v>
      </c>
      <c r="E762" s="223" t="s">
        <v>487</v>
      </c>
      <c r="F762" s="223" t="s">
        <v>579</v>
      </c>
      <c r="G762" s="223" t="s">
        <v>493</v>
      </c>
      <c r="H762" s="225" t="s">
        <v>1229</v>
      </c>
      <c r="I762" s="208"/>
      <c r="J762" s="210"/>
      <c r="K762" s="210"/>
      <c r="L762" s="210"/>
      <c r="M762" s="210"/>
      <c r="N762" s="210"/>
      <c r="O762" s="210"/>
      <c r="P762" s="210"/>
      <c r="Q762" s="210"/>
      <c r="R762" s="210"/>
      <c r="S762" s="210"/>
      <c r="T762" s="210"/>
      <c r="U762" s="210"/>
      <c r="V762" s="210"/>
      <c r="W762" s="210"/>
      <c r="X762" s="210"/>
      <c r="Y762" s="210"/>
      <c r="Z762" s="210"/>
    </row>
    <row r="763" ht="21.75" customHeight="1">
      <c r="A763" s="214"/>
      <c r="B763" s="217"/>
      <c r="C763" s="222">
        <v>501.0</v>
      </c>
      <c r="D763" s="215" t="s">
        <v>507</v>
      </c>
      <c r="E763" s="215" t="s">
        <v>508</v>
      </c>
      <c r="F763" s="215" t="s">
        <v>509</v>
      </c>
      <c r="G763" s="215" t="s">
        <v>510</v>
      </c>
      <c r="H763" s="225" t="s">
        <v>1230</v>
      </c>
      <c r="I763" s="208"/>
      <c r="J763" s="210"/>
      <c r="K763" s="210"/>
      <c r="L763" s="210"/>
      <c r="M763" s="210"/>
      <c r="N763" s="210"/>
      <c r="O763" s="210"/>
      <c r="P763" s="210"/>
      <c r="Q763" s="210"/>
      <c r="R763" s="210"/>
      <c r="S763" s="210"/>
      <c r="T763" s="210"/>
      <c r="U763" s="210"/>
      <c r="V763" s="210"/>
      <c r="W763" s="210"/>
      <c r="X763" s="210"/>
      <c r="Y763" s="210"/>
      <c r="Z763" s="210"/>
    </row>
    <row r="764" ht="21.75" customHeight="1">
      <c r="A764" s="214"/>
      <c r="B764" s="218" t="s">
        <v>1231</v>
      </c>
      <c r="C764" s="226">
        <v>50473.0</v>
      </c>
      <c r="D764" s="220"/>
      <c r="E764" s="220"/>
      <c r="F764" s="220"/>
      <c r="G764" s="220"/>
      <c r="H764" s="221"/>
      <c r="I764" s="208"/>
      <c r="J764" s="210"/>
      <c r="K764" s="210"/>
      <c r="L764" s="210"/>
      <c r="M764" s="210"/>
      <c r="N764" s="210"/>
      <c r="O764" s="210"/>
      <c r="P764" s="210"/>
      <c r="Q764" s="210"/>
      <c r="R764" s="210"/>
      <c r="S764" s="210"/>
      <c r="T764" s="210"/>
      <c r="U764" s="210"/>
      <c r="V764" s="210"/>
      <c r="W764" s="210"/>
      <c r="X764" s="210"/>
      <c r="Y764" s="210"/>
      <c r="Z764" s="210"/>
    </row>
    <row r="765" ht="21.75" customHeight="1">
      <c r="A765" s="214"/>
      <c r="B765" s="221"/>
      <c r="C765" s="222">
        <v>100.0</v>
      </c>
      <c r="D765" s="223" t="s">
        <v>486</v>
      </c>
      <c r="E765" s="223" t="s">
        <v>487</v>
      </c>
      <c r="F765" s="223" t="s">
        <v>488</v>
      </c>
      <c r="G765" s="223" t="s">
        <v>489</v>
      </c>
      <c r="H765" s="224" t="s">
        <v>490</v>
      </c>
      <c r="I765" s="208"/>
      <c r="J765" s="210"/>
      <c r="K765" s="210"/>
      <c r="L765" s="210"/>
      <c r="M765" s="210"/>
      <c r="N765" s="210"/>
      <c r="O765" s="210"/>
      <c r="P765" s="210"/>
      <c r="Q765" s="210"/>
      <c r="R765" s="210"/>
      <c r="S765" s="210"/>
      <c r="T765" s="210"/>
      <c r="U765" s="210"/>
      <c r="V765" s="210"/>
      <c r="W765" s="210"/>
      <c r="X765" s="210"/>
      <c r="Y765" s="210"/>
      <c r="Z765" s="210"/>
    </row>
    <row r="766" ht="21.75" customHeight="1">
      <c r="A766" s="214"/>
      <c r="B766" s="221"/>
      <c r="C766" s="222">
        <v>101.0</v>
      </c>
      <c r="D766" s="223" t="s">
        <v>503</v>
      </c>
      <c r="E766" s="223" t="s">
        <v>487</v>
      </c>
      <c r="F766" s="223" t="s">
        <v>492</v>
      </c>
      <c r="G766" s="223" t="s">
        <v>594</v>
      </c>
      <c r="H766" s="225" t="s">
        <v>1232</v>
      </c>
      <c r="I766" s="208"/>
      <c r="J766" s="210"/>
      <c r="K766" s="210"/>
      <c r="L766" s="210"/>
      <c r="M766" s="210"/>
      <c r="N766" s="210"/>
      <c r="O766" s="210"/>
      <c r="P766" s="210"/>
      <c r="Q766" s="210"/>
      <c r="R766" s="210"/>
      <c r="S766" s="210"/>
      <c r="T766" s="210"/>
      <c r="U766" s="210"/>
      <c r="V766" s="210"/>
      <c r="W766" s="210"/>
      <c r="X766" s="210"/>
      <c r="Y766" s="210"/>
      <c r="Z766" s="210"/>
    </row>
    <row r="767" ht="21.75" customHeight="1">
      <c r="A767" s="214"/>
      <c r="B767" s="221"/>
      <c r="C767" s="222">
        <v>200.0</v>
      </c>
      <c r="D767" s="223" t="s">
        <v>566</v>
      </c>
      <c r="E767" s="223" t="s">
        <v>504</v>
      </c>
      <c r="F767" s="223" t="s">
        <v>505</v>
      </c>
      <c r="G767" s="218" t="s">
        <v>490</v>
      </c>
      <c r="H767" s="225" t="s">
        <v>1233</v>
      </c>
      <c r="I767" s="208"/>
      <c r="J767" s="210"/>
      <c r="K767" s="210"/>
      <c r="L767" s="210"/>
      <c r="M767" s="210"/>
      <c r="N767" s="210"/>
      <c r="O767" s="210"/>
      <c r="P767" s="210"/>
      <c r="Q767" s="210"/>
      <c r="R767" s="210"/>
      <c r="S767" s="210"/>
      <c r="T767" s="210"/>
      <c r="U767" s="210"/>
      <c r="V767" s="210"/>
      <c r="W767" s="210"/>
      <c r="X767" s="210"/>
      <c r="Y767" s="210"/>
      <c r="Z767" s="210"/>
    </row>
    <row r="768" ht="21.75" customHeight="1">
      <c r="A768" s="214"/>
      <c r="B768" s="221"/>
      <c r="C768" s="222">
        <v>201.0</v>
      </c>
      <c r="D768" s="223" t="s">
        <v>569</v>
      </c>
      <c r="E768" s="223" t="s">
        <v>504</v>
      </c>
      <c r="F768" s="223" t="s">
        <v>574</v>
      </c>
      <c r="G768" s="218" t="s">
        <v>490</v>
      </c>
      <c r="H768" s="225" t="s">
        <v>1234</v>
      </c>
      <c r="I768" s="208"/>
      <c r="J768" s="210"/>
      <c r="K768" s="210"/>
      <c r="L768" s="210"/>
      <c r="M768" s="210"/>
      <c r="N768" s="210"/>
      <c r="O768" s="210"/>
      <c r="P768" s="210"/>
      <c r="Q768" s="210"/>
      <c r="R768" s="210"/>
      <c r="S768" s="210"/>
      <c r="T768" s="210"/>
      <c r="U768" s="210"/>
      <c r="V768" s="210"/>
      <c r="W768" s="210"/>
      <c r="X768" s="210"/>
      <c r="Y768" s="210"/>
      <c r="Z768" s="210"/>
    </row>
    <row r="769" ht="21.75" customHeight="1">
      <c r="A769" s="214"/>
      <c r="B769" s="221"/>
      <c r="C769" s="222">
        <v>202.0</v>
      </c>
      <c r="D769" s="223" t="s">
        <v>669</v>
      </c>
      <c r="E769" s="223" t="s">
        <v>487</v>
      </c>
      <c r="F769" s="223" t="s">
        <v>496</v>
      </c>
      <c r="G769" s="223" t="s">
        <v>497</v>
      </c>
      <c r="H769" s="225" t="s">
        <v>1235</v>
      </c>
      <c r="I769" s="208"/>
      <c r="J769" s="210"/>
      <c r="K769" s="210"/>
      <c r="L769" s="210"/>
      <c r="M769" s="210"/>
      <c r="N769" s="210"/>
      <c r="O769" s="210"/>
      <c r="P769" s="210"/>
      <c r="Q769" s="210"/>
      <c r="R769" s="210"/>
      <c r="S769" s="210"/>
      <c r="T769" s="210"/>
      <c r="U769" s="210"/>
      <c r="V769" s="210"/>
      <c r="W769" s="210"/>
      <c r="X769" s="210"/>
      <c r="Y769" s="210"/>
      <c r="Z769" s="210"/>
    </row>
    <row r="770" ht="21.75" customHeight="1">
      <c r="A770" s="214"/>
      <c r="B770" s="221"/>
      <c r="C770" s="222">
        <v>203.0</v>
      </c>
      <c r="D770" s="223" t="s">
        <v>663</v>
      </c>
      <c r="E770" s="223" t="s">
        <v>504</v>
      </c>
      <c r="F770" s="223" t="s">
        <v>588</v>
      </c>
      <c r="G770" s="218" t="s">
        <v>490</v>
      </c>
      <c r="H770" s="225" t="s">
        <v>1236</v>
      </c>
      <c r="I770" s="208"/>
      <c r="J770" s="210"/>
      <c r="K770" s="210"/>
      <c r="L770" s="210"/>
      <c r="M770" s="210"/>
      <c r="N770" s="210"/>
      <c r="O770" s="210"/>
      <c r="P770" s="210"/>
      <c r="Q770" s="210"/>
      <c r="R770" s="210"/>
      <c r="S770" s="210"/>
      <c r="T770" s="210"/>
      <c r="U770" s="210"/>
      <c r="V770" s="210"/>
      <c r="W770" s="210"/>
      <c r="X770" s="210"/>
      <c r="Y770" s="210"/>
      <c r="Z770" s="210"/>
    </row>
    <row r="771" ht="21.75" customHeight="1">
      <c r="A771" s="214"/>
      <c r="B771" s="221"/>
      <c r="C771" s="222">
        <v>204.0</v>
      </c>
      <c r="D771" s="223" t="s">
        <v>665</v>
      </c>
      <c r="E771" s="223" t="s">
        <v>487</v>
      </c>
      <c r="F771" s="223" t="s">
        <v>512</v>
      </c>
      <c r="G771" s="223" t="s">
        <v>501</v>
      </c>
      <c r="H771" s="225" t="s">
        <v>1237</v>
      </c>
      <c r="I771" s="208"/>
      <c r="J771" s="210"/>
      <c r="K771" s="210"/>
      <c r="L771" s="210"/>
      <c r="M771" s="210"/>
      <c r="N771" s="210"/>
      <c r="O771" s="210"/>
      <c r="P771" s="210"/>
      <c r="Q771" s="210"/>
      <c r="R771" s="210"/>
      <c r="S771" s="210"/>
      <c r="T771" s="210"/>
      <c r="U771" s="210"/>
      <c r="V771" s="210"/>
      <c r="W771" s="210"/>
      <c r="X771" s="210"/>
      <c r="Y771" s="210"/>
      <c r="Z771" s="210"/>
    </row>
    <row r="772" ht="21.75" customHeight="1">
      <c r="A772" s="214"/>
      <c r="B772" s="221"/>
      <c r="C772" s="222">
        <v>205.0</v>
      </c>
      <c r="D772" s="223" t="s">
        <v>667</v>
      </c>
      <c r="E772" s="223" t="s">
        <v>487</v>
      </c>
      <c r="F772" s="223" t="s">
        <v>532</v>
      </c>
      <c r="G772" s="223" t="s">
        <v>493</v>
      </c>
      <c r="H772" s="225" t="s">
        <v>1237</v>
      </c>
      <c r="I772" s="208"/>
      <c r="J772" s="210"/>
      <c r="K772" s="210"/>
      <c r="L772" s="210"/>
      <c r="M772" s="210"/>
      <c r="N772" s="210"/>
      <c r="O772" s="210"/>
      <c r="P772" s="210"/>
      <c r="Q772" s="210"/>
      <c r="R772" s="210"/>
      <c r="S772" s="210"/>
      <c r="T772" s="210"/>
      <c r="U772" s="210"/>
      <c r="V772" s="210"/>
      <c r="W772" s="210"/>
      <c r="X772" s="210"/>
      <c r="Y772" s="210"/>
      <c r="Z772" s="210"/>
    </row>
    <row r="773" ht="21.75" customHeight="1">
      <c r="A773" s="214"/>
      <c r="B773" s="221"/>
      <c r="C773" s="222">
        <v>206.0</v>
      </c>
      <c r="D773" s="223" t="s">
        <v>1238</v>
      </c>
      <c r="E773" s="223" t="s">
        <v>504</v>
      </c>
      <c r="F773" s="223" t="s">
        <v>599</v>
      </c>
      <c r="G773" s="218" t="s">
        <v>490</v>
      </c>
      <c r="H773" s="225" t="s">
        <v>1239</v>
      </c>
      <c r="I773" s="208"/>
      <c r="J773" s="210"/>
      <c r="K773" s="210"/>
      <c r="L773" s="210"/>
      <c r="M773" s="210"/>
      <c r="N773" s="210"/>
      <c r="O773" s="210"/>
      <c r="P773" s="210"/>
      <c r="Q773" s="210"/>
      <c r="R773" s="210"/>
      <c r="S773" s="210"/>
      <c r="T773" s="210"/>
      <c r="U773" s="210"/>
      <c r="V773" s="210"/>
      <c r="W773" s="210"/>
      <c r="X773" s="210"/>
      <c r="Y773" s="210"/>
      <c r="Z773" s="210"/>
    </row>
    <row r="774" ht="21.75" customHeight="1">
      <c r="A774" s="214"/>
      <c r="B774" s="221"/>
      <c r="C774" s="222">
        <v>207.0</v>
      </c>
      <c r="D774" s="223" t="s">
        <v>1240</v>
      </c>
      <c r="E774" s="223" t="s">
        <v>504</v>
      </c>
      <c r="F774" s="223" t="s">
        <v>564</v>
      </c>
      <c r="G774" s="218" t="s">
        <v>490</v>
      </c>
      <c r="H774" s="225" t="s">
        <v>1241</v>
      </c>
      <c r="I774" s="208"/>
      <c r="J774" s="210"/>
      <c r="K774" s="210"/>
      <c r="L774" s="210"/>
      <c r="M774" s="210"/>
      <c r="N774" s="210"/>
      <c r="O774" s="210"/>
      <c r="P774" s="210"/>
      <c r="Q774" s="210"/>
      <c r="R774" s="210"/>
      <c r="S774" s="210"/>
      <c r="T774" s="210"/>
      <c r="U774" s="210"/>
      <c r="V774" s="210"/>
      <c r="W774" s="210"/>
      <c r="X774" s="210"/>
      <c r="Y774" s="210"/>
      <c r="Z774" s="210"/>
    </row>
    <row r="775" ht="21.75" customHeight="1">
      <c r="A775" s="214"/>
      <c r="B775" s="221"/>
      <c r="C775" s="222">
        <v>208.0</v>
      </c>
      <c r="D775" s="223" t="s">
        <v>1242</v>
      </c>
      <c r="E775" s="223" t="s">
        <v>504</v>
      </c>
      <c r="F775" s="223" t="s">
        <v>567</v>
      </c>
      <c r="G775" s="218" t="s">
        <v>490</v>
      </c>
      <c r="H775" s="225" t="s">
        <v>1243</v>
      </c>
      <c r="I775" s="208"/>
      <c r="J775" s="210"/>
      <c r="K775" s="210"/>
      <c r="L775" s="210"/>
      <c r="M775" s="210"/>
      <c r="N775" s="210"/>
      <c r="O775" s="210"/>
      <c r="P775" s="210"/>
      <c r="Q775" s="210"/>
      <c r="R775" s="210"/>
      <c r="S775" s="210"/>
      <c r="T775" s="210"/>
      <c r="U775" s="210"/>
      <c r="V775" s="210"/>
      <c r="W775" s="210"/>
      <c r="X775" s="210"/>
      <c r="Y775" s="210"/>
      <c r="Z775" s="210"/>
    </row>
    <row r="776" ht="21.75" customHeight="1">
      <c r="A776" s="214"/>
      <c r="B776" s="221"/>
      <c r="C776" s="222">
        <v>209.0</v>
      </c>
      <c r="D776" s="223" t="s">
        <v>663</v>
      </c>
      <c r="E776" s="223" t="s">
        <v>487</v>
      </c>
      <c r="F776" s="223" t="s">
        <v>500</v>
      </c>
      <c r="G776" s="223" t="s">
        <v>606</v>
      </c>
      <c r="H776" s="224" t="s">
        <v>490</v>
      </c>
      <c r="I776" s="208"/>
      <c r="J776" s="210"/>
      <c r="K776" s="210"/>
      <c r="L776" s="210"/>
      <c r="M776" s="210"/>
      <c r="N776" s="210"/>
      <c r="O776" s="210"/>
      <c r="P776" s="210"/>
      <c r="Q776" s="210"/>
      <c r="R776" s="210"/>
      <c r="S776" s="210"/>
      <c r="T776" s="210"/>
      <c r="U776" s="210"/>
      <c r="V776" s="210"/>
      <c r="W776" s="210"/>
      <c r="X776" s="210"/>
      <c r="Y776" s="210"/>
      <c r="Z776" s="210"/>
    </row>
    <row r="777" ht="21.75" customHeight="1">
      <c r="A777" s="214"/>
      <c r="B777" s="221"/>
      <c r="C777" s="222">
        <v>300.0</v>
      </c>
      <c r="D777" s="223" t="s">
        <v>1238</v>
      </c>
      <c r="E777" s="223" t="s">
        <v>487</v>
      </c>
      <c r="F777" s="223" t="s">
        <v>1097</v>
      </c>
      <c r="G777" s="223" t="s">
        <v>561</v>
      </c>
      <c r="H777" s="224" t="s">
        <v>490</v>
      </c>
      <c r="I777" s="208"/>
      <c r="J777" s="210"/>
      <c r="K777" s="210"/>
      <c r="L777" s="210"/>
      <c r="M777" s="210"/>
      <c r="N777" s="210"/>
      <c r="O777" s="210"/>
      <c r="P777" s="210"/>
      <c r="Q777" s="210"/>
      <c r="R777" s="210"/>
      <c r="S777" s="210"/>
      <c r="T777" s="210"/>
      <c r="U777" s="210"/>
      <c r="V777" s="210"/>
      <c r="W777" s="210"/>
      <c r="X777" s="210"/>
      <c r="Y777" s="210"/>
      <c r="Z777" s="210"/>
    </row>
    <row r="778" ht="21.75" customHeight="1">
      <c r="A778" s="214"/>
      <c r="B778" s="221"/>
      <c r="C778" s="222">
        <v>301.0</v>
      </c>
      <c r="D778" s="223" t="s">
        <v>1240</v>
      </c>
      <c r="E778" s="223" t="s">
        <v>487</v>
      </c>
      <c r="F778" s="223" t="s">
        <v>1193</v>
      </c>
      <c r="G778" s="223" t="s">
        <v>591</v>
      </c>
      <c r="H778" s="224" t="s">
        <v>490</v>
      </c>
      <c r="I778" s="208"/>
      <c r="J778" s="210"/>
      <c r="K778" s="210"/>
      <c r="L778" s="210"/>
      <c r="M778" s="210"/>
      <c r="N778" s="210"/>
      <c r="O778" s="210"/>
      <c r="P778" s="210"/>
      <c r="Q778" s="210"/>
      <c r="R778" s="210"/>
      <c r="S778" s="210"/>
      <c r="T778" s="210"/>
      <c r="U778" s="210"/>
      <c r="V778" s="210"/>
      <c r="W778" s="210"/>
      <c r="X778" s="210"/>
      <c r="Y778" s="210"/>
      <c r="Z778" s="210"/>
    </row>
    <row r="779" ht="21.75" customHeight="1">
      <c r="A779" s="214"/>
      <c r="B779" s="221"/>
      <c r="C779" s="222">
        <v>302.0</v>
      </c>
      <c r="D779" s="223" t="s">
        <v>1238</v>
      </c>
      <c r="E779" s="223" t="s">
        <v>487</v>
      </c>
      <c r="F779" s="223" t="s">
        <v>603</v>
      </c>
      <c r="G779" s="223" t="s">
        <v>580</v>
      </c>
      <c r="H779" s="224" t="s">
        <v>490</v>
      </c>
      <c r="I779" s="208"/>
      <c r="J779" s="210"/>
      <c r="K779" s="210"/>
      <c r="L779" s="210"/>
      <c r="M779" s="210"/>
      <c r="N779" s="210"/>
      <c r="O779" s="210"/>
      <c r="P779" s="210"/>
      <c r="Q779" s="210"/>
      <c r="R779" s="210"/>
      <c r="S779" s="210"/>
      <c r="T779" s="210"/>
      <c r="U779" s="210"/>
      <c r="V779" s="210"/>
      <c r="W779" s="210"/>
      <c r="X779" s="210"/>
      <c r="Y779" s="210"/>
      <c r="Z779" s="210"/>
    </row>
    <row r="780" ht="21.75" customHeight="1">
      <c r="A780" s="214"/>
      <c r="B780" s="221"/>
      <c r="C780" s="222">
        <v>303.0</v>
      </c>
      <c r="D780" s="223" t="s">
        <v>1240</v>
      </c>
      <c r="E780" s="223" t="s">
        <v>487</v>
      </c>
      <c r="F780" s="223" t="s">
        <v>583</v>
      </c>
      <c r="G780" s="223" t="s">
        <v>602</v>
      </c>
      <c r="H780" s="224" t="s">
        <v>490</v>
      </c>
      <c r="I780" s="208"/>
      <c r="J780" s="210"/>
      <c r="K780" s="210"/>
      <c r="L780" s="210"/>
      <c r="M780" s="210"/>
      <c r="N780" s="210"/>
      <c r="O780" s="210"/>
      <c r="P780" s="210"/>
      <c r="Q780" s="210"/>
      <c r="R780" s="210"/>
      <c r="S780" s="210"/>
      <c r="T780" s="210"/>
      <c r="U780" s="210"/>
      <c r="V780" s="210"/>
      <c r="W780" s="210"/>
      <c r="X780" s="210"/>
      <c r="Y780" s="210"/>
      <c r="Z780" s="210"/>
    </row>
    <row r="781" ht="21.75" customHeight="1">
      <c r="A781" s="214"/>
      <c r="B781" s="221"/>
      <c r="C781" s="222">
        <v>304.0</v>
      </c>
      <c r="D781" s="223" t="s">
        <v>1242</v>
      </c>
      <c r="E781" s="223" t="s">
        <v>487</v>
      </c>
      <c r="F781" s="223" t="s">
        <v>1123</v>
      </c>
      <c r="G781" s="223" t="s">
        <v>608</v>
      </c>
      <c r="H781" s="224" t="s">
        <v>490</v>
      </c>
      <c r="I781" s="208"/>
      <c r="J781" s="210"/>
      <c r="K781" s="210"/>
      <c r="L781" s="210"/>
      <c r="M781" s="210"/>
      <c r="N781" s="210"/>
      <c r="O781" s="210"/>
      <c r="P781" s="210"/>
      <c r="Q781" s="210"/>
      <c r="R781" s="210"/>
      <c r="S781" s="210"/>
      <c r="T781" s="210"/>
      <c r="U781" s="210"/>
      <c r="V781" s="210"/>
      <c r="W781" s="210"/>
      <c r="X781" s="210"/>
      <c r="Y781" s="210"/>
      <c r="Z781" s="210"/>
    </row>
    <row r="782" ht="21.75" customHeight="1">
      <c r="A782" s="214"/>
      <c r="B782" s="221"/>
      <c r="C782" s="222">
        <v>305.0</v>
      </c>
      <c r="D782" s="223" t="s">
        <v>1242</v>
      </c>
      <c r="E782" s="223" t="s">
        <v>487</v>
      </c>
      <c r="F782" s="223" t="s">
        <v>560</v>
      </c>
      <c r="G782" s="223" t="s">
        <v>644</v>
      </c>
      <c r="H782" s="224" t="s">
        <v>490</v>
      </c>
      <c r="I782" s="208"/>
      <c r="J782" s="210"/>
      <c r="K782" s="210"/>
      <c r="L782" s="210"/>
      <c r="M782" s="210"/>
      <c r="N782" s="210"/>
      <c r="O782" s="210"/>
      <c r="P782" s="210"/>
      <c r="Q782" s="210"/>
      <c r="R782" s="210"/>
      <c r="S782" s="210"/>
      <c r="T782" s="210"/>
      <c r="U782" s="210"/>
      <c r="V782" s="210"/>
      <c r="W782" s="210"/>
      <c r="X782" s="210"/>
      <c r="Y782" s="210"/>
      <c r="Z782" s="210"/>
    </row>
    <row r="783" ht="21.75" customHeight="1">
      <c r="A783" s="214"/>
      <c r="B783" s="217"/>
      <c r="C783" s="222">
        <v>400.0</v>
      </c>
      <c r="D783" s="215" t="s">
        <v>507</v>
      </c>
      <c r="E783" s="215" t="s">
        <v>508</v>
      </c>
      <c r="F783" s="215" t="s">
        <v>509</v>
      </c>
      <c r="G783" s="215" t="s">
        <v>510</v>
      </c>
      <c r="H783" s="225" t="s">
        <v>1244</v>
      </c>
      <c r="I783" s="208"/>
      <c r="J783" s="210"/>
      <c r="K783" s="210"/>
      <c r="L783" s="210"/>
      <c r="M783" s="210"/>
      <c r="N783" s="210"/>
      <c r="O783" s="210"/>
      <c r="P783" s="210"/>
      <c r="Q783" s="210"/>
      <c r="R783" s="210"/>
      <c r="S783" s="210"/>
      <c r="T783" s="210"/>
      <c r="U783" s="210"/>
      <c r="V783" s="210"/>
      <c r="W783" s="210"/>
      <c r="X783" s="210"/>
      <c r="Y783" s="210"/>
      <c r="Z783" s="210"/>
    </row>
    <row r="784" ht="21.75" customHeight="1">
      <c r="A784" s="214"/>
      <c r="B784" s="218" t="s">
        <v>1245</v>
      </c>
      <c r="C784" s="226">
        <v>50607.0</v>
      </c>
      <c r="D784" s="220"/>
      <c r="E784" s="220"/>
      <c r="F784" s="220"/>
      <c r="G784" s="220"/>
      <c r="H784" s="221"/>
      <c r="I784" s="208"/>
      <c r="J784" s="210"/>
      <c r="K784" s="210"/>
      <c r="L784" s="210"/>
      <c r="M784" s="210"/>
      <c r="N784" s="210"/>
      <c r="O784" s="210"/>
      <c r="P784" s="210"/>
      <c r="Q784" s="210"/>
      <c r="R784" s="210"/>
      <c r="S784" s="210"/>
      <c r="T784" s="210"/>
      <c r="U784" s="210"/>
      <c r="V784" s="210"/>
      <c r="W784" s="210"/>
      <c r="X784" s="210"/>
      <c r="Y784" s="210"/>
      <c r="Z784" s="210"/>
    </row>
    <row r="785" ht="21.75" customHeight="1">
      <c r="A785" s="214"/>
      <c r="B785" s="221"/>
      <c r="C785" s="222">
        <v>99.0</v>
      </c>
      <c r="D785" s="223" t="s">
        <v>486</v>
      </c>
      <c r="E785" s="223" t="s">
        <v>487</v>
      </c>
      <c r="F785" s="223" t="s">
        <v>488</v>
      </c>
      <c r="G785" s="223" t="s">
        <v>489</v>
      </c>
      <c r="H785" s="224" t="s">
        <v>490</v>
      </c>
      <c r="I785" s="208"/>
      <c r="J785" s="210"/>
      <c r="K785" s="210"/>
      <c r="L785" s="210"/>
      <c r="M785" s="210"/>
      <c r="N785" s="210"/>
      <c r="O785" s="210"/>
      <c r="P785" s="210"/>
      <c r="Q785" s="210"/>
      <c r="R785" s="210"/>
      <c r="S785" s="210"/>
      <c r="T785" s="210"/>
      <c r="U785" s="210"/>
      <c r="V785" s="210"/>
      <c r="W785" s="210"/>
      <c r="X785" s="210"/>
      <c r="Y785" s="210"/>
      <c r="Z785" s="210"/>
    </row>
    <row r="786" ht="21.75" customHeight="1">
      <c r="A786" s="214"/>
      <c r="B786" s="221"/>
      <c r="C786" s="222">
        <v>100.0</v>
      </c>
      <c r="D786" s="223" t="s">
        <v>669</v>
      </c>
      <c r="E786" s="223" t="s">
        <v>487</v>
      </c>
      <c r="F786" s="223" t="s">
        <v>532</v>
      </c>
      <c r="G786" s="223" t="s">
        <v>497</v>
      </c>
      <c r="H786" s="225" t="s">
        <v>1246</v>
      </c>
      <c r="I786" s="208"/>
      <c r="J786" s="210"/>
      <c r="K786" s="210"/>
      <c r="L786" s="210"/>
      <c r="M786" s="210"/>
      <c r="N786" s="210"/>
      <c r="O786" s="210"/>
      <c r="P786" s="210"/>
      <c r="Q786" s="210"/>
      <c r="R786" s="210"/>
      <c r="S786" s="210"/>
      <c r="T786" s="210"/>
      <c r="U786" s="210"/>
      <c r="V786" s="210"/>
      <c r="W786" s="210"/>
      <c r="X786" s="210"/>
      <c r="Y786" s="210"/>
      <c r="Z786" s="210"/>
    </row>
    <row r="787" ht="21.75" customHeight="1">
      <c r="A787" s="214"/>
      <c r="B787" s="221"/>
      <c r="C787" s="222">
        <v>101.0</v>
      </c>
      <c r="D787" s="223" t="s">
        <v>503</v>
      </c>
      <c r="E787" s="223" t="s">
        <v>504</v>
      </c>
      <c r="F787" s="223" t="s">
        <v>505</v>
      </c>
      <c r="G787" s="218" t="s">
        <v>490</v>
      </c>
      <c r="H787" s="225" t="s">
        <v>1247</v>
      </c>
      <c r="I787" s="208"/>
      <c r="J787" s="210"/>
      <c r="K787" s="210"/>
      <c r="L787" s="210"/>
      <c r="M787" s="210"/>
      <c r="N787" s="210"/>
      <c r="O787" s="210"/>
      <c r="P787" s="210"/>
      <c r="Q787" s="210"/>
      <c r="R787" s="210"/>
      <c r="S787" s="210"/>
      <c r="T787" s="210"/>
      <c r="U787" s="210"/>
      <c r="V787" s="210"/>
      <c r="W787" s="210"/>
      <c r="X787" s="210"/>
      <c r="Y787" s="210"/>
      <c r="Z787" s="210"/>
    </row>
    <row r="788" ht="21.75" customHeight="1">
      <c r="A788" s="214"/>
      <c r="B788" s="221"/>
      <c r="C788" s="222">
        <v>102.0</v>
      </c>
      <c r="D788" s="223" t="s">
        <v>663</v>
      </c>
      <c r="E788" s="223" t="s">
        <v>504</v>
      </c>
      <c r="F788" s="223" t="s">
        <v>588</v>
      </c>
      <c r="G788" s="218" t="s">
        <v>490</v>
      </c>
      <c r="H788" s="225" t="s">
        <v>1248</v>
      </c>
      <c r="I788" s="208"/>
      <c r="J788" s="210"/>
      <c r="K788" s="210"/>
      <c r="L788" s="210"/>
      <c r="M788" s="210"/>
      <c r="N788" s="210"/>
      <c r="O788" s="210"/>
      <c r="P788" s="210"/>
      <c r="Q788" s="210"/>
      <c r="R788" s="210"/>
      <c r="S788" s="210"/>
      <c r="T788" s="210"/>
      <c r="U788" s="210"/>
      <c r="V788" s="210"/>
      <c r="W788" s="210"/>
      <c r="X788" s="210"/>
      <c r="Y788" s="210"/>
      <c r="Z788" s="210"/>
    </row>
    <row r="789" ht="21.75" customHeight="1">
      <c r="A789" s="214"/>
      <c r="B789" s="221"/>
      <c r="C789" s="222">
        <v>103.0</v>
      </c>
      <c r="D789" s="223" t="s">
        <v>665</v>
      </c>
      <c r="E789" s="223" t="s">
        <v>487</v>
      </c>
      <c r="F789" s="223" t="s">
        <v>500</v>
      </c>
      <c r="G789" s="223" t="s">
        <v>501</v>
      </c>
      <c r="H789" s="225" t="s">
        <v>1249</v>
      </c>
      <c r="I789" s="208"/>
      <c r="J789" s="210"/>
      <c r="K789" s="210"/>
      <c r="L789" s="210"/>
      <c r="M789" s="210"/>
      <c r="N789" s="210"/>
      <c r="O789" s="210"/>
      <c r="P789" s="210"/>
      <c r="Q789" s="210"/>
      <c r="R789" s="210"/>
      <c r="S789" s="210"/>
      <c r="T789" s="210"/>
      <c r="U789" s="210"/>
      <c r="V789" s="210"/>
      <c r="W789" s="210"/>
      <c r="X789" s="210"/>
      <c r="Y789" s="210"/>
      <c r="Z789" s="210"/>
    </row>
    <row r="790" ht="21.75" customHeight="1">
      <c r="A790" s="214"/>
      <c r="B790" s="221"/>
      <c r="C790" s="222">
        <v>104.0</v>
      </c>
      <c r="D790" s="223" t="s">
        <v>667</v>
      </c>
      <c r="E790" s="223" t="s">
        <v>487</v>
      </c>
      <c r="F790" s="223" t="s">
        <v>512</v>
      </c>
      <c r="G790" s="223" t="s">
        <v>493</v>
      </c>
      <c r="H790" s="225" t="s">
        <v>1250</v>
      </c>
      <c r="I790" s="208"/>
      <c r="J790" s="210"/>
      <c r="K790" s="210"/>
      <c r="L790" s="210"/>
      <c r="M790" s="210"/>
      <c r="N790" s="210"/>
      <c r="O790" s="210"/>
      <c r="P790" s="210"/>
      <c r="Q790" s="210"/>
      <c r="R790" s="210"/>
      <c r="S790" s="210"/>
      <c r="T790" s="210"/>
      <c r="U790" s="210"/>
      <c r="V790" s="210"/>
      <c r="W790" s="210"/>
      <c r="X790" s="210"/>
      <c r="Y790" s="210"/>
      <c r="Z790" s="210"/>
    </row>
    <row r="791" ht="21.75" customHeight="1">
      <c r="A791" s="214"/>
      <c r="B791" s="221"/>
      <c r="C791" s="222">
        <v>106.0</v>
      </c>
      <c r="D791" s="223" t="s">
        <v>1242</v>
      </c>
      <c r="E791" s="223" t="s">
        <v>504</v>
      </c>
      <c r="F791" s="223" t="s">
        <v>599</v>
      </c>
      <c r="G791" s="218" t="s">
        <v>490</v>
      </c>
      <c r="H791" s="225" t="s">
        <v>1251</v>
      </c>
      <c r="I791" s="208"/>
      <c r="J791" s="210"/>
      <c r="K791" s="210"/>
      <c r="L791" s="210"/>
      <c r="M791" s="210"/>
      <c r="N791" s="210"/>
      <c r="O791" s="210"/>
      <c r="P791" s="210"/>
      <c r="Q791" s="210"/>
      <c r="R791" s="210"/>
      <c r="S791" s="210"/>
      <c r="T791" s="210"/>
      <c r="U791" s="210"/>
      <c r="V791" s="210"/>
      <c r="W791" s="210"/>
      <c r="X791" s="210"/>
      <c r="Y791" s="210"/>
      <c r="Z791" s="210"/>
    </row>
    <row r="792" ht="21.75" customHeight="1">
      <c r="A792" s="214"/>
      <c r="B792" s="221"/>
      <c r="C792" s="222">
        <v>107.0</v>
      </c>
      <c r="D792" s="223" t="s">
        <v>1252</v>
      </c>
      <c r="E792" s="223" t="s">
        <v>487</v>
      </c>
      <c r="F792" s="223" t="s">
        <v>1097</v>
      </c>
      <c r="G792" s="223" t="s">
        <v>594</v>
      </c>
      <c r="H792" s="225" t="s">
        <v>1253</v>
      </c>
      <c r="I792" s="208"/>
      <c r="J792" s="210"/>
      <c r="K792" s="210"/>
      <c r="L792" s="210"/>
      <c r="M792" s="210"/>
      <c r="N792" s="210"/>
      <c r="O792" s="210"/>
      <c r="P792" s="210"/>
      <c r="Q792" s="210"/>
      <c r="R792" s="210"/>
      <c r="S792" s="210"/>
      <c r="T792" s="210"/>
      <c r="U792" s="210"/>
      <c r="V792" s="210"/>
      <c r="W792" s="210"/>
      <c r="X792" s="210"/>
      <c r="Y792" s="210"/>
      <c r="Z792" s="210"/>
    </row>
    <row r="793" ht="21.75" customHeight="1">
      <c r="A793" s="214"/>
      <c r="B793" s="221"/>
      <c r="C793" s="222">
        <v>108.0</v>
      </c>
      <c r="D793" s="223" t="s">
        <v>1242</v>
      </c>
      <c r="E793" s="223" t="s">
        <v>487</v>
      </c>
      <c r="F793" s="223" t="s">
        <v>603</v>
      </c>
      <c r="G793" s="223" t="s">
        <v>606</v>
      </c>
      <c r="H793" s="224" t="s">
        <v>490</v>
      </c>
      <c r="I793" s="208"/>
      <c r="J793" s="210"/>
      <c r="K793" s="210"/>
      <c r="L793" s="210"/>
      <c r="M793" s="210"/>
      <c r="N793" s="210"/>
      <c r="O793" s="210"/>
      <c r="P793" s="210"/>
      <c r="Q793" s="210"/>
      <c r="R793" s="210"/>
      <c r="S793" s="210"/>
      <c r="T793" s="210"/>
      <c r="U793" s="210"/>
      <c r="V793" s="210"/>
      <c r="W793" s="210"/>
      <c r="X793" s="210"/>
      <c r="Y793" s="210"/>
      <c r="Z793" s="210"/>
    </row>
    <row r="794" ht="21.75" customHeight="1">
      <c r="A794" s="214"/>
      <c r="B794" s="221"/>
      <c r="C794" s="222">
        <v>109.0</v>
      </c>
      <c r="D794" s="223" t="s">
        <v>519</v>
      </c>
      <c r="E794" s="223" t="s">
        <v>508</v>
      </c>
      <c r="F794" s="223" t="s">
        <v>509</v>
      </c>
      <c r="G794" s="223" t="s">
        <v>510</v>
      </c>
      <c r="H794" s="224" t="s">
        <v>490</v>
      </c>
      <c r="I794" s="208"/>
      <c r="J794" s="210"/>
      <c r="K794" s="210"/>
      <c r="L794" s="210"/>
      <c r="M794" s="210"/>
      <c r="N794" s="210"/>
      <c r="O794" s="210"/>
      <c r="P794" s="210"/>
      <c r="Q794" s="210"/>
      <c r="R794" s="210"/>
      <c r="S794" s="210"/>
      <c r="T794" s="210"/>
      <c r="U794" s="210"/>
      <c r="V794" s="210"/>
      <c r="W794" s="210"/>
      <c r="X794" s="210"/>
      <c r="Y794" s="210"/>
      <c r="Z794" s="210"/>
    </row>
    <row r="795" ht="21.75" customHeight="1">
      <c r="A795" s="214"/>
      <c r="B795" s="221"/>
      <c r="C795" s="222">
        <v>110.0</v>
      </c>
      <c r="D795" s="223" t="s">
        <v>672</v>
      </c>
      <c r="E795" s="223" t="s">
        <v>487</v>
      </c>
      <c r="F795" s="223" t="s">
        <v>1109</v>
      </c>
      <c r="G795" s="218" t="s">
        <v>490</v>
      </c>
      <c r="H795" s="224" t="s">
        <v>490</v>
      </c>
      <c r="I795" s="208"/>
      <c r="J795" s="210"/>
      <c r="K795" s="210"/>
      <c r="L795" s="210"/>
      <c r="M795" s="210"/>
      <c r="N795" s="210"/>
      <c r="O795" s="210"/>
      <c r="P795" s="210"/>
      <c r="Q795" s="210"/>
      <c r="R795" s="210"/>
      <c r="S795" s="210"/>
      <c r="T795" s="210"/>
      <c r="U795" s="210"/>
      <c r="V795" s="210"/>
      <c r="W795" s="210"/>
      <c r="X795" s="210"/>
      <c r="Y795" s="210"/>
      <c r="Z795" s="210"/>
    </row>
    <row r="796" ht="21.75" customHeight="1">
      <c r="A796" s="214"/>
      <c r="B796" s="221"/>
      <c r="C796" s="222">
        <v>111.0</v>
      </c>
      <c r="D796" s="223" t="s">
        <v>1108</v>
      </c>
      <c r="E796" s="223" t="s">
        <v>487</v>
      </c>
      <c r="F796" s="223" t="s">
        <v>496</v>
      </c>
      <c r="G796" s="223" t="s">
        <v>526</v>
      </c>
      <c r="H796" s="224" t="s">
        <v>490</v>
      </c>
      <c r="I796" s="208"/>
      <c r="J796" s="210"/>
      <c r="K796" s="210"/>
      <c r="L796" s="210"/>
      <c r="M796" s="210"/>
      <c r="N796" s="210"/>
      <c r="O796" s="210"/>
      <c r="P796" s="210"/>
      <c r="Q796" s="210"/>
      <c r="R796" s="210"/>
      <c r="S796" s="210"/>
      <c r="T796" s="210"/>
      <c r="U796" s="210"/>
      <c r="V796" s="210"/>
      <c r="W796" s="210"/>
      <c r="X796" s="210"/>
      <c r="Y796" s="210"/>
      <c r="Z796" s="210"/>
    </row>
    <row r="797" ht="21.75" customHeight="1">
      <c r="A797" s="228"/>
      <c r="B797" s="221"/>
      <c r="C797" s="222">
        <v>112.0</v>
      </c>
      <c r="D797" s="223" t="s">
        <v>503</v>
      </c>
      <c r="E797" s="223" t="s">
        <v>487</v>
      </c>
      <c r="F797" s="223" t="s">
        <v>579</v>
      </c>
      <c r="G797" s="223" t="s">
        <v>513</v>
      </c>
      <c r="H797" s="224" t="s">
        <v>490</v>
      </c>
      <c r="I797" s="208"/>
      <c r="J797" s="210"/>
      <c r="K797" s="210"/>
      <c r="L797" s="210"/>
      <c r="M797" s="210"/>
      <c r="N797" s="210"/>
      <c r="O797" s="210"/>
      <c r="P797" s="210"/>
      <c r="Q797" s="210"/>
      <c r="R797" s="210"/>
      <c r="S797" s="210"/>
      <c r="T797" s="210"/>
      <c r="U797" s="210"/>
      <c r="V797" s="210"/>
      <c r="W797" s="210"/>
      <c r="X797" s="210"/>
      <c r="Y797" s="210"/>
      <c r="Z797" s="210"/>
    </row>
    <row r="798" ht="21.75" customHeight="1">
      <c r="A798" s="214">
        <v>184.0</v>
      </c>
      <c r="B798" s="215" t="s">
        <v>1254</v>
      </c>
      <c r="C798" s="216"/>
      <c r="D798" s="217"/>
      <c r="E798" s="217"/>
      <c r="F798" s="217"/>
      <c r="G798" s="217"/>
      <c r="H798" s="217"/>
      <c r="I798" s="208"/>
      <c r="J798" s="210"/>
      <c r="K798" s="210"/>
      <c r="L798" s="210"/>
      <c r="M798" s="210"/>
      <c r="N798" s="210"/>
      <c r="O798" s="210"/>
      <c r="P798" s="210"/>
      <c r="Q798" s="210"/>
      <c r="R798" s="210"/>
      <c r="S798" s="210"/>
      <c r="T798" s="210"/>
      <c r="U798" s="210"/>
      <c r="V798" s="210"/>
      <c r="W798" s="210"/>
      <c r="X798" s="210"/>
      <c r="Y798" s="210"/>
      <c r="Z798" s="210"/>
    </row>
    <row r="799" ht="21.75" customHeight="1">
      <c r="A799" s="214"/>
      <c r="B799" s="218" t="s">
        <v>1255</v>
      </c>
      <c r="C799" s="219">
        <v>50533.0</v>
      </c>
      <c r="D799" s="220"/>
      <c r="E799" s="220"/>
      <c r="F799" s="220"/>
      <c r="G799" s="220"/>
      <c r="H799" s="220"/>
      <c r="I799" s="208"/>
      <c r="J799" s="210"/>
      <c r="K799" s="210"/>
      <c r="L799" s="210"/>
      <c r="M799" s="210"/>
      <c r="N799" s="210"/>
      <c r="O799" s="210"/>
      <c r="P799" s="210"/>
      <c r="Q799" s="210"/>
      <c r="R799" s="210"/>
      <c r="S799" s="210"/>
      <c r="T799" s="210"/>
      <c r="U799" s="210"/>
      <c r="V799" s="210"/>
      <c r="W799" s="210"/>
      <c r="X799" s="210"/>
      <c r="Y799" s="210"/>
      <c r="Z799" s="210"/>
    </row>
    <row r="800" ht="21.75" customHeight="1">
      <c r="A800" s="214"/>
      <c r="B800" s="221"/>
      <c r="C800" s="222">
        <v>100.0</v>
      </c>
      <c r="D800" s="223" t="s">
        <v>486</v>
      </c>
      <c r="E800" s="223" t="s">
        <v>487</v>
      </c>
      <c r="F800" s="223" t="s">
        <v>488</v>
      </c>
      <c r="G800" s="223" t="s">
        <v>489</v>
      </c>
      <c r="H800" s="224" t="s">
        <v>490</v>
      </c>
      <c r="I800" s="208"/>
      <c r="J800" s="210"/>
      <c r="K800" s="210"/>
      <c r="L800" s="210"/>
      <c r="M800" s="210"/>
      <c r="N800" s="210"/>
      <c r="O800" s="210"/>
      <c r="P800" s="210"/>
      <c r="Q800" s="210"/>
      <c r="R800" s="210"/>
      <c r="S800" s="210"/>
      <c r="T800" s="210"/>
      <c r="U800" s="210"/>
      <c r="V800" s="210"/>
      <c r="W800" s="210"/>
      <c r="X800" s="210"/>
      <c r="Y800" s="210"/>
      <c r="Z800" s="210"/>
    </row>
    <row r="801" ht="21.75" customHeight="1">
      <c r="A801" s="214"/>
      <c r="B801" s="221"/>
      <c r="C801" s="222">
        <v>101.0</v>
      </c>
      <c r="D801" s="223" t="s">
        <v>663</v>
      </c>
      <c r="E801" s="223" t="s">
        <v>504</v>
      </c>
      <c r="F801" s="223" t="s">
        <v>505</v>
      </c>
      <c r="G801" s="218" t="s">
        <v>490</v>
      </c>
      <c r="H801" s="225" t="s">
        <v>1256</v>
      </c>
      <c r="I801" s="208"/>
      <c r="J801" s="210"/>
      <c r="K801" s="210"/>
      <c r="L801" s="210"/>
      <c r="M801" s="210"/>
      <c r="N801" s="210"/>
      <c r="O801" s="210"/>
      <c r="P801" s="210"/>
      <c r="Q801" s="210"/>
      <c r="R801" s="210"/>
      <c r="S801" s="210"/>
      <c r="T801" s="210"/>
      <c r="U801" s="210"/>
      <c r="V801" s="210"/>
      <c r="W801" s="210"/>
      <c r="X801" s="210"/>
      <c r="Y801" s="210"/>
      <c r="Z801" s="210"/>
    </row>
    <row r="802" ht="21.75" customHeight="1">
      <c r="A802" s="214"/>
      <c r="B802" s="221"/>
      <c r="C802" s="222">
        <v>102.0</v>
      </c>
      <c r="D802" s="223" t="s">
        <v>1257</v>
      </c>
      <c r="E802" s="223" t="s">
        <v>487</v>
      </c>
      <c r="F802" s="223" t="s">
        <v>674</v>
      </c>
      <c r="G802" s="218" t="s">
        <v>490</v>
      </c>
      <c r="H802" s="224" t="s">
        <v>490</v>
      </c>
      <c r="I802" s="208"/>
      <c r="J802" s="210"/>
      <c r="K802" s="210"/>
      <c r="L802" s="210"/>
      <c r="M802" s="210"/>
      <c r="N802" s="210"/>
      <c r="O802" s="210"/>
      <c r="P802" s="210"/>
      <c r="Q802" s="210"/>
      <c r="R802" s="210"/>
      <c r="S802" s="210"/>
      <c r="T802" s="210"/>
      <c r="U802" s="210"/>
      <c r="V802" s="210"/>
      <c r="W802" s="210"/>
      <c r="X802" s="210"/>
      <c r="Y802" s="210"/>
      <c r="Z802" s="210"/>
    </row>
    <row r="803" ht="21.75" customHeight="1">
      <c r="A803" s="214"/>
      <c r="B803" s="221"/>
      <c r="C803" s="222">
        <v>103.0</v>
      </c>
      <c r="D803" s="223" t="s">
        <v>663</v>
      </c>
      <c r="E803" s="223" t="s">
        <v>487</v>
      </c>
      <c r="F803" s="223" t="s">
        <v>605</v>
      </c>
      <c r="G803" s="223" t="s">
        <v>602</v>
      </c>
      <c r="H803" s="224" t="s">
        <v>490</v>
      </c>
      <c r="I803" s="208"/>
      <c r="J803" s="210"/>
      <c r="K803" s="210"/>
      <c r="L803" s="210"/>
      <c r="M803" s="210"/>
      <c r="N803" s="210"/>
      <c r="O803" s="210"/>
      <c r="P803" s="210"/>
      <c r="Q803" s="210"/>
      <c r="R803" s="210"/>
      <c r="S803" s="210"/>
      <c r="T803" s="210"/>
      <c r="U803" s="210"/>
      <c r="V803" s="210"/>
      <c r="W803" s="210"/>
      <c r="X803" s="210"/>
      <c r="Y803" s="210"/>
      <c r="Z803" s="210"/>
    </row>
    <row r="804" ht="21.75" customHeight="1">
      <c r="A804" s="214"/>
      <c r="B804" s="221"/>
      <c r="C804" s="222">
        <v>104.0</v>
      </c>
      <c r="D804" s="223" t="s">
        <v>499</v>
      </c>
      <c r="E804" s="223" t="s">
        <v>487</v>
      </c>
      <c r="F804" s="223" t="s">
        <v>496</v>
      </c>
      <c r="G804" s="223" t="s">
        <v>501</v>
      </c>
      <c r="H804" s="225" t="s">
        <v>1258</v>
      </c>
      <c r="I804" s="208"/>
      <c r="J804" s="210"/>
      <c r="K804" s="210"/>
      <c r="L804" s="210"/>
      <c r="M804" s="210"/>
      <c r="N804" s="210"/>
      <c r="O804" s="210"/>
      <c r="P804" s="210"/>
      <c r="Q804" s="210"/>
      <c r="R804" s="210"/>
      <c r="S804" s="210"/>
      <c r="T804" s="210"/>
      <c r="U804" s="210"/>
      <c r="V804" s="210"/>
      <c r="W804" s="210"/>
      <c r="X804" s="210"/>
      <c r="Y804" s="210"/>
      <c r="Z804" s="210"/>
    </row>
    <row r="805" ht="21.75" customHeight="1">
      <c r="A805" s="214"/>
      <c r="B805" s="221"/>
      <c r="C805" s="222">
        <v>105.0</v>
      </c>
      <c r="D805" s="223" t="s">
        <v>495</v>
      </c>
      <c r="E805" s="223" t="s">
        <v>487</v>
      </c>
      <c r="F805" s="223" t="s">
        <v>500</v>
      </c>
      <c r="G805" s="223" t="s">
        <v>497</v>
      </c>
      <c r="H805" s="225" t="s">
        <v>1259</v>
      </c>
      <c r="I805" s="208"/>
      <c r="J805" s="210"/>
      <c r="K805" s="210"/>
      <c r="L805" s="210"/>
      <c r="M805" s="210"/>
      <c r="N805" s="210"/>
      <c r="O805" s="210"/>
      <c r="P805" s="210"/>
      <c r="Q805" s="210"/>
      <c r="R805" s="210"/>
      <c r="S805" s="210"/>
      <c r="T805" s="210"/>
      <c r="U805" s="210"/>
      <c r="V805" s="210"/>
      <c r="W805" s="210"/>
      <c r="X805" s="210"/>
      <c r="Y805" s="210"/>
      <c r="Z805" s="210"/>
    </row>
    <row r="806" ht="21.75" customHeight="1">
      <c r="A806" s="214"/>
      <c r="B806" s="221"/>
      <c r="C806" s="222">
        <v>106.0</v>
      </c>
      <c r="D806" s="223" t="s">
        <v>1260</v>
      </c>
      <c r="E806" s="223" t="s">
        <v>487</v>
      </c>
      <c r="F806" s="223" t="s">
        <v>512</v>
      </c>
      <c r="G806" s="223" t="s">
        <v>493</v>
      </c>
      <c r="H806" s="225" t="s">
        <v>1261</v>
      </c>
      <c r="I806" s="208"/>
      <c r="J806" s="210"/>
      <c r="K806" s="210"/>
      <c r="L806" s="210"/>
      <c r="M806" s="210"/>
      <c r="N806" s="210"/>
      <c r="O806" s="210"/>
      <c r="P806" s="210"/>
      <c r="Q806" s="210"/>
      <c r="R806" s="210"/>
      <c r="S806" s="210"/>
      <c r="T806" s="210"/>
      <c r="U806" s="210"/>
      <c r="V806" s="210"/>
      <c r="W806" s="210"/>
      <c r="X806" s="210"/>
      <c r="Y806" s="210"/>
      <c r="Z806" s="210"/>
    </row>
    <row r="807" ht="21.75" customHeight="1">
      <c r="A807" s="214"/>
      <c r="B807" s="221"/>
      <c r="C807" s="222">
        <v>107.0</v>
      </c>
      <c r="D807" s="223" t="s">
        <v>1262</v>
      </c>
      <c r="E807" s="223" t="s">
        <v>487</v>
      </c>
      <c r="F807" s="223" t="s">
        <v>532</v>
      </c>
      <c r="G807" s="223" t="s">
        <v>526</v>
      </c>
      <c r="H807" s="225" t="s">
        <v>1263</v>
      </c>
      <c r="I807" s="208"/>
      <c r="J807" s="210"/>
      <c r="K807" s="210"/>
      <c r="L807" s="210"/>
      <c r="M807" s="210"/>
      <c r="N807" s="210"/>
      <c r="O807" s="210"/>
      <c r="P807" s="210"/>
      <c r="Q807" s="210"/>
      <c r="R807" s="210"/>
      <c r="S807" s="210"/>
      <c r="T807" s="210"/>
      <c r="U807" s="210"/>
      <c r="V807" s="210"/>
      <c r="W807" s="210"/>
      <c r="X807" s="210"/>
      <c r="Y807" s="210"/>
      <c r="Z807" s="210"/>
    </row>
    <row r="808" ht="21.75" customHeight="1">
      <c r="A808" s="214"/>
      <c r="B808" s="221"/>
      <c r="C808" s="222">
        <v>108.0</v>
      </c>
      <c r="D808" s="223" t="s">
        <v>1264</v>
      </c>
      <c r="E808" s="223" t="s">
        <v>487</v>
      </c>
      <c r="F808" s="223" t="s">
        <v>590</v>
      </c>
      <c r="G808" s="223" t="s">
        <v>513</v>
      </c>
      <c r="H808" s="225" t="s">
        <v>1265</v>
      </c>
      <c r="I808" s="208"/>
      <c r="J808" s="210"/>
      <c r="K808" s="210"/>
      <c r="L808" s="210"/>
      <c r="M808" s="210"/>
      <c r="N808" s="210"/>
      <c r="O808" s="210"/>
      <c r="P808" s="210"/>
      <c r="Q808" s="210"/>
      <c r="R808" s="210"/>
      <c r="S808" s="210"/>
      <c r="T808" s="210"/>
      <c r="U808" s="210"/>
      <c r="V808" s="210"/>
      <c r="W808" s="210"/>
      <c r="X808" s="210"/>
      <c r="Y808" s="210"/>
      <c r="Z808" s="210"/>
    </row>
    <row r="809" ht="21.75" customHeight="1">
      <c r="A809" s="214"/>
      <c r="B809" s="221"/>
      <c r="C809" s="222">
        <v>109.0</v>
      </c>
      <c r="D809" s="223" t="s">
        <v>1266</v>
      </c>
      <c r="E809" s="223" t="s">
        <v>487</v>
      </c>
      <c r="F809" s="223" t="s">
        <v>603</v>
      </c>
      <c r="G809" s="223" t="s">
        <v>594</v>
      </c>
      <c r="H809" s="225" t="s">
        <v>1267</v>
      </c>
      <c r="I809" s="208"/>
      <c r="J809" s="210"/>
      <c r="K809" s="210"/>
      <c r="L809" s="210"/>
      <c r="M809" s="210"/>
      <c r="N809" s="210"/>
      <c r="O809" s="210"/>
      <c r="P809" s="210"/>
      <c r="Q809" s="210"/>
      <c r="R809" s="210"/>
      <c r="S809" s="210"/>
      <c r="T809" s="210"/>
      <c r="U809" s="210"/>
      <c r="V809" s="210"/>
      <c r="W809" s="210"/>
      <c r="X809" s="210"/>
      <c r="Y809" s="210"/>
      <c r="Z809" s="210"/>
    </row>
    <row r="810" ht="21.75" customHeight="1">
      <c r="A810" s="214"/>
      <c r="B810" s="221"/>
      <c r="C810" s="222">
        <v>110.0</v>
      </c>
      <c r="D810" s="223" t="s">
        <v>1268</v>
      </c>
      <c r="E810" s="223" t="s">
        <v>487</v>
      </c>
      <c r="F810" s="223" t="s">
        <v>579</v>
      </c>
      <c r="G810" s="223" t="s">
        <v>606</v>
      </c>
      <c r="H810" s="225" t="s">
        <v>1269</v>
      </c>
      <c r="I810" s="208"/>
      <c r="J810" s="210"/>
      <c r="K810" s="210"/>
      <c r="L810" s="210"/>
      <c r="M810" s="210"/>
      <c r="N810" s="210"/>
      <c r="O810" s="210"/>
      <c r="P810" s="210"/>
      <c r="Q810" s="210"/>
      <c r="R810" s="210"/>
      <c r="S810" s="210"/>
      <c r="T810" s="210"/>
      <c r="U810" s="210"/>
      <c r="V810" s="210"/>
      <c r="W810" s="210"/>
      <c r="X810" s="210"/>
      <c r="Y810" s="210"/>
      <c r="Z810" s="210"/>
    </row>
    <row r="811" ht="21.75" customHeight="1">
      <c r="A811" s="214"/>
      <c r="B811" s="221"/>
      <c r="C811" s="222">
        <v>111.0</v>
      </c>
      <c r="D811" s="223" t="s">
        <v>1270</v>
      </c>
      <c r="E811" s="223" t="s">
        <v>487</v>
      </c>
      <c r="F811" s="223" t="s">
        <v>583</v>
      </c>
      <c r="G811" s="223" t="s">
        <v>580</v>
      </c>
      <c r="H811" s="225" t="s">
        <v>1271</v>
      </c>
      <c r="I811" s="208"/>
      <c r="J811" s="210"/>
      <c r="K811" s="210"/>
      <c r="L811" s="210"/>
      <c r="M811" s="210"/>
      <c r="N811" s="210"/>
      <c r="O811" s="210"/>
      <c r="P811" s="210"/>
      <c r="Q811" s="210"/>
      <c r="R811" s="210"/>
      <c r="S811" s="210"/>
      <c r="T811" s="210"/>
      <c r="U811" s="210"/>
      <c r="V811" s="210"/>
      <c r="W811" s="210"/>
      <c r="X811" s="210"/>
      <c r="Y811" s="210"/>
      <c r="Z811" s="210"/>
    </row>
    <row r="812" ht="21.75" customHeight="1">
      <c r="A812" s="214"/>
      <c r="B812" s="221"/>
      <c r="C812" s="222">
        <v>112.0</v>
      </c>
      <c r="D812" s="223" t="s">
        <v>1270</v>
      </c>
      <c r="E812" s="223" t="s">
        <v>487</v>
      </c>
      <c r="F812" s="223" t="s">
        <v>601</v>
      </c>
      <c r="G812" s="223" t="s">
        <v>561</v>
      </c>
      <c r="H812" s="225" t="s">
        <v>1272</v>
      </c>
      <c r="I812" s="208"/>
      <c r="J812" s="210"/>
      <c r="K812" s="210"/>
      <c r="L812" s="210"/>
      <c r="M812" s="210"/>
      <c r="N812" s="210"/>
      <c r="O812" s="210"/>
      <c r="P812" s="210"/>
      <c r="Q812" s="210"/>
      <c r="R812" s="210"/>
      <c r="S812" s="210"/>
      <c r="T812" s="210"/>
      <c r="U812" s="210"/>
      <c r="V812" s="210"/>
      <c r="W812" s="210"/>
      <c r="X812" s="210"/>
      <c r="Y812" s="210"/>
      <c r="Z812" s="210"/>
    </row>
    <row r="813" ht="21.75" customHeight="1">
      <c r="A813" s="214"/>
      <c r="B813" s="221"/>
      <c r="C813" s="222">
        <v>113.0</v>
      </c>
      <c r="D813" s="223" t="s">
        <v>1270</v>
      </c>
      <c r="E813" s="223" t="s">
        <v>487</v>
      </c>
      <c r="F813" s="223" t="s">
        <v>560</v>
      </c>
      <c r="G813" s="223" t="s">
        <v>591</v>
      </c>
      <c r="H813" s="225" t="s">
        <v>1273</v>
      </c>
      <c r="I813" s="208"/>
      <c r="J813" s="210"/>
      <c r="K813" s="210"/>
      <c r="L813" s="210"/>
      <c r="M813" s="210"/>
      <c r="N813" s="210"/>
      <c r="O813" s="210"/>
      <c r="P813" s="210"/>
      <c r="Q813" s="210"/>
      <c r="R813" s="210"/>
      <c r="S813" s="210"/>
      <c r="T813" s="210"/>
      <c r="U813" s="210"/>
      <c r="V813" s="210"/>
      <c r="W813" s="210"/>
      <c r="X813" s="210"/>
      <c r="Y813" s="210"/>
      <c r="Z813" s="210"/>
    </row>
    <row r="814" ht="21.75" customHeight="1">
      <c r="A814" s="214"/>
      <c r="B814" s="221"/>
      <c r="C814" s="222">
        <v>114.0</v>
      </c>
      <c r="D814" s="223" t="s">
        <v>1270</v>
      </c>
      <c r="E814" s="223" t="s">
        <v>487</v>
      </c>
      <c r="F814" s="223" t="s">
        <v>613</v>
      </c>
      <c r="G814" s="223" t="s">
        <v>608</v>
      </c>
      <c r="H814" s="225" t="s">
        <v>1274</v>
      </c>
      <c r="I814" s="208"/>
      <c r="J814" s="210"/>
      <c r="K814" s="210"/>
      <c r="L814" s="210"/>
      <c r="M814" s="210"/>
      <c r="N814" s="210"/>
      <c r="O814" s="210"/>
      <c r="P814" s="210"/>
      <c r="Q814" s="210"/>
      <c r="R814" s="210"/>
      <c r="S814" s="210"/>
      <c r="T814" s="210"/>
      <c r="U814" s="210"/>
      <c r="V814" s="210"/>
      <c r="W814" s="210"/>
      <c r="X814" s="210"/>
      <c r="Y814" s="210"/>
      <c r="Z814" s="210"/>
    </row>
    <row r="815" ht="21.75" customHeight="1">
      <c r="A815" s="214"/>
      <c r="B815" s="221"/>
      <c r="C815" s="222">
        <v>115.0</v>
      </c>
      <c r="D815" s="223" t="s">
        <v>1270</v>
      </c>
      <c r="E815" s="223" t="s">
        <v>487</v>
      </c>
      <c r="F815" s="223" t="s">
        <v>593</v>
      </c>
      <c r="G815" s="223" t="s">
        <v>644</v>
      </c>
      <c r="H815" s="225" t="s">
        <v>1275</v>
      </c>
      <c r="I815" s="208"/>
      <c r="J815" s="210"/>
      <c r="K815" s="210"/>
      <c r="L815" s="210"/>
      <c r="M815" s="210"/>
      <c r="N815" s="210"/>
      <c r="O815" s="210"/>
      <c r="P815" s="210"/>
      <c r="Q815" s="210"/>
      <c r="R815" s="210"/>
      <c r="S815" s="210"/>
      <c r="T815" s="210"/>
      <c r="U815" s="210"/>
      <c r="V815" s="210"/>
      <c r="W815" s="210"/>
      <c r="X815" s="210"/>
      <c r="Y815" s="210"/>
      <c r="Z815" s="210"/>
    </row>
    <row r="816" ht="21.75" customHeight="1">
      <c r="A816" s="214"/>
      <c r="B816" s="221"/>
      <c r="C816" s="222">
        <v>200.0</v>
      </c>
      <c r="D816" s="223" t="s">
        <v>1276</v>
      </c>
      <c r="E816" s="223" t="s">
        <v>504</v>
      </c>
      <c r="F816" s="223" t="s">
        <v>1181</v>
      </c>
      <c r="G816" s="218" t="s">
        <v>490</v>
      </c>
      <c r="H816" s="225" t="s">
        <v>1277</v>
      </c>
      <c r="I816" s="208"/>
      <c r="J816" s="210"/>
      <c r="K816" s="210"/>
      <c r="L816" s="210"/>
      <c r="M816" s="210"/>
      <c r="N816" s="210"/>
      <c r="O816" s="210"/>
      <c r="P816" s="210"/>
      <c r="Q816" s="210"/>
      <c r="R816" s="210"/>
      <c r="S816" s="210"/>
      <c r="T816" s="210"/>
      <c r="U816" s="210"/>
      <c r="V816" s="210"/>
      <c r="W816" s="210"/>
      <c r="X816" s="210"/>
      <c r="Y816" s="210"/>
      <c r="Z816" s="210"/>
    </row>
    <row r="817" ht="21.75" customHeight="1">
      <c r="A817" s="214"/>
      <c r="B817" s="221"/>
      <c r="C817" s="222">
        <v>201.0</v>
      </c>
      <c r="D817" s="223" t="s">
        <v>1076</v>
      </c>
      <c r="E817" s="223" t="s">
        <v>539</v>
      </c>
      <c r="F817" s="223" t="s">
        <v>588</v>
      </c>
      <c r="G817" s="218" t="s">
        <v>490</v>
      </c>
      <c r="H817" s="225" t="s">
        <v>1278</v>
      </c>
      <c r="I817" s="208"/>
      <c r="J817" s="210"/>
      <c r="K817" s="210"/>
      <c r="L817" s="210"/>
      <c r="M817" s="210"/>
      <c r="N817" s="210"/>
      <c r="O817" s="210"/>
      <c r="P817" s="210"/>
      <c r="Q817" s="210"/>
      <c r="R817" s="210"/>
      <c r="S817" s="210"/>
      <c r="T817" s="210"/>
      <c r="U817" s="210"/>
      <c r="V817" s="210"/>
      <c r="W817" s="210"/>
      <c r="X817" s="210"/>
      <c r="Y817" s="210"/>
      <c r="Z817" s="210"/>
    </row>
    <row r="818" ht="21.75" customHeight="1">
      <c r="A818" s="214"/>
      <c r="B818" s="221"/>
      <c r="C818" s="222">
        <v>202.0</v>
      </c>
      <c r="D818" s="223" t="s">
        <v>1279</v>
      </c>
      <c r="E818" s="223" t="s">
        <v>504</v>
      </c>
      <c r="F818" s="223" t="s">
        <v>1173</v>
      </c>
      <c r="G818" s="218" t="s">
        <v>490</v>
      </c>
      <c r="H818" s="225" t="s">
        <v>1280</v>
      </c>
      <c r="I818" s="208"/>
      <c r="J818" s="210"/>
      <c r="K818" s="210"/>
      <c r="L818" s="210"/>
      <c r="M818" s="210"/>
      <c r="N818" s="210"/>
      <c r="O818" s="210"/>
      <c r="P818" s="210"/>
      <c r="Q818" s="210"/>
      <c r="R818" s="210"/>
      <c r="S818" s="210"/>
      <c r="T818" s="210"/>
      <c r="U818" s="210"/>
      <c r="V818" s="210"/>
      <c r="W818" s="210"/>
      <c r="X818" s="210"/>
      <c r="Y818" s="210"/>
      <c r="Z818" s="210"/>
    </row>
    <row r="819" ht="21.75" customHeight="1">
      <c r="A819" s="214"/>
      <c r="B819" s="221"/>
      <c r="C819" s="222">
        <v>203.0</v>
      </c>
      <c r="D819" s="223" t="s">
        <v>1076</v>
      </c>
      <c r="E819" s="223" t="s">
        <v>539</v>
      </c>
      <c r="F819" s="223" t="s">
        <v>599</v>
      </c>
      <c r="G819" s="218" t="s">
        <v>490</v>
      </c>
      <c r="H819" s="225" t="s">
        <v>1281</v>
      </c>
      <c r="I819" s="208"/>
      <c r="J819" s="210"/>
      <c r="K819" s="210"/>
      <c r="L819" s="210"/>
      <c r="M819" s="210"/>
      <c r="N819" s="210"/>
      <c r="O819" s="210"/>
      <c r="P819" s="210"/>
      <c r="Q819" s="210"/>
      <c r="R819" s="210"/>
      <c r="S819" s="210"/>
      <c r="T819" s="210"/>
      <c r="U819" s="210"/>
      <c r="V819" s="210"/>
      <c r="W819" s="210"/>
      <c r="X819" s="210"/>
      <c r="Y819" s="210"/>
      <c r="Z819" s="210"/>
    </row>
    <row r="820" ht="21.75" customHeight="1">
      <c r="A820" s="214"/>
      <c r="B820" s="221"/>
      <c r="C820" s="222">
        <v>204.0</v>
      </c>
      <c r="D820" s="223" t="s">
        <v>1282</v>
      </c>
      <c r="E820" s="223" t="s">
        <v>504</v>
      </c>
      <c r="F820" s="223" t="s">
        <v>1166</v>
      </c>
      <c r="G820" s="218" t="s">
        <v>490</v>
      </c>
      <c r="H820" s="225" t="s">
        <v>1283</v>
      </c>
      <c r="I820" s="208"/>
      <c r="J820" s="210"/>
      <c r="K820" s="210"/>
      <c r="L820" s="210"/>
      <c r="M820" s="210"/>
      <c r="N820" s="210"/>
      <c r="O820" s="210"/>
      <c r="P820" s="210"/>
      <c r="Q820" s="210"/>
      <c r="R820" s="210"/>
      <c r="S820" s="210"/>
      <c r="T820" s="210"/>
      <c r="U820" s="210"/>
      <c r="V820" s="210"/>
      <c r="W820" s="210"/>
      <c r="X820" s="210"/>
      <c r="Y820" s="210"/>
      <c r="Z820" s="210"/>
    </row>
    <row r="821" ht="21.75" customHeight="1">
      <c r="A821" s="214"/>
      <c r="B821" s="221"/>
      <c r="C821" s="222">
        <v>205.0</v>
      </c>
      <c r="D821" s="223" t="s">
        <v>1076</v>
      </c>
      <c r="E821" s="223" t="s">
        <v>539</v>
      </c>
      <c r="F821" s="223" t="s">
        <v>564</v>
      </c>
      <c r="G821" s="218" t="s">
        <v>490</v>
      </c>
      <c r="H821" s="225" t="s">
        <v>1284</v>
      </c>
      <c r="I821" s="208"/>
      <c r="J821" s="210"/>
      <c r="K821" s="210"/>
      <c r="L821" s="210"/>
      <c r="M821" s="210"/>
      <c r="N821" s="210"/>
      <c r="O821" s="210"/>
      <c r="P821" s="210"/>
      <c r="Q821" s="210"/>
      <c r="R821" s="210"/>
      <c r="S821" s="210"/>
      <c r="T821" s="210"/>
      <c r="U821" s="210"/>
      <c r="V821" s="210"/>
      <c r="W821" s="210"/>
      <c r="X821" s="210"/>
      <c r="Y821" s="210"/>
      <c r="Z821" s="210"/>
    </row>
    <row r="822" ht="21.75" customHeight="1">
      <c r="A822" s="214"/>
      <c r="B822" s="221"/>
      <c r="C822" s="222">
        <v>206.0</v>
      </c>
      <c r="D822" s="223" t="s">
        <v>1285</v>
      </c>
      <c r="E822" s="223" t="s">
        <v>504</v>
      </c>
      <c r="F822" s="223" t="s">
        <v>1160</v>
      </c>
      <c r="G822" s="218" t="s">
        <v>490</v>
      </c>
      <c r="H822" s="225" t="s">
        <v>1286</v>
      </c>
      <c r="I822" s="208"/>
      <c r="J822" s="210"/>
      <c r="K822" s="210"/>
      <c r="L822" s="210"/>
      <c r="M822" s="210"/>
      <c r="N822" s="210"/>
      <c r="O822" s="210"/>
      <c r="P822" s="210"/>
      <c r="Q822" s="210"/>
      <c r="R822" s="210"/>
      <c r="S822" s="210"/>
      <c r="T822" s="210"/>
      <c r="U822" s="210"/>
      <c r="V822" s="210"/>
      <c r="W822" s="210"/>
      <c r="X822" s="210"/>
      <c r="Y822" s="210"/>
      <c r="Z822" s="210"/>
    </row>
    <row r="823" ht="21.75" customHeight="1">
      <c r="A823" s="214"/>
      <c r="B823" s="221"/>
      <c r="C823" s="222">
        <v>207.0</v>
      </c>
      <c r="D823" s="223" t="s">
        <v>1076</v>
      </c>
      <c r="E823" s="223" t="s">
        <v>539</v>
      </c>
      <c r="F823" s="223" t="s">
        <v>567</v>
      </c>
      <c r="G823" s="218" t="s">
        <v>490</v>
      </c>
      <c r="H823" s="225" t="s">
        <v>1287</v>
      </c>
      <c r="I823" s="208"/>
      <c r="J823" s="210"/>
      <c r="K823" s="210"/>
      <c r="L823" s="210"/>
      <c r="M823" s="210"/>
      <c r="N823" s="210"/>
      <c r="O823" s="210"/>
      <c r="P823" s="210"/>
      <c r="Q823" s="210"/>
      <c r="R823" s="210"/>
      <c r="S823" s="210"/>
      <c r="T823" s="210"/>
      <c r="U823" s="210"/>
      <c r="V823" s="210"/>
      <c r="W823" s="210"/>
      <c r="X823" s="210"/>
      <c r="Y823" s="210"/>
      <c r="Z823" s="210"/>
    </row>
    <row r="824" ht="21.75" customHeight="1">
      <c r="A824" s="214"/>
      <c r="B824" s="221"/>
      <c r="C824" s="222">
        <v>208.0</v>
      </c>
      <c r="D824" s="223" t="s">
        <v>1288</v>
      </c>
      <c r="E824" s="223" t="s">
        <v>504</v>
      </c>
      <c r="F824" s="223" t="s">
        <v>1158</v>
      </c>
      <c r="G824" s="218" t="s">
        <v>490</v>
      </c>
      <c r="H824" s="225" t="s">
        <v>1289</v>
      </c>
      <c r="I824" s="208"/>
      <c r="J824" s="210"/>
      <c r="K824" s="210"/>
      <c r="L824" s="210"/>
      <c r="M824" s="210"/>
      <c r="N824" s="210"/>
      <c r="O824" s="210"/>
      <c r="P824" s="210"/>
      <c r="Q824" s="210"/>
      <c r="R824" s="210"/>
      <c r="S824" s="210"/>
      <c r="T824" s="210"/>
      <c r="U824" s="210"/>
      <c r="V824" s="210"/>
      <c r="W824" s="210"/>
      <c r="X824" s="210"/>
      <c r="Y824" s="210"/>
      <c r="Z824" s="210"/>
    </row>
    <row r="825" ht="21.75" customHeight="1">
      <c r="A825" s="214"/>
      <c r="B825" s="221"/>
      <c r="C825" s="222">
        <v>209.0</v>
      </c>
      <c r="D825" s="223" t="s">
        <v>1076</v>
      </c>
      <c r="E825" s="223" t="s">
        <v>539</v>
      </c>
      <c r="F825" s="223" t="s">
        <v>574</v>
      </c>
      <c r="G825" s="218" t="s">
        <v>490</v>
      </c>
      <c r="H825" s="225" t="s">
        <v>1290</v>
      </c>
      <c r="I825" s="208"/>
      <c r="J825" s="210"/>
      <c r="K825" s="210"/>
      <c r="L825" s="210"/>
      <c r="M825" s="210"/>
      <c r="N825" s="210"/>
      <c r="O825" s="210"/>
      <c r="P825" s="210"/>
      <c r="Q825" s="210"/>
      <c r="R825" s="210"/>
      <c r="S825" s="210"/>
      <c r="T825" s="210"/>
      <c r="U825" s="210"/>
      <c r="V825" s="210"/>
      <c r="W825" s="210"/>
      <c r="X825" s="210"/>
      <c r="Y825" s="210"/>
      <c r="Z825" s="210"/>
    </row>
    <row r="826" ht="21.75" customHeight="1">
      <c r="A826" s="214"/>
      <c r="B826" s="221"/>
      <c r="C826" s="222">
        <v>210.0</v>
      </c>
      <c r="D826" s="223" t="s">
        <v>1288</v>
      </c>
      <c r="E826" s="223" t="s">
        <v>504</v>
      </c>
      <c r="F826" s="223" t="s">
        <v>1291</v>
      </c>
      <c r="G826" s="218" t="s">
        <v>490</v>
      </c>
      <c r="H826" s="225" t="s">
        <v>1292</v>
      </c>
      <c r="I826" s="208"/>
      <c r="J826" s="210"/>
      <c r="K826" s="210"/>
      <c r="L826" s="210"/>
      <c r="M826" s="210"/>
      <c r="N826" s="210"/>
      <c r="O826" s="210"/>
      <c r="P826" s="210"/>
      <c r="Q826" s="210"/>
      <c r="R826" s="210"/>
      <c r="S826" s="210"/>
      <c r="T826" s="210"/>
      <c r="U826" s="210"/>
      <c r="V826" s="210"/>
      <c r="W826" s="210"/>
      <c r="X826" s="210"/>
      <c r="Y826" s="210"/>
      <c r="Z826" s="210"/>
    </row>
    <row r="827" ht="21.75" customHeight="1">
      <c r="A827" s="214"/>
      <c r="B827" s="221"/>
      <c r="C827" s="222">
        <v>211.0</v>
      </c>
      <c r="D827" s="223" t="s">
        <v>1076</v>
      </c>
      <c r="E827" s="223" t="s">
        <v>539</v>
      </c>
      <c r="F827" s="223" t="s">
        <v>586</v>
      </c>
      <c r="G827" s="218" t="s">
        <v>490</v>
      </c>
      <c r="H827" s="225" t="s">
        <v>1293</v>
      </c>
      <c r="I827" s="208"/>
      <c r="J827" s="210"/>
      <c r="K827" s="210"/>
      <c r="L827" s="210"/>
      <c r="M827" s="210"/>
      <c r="N827" s="210"/>
      <c r="O827" s="210"/>
      <c r="P827" s="210"/>
      <c r="Q827" s="210"/>
      <c r="R827" s="210"/>
      <c r="S827" s="210"/>
      <c r="T827" s="210"/>
      <c r="U827" s="210"/>
      <c r="V827" s="210"/>
      <c r="W827" s="210"/>
      <c r="X827" s="210"/>
      <c r="Y827" s="210"/>
      <c r="Z827" s="210"/>
    </row>
    <row r="828" ht="21.75" customHeight="1">
      <c r="A828" s="214"/>
      <c r="B828" s="221"/>
      <c r="C828" s="222">
        <v>212.0</v>
      </c>
      <c r="D828" s="223" t="s">
        <v>1288</v>
      </c>
      <c r="E828" s="223" t="s">
        <v>504</v>
      </c>
      <c r="F828" s="223" t="s">
        <v>1294</v>
      </c>
      <c r="G828" s="218" t="s">
        <v>490</v>
      </c>
      <c r="H828" s="225" t="s">
        <v>1295</v>
      </c>
      <c r="I828" s="208"/>
      <c r="J828" s="210"/>
      <c r="K828" s="210"/>
      <c r="L828" s="210"/>
      <c r="M828" s="210"/>
      <c r="N828" s="210"/>
      <c r="O828" s="210"/>
      <c r="P828" s="210"/>
      <c r="Q828" s="210"/>
      <c r="R828" s="210"/>
      <c r="S828" s="210"/>
      <c r="T828" s="210"/>
      <c r="U828" s="210"/>
      <c r="V828" s="210"/>
      <c r="W828" s="210"/>
      <c r="X828" s="210"/>
      <c r="Y828" s="210"/>
      <c r="Z828" s="210"/>
    </row>
    <row r="829" ht="21.75" customHeight="1">
      <c r="A829" s="214"/>
      <c r="B829" s="221"/>
      <c r="C829" s="222">
        <v>213.0</v>
      </c>
      <c r="D829" s="223" t="s">
        <v>1076</v>
      </c>
      <c r="E829" s="223" t="s">
        <v>539</v>
      </c>
      <c r="F829" s="223" t="s">
        <v>597</v>
      </c>
      <c r="G829" s="218" t="s">
        <v>490</v>
      </c>
      <c r="H829" s="225" t="s">
        <v>1296</v>
      </c>
      <c r="I829" s="208"/>
      <c r="J829" s="210"/>
      <c r="K829" s="210"/>
      <c r="L829" s="210"/>
      <c r="M829" s="210"/>
      <c r="N829" s="210"/>
      <c r="O829" s="210"/>
      <c r="P829" s="210"/>
      <c r="Q829" s="210"/>
      <c r="R829" s="210"/>
      <c r="S829" s="210"/>
      <c r="T829" s="210"/>
      <c r="U829" s="210"/>
      <c r="V829" s="210"/>
      <c r="W829" s="210"/>
      <c r="X829" s="210"/>
      <c r="Y829" s="210"/>
      <c r="Z829" s="210"/>
    </row>
    <row r="830" ht="21.75" customHeight="1">
      <c r="A830" s="214"/>
      <c r="B830" s="221"/>
      <c r="C830" s="222">
        <v>214.0</v>
      </c>
      <c r="D830" s="223" t="s">
        <v>1288</v>
      </c>
      <c r="E830" s="223" t="s">
        <v>504</v>
      </c>
      <c r="F830" s="223" t="s">
        <v>1297</v>
      </c>
      <c r="G830" s="218" t="s">
        <v>490</v>
      </c>
      <c r="H830" s="225" t="s">
        <v>1298</v>
      </c>
      <c r="I830" s="208"/>
      <c r="J830" s="210"/>
      <c r="K830" s="210"/>
      <c r="L830" s="210"/>
      <c r="M830" s="210"/>
      <c r="N830" s="210"/>
      <c r="O830" s="210"/>
      <c r="P830" s="210"/>
      <c r="Q830" s="210"/>
      <c r="R830" s="210"/>
      <c r="S830" s="210"/>
      <c r="T830" s="210"/>
      <c r="U830" s="210"/>
      <c r="V830" s="210"/>
      <c r="W830" s="210"/>
      <c r="X830" s="210"/>
      <c r="Y830" s="210"/>
      <c r="Z830" s="210"/>
    </row>
    <row r="831" ht="21.75" customHeight="1">
      <c r="A831" s="214"/>
      <c r="B831" s="221"/>
      <c r="C831" s="222">
        <v>215.0</v>
      </c>
      <c r="D831" s="223" t="s">
        <v>1076</v>
      </c>
      <c r="E831" s="223" t="s">
        <v>539</v>
      </c>
      <c r="F831" s="223" t="s">
        <v>570</v>
      </c>
      <c r="G831" s="218" t="s">
        <v>490</v>
      </c>
      <c r="H831" s="225" t="s">
        <v>1299</v>
      </c>
      <c r="I831" s="208"/>
      <c r="J831" s="210"/>
      <c r="K831" s="210"/>
      <c r="L831" s="210"/>
      <c r="M831" s="210"/>
      <c r="N831" s="210"/>
      <c r="O831" s="210"/>
      <c r="P831" s="210"/>
      <c r="Q831" s="210"/>
      <c r="R831" s="210"/>
      <c r="S831" s="210"/>
      <c r="T831" s="210"/>
      <c r="U831" s="210"/>
      <c r="V831" s="210"/>
      <c r="W831" s="210"/>
      <c r="X831" s="210"/>
      <c r="Y831" s="210"/>
      <c r="Z831" s="210"/>
    </row>
    <row r="832" ht="21.75" customHeight="1">
      <c r="A832" s="214"/>
      <c r="B832" s="221"/>
      <c r="C832" s="222">
        <v>216.0</v>
      </c>
      <c r="D832" s="223" t="s">
        <v>1288</v>
      </c>
      <c r="E832" s="223" t="s">
        <v>504</v>
      </c>
      <c r="F832" s="223" t="s">
        <v>1300</v>
      </c>
      <c r="G832" s="218" t="s">
        <v>490</v>
      </c>
      <c r="H832" s="225" t="s">
        <v>1301</v>
      </c>
      <c r="I832" s="208"/>
      <c r="J832" s="210"/>
      <c r="K832" s="210"/>
      <c r="L832" s="210"/>
      <c r="M832" s="210"/>
      <c r="N832" s="210"/>
      <c r="O832" s="210"/>
      <c r="P832" s="210"/>
      <c r="Q832" s="210"/>
      <c r="R832" s="210"/>
      <c r="S832" s="210"/>
      <c r="T832" s="210"/>
      <c r="U832" s="210"/>
      <c r="V832" s="210"/>
      <c r="W832" s="210"/>
      <c r="X832" s="210"/>
      <c r="Y832" s="210"/>
      <c r="Z832" s="210"/>
    </row>
    <row r="833" ht="21.75" customHeight="1">
      <c r="A833" s="214"/>
      <c r="B833" s="221"/>
      <c r="C833" s="222">
        <v>217.0</v>
      </c>
      <c r="D833" s="223" t="s">
        <v>1076</v>
      </c>
      <c r="E833" s="223" t="s">
        <v>539</v>
      </c>
      <c r="F833" s="223" t="s">
        <v>761</v>
      </c>
      <c r="G833" s="218" t="s">
        <v>490</v>
      </c>
      <c r="H833" s="225" t="s">
        <v>1302</v>
      </c>
      <c r="I833" s="208"/>
      <c r="J833" s="210"/>
      <c r="K833" s="210"/>
      <c r="L833" s="210"/>
      <c r="M833" s="210"/>
      <c r="N833" s="210"/>
      <c r="O833" s="210"/>
      <c r="P833" s="210"/>
      <c r="Q833" s="210"/>
      <c r="R833" s="210"/>
      <c r="S833" s="210"/>
      <c r="T833" s="210"/>
      <c r="U833" s="210"/>
      <c r="V833" s="210"/>
      <c r="W833" s="210"/>
      <c r="X833" s="210"/>
      <c r="Y833" s="210"/>
      <c r="Z833" s="210"/>
    </row>
    <row r="834" ht="21.75" customHeight="1">
      <c r="A834" s="214"/>
      <c r="B834" s="217"/>
      <c r="C834" s="222">
        <v>300.0</v>
      </c>
      <c r="D834" s="215" t="s">
        <v>1303</v>
      </c>
      <c r="E834" s="215" t="s">
        <v>508</v>
      </c>
      <c r="F834" s="215" t="s">
        <v>509</v>
      </c>
      <c r="G834" s="215" t="s">
        <v>510</v>
      </c>
      <c r="H834" s="225" t="s">
        <v>1304</v>
      </c>
      <c r="I834" s="208"/>
      <c r="J834" s="210"/>
      <c r="K834" s="210"/>
      <c r="L834" s="210"/>
      <c r="M834" s="210"/>
      <c r="N834" s="210"/>
      <c r="O834" s="210"/>
      <c r="P834" s="210"/>
      <c r="Q834" s="210"/>
      <c r="R834" s="210"/>
      <c r="S834" s="210"/>
      <c r="T834" s="210"/>
      <c r="U834" s="210"/>
      <c r="V834" s="210"/>
      <c r="W834" s="210"/>
      <c r="X834" s="210"/>
      <c r="Y834" s="210"/>
      <c r="Z834" s="210"/>
    </row>
    <row r="835" ht="21.75" customHeight="1">
      <c r="A835" s="214"/>
      <c r="B835" s="218" t="s">
        <v>1305</v>
      </c>
      <c r="C835" s="226">
        <v>50535.0</v>
      </c>
      <c r="D835" s="220"/>
      <c r="E835" s="220"/>
      <c r="F835" s="220"/>
      <c r="G835" s="220"/>
      <c r="H835" s="221"/>
      <c r="I835" s="208"/>
      <c r="J835" s="210"/>
      <c r="K835" s="210"/>
      <c r="L835" s="210"/>
      <c r="M835" s="210"/>
      <c r="N835" s="210"/>
      <c r="O835" s="210"/>
      <c r="P835" s="210"/>
      <c r="Q835" s="210"/>
      <c r="R835" s="210"/>
      <c r="S835" s="210"/>
      <c r="T835" s="210"/>
      <c r="U835" s="210"/>
      <c r="V835" s="210"/>
      <c r="W835" s="210"/>
      <c r="X835" s="210"/>
      <c r="Y835" s="210"/>
      <c r="Z835" s="210"/>
    </row>
    <row r="836" ht="21.75" customHeight="1">
      <c r="A836" s="214"/>
      <c r="B836" s="221"/>
      <c r="C836" s="222">
        <v>100.0</v>
      </c>
      <c r="D836" s="223" t="s">
        <v>486</v>
      </c>
      <c r="E836" s="223" t="s">
        <v>487</v>
      </c>
      <c r="F836" s="223" t="s">
        <v>488</v>
      </c>
      <c r="G836" s="223" t="s">
        <v>489</v>
      </c>
      <c r="H836" s="224" t="s">
        <v>490</v>
      </c>
      <c r="I836" s="208"/>
      <c r="J836" s="210"/>
      <c r="K836" s="210"/>
      <c r="L836" s="210"/>
      <c r="M836" s="210"/>
      <c r="N836" s="210"/>
      <c r="O836" s="210"/>
      <c r="P836" s="210"/>
      <c r="Q836" s="210"/>
      <c r="R836" s="210"/>
      <c r="S836" s="210"/>
      <c r="T836" s="210"/>
      <c r="U836" s="210"/>
      <c r="V836" s="210"/>
      <c r="W836" s="210"/>
      <c r="X836" s="210"/>
      <c r="Y836" s="210"/>
      <c r="Z836" s="210"/>
    </row>
    <row r="837" ht="21.75" customHeight="1">
      <c r="A837" s="214"/>
      <c r="B837" s="221"/>
      <c r="C837" s="222">
        <v>101.0</v>
      </c>
      <c r="D837" s="223" t="s">
        <v>663</v>
      </c>
      <c r="E837" s="223" t="s">
        <v>504</v>
      </c>
      <c r="F837" s="223" t="s">
        <v>505</v>
      </c>
      <c r="G837" s="218" t="s">
        <v>490</v>
      </c>
      <c r="H837" s="225" t="s">
        <v>1306</v>
      </c>
      <c r="I837" s="208"/>
      <c r="J837" s="210"/>
      <c r="K837" s="210"/>
      <c r="L837" s="210"/>
      <c r="M837" s="210"/>
      <c r="N837" s="210"/>
      <c r="O837" s="210"/>
      <c r="P837" s="210"/>
      <c r="Q837" s="210"/>
      <c r="R837" s="210"/>
      <c r="S837" s="210"/>
      <c r="T837" s="210"/>
      <c r="U837" s="210"/>
      <c r="V837" s="210"/>
      <c r="W837" s="210"/>
      <c r="X837" s="210"/>
      <c r="Y837" s="210"/>
      <c r="Z837" s="210"/>
    </row>
    <row r="838" ht="21.75" customHeight="1">
      <c r="A838" s="214"/>
      <c r="B838" s="221"/>
      <c r="C838" s="222">
        <v>102.0</v>
      </c>
      <c r="D838" s="223" t="s">
        <v>1257</v>
      </c>
      <c r="E838" s="223" t="s">
        <v>487</v>
      </c>
      <c r="F838" s="223" t="s">
        <v>674</v>
      </c>
      <c r="G838" s="218" t="s">
        <v>490</v>
      </c>
      <c r="H838" s="224" t="s">
        <v>490</v>
      </c>
      <c r="I838" s="208"/>
      <c r="J838" s="210"/>
      <c r="K838" s="210"/>
      <c r="L838" s="210"/>
      <c r="M838" s="210"/>
      <c r="N838" s="210"/>
      <c r="O838" s="210"/>
      <c r="P838" s="210"/>
      <c r="Q838" s="210"/>
      <c r="R838" s="210"/>
      <c r="S838" s="210"/>
      <c r="T838" s="210"/>
      <c r="U838" s="210"/>
      <c r="V838" s="210"/>
      <c r="W838" s="210"/>
      <c r="X838" s="210"/>
      <c r="Y838" s="210"/>
      <c r="Z838" s="210"/>
    </row>
    <row r="839" ht="21.75" customHeight="1">
      <c r="A839" s="214"/>
      <c r="B839" s="221"/>
      <c r="C839" s="222">
        <v>103.0</v>
      </c>
      <c r="D839" s="223" t="s">
        <v>663</v>
      </c>
      <c r="E839" s="223" t="s">
        <v>487</v>
      </c>
      <c r="F839" s="223" t="s">
        <v>605</v>
      </c>
      <c r="G839" s="223" t="s">
        <v>602</v>
      </c>
      <c r="H839" s="224" t="s">
        <v>490</v>
      </c>
      <c r="I839" s="208"/>
      <c r="J839" s="210"/>
      <c r="K839" s="210"/>
      <c r="L839" s="210"/>
      <c r="M839" s="210"/>
      <c r="N839" s="210"/>
      <c r="O839" s="210"/>
      <c r="P839" s="210"/>
      <c r="Q839" s="210"/>
      <c r="R839" s="210"/>
      <c r="S839" s="210"/>
      <c r="T839" s="210"/>
      <c r="U839" s="210"/>
      <c r="V839" s="210"/>
      <c r="W839" s="210"/>
      <c r="X839" s="210"/>
      <c r="Y839" s="210"/>
      <c r="Z839" s="210"/>
    </row>
    <row r="840" ht="21.75" customHeight="1">
      <c r="A840" s="214"/>
      <c r="B840" s="221"/>
      <c r="C840" s="222">
        <v>104.0</v>
      </c>
      <c r="D840" s="223" t="s">
        <v>499</v>
      </c>
      <c r="E840" s="223" t="s">
        <v>487</v>
      </c>
      <c r="F840" s="223" t="s">
        <v>496</v>
      </c>
      <c r="G840" s="223" t="s">
        <v>501</v>
      </c>
      <c r="H840" s="225" t="s">
        <v>1307</v>
      </c>
      <c r="I840" s="208"/>
      <c r="J840" s="210"/>
      <c r="K840" s="210"/>
      <c r="L840" s="210"/>
      <c r="M840" s="210"/>
      <c r="N840" s="210"/>
      <c r="O840" s="210"/>
      <c r="P840" s="210"/>
      <c r="Q840" s="210"/>
      <c r="R840" s="210"/>
      <c r="S840" s="210"/>
      <c r="T840" s="210"/>
      <c r="U840" s="210"/>
      <c r="V840" s="210"/>
      <c r="W840" s="210"/>
      <c r="X840" s="210"/>
      <c r="Y840" s="210"/>
      <c r="Z840" s="210"/>
    </row>
    <row r="841" ht="21.75" customHeight="1">
      <c r="A841" s="214"/>
      <c r="B841" s="221"/>
      <c r="C841" s="222">
        <v>105.0</v>
      </c>
      <c r="D841" s="223" t="s">
        <v>495</v>
      </c>
      <c r="E841" s="223" t="s">
        <v>487</v>
      </c>
      <c r="F841" s="223" t="s">
        <v>500</v>
      </c>
      <c r="G841" s="223" t="s">
        <v>497</v>
      </c>
      <c r="H841" s="225" t="s">
        <v>1308</v>
      </c>
      <c r="I841" s="208"/>
      <c r="J841" s="210"/>
      <c r="K841" s="210"/>
      <c r="L841" s="210"/>
      <c r="M841" s="210"/>
      <c r="N841" s="210"/>
      <c r="O841" s="210"/>
      <c r="P841" s="210"/>
      <c r="Q841" s="210"/>
      <c r="R841" s="210"/>
      <c r="S841" s="210"/>
      <c r="T841" s="210"/>
      <c r="U841" s="210"/>
      <c r="V841" s="210"/>
      <c r="W841" s="210"/>
      <c r="X841" s="210"/>
      <c r="Y841" s="210"/>
      <c r="Z841" s="210"/>
    </row>
    <row r="842" ht="21.75" customHeight="1">
      <c r="A842" s="214"/>
      <c r="B842" s="221"/>
      <c r="C842" s="222">
        <v>106.0</v>
      </c>
      <c r="D842" s="223" t="s">
        <v>1260</v>
      </c>
      <c r="E842" s="223" t="s">
        <v>487</v>
      </c>
      <c r="F842" s="223" t="s">
        <v>512</v>
      </c>
      <c r="G842" s="223" t="s">
        <v>493</v>
      </c>
      <c r="H842" s="225" t="s">
        <v>1309</v>
      </c>
      <c r="I842" s="208"/>
      <c r="J842" s="210"/>
      <c r="K842" s="210"/>
      <c r="L842" s="210"/>
      <c r="M842" s="210"/>
      <c r="N842" s="210"/>
      <c r="O842" s="210"/>
      <c r="P842" s="210"/>
      <c r="Q842" s="210"/>
      <c r="R842" s="210"/>
      <c r="S842" s="210"/>
      <c r="T842" s="210"/>
      <c r="U842" s="210"/>
      <c r="V842" s="210"/>
      <c r="W842" s="210"/>
      <c r="X842" s="210"/>
      <c r="Y842" s="210"/>
      <c r="Z842" s="210"/>
    </row>
    <row r="843" ht="21.75" customHeight="1">
      <c r="A843" s="214"/>
      <c r="B843" s="221"/>
      <c r="C843" s="222">
        <v>107.0</v>
      </c>
      <c r="D843" s="223" t="s">
        <v>1262</v>
      </c>
      <c r="E843" s="223" t="s">
        <v>487</v>
      </c>
      <c r="F843" s="223" t="s">
        <v>532</v>
      </c>
      <c r="G843" s="223" t="s">
        <v>526</v>
      </c>
      <c r="H843" s="225" t="s">
        <v>1310</v>
      </c>
      <c r="I843" s="208"/>
      <c r="J843" s="210"/>
      <c r="K843" s="210"/>
      <c r="L843" s="210"/>
      <c r="M843" s="210"/>
      <c r="N843" s="210"/>
      <c r="O843" s="210"/>
      <c r="P843" s="210"/>
      <c r="Q843" s="210"/>
      <c r="R843" s="210"/>
      <c r="S843" s="210"/>
      <c r="T843" s="210"/>
      <c r="U843" s="210"/>
      <c r="V843" s="210"/>
      <c r="W843" s="210"/>
      <c r="X843" s="210"/>
      <c r="Y843" s="210"/>
      <c r="Z843" s="210"/>
    </row>
    <row r="844" ht="21.75" customHeight="1">
      <c r="A844" s="214"/>
      <c r="B844" s="221"/>
      <c r="C844" s="222">
        <v>108.0</v>
      </c>
      <c r="D844" s="223" t="s">
        <v>1264</v>
      </c>
      <c r="E844" s="223" t="s">
        <v>487</v>
      </c>
      <c r="F844" s="223" t="s">
        <v>590</v>
      </c>
      <c r="G844" s="223" t="s">
        <v>513</v>
      </c>
      <c r="H844" s="225" t="s">
        <v>1311</v>
      </c>
      <c r="I844" s="208"/>
      <c r="J844" s="210"/>
      <c r="K844" s="210"/>
      <c r="L844" s="210"/>
      <c r="M844" s="210"/>
      <c r="N844" s="210"/>
      <c r="O844" s="210"/>
      <c r="P844" s="210"/>
      <c r="Q844" s="210"/>
      <c r="R844" s="210"/>
      <c r="S844" s="210"/>
      <c r="T844" s="210"/>
      <c r="U844" s="210"/>
      <c r="V844" s="210"/>
      <c r="W844" s="210"/>
      <c r="X844" s="210"/>
      <c r="Y844" s="210"/>
      <c r="Z844" s="210"/>
    </row>
    <row r="845" ht="21.75" customHeight="1">
      <c r="A845" s="214"/>
      <c r="B845" s="221"/>
      <c r="C845" s="222">
        <v>109.0</v>
      </c>
      <c r="D845" s="223" t="s">
        <v>1266</v>
      </c>
      <c r="E845" s="223" t="s">
        <v>487</v>
      </c>
      <c r="F845" s="223" t="s">
        <v>603</v>
      </c>
      <c r="G845" s="223" t="s">
        <v>594</v>
      </c>
      <c r="H845" s="225" t="s">
        <v>1312</v>
      </c>
      <c r="I845" s="208"/>
      <c r="J845" s="210"/>
      <c r="K845" s="210"/>
      <c r="L845" s="210"/>
      <c r="M845" s="210"/>
      <c r="N845" s="210"/>
      <c r="O845" s="210"/>
      <c r="P845" s="210"/>
      <c r="Q845" s="210"/>
      <c r="R845" s="210"/>
      <c r="S845" s="210"/>
      <c r="T845" s="210"/>
      <c r="U845" s="210"/>
      <c r="V845" s="210"/>
      <c r="W845" s="210"/>
      <c r="X845" s="210"/>
      <c r="Y845" s="210"/>
      <c r="Z845" s="210"/>
    </row>
    <row r="846" ht="21.75" customHeight="1">
      <c r="A846" s="214"/>
      <c r="B846" s="221"/>
      <c r="C846" s="222">
        <v>110.0</v>
      </c>
      <c r="D846" s="223" t="s">
        <v>1268</v>
      </c>
      <c r="E846" s="223" t="s">
        <v>487</v>
      </c>
      <c r="F846" s="223" t="s">
        <v>579</v>
      </c>
      <c r="G846" s="223" t="s">
        <v>606</v>
      </c>
      <c r="H846" s="225" t="s">
        <v>1313</v>
      </c>
      <c r="I846" s="208"/>
      <c r="J846" s="210"/>
      <c r="K846" s="210"/>
      <c r="L846" s="210"/>
      <c r="M846" s="210"/>
      <c r="N846" s="210"/>
      <c r="O846" s="210"/>
      <c r="P846" s="210"/>
      <c r="Q846" s="210"/>
      <c r="R846" s="210"/>
      <c r="S846" s="210"/>
      <c r="T846" s="210"/>
      <c r="U846" s="210"/>
      <c r="V846" s="210"/>
      <c r="W846" s="210"/>
      <c r="X846" s="210"/>
      <c r="Y846" s="210"/>
      <c r="Z846" s="210"/>
    </row>
    <row r="847" ht="21.75" customHeight="1">
      <c r="A847" s="214"/>
      <c r="B847" s="221"/>
      <c r="C847" s="222">
        <v>111.0</v>
      </c>
      <c r="D847" s="223" t="s">
        <v>1270</v>
      </c>
      <c r="E847" s="223" t="s">
        <v>487</v>
      </c>
      <c r="F847" s="223" t="s">
        <v>583</v>
      </c>
      <c r="G847" s="223" t="s">
        <v>580</v>
      </c>
      <c r="H847" s="225" t="s">
        <v>1314</v>
      </c>
      <c r="I847" s="208"/>
      <c r="J847" s="210"/>
      <c r="K847" s="210"/>
      <c r="L847" s="210"/>
      <c r="M847" s="210"/>
      <c r="N847" s="210"/>
      <c r="O847" s="210"/>
      <c r="P847" s="210"/>
      <c r="Q847" s="210"/>
      <c r="R847" s="210"/>
      <c r="S847" s="210"/>
      <c r="T847" s="210"/>
      <c r="U847" s="210"/>
      <c r="V847" s="210"/>
      <c r="W847" s="210"/>
      <c r="X847" s="210"/>
      <c r="Y847" s="210"/>
      <c r="Z847" s="210"/>
    </row>
    <row r="848" ht="21.75" customHeight="1">
      <c r="A848" s="214"/>
      <c r="B848" s="221"/>
      <c r="C848" s="222">
        <v>112.0</v>
      </c>
      <c r="D848" s="223" t="s">
        <v>1270</v>
      </c>
      <c r="E848" s="223" t="s">
        <v>487</v>
      </c>
      <c r="F848" s="223" t="s">
        <v>601</v>
      </c>
      <c r="G848" s="223" t="s">
        <v>561</v>
      </c>
      <c r="H848" s="225" t="s">
        <v>1315</v>
      </c>
      <c r="I848" s="208"/>
      <c r="J848" s="210"/>
      <c r="K848" s="210"/>
      <c r="L848" s="210"/>
      <c r="M848" s="210"/>
      <c r="N848" s="210"/>
      <c r="O848" s="210"/>
      <c r="P848" s="210"/>
      <c r="Q848" s="210"/>
      <c r="R848" s="210"/>
      <c r="S848" s="210"/>
      <c r="T848" s="210"/>
      <c r="U848" s="210"/>
      <c r="V848" s="210"/>
      <c r="W848" s="210"/>
      <c r="X848" s="210"/>
      <c r="Y848" s="210"/>
      <c r="Z848" s="210"/>
    </row>
    <row r="849" ht="21.75" customHeight="1">
      <c r="A849" s="214"/>
      <c r="B849" s="221"/>
      <c r="C849" s="222">
        <v>113.0</v>
      </c>
      <c r="D849" s="223" t="s">
        <v>1270</v>
      </c>
      <c r="E849" s="223" t="s">
        <v>487</v>
      </c>
      <c r="F849" s="223" t="s">
        <v>560</v>
      </c>
      <c r="G849" s="223" t="s">
        <v>591</v>
      </c>
      <c r="H849" s="225" t="s">
        <v>1316</v>
      </c>
      <c r="I849" s="208"/>
      <c r="J849" s="210"/>
      <c r="K849" s="210"/>
      <c r="L849" s="210"/>
      <c r="M849" s="210"/>
      <c r="N849" s="210"/>
      <c r="O849" s="210"/>
      <c r="P849" s="210"/>
      <c r="Q849" s="210"/>
      <c r="R849" s="210"/>
      <c r="S849" s="210"/>
      <c r="T849" s="210"/>
      <c r="U849" s="210"/>
      <c r="V849" s="210"/>
      <c r="W849" s="210"/>
      <c r="X849" s="210"/>
      <c r="Y849" s="210"/>
      <c r="Z849" s="210"/>
    </row>
    <row r="850" ht="21.75" customHeight="1">
      <c r="A850" s="214"/>
      <c r="B850" s="221"/>
      <c r="C850" s="222">
        <v>114.0</v>
      </c>
      <c r="D850" s="223" t="s">
        <v>1270</v>
      </c>
      <c r="E850" s="223" t="s">
        <v>487</v>
      </c>
      <c r="F850" s="223" t="s">
        <v>613</v>
      </c>
      <c r="G850" s="223" t="s">
        <v>608</v>
      </c>
      <c r="H850" s="225" t="s">
        <v>1317</v>
      </c>
      <c r="I850" s="208"/>
      <c r="J850" s="210"/>
      <c r="K850" s="210"/>
      <c r="L850" s="210"/>
      <c r="M850" s="210"/>
      <c r="N850" s="210"/>
      <c r="O850" s="210"/>
      <c r="P850" s="210"/>
      <c r="Q850" s="210"/>
      <c r="R850" s="210"/>
      <c r="S850" s="210"/>
      <c r="T850" s="210"/>
      <c r="U850" s="210"/>
      <c r="V850" s="210"/>
      <c r="W850" s="210"/>
      <c r="X850" s="210"/>
      <c r="Y850" s="210"/>
      <c r="Z850" s="210"/>
    </row>
    <row r="851" ht="21.75" customHeight="1">
      <c r="A851" s="214"/>
      <c r="B851" s="221"/>
      <c r="C851" s="222">
        <v>115.0</v>
      </c>
      <c r="D851" s="223" t="s">
        <v>1270</v>
      </c>
      <c r="E851" s="223" t="s">
        <v>487</v>
      </c>
      <c r="F851" s="223" t="s">
        <v>593</v>
      </c>
      <c r="G851" s="223" t="s">
        <v>644</v>
      </c>
      <c r="H851" s="225" t="s">
        <v>1318</v>
      </c>
      <c r="I851" s="208"/>
      <c r="J851" s="210"/>
      <c r="K851" s="210"/>
      <c r="L851" s="210"/>
      <c r="M851" s="210"/>
      <c r="N851" s="210"/>
      <c r="O851" s="210"/>
      <c r="P851" s="210"/>
      <c r="Q851" s="210"/>
      <c r="R851" s="210"/>
      <c r="S851" s="210"/>
      <c r="T851" s="210"/>
      <c r="U851" s="210"/>
      <c r="V851" s="210"/>
      <c r="W851" s="210"/>
      <c r="X851" s="210"/>
      <c r="Y851" s="210"/>
      <c r="Z851" s="210"/>
    </row>
    <row r="852" ht="21.75" customHeight="1">
      <c r="A852" s="214"/>
      <c r="B852" s="221"/>
      <c r="C852" s="222">
        <v>200.0</v>
      </c>
      <c r="D852" s="223" t="s">
        <v>1276</v>
      </c>
      <c r="E852" s="223" t="s">
        <v>504</v>
      </c>
      <c r="F852" s="223" t="s">
        <v>1181</v>
      </c>
      <c r="G852" s="218" t="s">
        <v>490</v>
      </c>
      <c r="H852" s="225" t="s">
        <v>1319</v>
      </c>
      <c r="I852" s="208"/>
      <c r="J852" s="210"/>
      <c r="K852" s="210"/>
      <c r="L852" s="210"/>
      <c r="M852" s="210"/>
      <c r="N852" s="210"/>
      <c r="O852" s="210"/>
      <c r="P852" s="210"/>
      <c r="Q852" s="210"/>
      <c r="R852" s="210"/>
      <c r="S852" s="210"/>
      <c r="T852" s="210"/>
      <c r="U852" s="210"/>
      <c r="V852" s="210"/>
      <c r="W852" s="210"/>
      <c r="X852" s="210"/>
      <c r="Y852" s="210"/>
      <c r="Z852" s="210"/>
    </row>
    <row r="853" ht="21.75" customHeight="1">
      <c r="A853" s="214"/>
      <c r="B853" s="221"/>
      <c r="C853" s="222">
        <v>201.0</v>
      </c>
      <c r="D853" s="223" t="s">
        <v>1076</v>
      </c>
      <c r="E853" s="223" t="s">
        <v>539</v>
      </c>
      <c r="F853" s="223" t="s">
        <v>588</v>
      </c>
      <c r="G853" s="218" t="s">
        <v>490</v>
      </c>
      <c r="H853" s="225" t="s">
        <v>1320</v>
      </c>
      <c r="I853" s="208"/>
      <c r="J853" s="210"/>
      <c r="K853" s="210"/>
      <c r="L853" s="210"/>
      <c r="M853" s="210"/>
      <c r="N853" s="210"/>
      <c r="O853" s="210"/>
      <c r="P853" s="210"/>
      <c r="Q853" s="210"/>
      <c r="R853" s="210"/>
      <c r="S853" s="210"/>
      <c r="T853" s="210"/>
      <c r="U853" s="210"/>
      <c r="V853" s="210"/>
      <c r="W853" s="210"/>
      <c r="X853" s="210"/>
      <c r="Y853" s="210"/>
      <c r="Z853" s="210"/>
    </row>
    <row r="854" ht="21.75" customHeight="1">
      <c r="A854" s="214"/>
      <c r="B854" s="221"/>
      <c r="C854" s="222">
        <v>202.0</v>
      </c>
      <c r="D854" s="223" t="s">
        <v>1279</v>
      </c>
      <c r="E854" s="223" t="s">
        <v>504</v>
      </c>
      <c r="F854" s="223" t="s">
        <v>1173</v>
      </c>
      <c r="G854" s="218" t="s">
        <v>490</v>
      </c>
      <c r="H854" s="225" t="s">
        <v>1321</v>
      </c>
      <c r="I854" s="208"/>
      <c r="J854" s="210"/>
      <c r="K854" s="210"/>
      <c r="L854" s="210"/>
      <c r="M854" s="210"/>
      <c r="N854" s="210"/>
      <c r="O854" s="210"/>
      <c r="P854" s="210"/>
      <c r="Q854" s="210"/>
      <c r="R854" s="210"/>
      <c r="S854" s="210"/>
      <c r="T854" s="210"/>
      <c r="U854" s="210"/>
      <c r="V854" s="210"/>
      <c r="W854" s="210"/>
      <c r="X854" s="210"/>
      <c r="Y854" s="210"/>
      <c r="Z854" s="210"/>
    </row>
    <row r="855" ht="21.75" customHeight="1">
      <c r="A855" s="214"/>
      <c r="B855" s="221"/>
      <c r="C855" s="222">
        <v>203.0</v>
      </c>
      <c r="D855" s="223" t="s">
        <v>1076</v>
      </c>
      <c r="E855" s="223" t="s">
        <v>539</v>
      </c>
      <c r="F855" s="223" t="s">
        <v>599</v>
      </c>
      <c r="G855" s="218" t="s">
        <v>490</v>
      </c>
      <c r="H855" s="225" t="s">
        <v>1322</v>
      </c>
      <c r="I855" s="208"/>
      <c r="J855" s="210"/>
      <c r="K855" s="210"/>
      <c r="L855" s="210"/>
      <c r="M855" s="210"/>
      <c r="N855" s="210"/>
      <c r="O855" s="210"/>
      <c r="P855" s="210"/>
      <c r="Q855" s="210"/>
      <c r="R855" s="210"/>
      <c r="S855" s="210"/>
      <c r="T855" s="210"/>
      <c r="U855" s="210"/>
      <c r="V855" s="210"/>
      <c r="W855" s="210"/>
      <c r="X855" s="210"/>
      <c r="Y855" s="210"/>
      <c r="Z855" s="210"/>
    </row>
    <row r="856" ht="21.75" customHeight="1">
      <c r="A856" s="214"/>
      <c r="B856" s="221"/>
      <c r="C856" s="222">
        <v>204.0</v>
      </c>
      <c r="D856" s="223" t="s">
        <v>1282</v>
      </c>
      <c r="E856" s="223" t="s">
        <v>504</v>
      </c>
      <c r="F856" s="223" t="s">
        <v>1166</v>
      </c>
      <c r="G856" s="218" t="s">
        <v>490</v>
      </c>
      <c r="H856" s="225" t="s">
        <v>1323</v>
      </c>
      <c r="I856" s="208"/>
      <c r="J856" s="210"/>
      <c r="K856" s="210"/>
      <c r="L856" s="210"/>
      <c r="M856" s="210"/>
      <c r="N856" s="210"/>
      <c r="O856" s="210"/>
      <c r="P856" s="210"/>
      <c r="Q856" s="210"/>
      <c r="R856" s="210"/>
      <c r="S856" s="210"/>
      <c r="T856" s="210"/>
      <c r="U856" s="210"/>
      <c r="V856" s="210"/>
      <c r="W856" s="210"/>
      <c r="X856" s="210"/>
      <c r="Y856" s="210"/>
      <c r="Z856" s="210"/>
    </row>
    <row r="857" ht="21.75" customHeight="1">
      <c r="A857" s="214"/>
      <c r="B857" s="221"/>
      <c r="C857" s="222">
        <v>205.0</v>
      </c>
      <c r="D857" s="223" t="s">
        <v>1076</v>
      </c>
      <c r="E857" s="223" t="s">
        <v>539</v>
      </c>
      <c r="F857" s="223" t="s">
        <v>564</v>
      </c>
      <c r="G857" s="218" t="s">
        <v>490</v>
      </c>
      <c r="H857" s="225" t="s">
        <v>1324</v>
      </c>
      <c r="I857" s="208"/>
      <c r="J857" s="210"/>
      <c r="K857" s="210"/>
      <c r="L857" s="210"/>
      <c r="M857" s="210"/>
      <c r="N857" s="210"/>
      <c r="O857" s="210"/>
      <c r="P857" s="210"/>
      <c r="Q857" s="210"/>
      <c r="R857" s="210"/>
      <c r="S857" s="210"/>
      <c r="T857" s="210"/>
      <c r="U857" s="210"/>
      <c r="V857" s="210"/>
      <c r="W857" s="210"/>
      <c r="X857" s="210"/>
      <c r="Y857" s="210"/>
      <c r="Z857" s="210"/>
    </row>
    <row r="858" ht="21.75" customHeight="1">
      <c r="A858" s="214"/>
      <c r="B858" s="221"/>
      <c r="C858" s="222">
        <v>206.0</v>
      </c>
      <c r="D858" s="223" t="s">
        <v>1285</v>
      </c>
      <c r="E858" s="223" t="s">
        <v>504</v>
      </c>
      <c r="F858" s="223" t="s">
        <v>1160</v>
      </c>
      <c r="G858" s="218" t="s">
        <v>490</v>
      </c>
      <c r="H858" s="225" t="s">
        <v>1325</v>
      </c>
      <c r="I858" s="208"/>
      <c r="J858" s="210"/>
      <c r="K858" s="210"/>
      <c r="L858" s="210"/>
      <c r="M858" s="210"/>
      <c r="N858" s="210"/>
      <c r="O858" s="210"/>
      <c r="P858" s="210"/>
      <c r="Q858" s="210"/>
      <c r="R858" s="210"/>
      <c r="S858" s="210"/>
      <c r="T858" s="210"/>
      <c r="U858" s="210"/>
      <c r="V858" s="210"/>
      <c r="W858" s="210"/>
      <c r="X858" s="210"/>
      <c r="Y858" s="210"/>
      <c r="Z858" s="210"/>
    </row>
    <row r="859" ht="21.75" customHeight="1">
      <c r="A859" s="214"/>
      <c r="B859" s="221"/>
      <c r="C859" s="222">
        <v>207.0</v>
      </c>
      <c r="D859" s="223" t="s">
        <v>1076</v>
      </c>
      <c r="E859" s="223" t="s">
        <v>539</v>
      </c>
      <c r="F859" s="223" t="s">
        <v>567</v>
      </c>
      <c r="G859" s="218" t="s">
        <v>490</v>
      </c>
      <c r="H859" s="225" t="s">
        <v>1326</v>
      </c>
      <c r="I859" s="208"/>
      <c r="J859" s="210"/>
      <c r="K859" s="210"/>
      <c r="L859" s="210"/>
      <c r="M859" s="210"/>
      <c r="N859" s="210"/>
      <c r="O859" s="210"/>
      <c r="P859" s="210"/>
      <c r="Q859" s="210"/>
      <c r="R859" s="210"/>
      <c r="S859" s="210"/>
      <c r="T859" s="210"/>
      <c r="U859" s="210"/>
      <c r="V859" s="210"/>
      <c r="W859" s="210"/>
      <c r="X859" s="210"/>
      <c r="Y859" s="210"/>
      <c r="Z859" s="210"/>
    </row>
    <row r="860" ht="21.75" customHeight="1">
      <c r="A860" s="214"/>
      <c r="B860" s="221"/>
      <c r="C860" s="222">
        <v>208.0</v>
      </c>
      <c r="D860" s="223" t="s">
        <v>1288</v>
      </c>
      <c r="E860" s="223" t="s">
        <v>504</v>
      </c>
      <c r="F860" s="223" t="s">
        <v>1158</v>
      </c>
      <c r="G860" s="218" t="s">
        <v>490</v>
      </c>
      <c r="H860" s="225" t="s">
        <v>1327</v>
      </c>
      <c r="I860" s="208"/>
      <c r="J860" s="210"/>
      <c r="K860" s="210"/>
      <c r="L860" s="210"/>
      <c r="M860" s="210"/>
      <c r="N860" s="210"/>
      <c r="O860" s="210"/>
      <c r="P860" s="210"/>
      <c r="Q860" s="210"/>
      <c r="R860" s="210"/>
      <c r="S860" s="210"/>
      <c r="T860" s="210"/>
      <c r="U860" s="210"/>
      <c r="V860" s="210"/>
      <c r="W860" s="210"/>
      <c r="X860" s="210"/>
      <c r="Y860" s="210"/>
      <c r="Z860" s="210"/>
    </row>
    <row r="861" ht="21.75" customHeight="1">
      <c r="A861" s="214"/>
      <c r="B861" s="221"/>
      <c r="C861" s="222">
        <v>209.0</v>
      </c>
      <c r="D861" s="223" t="s">
        <v>1076</v>
      </c>
      <c r="E861" s="223" t="s">
        <v>539</v>
      </c>
      <c r="F861" s="223" t="s">
        <v>574</v>
      </c>
      <c r="G861" s="218" t="s">
        <v>490</v>
      </c>
      <c r="H861" s="225" t="s">
        <v>1328</v>
      </c>
      <c r="I861" s="208"/>
      <c r="J861" s="210"/>
      <c r="K861" s="210"/>
      <c r="L861" s="210"/>
      <c r="M861" s="210"/>
      <c r="N861" s="210"/>
      <c r="O861" s="210"/>
      <c r="P861" s="210"/>
      <c r="Q861" s="210"/>
      <c r="R861" s="210"/>
      <c r="S861" s="210"/>
      <c r="T861" s="210"/>
      <c r="U861" s="210"/>
      <c r="V861" s="210"/>
      <c r="W861" s="210"/>
      <c r="X861" s="210"/>
      <c r="Y861" s="210"/>
      <c r="Z861" s="210"/>
    </row>
    <row r="862" ht="21.75" customHeight="1">
      <c r="A862" s="214"/>
      <c r="B862" s="221"/>
      <c r="C862" s="222">
        <v>210.0</v>
      </c>
      <c r="D862" s="223" t="s">
        <v>1288</v>
      </c>
      <c r="E862" s="223" t="s">
        <v>504</v>
      </c>
      <c r="F862" s="223" t="s">
        <v>1291</v>
      </c>
      <c r="G862" s="218" t="s">
        <v>490</v>
      </c>
      <c r="H862" s="225" t="s">
        <v>1329</v>
      </c>
      <c r="I862" s="208"/>
      <c r="J862" s="210"/>
      <c r="K862" s="210"/>
      <c r="L862" s="210"/>
      <c r="M862" s="210"/>
      <c r="N862" s="210"/>
      <c r="O862" s="210"/>
      <c r="P862" s="210"/>
      <c r="Q862" s="210"/>
      <c r="R862" s="210"/>
      <c r="S862" s="210"/>
      <c r="T862" s="210"/>
      <c r="U862" s="210"/>
      <c r="V862" s="210"/>
      <c r="W862" s="210"/>
      <c r="X862" s="210"/>
      <c r="Y862" s="210"/>
      <c r="Z862" s="210"/>
    </row>
    <row r="863" ht="21.75" customHeight="1">
      <c r="A863" s="214"/>
      <c r="B863" s="221"/>
      <c r="C863" s="222">
        <v>211.0</v>
      </c>
      <c r="D863" s="223" t="s">
        <v>1076</v>
      </c>
      <c r="E863" s="223" t="s">
        <v>539</v>
      </c>
      <c r="F863" s="223" t="s">
        <v>586</v>
      </c>
      <c r="G863" s="218" t="s">
        <v>490</v>
      </c>
      <c r="H863" s="225" t="s">
        <v>1330</v>
      </c>
      <c r="I863" s="208"/>
      <c r="J863" s="210"/>
      <c r="K863" s="210"/>
      <c r="L863" s="210"/>
      <c r="M863" s="210"/>
      <c r="N863" s="210"/>
      <c r="O863" s="210"/>
      <c r="P863" s="210"/>
      <c r="Q863" s="210"/>
      <c r="R863" s="210"/>
      <c r="S863" s="210"/>
      <c r="T863" s="210"/>
      <c r="U863" s="210"/>
      <c r="V863" s="210"/>
      <c r="W863" s="210"/>
      <c r="X863" s="210"/>
      <c r="Y863" s="210"/>
      <c r="Z863" s="210"/>
    </row>
    <row r="864" ht="21.75" customHeight="1">
      <c r="A864" s="214"/>
      <c r="B864" s="221"/>
      <c r="C864" s="222">
        <v>212.0</v>
      </c>
      <c r="D864" s="223" t="s">
        <v>1288</v>
      </c>
      <c r="E864" s="223" t="s">
        <v>504</v>
      </c>
      <c r="F864" s="223" t="s">
        <v>1294</v>
      </c>
      <c r="G864" s="218" t="s">
        <v>490</v>
      </c>
      <c r="H864" s="225" t="s">
        <v>1331</v>
      </c>
      <c r="I864" s="208"/>
      <c r="J864" s="210"/>
      <c r="K864" s="210"/>
      <c r="L864" s="210"/>
      <c r="M864" s="210"/>
      <c r="N864" s="210"/>
      <c r="O864" s="210"/>
      <c r="P864" s="210"/>
      <c r="Q864" s="210"/>
      <c r="R864" s="210"/>
      <c r="S864" s="210"/>
      <c r="T864" s="210"/>
      <c r="U864" s="210"/>
      <c r="V864" s="210"/>
      <c r="W864" s="210"/>
      <c r="X864" s="210"/>
      <c r="Y864" s="210"/>
      <c r="Z864" s="210"/>
    </row>
    <row r="865" ht="21.75" customHeight="1">
      <c r="A865" s="214"/>
      <c r="B865" s="221"/>
      <c r="C865" s="222">
        <v>213.0</v>
      </c>
      <c r="D865" s="223" t="s">
        <v>1076</v>
      </c>
      <c r="E865" s="223" t="s">
        <v>539</v>
      </c>
      <c r="F865" s="223" t="s">
        <v>597</v>
      </c>
      <c r="G865" s="218" t="s">
        <v>490</v>
      </c>
      <c r="H865" s="225" t="s">
        <v>1332</v>
      </c>
      <c r="I865" s="208"/>
      <c r="J865" s="210"/>
      <c r="K865" s="210"/>
      <c r="L865" s="210"/>
      <c r="M865" s="210"/>
      <c r="N865" s="210"/>
      <c r="O865" s="210"/>
      <c r="P865" s="210"/>
      <c r="Q865" s="210"/>
      <c r="R865" s="210"/>
      <c r="S865" s="210"/>
      <c r="T865" s="210"/>
      <c r="U865" s="210"/>
      <c r="V865" s="210"/>
      <c r="W865" s="210"/>
      <c r="X865" s="210"/>
      <c r="Y865" s="210"/>
      <c r="Z865" s="210"/>
    </row>
    <row r="866" ht="21.75" customHeight="1">
      <c r="A866" s="214"/>
      <c r="B866" s="221"/>
      <c r="C866" s="222">
        <v>214.0</v>
      </c>
      <c r="D866" s="223" t="s">
        <v>1288</v>
      </c>
      <c r="E866" s="223" t="s">
        <v>504</v>
      </c>
      <c r="F866" s="223" t="s">
        <v>1297</v>
      </c>
      <c r="G866" s="218" t="s">
        <v>490</v>
      </c>
      <c r="H866" s="225" t="s">
        <v>1333</v>
      </c>
      <c r="I866" s="208"/>
      <c r="J866" s="210"/>
      <c r="K866" s="210"/>
      <c r="L866" s="210"/>
      <c r="M866" s="210"/>
      <c r="N866" s="210"/>
      <c r="O866" s="210"/>
      <c r="P866" s="210"/>
      <c r="Q866" s="210"/>
      <c r="R866" s="210"/>
      <c r="S866" s="210"/>
      <c r="T866" s="210"/>
      <c r="U866" s="210"/>
      <c r="V866" s="210"/>
      <c r="W866" s="210"/>
      <c r="X866" s="210"/>
      <c r="Y866" s="210"/>
      <c r="Z866" s="210"/>
    </row>
    <row r="867" ht="21.75" customHeight="1">
      <c r="A867" s="214"/>
      <c r="B867" s="221"/>
      <c r="C867" s="222">
        <v>215.0</v>
      </c>
      <c r="D867" s="223" t="s">
        <v>1076</v>
      </c>
      <c r="E867" s="223" t="s">
        <v>539</v>
      </c>
      <c r="F867" s="223" t="s">
        <v>570</v>
      </c>
      <c r="G867" s="218" t="s">
        <v>490</v>
      </c>
      <c r="H867" s="225" t="s">
        <v>1334</v>
      </c>
      <c r="I867" s="208"/>
      <c r="J867" s="210"/>
      <c r="K867" s="210"/>
      <c r="L867" s="210"/>
      <c r="M867" s="210"/>
      <c r="N867" s="210"/>
      <c r="O867" s="210"/>
      <c r="P867" s="210"/>
      <c r="Q867" s="210"/>
      <c r="R867" s="210"/>
      <c r="S867" s="210"/>
      <c r="T867" s="210"/>
      <c r="U867" s="210"/>
      <c r="V867" s="210"/>
      <c r="W867" s="210"/>
      <c r="X867" s="210"/>
      <c r="Y867" s="210"/>
      <c r="Z867" s="210"/>
    </row>
    <row r="868" ht="21.75" customHeight="1">
      <c r="A868" s="214"/>
      <c r="B868" s="221"/>
      <c r="C868" s="222">
        <v>216.0</v>
      </c>
      <c r="D868" s="223" t="s">
        <v>1288</v>
      </c>
      <c r="E868" s="223" t="s">
        <v>504</v>
      </c>
      <c r="F868" s="223" t="s">
        <v>1300</v>
      </c>
      <c r="G868" s="218" t="s">
        <v>490</v>
      </c>
      <c r="H868" s="225" t="s">
        <v>1335</v>
      </c>
      <c r="I868" s="208"/>
      <c r="J868" s="210"/>
      <c r="K868" s="210"/>
      <c r="L868" s="210"/>
      <c r="M868" s="210"/>
      <c r="N868" s="210"/>
      <c r="O868" s="210"/>
      <c r="P868" s="210"/>
      <c r="Q868" s="210"/>
      <c r="R868" s="210"/>
      <c r="S868" s="210"/>
      <c r="T868" s="210"/>
      <c r="U868" s="210"/>
      <c r="V868" s="210"/>
      <c r="W868" s="210"/>
      <c r="X868" s="210"/>
      <c r="Y868" s="210"/>
      <c r="Z868" s="210"/>
    </row>
    <row r="869" ht="21.75" customHeight="1">
      <c r="A869" s="214"/>
      <c r="B869" s="221"/>
      <c r="C869" s="222">
        <v>217.0</v>
      </c>
      <c r="D869" s="223" t="s">
        <v>1076</v>
      </c>
      <c r="E869" s="223" t="s">
        <v>539</v>
      </c>
      <c r="F869" s="223" t="s">
        <v>761</v>
      </c>
      <c r="G869" s="218" t="s">
        <v>490</v>
      </c>
      <c r="H869" s="225" t="s">
        <v>1336</v>
      </c>
      <c r="I869" s="208"/>
      <c r="J869" s="210"/>
      <c r="K869" s="210"/>
      <c r="L869" s="210"/>
      <c r="M869" s="210"/>
      <c r="N869" s="210"/>
      <c r="O869" s="210"/>
      <c r="P869" s="210"/>
      <c r="Q869" s="210"/>
      <c r="R869" s="210"/>
      <c r="S869" s="210"/>
      <c r="T869" s="210"/>
      <c r="U869" s="210"/>
      <c r="V869" s="210"/>
      <c r="W869" s="210"/>
      <c r="X869" s="210"/>
      <c r="Y869" s="210"/>
      <c r="Z869" s="210"/>
    </row>
    <row r="870" ht="21.75" customHeight="1">
      <c r="A870" s="228"/>
      <c r="B870" s="221"/>
      <c r="C870" s="222">
        <v>300.0</v>
      </c>
      <c r="D870" s="223" t="s">
        <v>1303</v>
      </c>
      <c r="E870" s="223" t="s">
        <v>508</v>
      </c>
      <c r="F870" s="223" t="s">
        <v>509</v>
      </c>
      <c r="G870" s="223" t="s">
        <v>510</v>
      </c>
      <c r="H870" s="225" t="s">
        <v>1337</v>
      </c>
      <c r="I870" s="208"/>
      <c r="J870" s="210"/>
      <c r="K870" s="210"/>
      <c r="L870" s="210"/>
      <c r="M870" s="210"/>
      <c r="N870" s="210"/>
      <c r="O870" s="210"/>
      <c r="P870" s="210"/>
      <c r="Q870" s="210"/>
      <c r="R870" s="210"/>
      <c r="S870" s="210"/>
      <c r="T870" s="210"/>
      <c r="U870" s="210"/>
      <c r="V870" s="210"/>
      <c r="W870" s="210"/>
      <c r="X870" s="210"/>
      <c r="Y870" s="210"/>
      <c r="Z870" s="210"/>
    </row>
    <row r="871" ht="21.75" customHeight="1">
      <c r="A871" s="214">
        <v>185.0</v>
      </c>
      <c r="B871" s="215" t="s">
        <v>1338</v>
      </c>
      <c r="C871" s="216"/>
      <c r="D871" s="217"/>
      <c r="E871" s="217"/>
      <c r="F871" s="217"/>
      <c r="G871" s="217"/>
      <c r="H871" s="217"/>
      <c r="I871" s="208"/>
      <c r="J871" s="210"/>
      <c r="K871" s="210"/>
      <c r="L871" s="210"/>
      <c r="M871" s="210"/>
      <c r="N871" s="210"/>
      <c r="O871" s="210"/>
      <c r="P871" s="210"/>
      <c r="Q871" s="210"/>
      <c r="R871" s="210"/>
      <c r="S871" s="210"/>
      <c r="T871" s="210"/>
      <c r="U871" s="210"/>
      <c r="V871" s="210"/>
      <c r="W871" s="210"/>
      <c r="X871" s="210"/>
      <c r="Y871" s="210"/>
      <c r="Z871" s="210"/>
    </row>
    <row r="872" ht="21.75" customHeight="1">
      <c r="A872" s="214"/>
      <c r="B872" s="218" t="s">
        <v>1339</v>
      </c>
      <c r="C872" s="219">
        <v>50534.0</v>
      </c>
      <c r="D872" s="220"/>
      <c r="E872" s="220"/>
      <c r="F872" s="220"/>
      <c r="G872" s="220"/>
      <c r="H872" s="220"/>
      <c r="I872" s="208"/>
      <c r="J872" s="210"/>
      <c r="K872" s="210"/>
      <c r="L872" s="210"/>
      <c r="M872" s="210"/>
      <c r="N872" s="210"/>
      <c r="O872" s="210"/>
      <c r="P872" s="210"/>
      <c r="Q872" s="210"/>
      <c r="R872" s="210"/>
      <c r="S872" s="210"/>
      <c r="T872" s="210"/>
      <c r="U872" s="210"/>
      <c r="V872" s="210"/>
      <c r="W872" s="210"/>
      <c r="X872" s="210"/>
      <c r="Y872" s="210"/>
      <c r="Z872" s="210"/>
    </row>
    <row r="873" ht="21.75" customHeight="1">
      <c r="A873" s="214"/>
      <c r="B873" s="221"/>
      <c r="C873" s="222">
        <v>100.0</v>
      </c>
      <c r="D873" s="223" t="s">
        <v>486</v>
      </c>
      <c r="E873" s="223" t="s">
        <v>487</v>
      </c>
      <c r="F873" s="223" t="s">
        <v>488</v>
      </c>
      <c r="G873" s="223" t="s">
        <v>489</v>
      </c>
      <c r="H873" s="224" t="s">
        <v>490</v>
      </c>
      <c r="I873" s="208"/>
      <c r="J873" s="210"/>
      <c r="K873" s="210"/>
      <c r="L873" s="210"/>
      <c r="M873" s="210"/>
      <c r="N873" s="210"/>
      <c r="O873" s="210"/>
      <c r="P873" s="210"/>
      <c r="Q873" s="210"/>
      <c r="R873" s="210"/>
      <c r="S873" s="210"/>
      <c r="T873" s="210"/>
      <c r="U873" s="210"/>
      <c r="V873" s="210"/>
      <c r="W873" s="210"/>
      <c r="X873" s="210"/>
      <c r="Y873" s="210"/>
      <c r="Z873" s="210"/>
    </row>
    <row r="874" ht="21.75" customHeight="1">
      <c r="A874" s="214"/>
      <c r="B874" s="221"/>
      <c r="C874" s="222">
        <v>101.0</v>
      </c>
      <c r="D874" s="223" t="s">
        <v>516</v>
      </c>
      <c r="E874" s="223" t="s">
        <v>487</v>
      </c>
      <c r="F874" s="223" t="s">
        <v>492</v>
      </c>
      <c r="G874" s="223" t="s">
        <v>501</v>
      </c>
      <c r="H874" s="225" t="s">
        <v>1340</v>
      </c>
      <c r="I874" s="208"/>
      <c r="J874" s="210"/>
      <c r="K874" s="210"/>
      <c r="L874" s="210"/>
      <c r="M874" s="210"/>
      <c r="N874" s="210"/>
      <c r="O874" s="210"/>
      <c r="P874" s="210"/>
      <c r="Q874" s="210"/>
      <c r="R874" s="210"/>
      <c r="S874" s="210"/>
      <c r="T874" s="210"/>
      <c r="U874" s="210"/>
      <c r="V874" s="210"/>
      <c r="W874" s="210"/>
      <c r="X874" s="210"/>
      <c r="Y874" s="210"/>
      <c r="Z874" s="210"/>
    </row>
    <row r="875" ht="21.75" customHeight="1">
      <c r="A875" s="214"/>
      <c r="B875" s="221"/>
      <c r="C875" s="222">
        <v>102.0</v>
      </c>
      <c r="D875" s="223" t="s">
        <v>973</v>
      </c>
      <c r="E875" s="223" t="s">
        <v>487</v>
      </c>
      <c r="F875" s="223" t="s">
        <v>496</v>
      </c>
      <c r="G875" s="223" t="s">
        <v>497</v>
      </c>
      <c r="H875" s="225" t="s">
        <v>1341</v>
      </c>
      <c r="I875" s="208"/>
      <c r="J875" s="210"/>
      <c r="K875" s="210"/>
      <c r="L875" s="210"/>
      <c r="M875" s="210"/>
      <c r="N875" s="210"/>
      <c r="O875" s="210"/>
      <c r="P875" s="210"/>
      <c r="Q875" s="210"/>
      <c r="R875" s="210"/>
      <c r="S875" s="210"/>
      <c r="T875" s="210"/>
      <c r="U875" s="210"/>
      <c r="V875" s="210"/>
      <c r="W875" s="210"/>
      <c r="X875" s="210"/>
      <c r="Y875" s="210"/>
      <c r="Z875" s="210"/>
    </row>
    <row r="876" ht="21.75" customHeight="1">
      <c r="A876" s="214"/>
      <c r="B876" s="221"/>
      <c r="C876" s="222">
        <v>103.0</v>
      </c>
      <c r="D876" s="223" t="s">
        <v>1342</v>
      </c>
      <c r="E876" s="223" t="s">
        <v>487</v>
      </c>
      <c r="F876" s="223" t="s">
        <v>500</v>
      </c>
      <c r="G876" s="223" t="s">
        <v>493</v>
      </c>
      <c r="H876" s="224" t="s">
        <v>490</v>
      </c>
      <c r="I876" s="208"/>
      <c r="J876" s="210"/>
      <c r="K876" s="210"/>
      <c r="L876" s="210"/>
      <c r="M876" s="210"/>
      <c r="N876" s="210"/>
      <c r="O876" s="210"/>
      <c r="P876" s="210"/>
      <c r="Q876" s="210"/>
      <c r="R876" s="210"/>
      <c r="S876" s="210"/>
      <c r="T876" s="210"/>
      <c r="U876" s="210"/>
      <c r="V876" s="210"/>
      <c r="W876" s="210"/>
      <c r="X876" s="210"/>
      <c r="Y876" s="210"/>
      <c r="Z876" s="210"/>
    </row>
    <row r="877" ht="21.75" customHeight="1">
      <c r="A877" s="214"/>
      <c r="B877" s="221"/>
      <c r="C877" s="222">
        <v>104.0</v>
      </c>
      <c r="D877" s="223" t="s">
        <v>1343</v>
      </c>
      <c r="E877" s="223" t="s">
        <v>487</v>
      </c>
      <c r="F877" s="223" t="s">
        <v>512</v>
      </c>
      <c r="G877" s="223" t="s">
        <v>526</v>
      </c>
      <c r="H877" s="225" t="s">
        <v>1344</v>
      </c>
      <c r="I877" s="208"/>
      <c r="J877" s="210"/>
      <c r="K877" s="210"/>
      <c r="L877" s="210"/>
      <c r="M877" s="210"/>
      <c r="N877" s="210"/>
      <c r="O877" s="210"/>
      <c r="P877" s="210"/>
      <c r="Q877" s="210"/>
      <c r="R877" s="210"/>
      <c r="S877" s="210"/>
      <c r="T877" s="210"/>
      <c r="U877" s="210"/>
      <c r="V877" s="210"/>
      <c r="W877" s="210"/>
      <c r="X877" s="210"/>
      <c r="Y877" s="210"/>
      <c r="Z877" s="210"/>
    </row>
    <row r="878" ht="21.75" customHeight="1">
      <c r="A878" s="228"/>
      <c r="B878" s="221"/>
      <c r="C878" s="222">
        <v>105.0</v>
      </c>
      <c r="D878" s="223" t="s">
        <v>376</v>
      </c>
      <c r="E878" s="223" t="s">
        <v>508</v>
      </c>
      <c r="F878" s="223" t="s">
        <v>509</v>
      </c>
      <c r="G878" s="223" t="s">
        <v>510</v>
      </c>
      <c r="H878" s="224" t="s">
        <v>490</v>
      </c>
      <c r="I878" s="208"/>
      <c r="J878" s="210"/>
      <c r="K878" s="210"/>
      <c r="L878" s="210"/>
      <c r="M878" s="210"/>
      <c r="N878" s="210"/>
      <c r="O878" s="210"/>
      <c r="P878" s="210"/>
      <c r="Q878" s="210"/>
      <c r="R878" s="210"/>
      <c r="S878" s="210"/>
      <c r="T878" s="210"/>
      <c r="U878" s="210"/>
      <c r="V878" s="210"/>
      <c r="W878" s="210"/>
      <c r="X878" s="210"/>
      <c r="Y878" s="210"/>
      <c r="Z878" s="210"/>
    </row>
    <row r="879" ht="21.75" customHeight="1">
      <c r="A879" s="214">
        <v>189.0</v>
      </c>
      <c r="B879" s="215" t="s">
        <v>1345</v>
      </c>
      <c r="C879" s="216"/>
      <c r="D879" s="217"/>
      <c r="E879" s="217"/>
      <c r="F879" s="217"/>
      <c r="G879" s="217"/>
      <c r="H879" s="217"/>
      <c r="I879" s="208"/>
      <c r="J879" s="210"/>
      <c r="K879" s="210"/>
      <c r="L879" s="210"/>
      <c r="M879" s="210"/>
      <c r="N879" s="210"/>
      <c r="O879" s="210"/>
      <c r="P879" s="210"/>
      <c r="Q879" s="210"/>
      <c r="R879" s="210"/>
      <c r="S879" s="210"/>
      <c r="T879" s="210"/>
      <c r="U879" s="210"/>
      <c r="V879" s="210"/>
      <c r="W879" s="210"/>
      <c r="X879" s="210"/>
      <c r="Y879" s="210"/>
      <c r="Z879" s="210"/>
    </row>
    <row r="880" ht="21.75" customHeight="1">
      <c r="A880" s="214"/>
      <c r="B880" s="218" t="s">
        <v>1346</v>
      </c>
      <c r="C880" s="219">
        <v>50560.0</v>
      </c>
      <c r="D880" s="220"/>
      <c r="E880" s="220"/>
      <c r="F880" s="220"/>
      <c r="G880" s="220"/>
      <c r="H880" s="220"/>
      <c r="I880" s="208"/>
      <c r="J880" s="210"/>
      <c r="K880" s="210"/>
      <c r="L880" s="210"/>
      <c r="M880" s="210"/>
      <c r="N880" s="210"/>
      <c r="O880" s="210"/>
      <c r="P880" s="210"/>
      <c r="Q880" s="210"/>
      <c r="R880" s="210"/>
      <c r="S880" s="210"/>
      <c r="T880" s="210"/>
      <c r="U880" s="210"/>
      <c r="V880" s="210"/>
      <c r="W880" s="210"/>
      <c r="X880" s="210"/>
      <c r="Y880" s="210"/>
      <c r="Z880" s="210"/>
    </row>
    <row r="881" ht="21.75" customHeight="1">
      <c r="A881" s="214"/>
      <c r="B881" s="221"/>
      <c r="C881" s="222">
        <v>100.0</v>
      </c>
      <c r="D881" s="223" t="s">
        <v>486</v>
      </c>
      <c r="E881" s="223" t="s">
        <v>487</v>
      </c>
      <c r="F881" s="223" t="s">
        <v>488</v>
      </c>
      <c r="G881" s="223" t="s">
        <v>489</v>
      </c>
      <c r="H881" s="224" t="s">
        <v>490</v>
      </c>
      <c r="I881" s="208"/>
      <c r="J881" s="210"/>
      <c r="K881" s="210"/>
      <c r="L881" s="210"/>
      <c r="M881" s="210"/>
      <c r="N881" s="210"/>
      <c r="O881" s="210"/>
      <c r="P881" s="210"/>
      <c r="Q881" s="210"/>
      <c r="R881" s="210"/>
      <c r="S881" s="210"/>
      <c r="T881" s="210"/>
      <c r="U881" s="210"/>
      <c r="V881" s="210"/>
      <c r="W881" s="210"/>
      <c r="X881" s="210"/>
      <c r="Y881" s="210"/>
      <c r="Z881" s="210"/>
    </row>
    <row r="882" ht="21.75" customHeight="1">
      <c r="A882" s="214"/>
      <c r="B882" s="221"/>
      <c r="C882" s="222">
        <v>101.0</v>
      </c>
      <c r="D882" s="223" t="s">
        <v>1347</v>
      </c>
      <c r="E882" s="223" t="s">
        <v>487</v>
      </c>
      <c r="F882" s="223" t="s">
        <v>492</v>
      </c>
      <c r="G882" s="223" t="s">
        <v>678</v>
      </c>
      <c r="H882" s="225" t="s">
        <v>1348</v>
      </c>
      <c r="I882" s="208"/>
      <c r="J882" s="210"/>
      <c r="K882" s="210"/>
      <c r="L882" s="210"/>
      <c r="M882" s="210"/>
      <c r="N882" s="210"/>
      <c r="O882" s="210"/>
      <c r="P882" s="210"/>
      <c r="Q882" s="210"/>
      <c r="R882" s="210"/>
      <c r="S882" s="210"/>
      <c r="T882" s="210"/>
      <c r="U882" s="210"/>
      <c r="V882" s="210"/>
      <c r="W882" s="210"/>
      <c r="X882" s="210"/>
      <c r="Y882" s="210"/>
      <c r="Z882" s="210"/>
    </row>
    <row r="883" ht="21.75" customHeight="1">
      <c r="A883" s="214"/>
      <c r="B883" s="221"/>
      <c r="C883" s="222">
        <v>102.0</v>
      </c>
      <c r="D883" s="223" t="s">
        <v>369</v>
      </c>
      <c r="E883" s="223" t="s">
        <v>487</v>
      </c>
      <c r="F883" s="223" t="s">
        <v>496</v>
      </c>
      <c r="G883" s="223" t="s">
        <v>526</v>
      </c>
      <c r="H883" s="225" t="s">
        <v>1349</v>
      </c>
      <c r="I883" s="208"/>
      <c r="J883" s="210"/>
      <c r="K883" s="210"/>
      <c r="L883" s="210"/>
      <c r="M883" s="210"/>
      <c r="N883" s="210"/>
      <c r="O883" s="210"/>
      <c r="P883" s="210"/>
      <c r="Q883" s="210"/>
      <c r="R883" s="210"/>
      <c r="S883" s="210"/>
      <c r="T883" s="210"/>
      <c r="U883" s="210"/>
      <c r="V883" s="210"/>
      <c r="W883" s="210"/>
      <c r="X883" s="210"/>
      <c r="Y883" s="210"/>
      <c r="Z883" s="210"/>
    </row>
    <row r="884" ht="21.75" customHeight="1">
      <c r="A884" s="214"/>
      <c r="B884" s="221"/>
      <c r="C884" s="222">
        <v>103.0</v>
      </c>
      <c r="D884" s="223" t="s">
        <v>1350</v>
      </c>
      <c r="E884" s="223" t="s">
        <v>487</v>
      </c>
      <c r="F884" s="223" t="s">
        <v>500</v>
      </c>
      <c r="G884" s="223" t="s">
        <v>497</v>
      </c>
      <c r="H884" s="225" t="s">
        <v>1351</v>
      </c>
      <c r="I884" s="208"/>
      <c r="J884" s="210"/>
      <c r="K884" s="210"/>
      <c r="L884" s="210"/>
      <c r="M884" s="210"/>
      <c r="N884" s="210"/>
      <c r="O884" s="210"/>
      <c r="P884" s="210"/>
      <c r="Q884" s="210"/>
      <c r="R884" s="210"/>
      <c r="S884" s="210"/>
      <c r="T884" s="210"/>
      <c r="U884" s="210"/>
      <c r="V884" s="210"/>
      <c r="W884" s="210"/>
      <c r="X884" s="210"/>
      <c r="Y884" s="210"/>
      <c r="Z884" s="210"/>
    </row>
    <row r="885" ht="21.75" customHeight="1">
      <c r="A885" s="214"/>
      <c r="B885" s="221"/>
      <c r="C885" s="222">
        <v>104.0</v>
      </c>
      <c r="D885" s="223" t="s">
        <v>912</v>
      </c>
      <c r="E885" s="223" t="s">
        <v>487</v>
      </c>
      <c r="F885" s="223" t="s">
        <v>512</v>
      </c>
      <c r="G885" s="223" t="s">
        <v>493</v>
      </c>
      <c r="H885" s="225" t="s">
        <v>1352</v>
      </c>
      <c r="I885" s="208"/>
      <c r="J885" s="210"/>
      <c r="K885" s="210"/>
      <c r="L885" s="210"/>
      <c r="M885" s="210"/>
      <c r="N885" s="210"/>
      <c r="O885" s="210"/>
      <c r="P885" s="210"/>
      <c r="Q885" s="210"/>
      <c r="R885" s="210"/>
      <c r="S885" s="210"/>
      <c r="T885" s="210"/>
      <c r="U885" s="210"/>
      <c r="V885" s="210"/>
      <c r="W885" s="210"/>
      <c r="X885" s="210"/>
      <c r="Y885" s="210"/>
      <c r="Z885" s="210"/>
    </row>
    <row r="886" ht="21.75" customHeight="1">
      <c r="A886" s="228"/>
      <c r="B886" s="221"/>
      <c r="C886" s="222">
        <v>105.0</v>
      </c>
      <c r="D886" s="223" t="s">
        <v>376</v>
      </c>
      <c r="E886" s="223" t="s">
        <v>508</v>
      </c>
      <c r="F886" s="223" t="s">
        <v>509</v>
      </c>
      <c r="G886" s="223" t="s">
        <v>510</v>
      </c>
      <c r="H886" s="225" t="s">
        <v>879</v>
      </c>
      <c r="I886" s="208"/>
      <c r="J886" s="210"/>
      <c r="K886" s="210"/>
      <c r="L886" s="210"/>
      <c r="M886" s="210"/>
      <c r="N886" s="210"/>
      <c r="O886" s="210"/>
      <c r="P886" s="210"/>
      <c r="Q886" s="210"/>
      <c r="R886" s="210"/>
      <c r="S886" s="210"/>
      <c r="T886" s="210"/>
      <c r="U886" s="210"/>
      <c r="V886" s="210"/>
      <c r="W886" s="210"/>
      <c r="X886" s="210"/>
      <c r="Y886" s="210"/>
      <c r="Z886" s="210"/>
    </row>
    <row r="887" ht="21.75" customHeight="1">
      <c r="A887" s="214">
        <v>199.0</v>
      </c>
      <c r="B887" s="215" t="s">
        <v>1353</v>
      </c>
      <c r="C887" s="216"/>
      <c r="D887" s="217"/>
      <c r="E887" s="217"/>
      <c r="F887" s="217"/>
      <c r="G887" s="217"/>
      <c r="H887" s="217"/>
      <c r="I887" s="208"/>
      <c r="J887" s="210"/>
      <c r="K887" s="210"/>
      <c r="L887" s="210"/>
      <c r="M887" s="210"/>
      <c r="N887" s="210"/>
      <c r="O887" s="210"/>
      <c r="P887" s="210"/>
      <c r="Q887" s="210"/>
      <c r="R887" s="210"/>
      <c r="S887" s="210"/>
      <c r="T887" s="210"/>
      <c r="U887" s="210"/>
      <c r="V887" s="210"/>
      <c r="W887" s="210"/>
      <c r="X887" s="210"/>
      <c r="Y887" s="210"/>
      <c r="Z887" s="210"/>
    </row>
    <row r="888" ht="21.75" customHeight="1">
      <c r="A888" s="214"/>
      <c r="B888" s="218" t="s">
        <v>1354</v>
      </c>
      <c r="C888" s="219">
        <v>50851.0</v>
      </c>
      <c r="D888" s="220"/>
      <c r="E888" s="220"/>
      <c r="F888" s="220"/>
      <c r="G888" s="220"/>
      <c r="H888" s="220"/>
      <c r="I888" s="208"/>
      <c r="J888" s="210"/>
      <c r="K888" s="210"/>
      <c r="L888" s="210"/>
      <c r="M888" s="210"/>
      <c r="N888" s="210"/>
      <c r="O888" s="210"/>
      <c r="P888" s="210"/>
      <c r="Q888" s="210"/>
      <c r="R888" s="210"/>
      <c r="S888" s="210"/>
      <c r="T888" s="210"/>
      <c r="U888" s="210"/>
      <c r="V888" s="210"/>
      <c r="W888" s="210"/>
      <c r="X888" s="210"/>
      <c r="Y888" s="210"/>
      <c r="Z888" s="210"/>
    </row>
    <row r="889" ht="21.75" customHeight="1">
      <c r="A889" s="214"/>
      <c r="B889" s="221"/>
      <c r="C889" s="222">
        <v>51.0</v>
      </c>
      <c r="D889" s="223" t="s">
        <v>1355</v>
      </c>
      <c r="E889" s="223" t="s">
        <v>685</v>
      </c>
      <c r="F889" s="223" t="s">
        <v>1009</v>
      </c>
      <c r="G889" s="218" t="s">
        <v>490</v>
      </c>
      <c r="H889" s="225" t="s">
        <v>1010</v>
      </c>
      <c r="I889" s="208"/>
      <c r="J889" s="210"/>
      <c r="K889" s="210"/>
      <c r="L889" s="210"/>
      <c r="M889" s="210"/>
      <c r="N889" s="210"/>
      <c r="O889" s="210"/>
      <c r="P889" s="210"/>
      <c r="Q889" s="210"/>
      <c r="R889" s="210"/>
      <c r="S889" s="210"/>
      <c r="T889" s="210"/>
      <c r="U889" s="210"/>
      <c r="V889" s="210"/>
      <c r="W889" s="210"/>
      <c r="X889" s="210"/>
      <c r="Y889" s="210"/>
      <c r="Z889" s="210"/>
    </row>
    <row r="890" ht="21.75" customHeight="1">
      <c r="A890" s="214"/>
      <c r="B890" s="221"/>
      <c r="C890" s="222">
        <v>100.0</v>
      </c>
      <c r="D890" s="223" t="s">
        <v>486</v>
      </c>
      <c r="E890" s="223" t="s">
        <v>487</v>
      </c>
      <c r="F890" s="223" t="s">
        <v>488</v>
      </c>
      <c r="G890" s="223" t="s">
        <v>489</v>
      </c>
      <c r="H890" s="224" t="s">
        <v>490</v>
      </c>
      <c r="I890" s="208"/>
      <c r="J890" s="210"/>
      <c r="K890" s="210"/>
      <c r="L890" s="210"/>
      <c r="M890" s="210"/>
      <c r="N890" s="210"/>
      <c r="O890" s="210"/>
      <c r="P890" s="210"/>
      <c r="Q890" s="210"/>
      <c r="R890" s="210"/>
      <c r="S890" s="210"/>
      <c r="T890" s="210"/>
      <c r="U890" s="210"/>
      <c r="V890" s="210"/>
      <c r="W890" s="210"/>
      <c r="X890" s="210"/>
      <c r="Y890" s="210"/>
      <c r="Z890" s="210"/>
    </row>
    <row r="891" ht="21.75" customHeight="1">
      <c r="A891" s="214"/>
      <c r="B891" s="221"/>
      <c r="C891" s="222">
        <v>101.0</v>
      </c>
      <c r="D891" s="223" t="s">
        <v>491</v>
      </c>
      <c r="E891" s="223" t="s">
        <v>487</v>
      </c>
      <c r="F891" s="223" t="s">
        <v>492</v>
      </c>
      <c r="G891" s="223" t="s">
        <v>678</v>
      </c>
      <c r="H891" s="225" t="s">
        <v>1356</v>
      </c>
      <c r="I891" s="208"/>
      <c r="J891" s="210"/>
      <c r="K891" s="210"/>
      <c r="L891" s="210"/>
      <c r="M891" s="210"/>
      <c r="N891" s="210"/>
      <c r="O891" s="210"/>
      <c r="P891" s="210"/>
      <c r="Q891" s="210"/>
      <c r="R891" s="210"/>
      <c r="S891" s="210"/>
      <c r="T891" s="210"/>
      <c r="U891" s="210"/>
      <c r="V891" s="210"/>
      <c r="W891" s="210"/>
      <c r="X891" s="210"/>
      <c r="Y891" s="210"/>
      <c r="Z891" s="210"/>
    </row>
    <row r="892" ht="21.75" customHeight="1">
      <c r="A892" s="214"/>
      <c r="B892" s="221"/>
      <c r="C892" s="222">
        <v>102.0</v>
      </c>
      <c r="D892" s="223" t="s">
        <v>946</v>
      </c>
      <c r="E892" s="223" t="s">
        <v>487</v>
      </c>
      <c r="F892" s="223" t="s">
        <v>496</v>
      </c>
      <c r="G892" s="223" t="s">
        <v>497</v>
      </c>
      <c r="H892" s="224" t="s">
        <v>490</v>
      </c>
      <c r="I892" s="208"/>
      <c r="J892" s="210"/>
      <c r="K892" s="210"/>
      <c r="L892" s="210"/>
      <c r="M892" s="210"/>
      <c r="N892" s="210"/>
      <c r="O892" s="210"/>
      <c r="P892" s="210"/>
      <c r="Q892" s="210"/>
      <c r="R892" s="210"/>
      <c r="S892" s="210"/>
      <c r="T892" s="210"/>
      <c r="U892" s="210"/>
      <c r="V892" s="210"/>
      <c r="W892" s="210"/>
      <c r="X892" s="210"/>
      <c r="Y892" s="210"/>
      <c r="Z892" s="210"/>
    </row>
    <row r="893" ht="21.75" customHeight="1">
      <c r="A893" s="214"/>
      <c r="B893" s="221"/>
      <c r="C893" s="222">
        <v>103.0</v>
      </c>
      <c r="D893" s="223" t="s">
        <v>1012</v>
      </c>
      <c r="E893" s="223" t="s">
        <v>539</v>
      </c>
      <c r="F893" s="223" t="s">
        <v>621</v>
      </c>
      <c r="G893" s="223" t="s">
        <v>501</v>
      </c>
      <c r="H893" s="224" t="s">
        <v>490</v>
      </c>
      <c r="I893" s="208"/>
      <c r="J893" s="210"/>
      <c r="K893" s="210"/>
      <c r="L893" s="210"/>
      <c r="M893" s="210"/>
      <c r="N893" s="210"/>
      <c r="O893" s="210"/>
      <c r="P893" s="210"/>
      <c r="Q893" s="210"/>
      <c r="R893" s="210"/>
      <c r="S893" s="210"/>
      <c r="T893" s="210"/>
      <c r="U893" s="210"/>
      <c r="V893" s="210"/>
      <c r="W893" s="210"/>
      <c r="X893" s="210"/>
      <c r="Y893" s="210"/>
      <c r="Z893" s="210"/>
    </row>
    <row r="894" ht="21.75" customHeight="1">
      <c r="A894" s="214"/>
      <c r="B894" s="221"/>
      <c r="C894" s="222">
        <v>104.0</v>
      </c>
      <c r="D894" s="223" t="s">
        <v>1013</v>
      </c>
      <c r="E894" s="223" t="s">
        <v>539</v>
      </c>
      <c r="F894" s="223" t="s">
        <v>542</v>
      </c>
      <c r="G894" s="223" t="s">
        <v>493</v>
      </c>
      <c r="H894" s="224" t="s">
        <v>490</v>
      </c>
      <c r="I894" s="208"/>
      <c r="J894" s="210"/>
      <c r="K894" s="210"/>
      <c r="L894" s="210"/>
      <c r="M894" s="210"/>
      <c r="N894" s="210"/>
      <c r="O894" s="210"/>
      <c r="P894" s="210"/>
      <c r="Q894" s="210"/>
      <c r="R894" s="210"/>
      <c r="S894" s="210"/>
      <c r="T894" s="210"/>
      <c r="U894" s="210"/>
      <c r="V894" s="210"/>
      <c r="W894" s="210"/>
      <c r="X894" s="210"/>
      <c r="Y894" s="210"/>
      <c r="Z894" s="210"/>
    </row>
    <row r="895" ht="21.75" customHeight="1">
      <c r="A895" s="214"/>
      <c r="B895" s="221"/>
      <c r="C895" s="222">
        <v>105.0</v>
      </c>
      <c r="D895" s="223" t="s">
        <v>1014</v>
      </c>
      <c r="E895" s="223" t="s">
        <v>487</v>
      </c>
      <c r="F895" s="223" t="s">
        <v>505</v>
      </c>
      <c r="G895" s="223" t="s">
        <v>526</v>
      </c>
      <c r="H895" s="224" t="s">
        <v>490</v>
      </c>
      <c r="I895" s="208"/>
      <c r="J895" s="210"/>
      <c r="K895" s="210"/>
      <c r="L895" s="210"/>
      <c r="M895" s="210"/>
      <c r="N895" s="210"/>
      <c r="O895" s="210"/>
      <c r="P895" s="210"/>
      <c r="Q895" s="210"/>
      <c r="R895" s="210"/>
      <c r="S895" s="210"/>
      <c r="T895" s="210"/>
      <c r="U895" s="210"/>
      <c r="V895" s="210"/>
      <c r="W895" s="210"/>
      <c r="X895" s="210"/>
      <c r="Y895" s="210"/>
      <c r="Z895" s="210"/>
    </row>
    <row r="896" ht="21.75" customHeight="1">
      <c r="A896" s="214"/>
      <c r="B896" s="221"/>
      <c r="C896" s="222">
        <v>106.0</v>
      </c>
      <c r="D896" s="223" t="s">
        <v>519</v>
      </c>
      <c r="E896" s="223" t="s">
        <v>508</v>
      </c>
      <c r="F896" s="223" t="s">
        <v>509</v>
      </c>
      <c r="G896" s="223" t="s">
        <v>510</v>
      </c>
      <c r="H896" s="225" t="s">
        <v>1357</v>
      </c>
      <c r="I896" s="208"/>
      <c r="J896" s="210"/>
      <c r="K896" s="210"/>
      <c r="L896" s="210"/>
      <c r="M896" s="210"/>
      <c r="N896" s="210"/>
      <c r="O896" s="210"/>
      <c r="P896" s="210"/>
      <c r="Q896" s="210"/>
      <c r="R896" s="210"/>
      <c r="S896" s="210"/>
      <c r="T896" s="210"/>
      <c r="U896" s="210"/>
      <c r="V896" s="210"/>
      <c r="W896" s="210"/>
      <c r="X896" s="210"/>
      <c r="Y896" s="210"/>
      <c r="Z896" s="210"/>
    </row>
    <row r="897" ht="21.75" customHeight="1">
      <c r="A897" s="214"/>
      <c r="B897" s="221"/>
      <c r="C897" s="222">
        <v>107.0</v>
      </c>
      <c r="D897" s="223" t="s">
        <v>1016</v>
      </c>
      <c r="E897" s="223" t="s">
        <v>487</v>
      </c>
      <c r="F897" s="223" t="s">
        <v>532</v>
      </c>
      <c r="G897" s="218" t="s">
        <v>490</v>
      </c>
      <c r="H897" s="224" t="s">
        <v>490</v>
      </c>
      <c r="I897" s="208"/>
      <c r="J897" s="210"/>
      <c r="K897" s="210"/>
      <c r="L897" s="210"/>
      <c r="M897" s="210"/>
      <c r="N897" s="210"/>
      <c r="O897" s="210"/>
      <c r="P897" s="210"/>
      <c r="Q897" s="210"/>
      <c r="R897" s="210"/>
      <c r="S897" s="210"/>
      <c r="T897" s="210"/>
      <c r="U897" s="210"/>
      <c r="V897" s="210"/>
      <c r="W897" s="210"/>
      <c r="X897" s="210"/>
      <c r="Y897" s="210"/>
      <c r="Z897" s="210"/>
    </row>
    <row r="898" ht="21.75" customHeight="1">
      <c r="A898" s="214"/>
      <c r="B898" s="221"/>
      <c r="C898" s="222">
        <v>108.0</v>
      </c>
      <c r="D898" s="223" t="s">
        <v>912</v>
      </c>
      <c r="E898" s="223" t="s">
        <v>487</v>
      </c>
      <c r="F898" s="223" t="s">
        <v>512</v>
      </c>
      <c r="G898" s="218" t="s">
        <v>490</v>
      </c>
      <c r="H898" s="224" t="s">
        <v>490</v>
      </c>
      <c r="I898" s="208"/>
      <c r="J898" s="210"/>
      <c r="K898" s="210"/>
      <c r="L898" s="210"/>
      <c r="M898" s="210"/>
      <c r="N898" s="210"/>
      <c r="O898" s="210"/>
      <c r="P898" s="210"/>
      <c r="Q898" s="210"/>
      <c r="R898" s="210"/>
      <c r="S898" s="210"/>
      <c r="T898" s="210"/>
      <c r="U898" s="210"/>
      <c r="V898" s="210"/>
      <c r="W898" s="210"/>
      <c r="X898" s="210"/>
      <c r="Y898" s="210"/>
      <c r="Z898" s="210"/>
    </row>
    <row r="899" ht="21.75" customHeight="1">
      <c r="A899" s="214"/>
      <c r="B899" s="221"/>
      <c r="C899" s="222">
        <v>109.0</v>
      </c>
      <c r="D899" s="223" t="s">
        <v>1017</v>
      </c>
      <c r="E899" s="223" t="s">
        <v>487</v>
      </c>
      <c r="F899" s="223" t="s">
        <v>590</v>
      </c>
      <c r="G899" s="218" t="s">
        <v>490</v>
      </c>
      <c r="H899" s="224" t="s">
        <v>490</v>
      </c>
      <c r="I899" s="208"/>
      <c r="J899" s="210"/>
      <c r="K899" s="210"/>
      <c r="L899" s="210"/>
      <c r="M899" s="210"/>
      <c r="N899" s="210"/>
      <c r="O899" s="210"/>
      <c r="P899" s="210"/>
      <c r="Q899" s="210"/>
      <c r="R899" s="210"/>
      <c r="S899" s="210"/>
      <c r="T899" s="210"/>
      <c r="U899" s="210"/>
      <c r="V899" s="210"/>
      <c r="W899" s="210"/>
      <c r="X899" s="210"/>
      <c r="Y899" s="210"/>
      <c r="Z899" s="210"/>
    </row>
    <row r="900" ht="21.75" customHeight="1">
      <c r="A900" s="214"/>
      <c r="B900" s="221"/>
      <c r="C900" s="222">
        <v>110.0</v>
      </c>
      <c r="D900" s="223" t="s">
        <v>1018</v>
      </c>
      <c r="E900" s="223" t="s">
        <v>487</v>
      </c>
      <c r="F900" s="223" t="s">
        <v>603</v>
      </c>
      <c r="G900" s="218" t="s">
        <v>490</v>
      </c>
      <c r="H900" s="224" t="s">
        <v>490</v>
      </c>
      <c r="I900" s="208"/>
      <c r="J900" s="210"/>
      <c r="K900" s="210"/>
      <c r="L900" s="210"/>
      <c r="M900" s="210"/>
      <c r="N900" s="210"/>
      <c r="O900" s="210"/>
      <c r="P900" s="210"/>
      <c r="Q900" s="210"/>
      <c r="R900" s="210"/>
      <c r="S900" s="210"/>
      <c r="T900" s="210"/>
      <c r="U900" s="210"/>
      <c r="V900" s="210"/>
      <c r="W900" s="210"/>
      <c r="X900" s="210"/>
      <c r="Y900" s="210"/>
      <c r="Z900" s="210"/>
    </row>
    <row r="901" ht="21.75" customHeight="1">
      <c r="A901" s="214"/>
      <c r="B901" s="221"/>
      <c r="C901" s="222">
        <v>111.0</v>
      </c>
      <c r="D901" s="223" t="s">
        <v>1019</v>
      </c>
      <c r="E901" s="223" t="s">
        <v>487</v>
      </c>
      <c r="F901" s="223" t="s">
        <v>579</v>
      </c>
      <c r="G901" s="218" t="s">
        <v>490</v>
      </c>
      <c r="H901" s="224" t="s">
        <v>490</v>
      </c>
      <c r="I901" s="208"/>
      <c r="J901" s="210"/>
      <c r="K901" s="210"/>
      <c r="L901" s="210"/>
      <c r="M901" s="210"/>
      <c r="N901" s="210"/>
      <c r="O901" s="210"/>
      <c r="P901" s="210"/>
      <c r="Q901" s="210"/>
      <c r="R901" s="210"/>
      <c r="S901" s="210"/>
      <c r="T901" s="210"/>
      <c r="U901" s="210"/>
      <c r="V901" s="210"/>
      <c r="W901" s="210"/>
      <c r="X901" s="210"/>
      <c r="Y901" s="210"/>
      <c r="Z901" s="210"/>
    </row>
    <row r="902" ht="21.75" customHeight="1">
      <c r="A902" s="214"/>
      <c r="B902" s="221"/>
      <c r="C902" s="222">
        <v>112.0</v>
      </c>
      <c r="D902" s="223" t="s">
        <v>1020</v>
      </c>
      <c r="E902" s="223" t="s">
        <v>1021</v>
      </c>
      <c r="F902" s="223" t="s">
        <v>1022</v>
      </c>
      <c r="G902" s="218" t="s">
        <v>490</v>
      </c>
      <c r="H902" s="224" t="s">
        <v>490</v>
      </c>
      <c r="I902" s="208"/>
      <c r="J902" s="210"/>
      <c r="K902" s="210"/>
      <c r="L902" s="210"/>
      <c r="M902" s="210"/>
      <c r="N902" s="210"/>
      <c r="O902" s="210"/>
      <c r="P902" s="210"/>
      <c r="Q902" s="210"/>
      <c r="R902" s="210"/>
      <c r="S902" s="210"/>
      <c r="T902" s="210"/>
      <c r="U902" s="210"/>
      <c r="V902" s="210"/>
      <c r="W902" s="210"/>
      <c r="X902" s="210"/>
      <c r="Y902" s="210"/>
      <c r="Z902" s="210"/>
    </row>
    <row r="903" ht="21.75" customHeight="1">
      <c r="A903" s="214"/>
      <c r="B903" s="221"/>
      <c r="C903" s="222">
        <v>200.0</v>
      </c>
      <c r="D903" s="223" t="s">
        <v>696</v>
      </c>
      <c r="E903" s="223" t="s">
        <v>673</v>
      </c>
      <c r="F903" s="223" t="s">
        <v>696</v>
      </c>
      <c r="G903" s="218" t="s">
        <v>490</v>
      </c>
      <c r="H903" s="224" t="s">
        <v>490</v>
      </c>
      <c r="I903" s="208"/>
      <c r="J903" s="210"/>
      <c r="K903" s="210"/>
      <c r="L903" s="210"/>
      <c r="M903" s="210"/>
      <c r="N903" s="210"/>
      <c r="O903" s="210"/>
      <c r="P903" s="210"/>
      <c r="Q903" s="210"/>
      <c r="R903" s="210"/>
      <c r="S903" s="210"/>
      <c r="T903" s="210"/>
      <c r="U903" s="210"/>
      <c r="V903" s="210"/>
      <c r="W903" s="210"/>
      <c r="X903" s="210"/>
      <c r="Y903" s="210"/>
      <c r="Z903" s="210"/>
    </row>
    <row r="904" ht="21.75" customHeight="1">
      <c r="A904" s="214"/>
      <c r="B904" s="221"/>
      <c r="C904" s="233" t="s">
        <v>490</v>
      </c>
      <c r="D904" s="223" t="s">
        <v>1023</v>
      </c>
      <c r="E904" s="223" t="s">
        <v>744</v>
      </c>
      <c r="F904" s="223" t="s">
        <v>1023</v>
      </c>
      <c r="G904" s="218" t="s">
        <v>490</v>
      </c>
      <c r="H904" s="224" t="s">
        <v>490</v>
      </c>
      <c r="I904" s="208"/>
      <c r="J904" s="210"/>
      <c r="K904" s="210"/>
      <c r="L904" s="210"/>
      <c r="M904" s="210"/>
      <c r="N904" s="210"/>
      <c r="O904" s="210"/>
      <c r="P904" s="210"/>
      <c r="Q904" s="210"/>
      <c r="R904" s="210"/>
      <c r="S904" s="210"/>
      <c r="T904" s="210"/>
      <c r="U904" s="210"/>
      <c r="V904" s="210"/>
      <c r="W904" s="210"/>
      <c r="X904" s="210"/>
      <c r="Y904" s="210"/>
      <c r="Z904" s="210"/>
    </row>
    <row r="905" ht="21.75" customHeight="1">
      <c r="A905" s="214"/>
      <c r="B905" s="221"/>
      <c r="C905" s="222"/>
      <c r="D905" s="223" t="s">
        <v>1024</v>
      </c>
      <c r="E905" s="223" t="s">
        <v>738</v>
      </c>
      <c r="F905" s="223" t="s">
        <v>1025</v>
      </c>
      <c r="G905" s="218" t="s">
        <v>490</v>
      </c>
      <c r="H905" s="224" t="s">
        <v>490</v>
      </c>
      <c r="I905" s="208"/>
      <c r="J905" s="210"/>
      <c r="K905" s="210"/>
      <c r="L905" s="210"/>
      <c r="M905" s="210"/>
      <c r="N905" s="210"/>
      <c r="O905" s="210"/>
      <c r="P905" s="210"/>
      <c r="Q905" s="210"/>
      <c r="R905" s="210"/>
      <c r="S905" s="210"/>
      <c r="T905" s="210"/>
      <c r="U905" s="210"/>
      <c r="V905" s="210"/>
      <c r="W905" s="210"/>
      <c r="X905" s="210"/>
      <c r="Y905" s="210"/>
      <c r="Z905" s="210"/>
    </row>
    <row r="906" ht="21.75" customHeight="1">
      <c r="A906" s="214"/>
      <c r="B906" s="221"/>
      <c r="C906" s="222"/>
      <c r="D906" s="223" t="s">
        <v>1355</v>
      </c>
      <c r="E906" s="223" t="s">
        <v>738</v>
      </c>
      <c r="F906" s="223" t="s">
        <v>1026</v>
      </c>
      <c r="G906" s="218" t="s">
        <v>490</v>
      </c>
      <c r="H906" s="224" t="s">
        <v>490</v>
      </c>
      <c r="I906" s="208"/>
      <c r="J906" s="210"/>
      <c r="K906" s="210"/>
      <c r="L906" s="210"/>
      <c r="M906" s="210"/>
      <c r="N906" s="210"/>
      <c r="O906" s="210"/>
      <c r="P906" s="210"/>
      <c r="Q906" s="210"/>
      <c r="R906" s="210"/>
      <c r="S906" s="210"/>
      <c r="T906" s="210"/>
      <c r="U906" s="210"/>
      <c r="V906" s="210"/>
      <c r="W906" s="210"/>
      <c r="X906" s="210"/>
      <c r="Y906" s="210"/>
      <c r="Z906" s="210"/>
    </row>
    <row r="907" ht="21.75" customHeight="1">
      <c r="A907" s="228"/>
      <c r="B907" s="221"/>
      <c r="C907" s="222"/>
      <c r="D907" s="218" t="s">
        <v>490</v>
      </c>
      <c r="E907" s="223" t="s">
        <v>742</v>
      </c>
      <c r="F907" s="223" t="s">
        <v>1027</v>
      </c>
      <c r="G907" s="218" t="s">
        <v>490</v>
      </c>
      <c r="H907" s="224" t="s">
        <v>490</v>
      </c>
      <c r="I907" s="208"/>
      <c r="J907" s="210"/>
      <c r="K907" s="210"/>
      <c r="L907" s="210"/>
      <c r="M907" s="210"/>
      <c r="N907" s="210"/>
      <c r="O907" s="210"/>
      <c r="P907" s="210"/>
      <c r="Q907" s="210"/>
      <c r="R907" s="210"/>
      <c r="S907" s="210"/>
      <c r="T907" s="210"/>
      <c r="U907" s="210"/>
      <c r="V907" s="210"/>
      <c r="W907" s="210"/>
      <c r="X907" s="210"/>
      <c r="Y907" s="210"/>
      <c r="Z907" s="210"/>
    </row>
    <row r="908" ht="21.75" customHeight="1">
      <c r="A908" s="214">
        <v>2.0</v>
      </c>
      <c r="B908" s="215" t="s">
        <v>1358</v>
      </c>
      <c r="C908" s="216"/>
      <c r="D908" s="217"/>
      <c r="E908" s="217"/>
      <c r="F908" s="217"/>
      <c r="G908" s="217"/>
      <c r="H908" s="217"/>
      <c r="I908" s="208"/>
      <c r="J908" s="210"/>
      <c r="K908" s="210"/>
      <c r="L908" s="210"/>
      <c r="M908" s="210"/>
      <c r="N908" s="210"/>
      <c r="O908" s="210"/>
      <c r="P908" s="210"/>
      <c r="Q908" s="210"/>
      <c r="R908" s="210"/>
      <c r="S908" s="210"/>
      <c r="T908" s="210"/>
      <c r="U908" s="210"/>
      <c r="V908" s="210"/>
      <c r="W908" s="210"/>
      <c r="X908" s="210"/>
      <c r="Y908" s="210"/>
      <c r="Z908" s="210"/>
    </row>
    <row r="909" ht="21.75" customHeight="1">
      <c r="A909" s="214"/>
      <c r="B909" s="218" t="s">
        <v>1359</v>
      </c>
      <c r="C909" s="219">
        <v>50001.0</v>
      </c>
      <c r="D909" s="220"/>
      <c r="E909" s="220"/>
      <c r="F909" s="220"/>
      <c r="G909" s="220"/>
      <c r="H909" s="220"/>
      <c r="I909" s="208"/>
      <c r="J909" s="210"/>
      <c r="K909" s="210"/>
      <c r="L909" s="210"/>
      <c r="M909" s="210"/>
      <c r="N909" s="210"/>
      <c r="O909" s="210"/>
      <c r="P909" s="210"/>
      <c r="Q909" s="210"/>
      <c r="R909" s="210"/>
      <c r="S909" s="210"/>
      <c r="T909" s="210"/>
      <c r="U909" s="210"/>
      <c r="V909" s="210"/>
      <c r="W909" s="210"/>
      <c r="X909" s="210"/>
      <c r="Y909" s="210"/>
      <c r="Z909" s="210"/>
    </row>
    <row r="910" ht="21.75" customHeight="1">
      <c r="A910" s="214"/>
      <c r="B910" s="221"/>
      <c r="C910" s="222">
        <v>100.0</v>
      </c>
      <c r="D910" s="223" t="s">
        <v>1360</v>
      </c>
      <c r="E910" s="223" t="s">
        <v>487</v>
      </c>
      <c r="F910" s="223" t="s">
        <v>488</v>
      </c>
      <c r="G910" s="223" t="s">
        <v>678</v>
      </c>
      <c r="H910" s="225" t="s">
        <v>1361</v>
      </c>
      <c r="I910" s="208"/>
      <c r="J910" s="210"/>
      <c r="K910" s="210"/>
      <c r="L910" s="210"/>
      <c r="M910" s="210"/>
      <c r="N910" s="210"/>
      <c r="O910" s="210"/>
      <c r="P910" s="210"/>
      <c r="Q910" s="210"/>
      <c r="R910" s="210"/>
      <c r="S910" s="210"/>
      <c r="T910" s="210"/>
      <c r="U910" s="210"/>
      <c r="V910" s="210"/>
      <c r="W910" s="210"/>
      <c r="X910" s="210"/>
      <c r="Y910" s="210"/>
      <c r="Z910" s="210"/>
    </row>
    <row r="911" ht="21.75" customHeight="1">
      <c r="A911" s="214"/>
      <c r="B911" s="221"/>
      <c r="C911" s="222">
        <v>101.0</v>
      </c>
      <c r="D911" s="223" t="s">
        <v>837</v>
      </c>
      <c r="E911" s="223" t="s">
        <v>529</v>
      </c>
      <c r="F911" s="223" t="s">
        <v>530</v>
      </c>
      <c r="G911" s="218" t="s">
        <v>490</v>
      </c>
      <c r="H911" s="225" t="s">
        <v>1362</v>
      </c>
      <c r="I911" s="208"/>
      <c r="J911" s="210"/>
      <c r="K911" s="210"/>
      <c r="L911" s="210"/>
      <c r="M911" s="210"/>
      <c r="N911" s="210"/>
      <c r="O911" s="210"/>
      <c r="P911" s="210"/>
      <c r="Q911" s="210"/>
      <c r="R911" s="210"/>
      <c r="S911" s="210"/>
      <c r="T911" s="210"/>
      <c r="U911" s="210"/>
      <c r="V911" s="210"/>
      <c r="W911" s="210"/>
      <c r="X911" s="210"/>
      <c r="Y911" s="210"/>
      <c r="Z911" s="210"/>
    </row>
    <row r="912" ht="21.75" customHeight="1">
      <c r="A912" s="214"/>
      <c r="B912" s="221"/>
      <c r="C912" s="222">
        <v>102.0</v>
      </c>
      <c r="D912" s="223" t="s">
        <v>1363</v>
      </c>
      <c r="E912" s="223" t="s">
        <v>487</v>
      </c>
      <c r="F912" s="223" t="s">
        <v>496</v>
      </c>
      <c r="G912" s="223" t="s">
        <v>497</v>
      </c>
      <c r="H912" s="224" t="s">
        <v>490</v>
      </c>
      <c r="I912" s="208"/>
      <c r="J912" s="210"/>
      <c r="K912" s="210"/>
      <c r="L912" s="210"/>
      <c r="M912" s="210"/>
      <c r="N912" s="210"/>
      <c r="O912" s="210"/>
      <c r="P912" s="210"/>
      <c r="Q912" s="210"/>
      <c r="R912" s="210"/>
      <c r="S912" s="210"/>
      <c r="T912" s="210"/>
      <c r="U912" s="210"/>
      <c r="V912" s="210"/>
      <c r="W912" s="210"/>
      <c r="X912" s="210"/>
      <c r="Y912" s="210"/>
      <c r="Z912" s="210"/>
    </row>
    <row r="913" ht="21.75" customHeight="1">
      <c r="A913" s="214"/>
      <c r="B913" s="221"/>
      <c r="C913" s="222">
        <v>103.0</v>
      </c>
      <c r="D913" s="223" t="s">
        <v>1364</v>
      </c>
      <c r="E913" s="223" t="s">
        <v>487</v>
      </c>
      <c r="F913" s="223" t="s">
        <v>500</v>
      </c>
      <c r="G913" s="223" t="s">
        <v>493</v>
      </c>
      <c r="H913" s="225" t="s">
        <v>1365</v>
      </c>
      <c r="I913" s="208"/>
      <c r="J913" s="210"/>
      <c r="K913" s="210"/>
      <c r="L913" s="210"/>
      <c r="M913" s="210"/>
      <c r="N913" s="210"/>
      <c r="O913" s="210"/>
      <c r="P913" s="210"/>
      <c r="Q913" s="210"/>
      <c r="R913" s="210"/>
      <c r="S913" s="210"/>
      <c r="T913" s="210"/>
      <c r="U913" s="210"/>
      <c r="V913" s="210"/>
      <c r="W913" s="210"/>
      <c r="X913" s="210"/>
      <c r="Y913" s="210"/>
      <c r="Z913" s="210"/>
    </row>
    <row r="914" ht="21.75" customHeight="1">
      <c r="A914" s="214"/>
      <c r="B914" s="221"/>
      <c r="C914" s="222">
        <v>104.0</v>
      </c>
      <c r="D914" s="223" t="s">
        <v>861</v>
      </c>
      <c r="E914" s="223" t="s">
        <v>539</v>
      </c>
      <c r="F914" s="223" t="s">
        <v>505</v>
      </c>
      <c r="G914" s="223" t="s">
        <v>513</v>
      </c>
      <c r="H914" s="224" t="s">
        <v>490</v>
      </c>
      <c r="I914" s="208"/>
      <c r="J914" s="210"/>
      <c r="K914" s="210"/>
      <c r="L914" s="210"/>
      <c r="M914" s="210"/>
      <c r="N914" s="210"/>
      <c r="O914" s="210"/>
      <c r="P914" s="210"/>
      <c r="Q914" s="210"/>
      <c r="R914" s="210"/>
      <c r="S914" s="210"/>
      <c r="T914" s="210"/>
      <c r="U914" s="210"/>
      <c r="V914" s="210"/>
      <c r="W914" s="210"/>
      <c r="X914" s="210"/>
      <c r="Y914" s="210"/>
      <c r="Z914" s="210"/>
    </row>
    <row r="915" ht="21.75" customHeight="1">
      <c r="A915" s="214"/>
      <c r="B915" s="221"/>
      <c r="C915" s="222">
        <v>105.0</v>
      </c>
      <c r="D915" s="223" t="s">
        <v>1366</v>
      </c>
      <c r="E915" s="223" t="s">
        <v>529</v>
      </c>
      <c r="F915" s="223" t="s">
        <v>1367</v>
      </c>
      <c r="G915" s="218" t="s">
        <v>490</v>
      </c>
      <c r="H915" s="225" t="s">
        <v>1368</v>
      </c>
      <c r="I915" s="208"/>
      <c r="J915" s="210"/>
      <c r="K915" s="210"/>
      <c r="L915" s="210"/>
      <c r="M915" s="210"/>
      <c r="N915" s="210"/>
      <c r="O915" s="210"/>
      <c r="P915" s="210"/>
      <c r="Q915" s="210"/>
      <c r="R915" s="210"/>
      <c r="S915" s="210"/>
      <c r="T915" s="210"/>
      <c r="U915" s="210"/>
      <c r="V915" s="210"/>
      <c r="W915" s="210"/>
      <c r="X915" s="210"/>
      <c r="Y915" s="210"/>
      <c r="Z915" s="210"/>
    </row>
    <row r="916" ht="21.75" customHeight="1">
      <c r="A916" s="214"/>
      <c r="B916" s="221"/>
      <c r="C916" s="222">
        <v>106.0</v>
      </c>
      <c r="D916" s="223" t="s">
        <v>519</v>
      </c>
      <c r="E916" s="223" t="s">
        <v>508</v>
      </c>
      <c r="F916" s="223" t="s">
        <v>509</v>
      </c>
      <c r="G916" s="223" t="s">
        <v>510</v>
      </c>
      <c r="H916" s="225" t="s">
        <v>1369</v>
      </c>
      <c r="I916" s="208"/>
      <c r="J916" s="210"/>
      <c r="K916" s="210"/>
      <c r="L916" s="210"/>
      <c r="M916" s="210"/>
      <c r="N916" s="210"/>
      <c r="O916" s="210"/>
      <c r="P916" s="210"/>
      <c r="Q916" s="210"/>
      <c r="R916" s="210"/>
      <c r="S916" s="210"/>
      <c r="T916" s="210"/>
      <c r="U916" s="210"/>
      <c r="V916" s="210"/>
      <c r="W916" s="210"/>
      <c r="X916" s="210"/>
      <c r="Y916" s="210"/>
      <c r="Z916" s="210"/>
    </row>
    <row r="917" ht="21.75" customHeight="1">
      <c r="A917" s="214"/>
      <c r="B917" s="221"/>
      <c r="C917" s="222">
        <v>107.0</v>
      </c>
      <c r="D917" s="223" t="s">
        <v>862</v>
      </c>
      <c r="E917" s="223" t="s">
        <v>539</v>
      </c>
      <c r="F917" s="223" t="s">
        <v>542</v>
      </c>
      <c r="G917" s="223" t="s">
        <v>864</v>
      </c>
      <c r="H917" s="224" t="s">
        <v>490</v>
      </c>
      <c r="I917" s="208"/>
      <c r="J917" s="210"/>
      <c r="K917" s="210"/>
      <c r="L917" s="210"/>
      <c r="M917" s="210"/>
      <c r="N917" s="210"/>
      <c r="O917" s="210"/>
      <c r="P917" s="210"/>
      <c r="Q917" s="210"/>
      <c r="R917" s="210"/>
      <c r="S917" s="210"/>
      <c r="T917" s="210"/>
      <c r="U917" s="210"/>
      <c r="V917" s="210"/>
      <c r="W917" s="210"/>
      <c r="X917" s="210"/>
      <c r="Y917" s="210"/>
      <c r="Z917" s="210"/>
    </row>
    <row r="918" ht="21.75" customHeight="1">
      <c r="A918" s="214"/>
      <c r="B918" s="221"/>
      <c r="C918" s="222">
        <v>108.0</v>
      </c>
      <c r="D918" s="223" t="s">
        <v>837</v>
      </c>
      <c r="E918" s="223" t="s">
        <v>487</v>
      </c>
      <c r="F918" s="223" t="s">
        <v>826</v>
      </c>
      <c r="G918" s="223" t="s">
        <v>526</v>
      </c>
      <c r="H918" s="224" t="s">
        <v>490</v>
      </c>
      <c r="I918" s="208"/>
      <c r="J918" s="210"/>
      <c r="K918" s="210"/>
      <c r="L918" s="210"/>
      <c r="M918" s="210"/>
      <c r="N918" s="210"/>
      <c r="O918" s="210"/>
      <c r="P918" s="210"/>
      <c r="Q918" s="210"/>
      <c r="R918" s="210"/>
      <c r="S918" s="210"/>
      <c r="T918" s="210"/>
      <c r="U918" s="210"/>
      <c r="V918" s="210"/>
      <c r="W918" s="210"/>
      <c r="X918" s="210"/>
      <c r="Y918" s="210"/>
      <c r="Z918" s="210"/>
    </row>
    <row r="919" ht="21.75" customHeight="1">
      <c r="A919" s="214"/>
      <c r="B919" s="221"/>
      <c r="C919" s="222">
        <v>109.0</v>
      </c>
      <c r="D919" s="223" t="s">
        <v>1366</v>
      </c>
      <c r="E919" s="223" t="s">
        <v>487</v>
      </c>
      <c r="F919" s="223" t="s">
        <v>1370</v>
      </c>
      <c r="G919" s="223" t="s">
        <v>501</v>
      </c>
      <c r="H919" s="224" t="s">
        <v>490</v>
      </c>
      <c r="I919" s="208"/>
      <c r="J919" s="210"/>
      <c r="K919" s="210"/>
      <c r="L919" s="210"/>
      <c r="M919" s="210"/>
      <c r="N919" s="210"/>
      <c r="O919" s="210"/>
      <c r="P919" s="210"/>
      <c r="Q919" s="210"/>
      <c r="R919" s="210"/>
      <c r="S919" s="210"/>
      <c r="T919" s="210"/>
      <c r="U919" s="210"/>
      <c r="V919" s="210"/>
      <c r="W919" s="210"/>
      <c r="X919" s="210"/>
      <c r="Y919" s="210"/>
      <c r="Z919" s="210"/>
    </row>
    <row r="920" ht="21.75" customHeight="1">
      <c r="A920" s="228"/>
      <c r="B920" s="221"/>
      <c r="C920" s="222">
        <v>111.0</v>
      </c>
      <c r="D920" s="223" t="s">
        <v>863</v>
      </c>
      <c r="E920" s="223" t="s">
        <v>539</v>
      </c>
      <c r="F920" s="223" t="s">
        <v>863</v>
      </c>
      <c r="G920" s="218" t="s">
        <v>490</v>
      </c>
      <c r="H920" s="224" t="s">
        <v>490</v>
      </c>
      <c r="I920" s="208"/>
      <c r="J920" s="210"/>
      <c r="K920" s="210"/>
      <c r="L920" s="210"/>
      <c r="M920" s="210"/>
      <c r="N920" s="210"/>
      <c r="O920" s="210"/>
      <c r="P920" s="210"/>
      <c r="Q920" s="210"/>
      <c r="R920" s="210"/>
      <c r="S920" s="210"/>
      <c r="T920" s="210"/>
      <c r="U920" s="210"/>
      <c r="V920" s="210"/>
      <c r="W920" s="210"/>
      <c r="X920" s="210"/>
      <c r="Y920" s="210"/>
      <c r="Z920" s="210"/>
    </row>
    <row r="921" ht="21.75" customHeight="1">
      <c r="A921" s="214">
        <v>20.0</v>
      </c>
      <c r="B921" s="215" t="s">
        <v>1371</v>
      </c>
      <c r="C921" s="216"/>
      <c r="D921" s="217"/>
      <c r="E921" s="217"/>
      <c r="F921" s="217"/>
      <c r="G921" s="217"/>
      <c r="H921" s="217"/>
      <c r="I921" s="208"/>
      <c r="J921" s="210"/>
      <c r="K921" s="210"/>
      <c r="L921" s="210"/>
      <c r="M921" s="210"/>
      <c r="N921" s="210"/>
      <c r="O921" s="210"/>
      <c r="P921" s="210"/>
      <c r="Q921" s="210"/>
      <c r="R921" s="210"/>
      <c r="S921" s="210"/>
      <c r="T921" s="210"/>
      <c r="U921" s="210"/>
      <c r="V921" s="210"/>
      <c r="W921" s="210"/>
      <c r="X921" s="210"/>
      <c r="Y921" s="210"/>
      <c r="Z921" s="210"/>
    </row>
    <row r="922" ht="21.75" customHeight="1">
      <c r="A922" s="214"/>
      <c r="B922" s="218" t="s">
        <v>1372</v>
      </c>
      <c r="C922" s="219">
        <v>50386.0</v>
      </c>
      <c r="D922" s="220"/>
      <c r="E922" s="220"/>
      <c r="F922" s="220"/>
      <c r="G922" s="220"/>
      <c r="H922" s="220"/>
      <c r="I922" s="208"/>
      <c r="J922" s="210"/>
      <c r="K922" s="210"/>
      <c r="L922" s="210"/>
      <c r="M922" s="210"/>
      <c r="N922" s="210"/>
      <c r="O922" s="210"/>
      <c r="P922" s="210"/>
      <c r="Q922" s="210"/>
      <c r="R922" s="210"/>
      <c r="S922" s="210"/>
      <c r="T922" s="210"/>
      <c r="U922" s="210"/>
      <c r="V922" s="210"/>
      <c r="W922" s="210"/>
      <c r="X922" s="210"/>
      <c r="Y922" s="210"/>
      <c r="Z922" s="210"/>
    </row>
    <row r="923" ht="21.75" customHeight="1">
      <c r="A923" s="214"/>
      <c r="B923" s="221"/>
      <c r="C923" s="222">
        <v>100.0</v>
      </c>
      <c r="D923" s="223" t="s">
        <v>486</v>
      </c>
      <c r="E923" s="223" t="s">
        <v>487</v>
      </c>
      <c r="F923" s="223" t="s">
        <v>488</v>
      </c>
      <c r="G923" s="223" t="s">
        <v>489</v>
      </c>
      <c r="H923" s="224" t="s">
        <v>490</v>
      </c>
      <c r="I923" s="208"/>
      <c r="J923" s="210"/>
      <c r="K923" s="210"/>
      <c r="L923" s="210"/>
      <c r="M923" s="210"/>
      <c r="N923" s="210"/>
      <c r="O923" s="210"/>
      <c r="P923" s="210"/>
      <c r="Q923" s="210"/>
      <c r="R923" s="210"/>
      <c r="S923" s="210"/>
      <c r="T923" s="210"/>
      <c r="U923" s="210"/>
      <c r="V923" s="210"/>
      <c r="W923" s="210"/>
      <c r="X923" s="210"/>
      <c r="Y923" s="210"/>
      <c r="Z923" s="210"/>
    </row>
    <row r="924" ht="21.75" customHeight="1">
      <c r="A924" s="214"/>
      <c r="B924" s="221"/>
      <c r="C924" s="222">
        <v>101.0</v>
      </c>
      <c r="D924" s="223" t="s">
        <v>1373</v>
      </c>
      <c r="E924" s="223" t="s">
        <v>487</v>
      </c>
      <c r="F924" s="223" t="s">
        <v>492</v>
      </c>
      <c r="G924" s="223" t="s">
        <v>678</v>
      </c>
      <c r="H924" s="225" t="s">
        <v>1374</v>
      </c>
      <c r="I924" s="208"/>
      <c r="J924" s="210"/>
      <c r="K924" s="210"/>
      <c r="L924" s="210"/>
      <c r="M924" s="210"/>
      <c r="N924" s="210"/>
      <c r="O924" s="210"/>
      <c r="P924" s="210"/>
      <c r="Q924" s="210"/>
      <c r="R924" s="210"/>
      <c r="S924" s="210"/>
      <c r="T924" s="210"/>
      <c r="U924" s="210"/>
      <c r="V924" s="210"/>
      <c r="W924" s="210"/>
      <c r="X924" s="210"/>
      <c r="Y924" s="210"/>
      <c r="Z924" s="210"/>
    </row>
    <row r="925" ht="21.75" customHeight="1">
      <c r="A925" s="214"/>
      <c r="B925" s="221"/>
      <c r="C925" s="222">
        <v>102.0</v>
      </c>
      <c r="D925" s="223" t="s">
        <v>1375</v>
      </c>
      <c r="E925" s="223" t="s">
        <v>487</v>
      </c>
      <c r="F925" s="223" t="s">
        <v>496</v>
      </c>
      <c r="G925" s="223" t="s">
        <v>501</v>
      </c>
      <c r="H925" s="225" t="s">
        <v>1376</v>
      </c>
      <c r="I925" s="208"/>
      <c r="J925" s="210"/>
      <c r="K925" s="210"/>
      <c r="L925" s="210"/>
      <c r="M925" s="210"/>
      <c r="N925" s="210"/>
      <c r="O925" s="210"/>
      <c r="P925" s="210"/>
      <c r="Q925" s="210"/>
      <c r="R925" s="210"/>
      <c r="S925" s="210"/>
      <c r="T925" s="210"/>
      <c r="U925" s="210"/>
      <c r="V925" s="210"/>
      <c r="W925" s="210"/>
      <c r="X925" s="210"/>
      <c r="Y925" s="210"/>
      <c r="Z925" s="210"/>
    </row>
    <row r="926" ht="21.75" customHeight="1">
      <c r="A926" s="214"/>
      <c r="B926" s="221"/>
      <c r="C926" s="222">
        <v>103.0</v>
      </c>
      <c r="D926" s="223" t="s">
        <v>369</v>
      </c>
      <c r="E926" s="223" t="s">
        <v>487</v>
      </c>
      <c r="F926" s="223" t="s">
        <v>500</v>
      </c>
      <c r="G926" s="223" t="s">
        <v>526</v>
      </c>
      <c r="H926" s="224" t="s">
        <v>490</v>
      </c>
      <c r="I926" s="208"/>
      <c r="J926" s="210"/>
      <c r="K926" s="210"/>
      <c r="L926" s="210"/>
      <c r="M926" s="210"/>
      <c r="N926" s="210"/>
      <c r="O926" s="210"/>
      <c r="P926" s="210"/>
      <c r="Q926" s="210"/>
      <c r="R926" s="210"/>
      <c r="S926" s="210"/>
      <c r="T926" s="210"/>
      <c r="U926" s="210"/>
      <c r="V926" s="210"/>
      <c r="W926" s="210"/>
      <c r="X926" s="210"/>
      <c r="Y926" s="210"/>
      <c r="Z926" s="210"/>
    </row>
    <row r="927" ht="21.75" customHeight="1">
      <c r="A927" s="214"/>
      <c r="B927" s="221"/>
      <c r="C927" s="222">
        <v>104.0</v>
      </c>
      <c r="D927" s="223" t="s">
        <v>1377</v>
      </c>
      <c r="E927" s="223" t="s">
        <v>487</v>
      </c>
      <c r="F927" s="223" t="s">
        <v>512</v>
      </c>
      <c r="G927" s="223" t="s">
        <v>497</v>
      </c>
      <c r="H927" s="224" t="s">
        <v>490</v>
      </c>
      <c r="I927" s="208"/>
      <c r="J927" s="210"/>
      <c r="K927" s="210"/>
      <c r="L927" s="210"/>
      <c r="M927" s="210"/>
      <c r="N927" s="210"/>
      <c r="O927" s="210"/>
      <c r="P927" s="210"/>
      <c r="Q927" s="210"/>
      <c r="R927" s="210"/>
      <c r="S927" s="210"/>
      <c r="T927" s="210"/>
      <c r="U927" s="210"/>
      <c r="V927" s="210"/>
      <c r="W927" s="210"/>
      <c r="X927" s="210"/>
      <c r="Y927" s="210"/>
      <c r="Z927" s="210"/>
    </row>
    <row r="928" ht="21.75" customHeight="1">
      <c r="A928" s="214"/>
      <c r="B928" s="221"/>
      <c r="C928" s="222">
        <v>105.0</v>
      </c>
      <c r="D928" s="223" t="s">
        <v>541</v>
      </c>
      <c r="E928" s="223" t="s">
        <v>539</v>
      </c>
      <c r="F928" s="223" t="s">
        <v>542</v>
      </c>
      <c r="G928" s="223" t="s">
        <v>493</v>
      </c>
      <c r="H928" s="224" t="s">
        <v>490</v>
      </c>
      <c r="I928" s="208"/>
      <c r="J928" s="210"/>
      <c r="K928" s="210"/>
      <c r="L928" s="210"/>
      <c r="M928" s="210"/>
      <c r="N928" s="210"/>
      <c r="O928" s="210"/>
      <c r="P928" s="210"/>
      <c r="Q928" s="210"/>
      <c r="R928" s="210"/>
      <c r="S928" s="210"/>
      <c r="T928" s="210"/>
      <c r="U928" s="210"/>
      <c r="V928" s="210"/>
      <c r="W928" s="210"/>
      <c r="X928" s="210"/>
      <c r="Y928" s="210"/>
      <c r="Z928" s="210"/>
    </row>
    <row r="929" ht="21.75" customHeight="1">
      <c r="A929" s="214"/>
      <c r="B929" s="217"/>
      <c r="C929" s="222">
        <v>106.0</v>
      </c>
      <c r="D929" s="215" t="s">
        <v>541</v>
      </c>
      <c r="E929" s="215" t="s">
        <v>508</v>
      </c>
      <c r="F929" s="215" t="s">
        <v>509</v>
      </c>
      <c r="G929" s="215" t="s">
        <v>510</v>
      </c>
      <c r="H929" s="225" t="s">
        <v>1378</v>
      </c>
      <c r="I929" s="208"/>
      <c r="J929" s="210"/>
      <c r="K929" s="210"/>
      <c r="L929" s="210"/>
      <c r="M929" s="210"/>
      <c r="N929" s="210"/>
      <c r="O929" s="210"/>
      <c r="P929" s="210"/>
      <c r="Q929" s="210"/>
      <c r="R929" s="210"/>
      <c r="S929" s="210"/>
      <c r="T929" s="210"/>
      <c r="U929" s="210"/>
      <c r="V929" s="210"/>
      <c r="W929" s="210"/>
      <c r="X929" s="210"/>
      <c r="Y929" s="210"/>
      <c r="Z929" s="210"/>
    </row>
    <row r="930" ht="21.75" customHeight="1">
      <c r="A930" s="214"/>
      <c r="B930" s="218" t="s">
        <v>1379</v>
      </c>
      <c r="C930" s="226">
        <v>50082.0</v>
      </c>
      <c r="D930" s="220"/>
      <c r="E930" s="220"/>
      <c r="F930" s="220"/>
      <c r="G930" s="220"/>
      <c r="H930" s="221"/>
      <c r="I930" s="208"/>
      <c r="J930" s="210"/>
      <c r="K930" s="210"/>
      <c r="L930" s="210"/>
      <c r="M930" s="210"/>
      <c r="N930" s="210"/>
      <c r="O930" s="210"/>
      <c r="P930" s="210"/>
      <c r="Q930" s="210"/>
      <c r="R930" s="210"/>
      <c r="S930" s="210"/>
      <c r="T930" s="210"/>
      <c r="U930" s="210"/>
      <c r="V930" s="210"/>
      <c r="W930" s="210"/>
      <c r="X930" s="210"/>
      <c r="Y930" s="210"/>
      <c r="Z930" s="210"/>
    </row>
    <row r="931" ht="21.75" customHeight="1">
      <c r="A931" s="214"/>
      <c r="B931" s="221"/>
      <c r="C931" s="222">
        <v>101.0</v>
      </c>
      <c r="D931" s="223" t="s">
        <v>486</v>
      </c>
      <c r="E931" s="223" t="s">
        <v>487</v>
      </c>
      <c r="F931" s="223" t="s">
        <v>488</v>
      </c>
      <c r="G931" s="223" t="s">
        <v>489</v>
      </c>
      <c r="H931" s="224" t="s">
        <v>490</v>
      </c>
      <c r="I931" s="208"/>
      <c r="J931" s="210"/>
      <c r="K931" s="210"/>
      <c r="L931" s="210"/>
      <c r="M931" s="210"/>
      <c r="N931" s="210"/>
      <c r="O931" s="210"/>
      <c r="P931" s="210"/>
      <c r="Q931" s="210"/>
      <c r="R931" s="210"/>
      <c r="S931" s="210"/>
      <c r="T931" s="210"/>
      <c r="U931" s="210"/>
      <c r="V931" s="210"/>
      <c r="W931" s="210"/>
      <c r="X931" s="210"/>
      <c r="Y931" s="210"/>
      <c r="Z931" s="210"/>
    </row>
    <row r="932" ht="21.75" customHeight="1">
      <c r="A932" s="214"/>
      <c r="B932" s="221"/>
      <c r="C932" s="222">
        <v>103.0</v>
      </c>
      <c r="D932" s="223" t="s">
        <v>1380</v>
      </c>
      <c r="E932" s="223" t="s">
        <v>487</v>
      </c>
      <c r="F932" s="223" t="s">
        <v>500</v>
      </c>
      <c r="G932" s="218" t="s">
        <v>490</v>
      </c>
      <c r="H932" s="225" t="s">
        <v>1381</v>
      </c>
      <c r="I932" s="208"/>
      <c r="J932" s="210"/>
      <c r="K932" s="210"/>
      <c r="L932" s="210"/>
      <c r="M932" s="210"/>
      <c r="N932" s="210"/>
      <c r="O932" s="210"/>
      <c r="P932" s="210"/>
      <c r="Q932" s="210"/>
      <c r="R932" s="210"/>
      <c r="S932" s="210"/>
      <c r="T932" s="210"/>
      <c r="U932" s="210"/>
      <c r="V932" s="210"/>
      <c r="W932" s="210"/>
      <c r="X932" s="210"/>
      <c r="Y932" s="210"/>
      <c r="Z932" s="210"/>
    </row>
    <row r="933" ht="21.75" customHeight="1">
      <c r="A933" s="214"/>
      <c r="B933" s="221"/>
      <c r="C933" s="222">
        <v>105.0</v>
      </c>
      <c r="D933" s="223" t="s">
        <v>1377</v>
      </c>
      <c r="E933" s="223" t="s">
        <v>487</v>
      </c>
      <c r="F933" s="223" t="s">
        <v>492</v>
      </c>
      <c r="G933" s="223" t="s">
        <v>497</v>
      </c>
      <c r="H933" s="225" t="s">
        <v>1382</v>
      </c>
      <c r="I933" s="208"/>
      <c r="J933" s="210"/>
      <c r="K933" s="210"/>
      <c r="L933" s="210"/>
      <c r="M933" s="210"/>
      <c r="N933" s="210"/>
      <c r="O933" s="210"/>
      <c r="P933" s="210"/>
      <c r="Q933" s="210"/>
      <c r="R933" s="210"/>
      <c r="S933" s="210"/>
      <c r="T933" s="210"/>
      <c r="U933" s="210"/>
      <c r="V933" s="210"/>
      <c r="W933" s="210"/>
      <c r="X933" s="210"/>
      <c r="Y933" s="210"/>
      <c r="Z933" s="210"/>
    </row>
    <row r="934" ht="21.75" customHeight="1">
      <c r="A934" s="214"/>
      <c r="B934" s="221"/>
      <c r="C934" s="222">
        <v>107.0</v>
      </c>
      <c r="D934" s="223" t="s">
        <v>1375</v>
      </c>
      <c r="E934" s="223" t="s">
        <v>487</v>
      </c>
      <c r="F934" s="223" t="s">
        <v>496</v>
      </c>
      <c r="G934" s="223" t="s">
        <v>501</v>
      </c>
      <c r="H934" s="225" t="s">
        <v>1383</v>
      </c>
      <c r="I934" s="208"/>
      <c r="J934" s="210"/>
      <c r="K934" s="210"/>
      <c r="L934" s="210"/>
      <c r="M934" s="210"/>
      <c r="N934" s="210"/>
      <c r="O934" s="210"/>
      <c r="P934" s="210"/>
      <c r="Q934" s="210"/>
      <c r="R934" s="210"/>
      <c r="S934" s="210"/>
      <c r="T934" s="210"/>
      <c r="U934" s="210"/>
      <c r="V934" s="210"/>
      <c r="W934" s="210"/>
      <c r="X934" s="210"/>
      <c r="Y934" s="210"/>
      <c r="Z934" s="210"/>
    </row>
    <row r="935" ht="21.75" customHeight="1">
      <c r="A935" s="214"/>
      <c r="B935" s="221"/>
      <c r="C935" s="222">
        <v>109.0</v>
      </c>
      <c r="D935" s="223" t="s">
        <v>541</v>
      </c>
      <c r="E935" s="223" t="s">
        <v>508</v>
      </c>
      <c r="F935" s="223" t="s">
        <v>509</v>
      </c>
      <c r="G935" s="223" t="s">
        <v>510</v>
      </c>
      <c r="H935" s="225" t="s">
        <v>1384</v>
      </c>
      <c r="I935" s="208"/>
      <c r="J935" s="210"/>
      <c r="K935" s="210"/>
      <c r="L935" s="210"/>
      <c r="M935" s="210"/>
      <c r="N935" s="210"/>
      <c r="O935" s="210"/>
      <c r="P935" s="210"/>
      <c r="Q935" s="210"/>
      <c r="R935" s="210"/>
      <c r="S935" s="210"/>
      <c r="T935" s="210"/>
      <c r="U935" s="210"/>
      <c r="V935" s="210"/>
      <c r="W935" s="210"/>
      <c r="X935" s="210"/>
      <c r="Y935" s="210"/>
      <c r="Z935" s="210"/>
    </row>
    <row r="936" ht="21.75" customHeight="1">
      <c r="A936" s="228"/>
      <c r="B936" s="221"/>
      <c r="C936" s="222">
        <v>111.0</v>
      </c>
      <c r="D936" s="223" t="s">
        <v>1385</v>
      </c>
      <c r="E936" s="223" t="s">
        <v>487</v>
      </c>
      <c r="F936" s="223" t="s">
        <v>512</v>
      </c>
      <c r="G936" s="218" t="s">
        <v>490</v>
      </c>
      <c r="H936" s="224" t="s">
        <v>490</v>
      </c>
      <c r="I936" s="208"/>
      <c r="J936" s="210"/>
      <c r="K936" s="210"/>
      <c r="L936" s="210"/>
      <c r="M936" s="210"/>
      <c r="N936" s="210"/>
      <c r="O936" s="210"/>
      <c r="P936" s="210"/>
      <c r="Q936" s="210"/>
      <c r="R936" s="210"/>
      <c r="S936" s="210"/>
      <c r="T936" s="210"/>
      <c r="U936" s="210"/>
      <c r="V936" s="210"/>
      <c r="W936" s="210"/>
      <c r="X936" s="210"/>
      <c r="Y936" s="210"/>
      <c r="Z936" s="210"/>
    </row>
    <row r="937" ht="21.75" customHeight="1">
      <c r="A937" s="214">
        <v>204.0</v>
      </c>
      <c r="B937" s="215" t="s">
        <v>1386</v>
      </c>
      <c r="C937" s="216"/>
      <c r="D937" s="217"/>
      <c r="E937" s="217"/>
      <c r="F937" s="217"/>
      <c r="G937" s="217"/>
      <c r="H937" s="217"/>
      <c r="I937" s="208"/>
      <c r="J937" s="210"/>
      <c r="K937" s="210"/>
      <c r="L937" s="210"/>
      <c r="M937" s="210"/>
      <c r="N937" s="210"/>
      <c r="O937" s="210"/>
      <c r="P937" s="210"/>
      <c r="Q937" s="210"/>
      <c r="R937" s="210"/>
      <c r="S937" s="210"/>
      <c r="T937" s="210"/>
      <c r="U937" s="210"/>
      <c r="V937" s="210"/>
      <c r="W937" s="210"/>
      <c r="X937" s="210"/>
      <c r="Y937" s="210"/>
      <c r="Z937" s="210"/>
    </row>
    <row r="938" ht="21.75" customHeight="1">
      <c r="A938" s="214"/>
      <c r="B938" s="218" t="s">
        <v>1387</v>
      </c>
      <c r="C938" s="219">
        <v>50636.0</v>
      </c>
      <c r="D938" s="220"/>
      <c r="E938" s="220"/>
      <c r="F938" s="220"/>
      <c r="G938" s="220"/>
      <c r="H938" s="220"/>
      <c r="I938" s="208"/>
      <c r="J938" s="210"/>
      <c r="K938" s="210"/>
      <c r="L938" s="210"/>
      <c r="M938" s="210"/>
      <c r="N938" s="210"/>
      <c r="O938" s="210"/>
      <c r="P938" s="210"/>
      <c r="Q938" s="210"/>
      <c r="R938" s="210"/>
      <c r="S938" s="210"/>
      <c r="T938" s="210"/>
      <c r="U938" s="210"/>
      <c r="V938" s="210"/>
      <c r="W938" s="210"/>
      <c r="X938" s="210"/>
      <c r="Y938" s="210"/>
      <c r="Z938" s="210"/>
    </row>
    <row r="939" ht="21.75" customHeight="1">
      <c r="A939" s="214"/>
      <c r="B939" s="221"/>
      <c r="C939" s="222">
        <v>100.0</v>
      </c>
      <c r="D939" s="223" t="s">
        <v>486</v>
      </c>
      <c r="E939" s="223" t="s">
        <v>487</v>
      </c>
      <c r="F939" s="223" t="s">
        <v>488</v>
      </c>
      <c r="G939" s="223" t="s">
        <v>489</v>
      </c>
      <c r="H939" s="224" t="s">
        <v>490</v>
      </c>
      <c r="I939" s="208"/>
      <c r="J939" s="210"/>
      <c r="K939" s="210"/>
      <c r="L939" s="210"/>
      <c r="M939" s="210"/>
      <c r="N939" s="210"/>
      <c r="O939" s="210"/>
      <c r="P939" s="210"/>
      <c r="Q939" s="210"/>
      <c r="R939" s="210"/>
      <c r="S939" s="210"/>
      <c r="T939" s="210"/>
      <c r="U939" s="210"/>
      <c r="V939" s="210"/>
      <c r="W939" s="210"/>
      <c r="X939" s="210"/>
      <c r="Y939" s="210"/>
      <c r="Z939" s="210"/>
    </row>
    <row r="940" ht="21.75" customHeight="1">
      <c r="A940" s="214"/>
      <c r="B940" s="221"/>
      <c r="C940" s="222">
        <v>101.0</v>
      </c>
      <c r="D940" s="223" t="s">
        <v>491</v>
      </c>
      <c r="E940" s="223" t="s">
        <v>487</v>
      </c>
      <c r="F940" s="223" t="s">
        <v>492</v>
      </c>
      <c r="G940" s="223" t="s">
        <v>678</v>
      </c>
      <c r="H940" s="225" t="s">
        <v>1388</v>
      </c>
      <c r="I940" s="208"/>
      <c r="J940" s="210"/>
      <c r="K940" s="210"/>
      <c r="L940" s="210"/>
      <c r="M940" s="210"/>
      <c r="N940" s="210"/>
      <c r="O940" s="210"/>
      <c r="P940" s="210"/>
      <c r="Q940" s="210"/>
      <c r="R940" s="210"/>
      <c r="S940" s="210"/>
      <c r="T940" s="210"/>
      <c r="U940" s="210"/>
      <c r="V940" s="210"/>
      <c r="W940" s="210"/>
      <c r="X940" s="210"/>
      <c r="Y940" s="210"/>
      <c r="Z940" s="210"/>
    </row>
    <row r="941" ht="21.75" customHeight="1">
      <c r="A941" s="214"/>
      <c r="B941" s="221"/>
      <c r="C941" s="222">
        <v>102.0</v>
      </c>
      <c r="D941" s="223" t="s">
        <v>516</v>
      </c>
      <c r="E941" s="223" t="s">
        <v>487</v>
      </c>
      <c r="F941" s="223" t="s">
        <v>496</v>
      </c>
      <c r="G941" s="223" t="s">
        <v>493</v>
      </c>
      <c r="H941" s="225" t="s">
        <v>1389</v>
      </c>
      <c r="I941" s="208"/>
      <c r="J941" s="210"/>
      <c r="K941" s="210"/>
      <c r="L941" s="210"/>
      <c r="M941" s="210"/>
      <c r="N941" s="210"/>
      <c r="O941" s="210"/>
      <c r="P941" s="210"/>
      <c r="Q941" s="210"/>
      <c r="R941" s="210"/>
      <c r="S941" s="210"/>
      <c r="T941" s="210"/>
      <c r="U941" s="210"/>
      <c r="V941" s="210"/>
      <c r="W941" s="210"/>
      <c r="X941" s="210"/>
      <c r="Y941" s="210"/>
      <c r="Z941" s="210"/>
    </row>
    <row r="942" ht="21.75" customHeight="1">
      <c r="A942" s="214"/>
      <c r="B942" s="221"/>
      <c r="C942" s="222">
        <v>103.0</v>
      </c>
      <c r="D942" s="223" t="s">
        <v>928</v>
      </c>
      <c r="E942" s="223" t="s">
        <v>487</v>
      </c>
      <c r="F942" s="223" t="s">
        <v>500</v>
      </c>
      <c r="G942" s="223" t="s">
        <v>497</v>
      </c>
      <c r="H942" s="225" t="s">
        <v>1390</v>
      </c>
      <c r="I942" s="208"/>
      <c r="J942" s="210"/>
      <c r="K942" s="210"/>
      <c r="L942" s="210"/>
      <c r="M942" s="210"/>
      <c r="N942" s="210"/>
      <c r="O942" s="210"/>
      <c r="P942" s="210"/>
      <c r="Q942" s="210"/>
      <c r="R942" s="210"/>
      <c r="S942" s="210"/>
      <c r="T942" s="210"/>
      <c r="U942" s="210"/>
      <c r="V942" s="210"/>
      <c r="W942" s="210"/>
      <c r="X942" s="210"/>
      <c r="Y942" s="210"/>
      <c r="Z942" s="210"/>
    </row>
    <row r="943" ht="21.75" customHeight="1">
      <c r="A943" s="214"/>
      <c r="B943" s="221"/>
      <c r="C943" s="222">
        <v>104.0</v>
      </c>
      <c r="D943" s="223" t="s">
        <v>1391</v>
      </c>
      <c r="E943" s="223" t="s">
        <v>487</v>
      </c>
      <c r="F943" s="223" t="s">
        <v>512</v>
      </c>
      <c r="G943" s="223" t="s">
        <v>501</v>
      </c>
      <c r="H943" s="225" t="s">
        <v>1390</v>
      </c>
      <c r="I943" s="208"/>
      <c r="J943" s="210"/>
      <c r="K943" s="210"/>
      <c r="L943" s="210"/>
      <c r="M943" s="210"/>
      <c r="N943" s="210"/>
      <c r="O943" s="210"/>
      <c r="P943" s="210"/>
      <c r="Q943" s="210"/>
      <c r="R943" s="210"/>
      <c r="S943" s="210"/>
      <c r="T943" s="210"/>
      <c r="U943" s="210"/>
      <c r="V943" s="210"/>
      <c r="W943" s="210"/>
      <c r="X943" s="210"/>
      <c r="Y943" s="210"/>
      <c r="Z943" s="210"/>
    </row>
    <row r="944" ht="21.75" customHeight="1">
      <c r="A944" s="228"/>
      <c r="B944" s="221"/>
      <c r="C944" s="222">
        <v>105.0</v>
      </c>
      <c r="D944" s="223" t="s">
        <v>507</v>
      </c>
      <c r="E944" s="223" t="s">
        <v>508</v>
      </c>
      <c r="F944" s="223" t="s">
        <v>509</v>
      </c>
      <c r="G944" s="223" t="s">
        <v>510</v>
      </c>
      <c r="H944" s="225" t="s">
        <v>1392</v>
      </c>
      <c r="I944" s="208"/>
      <c r="J944" s="210"/>
      <c r="K944" s="210"/>
      <c r="L944" s="210"/>
      <c r="M944" s="210"/>
      <c r="N944" s="210"/>
      <c r="O944" s="210"/>
      <c r="P944" s="210"/>
      <c r="Q944" s="210"/>
      <c r="R944" s="210"/>
      <c r="S944" s="210"/>
      <c r="T944" s="210"/>
      <c r="U944" s="210"/>
      <c r="V944" s="210"/>
      <c r="W944" s="210"/>
      <c r="X944" s="210"/>
      <c r="Y944" s="210"/>
      <c r="Z944" s="210"/>
    </row>
    <row r="945" ht="21.75" customHeight="1">
      <c r="A945" s="214">
        <v>208.0</v>
      </c>
      <c r="B945" s="215" t="s">
        <v>1393</v>
      </c>
      <c r="C945" s="216"/>
      <c r="D945" s="217"/>
      <c r="E945" s="217"/>
      <c r="F945" s="217"/>
      <c r="G945" s="217"/>
      <c r="H945" s="217"/>
      <c r="I945" s="208"/>
      <c r="J945" s="210"/>
      <c r="K945" s="210"/>
      <c r="L945" s="210"/>
      <c r="M945" s="210"/>
      <c r="N945" s="210"/>
      <c r="O945" s="210"/>
      <c r="P945" s="210"/>
      <c r="Q945" s="210"/>
      <c r="R945" s="210"/>
      <c r="S945" s="210"/>
      <c r="T945" s="210"/>
      <c r="U945" s="210"/>
      <c r="V945" s="210"/>
      <c r="W945" s="210"/>
      <c r="X945" s="210"/>
      <c r="Y945" s="210"/>
      <c r="Z945" s="210"/>
    </row>
    <row r="946" ht="21.75" customHeight="1">
      <c r="A946" s="214"/>
      <c r="B946" s="218" t="s">
        <v>1394</v>
      </c>
      <c r="C946" s="219">
        <v>50648.0</v>
      </c>
      <c r="D946" s="220"/>
      <c r="E946" s="220"/>
      <c r="F946" s="220"/>
      <c r="G946" s="220"/>
      <c r="H946" s="220"/>
      <c r="I946" s="208"/>
      <c r="J946" s="210"/>
      <c r="K946" s="210"/>
      <c r="L946" s="210"/>
      <c r="M946" s="210"/>
      <c r="N946" s="210"/>
      <c r="O946" s="210"/>
      <c r="P946" s="210"/>
      <c r="Q946" s="210"/>
      <c r="R946" s="210"/>
      <c r="S946" s="210"/>
      <c r="T946" s="210"/>
      <c r="U946" s="210"/>
      <c r="V946" s="210"/>
      <c r="W946" s="210"/>
      <c r="X946" s="210"/>
      <c r="Y946" s="210"/>
      <c r="Z946" s="210"/>
    </row>
    <row r="947" ht="21.75" customHeight="1">
      <c r="A947" s="214"/>
      <c r="B947" s="221"/>
      <c r="C947" s="222">
        <v>100.0</v>
      </c>
      <c r="D947" s="223" t="s">
        <v>486</v>
      </c>
      <c r="E947" s="223" t="s">
        <v>487</v>
      </c>
      <c r="F947" s="223" t="s">
        <v>488</v>
      </c>
      <c r="G947" s="223" t="s">
        <v>489</v>
      </c>
      <c r="H947" s="224" t="s">
        <v>490</v>
      </c>
      <c r="I947" s="208"/>
      <c r="J947" s="210"/>
      <c r="K947" s="210"/>
      <c r="L947" s="210"/>
      <c r="M947" s="210"/>
      <c r="N947" s="210"/>
      <c r="O947" s="210"/>
      <c r="P947" s="210"/>
      <c r="Q947" s="210"/>
      <c r="R947" s="210"/>
      <c r="S947" s="210"/>
      <c r="T947" s="210"/>
      <c r="U947" s="210"/>
      <c r="V947" s="210"/>
      <c r="W947" s="210"/>
      <c r="X947" s="210"/>
      <c r="Y947" s="210"/>
      <c r="Z947" s="210"/>
    </row>
    <row r="948" ht="21.75" customHeight="1">
      <c r="A948" s="214"/>
      <c r="B948" s="221"/>
      <c r="C948" s="222">
        <v>101.0</v>
      </c>
      <c r="D948" s="223" t="s">
        <v>491</v>
      </c>
      <c r="E948" s="223" t="s">
        <v>487</v>
      </c>
      <c r="F948" s="223" t="s">
        <v>492</v>
      </c>
      <c r="G948" s="223" t="s">
        <v>678</v>
      </c>
      <c r="H948" s="225" t="s">
        <v>1395</v>
      </c>
      <c r="I948" s="208"/>
      <c r="J948" s="210"/>
      <c r="K948" s="210"/>
      <c r="L948" s="210"/>
      <c r="M948" s="210"/>
      <c r="N948" s="210"/>
      <c r="O948" s="210"/>
      <c r="P948" s="210"/>
      <c r="Q948" s="210"/>
      <c r="R948" s="210"/>
      <c r="S948" s="210"/>
      <c r="T948" s="210"/>
      <c r="U948" s="210"/>
      <c r="V948" s="210"/>
      <c r="W948" s="210"/>
      <c r="X948" s="210"/>
      <c r="Y948" s="210"/>
      <c r="Z948" s="210"/>
    </row>
    <row r="949" ht="21.75" customHeight="1">
      <c r="A949" s="214"/>
      <c r="B949" s="221"/>
      <c r="C949" s="222">
        <v>102.0</v>
      </c>
      <c r="D949" s="223" t="s">
        <v>876</v>
      </c>
      <c r="E949" s="223" t="s">
        <v>487</v>
      </c>
      <c r="F949" s="223" t="s">
        <v>496</v>
      </c>
      <c r="G949" s="223" t="s">
        <v>497</v>
      </c>
      <c r="H949" s="224" t="s">
        <v>490</v>
      </c>
      <c r="I949" s="208"/>
      <c r="J949" s="210"/>
      <c r="K949" s="210"/>
      <c r="L949" s="210"/>
      <c r="M949" s="210"/>
      <c r="N949" s="210"/>
      <c r="O949" s="210"/>
      <c r="P949" s="210"/>
      <c r="Q949" s="210"/>
      <c r="R949" s="210"/>
      <c r="S949" s="210"/>
      <c r="T949" s="210"/>
      <c r="U949" s="210"/>
      <c r="V949" s="210"/>
      <c r="W949" s="210"/>
      <c r="X949" s="210"/>
      <c r="Y949" s="210"/>
      <c r="Z949" s="210"/>
    </row>
    <row r="950" ht="21.75" customHeight="1">
      <c r="A950" s="214"/>
      <c r="B950" s="221"/>
      <c r="C950" s="222">
        <v>103.0</v>
      </c>
      <c r="D950" s="223" t="s">
        <v>516</v>
      </c>
      <c r="E950" s="223" t="s">
        <v>487</v>
      </c>
      <c r="F950" s="223" t="s">
        <v>500</v>
      </c>
      <c r="G950" s="223" t="s">
        <v>501</v>
      </c>
      <c r="H950" s="225" t="s">
        <v>776</v>
      </c>
      <c r="I950" s="208"/>
      <c r="J950" s="210"/>
      <c r="K950" s="210"/>
      <c r="L950" s="210"/>
      <c r="M950" s="210"/>
      <c r="N950" s="210"/>
      <c r="O950" s="210"/>
      <c r="P950" s="210"/>
      <c r="Q950" s="210"/>
      <c r="R950" s="210"/>
      <c r="S950" s="210"/>
      <c r="T950" s="210"/>
      <c r="U950" s="210"/>
      <c r="V950" s="210"/>
      <c r="W950" s="210"/>
      <c r="X950" s="210"/>
      <c r="Y950" s="210"/>
      <c r="Z950" s="210"/>
    </row>
    <row r="951" ht="21.75" customHeight="1">
      <c r="A951" s="228"/>
      <c r="B951" s="221"/>
      <c r="C951" s="222">
        <v>104.0</v>
      </c>
      <c r="D951" s="223" t="s">
        <v>904</v>
      </c>
      <c r="E951" s="223" t="s">
        <v>508</v>
      </c>
      <c r="F951" s="223" t="s">
        <v>509</v>
      </c>
      <c r="G951" s="223" t="s">
        <v>510</v>
      </c>
      <c r="H951" s="225" t="s">
        <v>1396</v>
      </c>
      <c r="I951" s="208"/>
      <c r="J951" s="210"/>
      <c r="K951" s="210"/>
      <c r="L951" s="210"/>
      <c r="M951" s="210"/>
      <c r="N951" s="210"/>
      <c r="O951" s="210"/>
      <c r="P951" s="210"/>
      <c r="Q951" s="210"/>
      <c r="R951" s="210"/>
      <c r="S951" s="210"/>
      <c r="T951" s="210"/>
      <c r="U951" s="210"/>
      <c r="V951" s="210"/>
      <c r="W951" s="210"/>
      <c r="X951" s="210"/>
      <c r="Y951" s="210"/>
      <c r="Z951" s="210"/>
    </row>
    <row r="952" ht="21.75" customHeight="1">
      <c r="A952" s="214">
        <v>213.0</v>
      </c>
      <c r="B952" s="215" t="s">
        <v>1397</v>
      </c>
      <c r="C952" s="216"/>
      <c r="D952" s="217"/>
      <c r="E952" s="217"/>
      <c r="F952" s="217"/>
      <c r="G952" s="217"/>
      <c r="H952" s="217"/>
      <c r="I952" s="208"/>
      <c r="J952" s="210"/>
      <c r="K952" s="210"/>
      <c r="L952" s="210"/>
      <c r="M952" s="210"/>
      <c r="N952" s="210"/>
      <c r="O952" s="210"/>
      <c r="P952" s="210"/>
      <c r="Q952" s="210"/>
      <c r="R952" s="210"/>
      <c r="S952" s="210"/>
      <c r="T952" s="210"/>
      <c r="U952" s="210"/>
      <c r="V952" s="210"/>
      <c r="W952" s="210"/>
      <c r="X952" s="210"/>
      <c r="Y952" s="210"/>
      <c r="Z952" s="210"/>
    </row>
    <row r="953" ht="21.75" customHeight="1">
      <c r="A953" s="214"/>
      <c r="B953" s="218" t="s">
        <v>1398</v>
      </c>
      <c r="C953" s="219">
        <v>50662.0</v>
      </c>
      <c r="D953" s="220"/>
      <c r="E953" s="220"/>
      <c r="F953" s="220"/>
      <c r="G953" s="220"/>
      <c r="H953" s="220"/>
      <c r="I953" s="208"/>
      <c r="J953" s="210"/>
      <c r="K953" s="210"/>
      <c r="L953" s="210"/>
      <c r="M953" s="210"/>
      <c r="N953" s="210"/>
      <c r="O953" s="210"/>
      <c r="P953" s="210"/>
      <c r="Q953" s="210"/>
      <c r="R953" s="210"/>
      <c r="S953" s="210"/>
      <c r="T953" s="210"/>
      <c r="U953" s="210"/>
      <c r="V953" s="210"/>
      <c r="W953" s="210"/>
      <c r="X953" s="210"/>
      <c r="Y953" s="210"/>
      <c r="Z953" s="210"/>
    </row>
    <row r="954" ht="21.75" customHeight="1">
      <c r="A954" s="214"/>
      <c r="B954" s="221"/>
      <c r="C954" s="222">
        <v>100.0</v>
      </c>
      <c r="D954" s="223" t="s">
        <v>486</v>
      </c>
      <c r="E954" s="223" t="s">
        <v>487</v>
      </c>
      <c r="F954" s="223" t="s">
        <v>488</v>
      </c>
      <c r="G954" s="223" t="s">
        <v>489</v>
      </c>
      <c r="H954" s="224" t="s">
        <v>490</v>
      </c>
      <c r="I954" s="208"/>
      <c r="J954" s="210"/>
      <c r="K954" s="210"/>
      <c r="L954" s="210"/>
      <c r="M954" s="210"/>
      <c r="N954" s="210"/>
      <c r="O954" s="210"/>
      <c r="P954" s="210"/>
      <c r="Q954" s="210"/>
      <c r="R954" s="210"/>
      <c r="S954" s="210"/>
      <c r="T954" s="210"/>
      <c r="U954" s="210"/>
      <c r="V954" s="210"/>
      <c r="W954" s="210"/>
      <c r="X954" s="210"/>
      <c r="Y954" s="210"/>
      <c r="Z954" s="210"/>
    </row>
    <row r="955" ht="21.75" customHeight="1">
      <c r="A955" s="214"/>
      <c r="B955" s="221"/>
      <c r="C955" s="222">
        <v>101.0</v>
      </c>
      <c r="D955" s="223" t="s">
        <v>491</v>
      </c>
      <c r="E955" s="223" t="s">
        <v>487</v>
      </c>
      <c r="F955" s="223" t="s">
        <v>492</v>
      </c>
      <c r="G955" s="223" t="s">
        <v>678</v>
      </c>
      <c r="H955" s="225" t="s">
        <v>1399</v>
      </c>
      <c r="I955" s="208"/>
      <c r="J955" s="210"/>
      <c r="K955" s="210"/>
      <c r="L955" s="210"/>
      <c r="M955" s="210"/>
      <c r="N955" s="210"/>
      <c r="O955" s="210"/>
      <c r="P955" s="210"/>
      <c r="Q955" s="210"/>
      <c r="R955" s="210"/>
      <c r="S955" s="210"/>
      <c r="T955" s="210"/>
      <c r="U955" s="210"/>
      <c r="V955" s="210"/>
      <c r="W955" s="210"/>
      <c r="X955" s="210"/>
      <c r="Y955" s="210"/>
      <c r="Z955" s="210"/>
    </row>
    <row r="956" ht="21.75" customHeight="1">
      <c r="A956" s="214"/>
      <c r="B956" s="221"/>
      <c r="C956" s="222">
        <v>102.0</v>
      </c>
      <c r="D956" s="223" t="s">
        <v>516</v>
      </c>
      <c r="E956" s="223" t="s">
        <v>487</v>
      </c>
      <c r="F956" s="223" t="s">
        <v>496</v>
      </c>
      <c r="G956" s="223" t="s">
        <v>493</v>
      </c>
      <c r="H956" s="225" t="s">
        <v>1400</v>
      </c>
      <c r="I956" s="208"/>
      <c r="J956" s="210"/>
      <c r="K956" s="210"/>
      <c r="L956" s="210"/>
      <c r="M956" s="210"/>
      <c r="N956" s="210"/>
      <c r="O956" s="210"/>
      <c r="P956" s="210"/>
      <c r="Q956" s="210"/>
      <c r="R956" s="210"/>
      <c r="S956" s="210"/>
      <c r="T956" s="210"/>
      <c r="U956" s="210"/>
      <c r="V956" s="210"/>
      <c r="W956" s="210"/>
      <c r="X956" s="210"/>
      <c r="Y956" s="210"/>
      <c r="Z956" s="210"/>
    </row>
    <row r="957" ht="21.75" customHeight="1">
      <c r="A957" s="214"/>
      <c r="B957" s="221"/>
      <c r="C957" s="222">
        <v>103.0</v>
      </c>
      <c r="D957" s="223" t="s">
        <v>1401</v>
      </c>
      <c r="E957" s="223" t="s">
        <v>487</v>
      </c>
      <c r="F957" s="223" t="s">
        <v>500</v>
      </c>
      <c r="G957" s="223" t="s">
        <v>501</v>
      </c>
      <c r="H957" s="224" t="s">
        <v>490</v>
      </c>
      <c r="I957" s="208"/>
      <c r="J957" s="210"/>
      <c r="K957" s="210"/>
      <c r="L957" s="210"/>
      <c r="M957" s="210"/>
      <c r="N957" s="210"/>
      <c r="O957" s="210"/>
      <c r="P957" s="210"/>
      <c r="Q957" s="210"/>
      <c r="R957" s="210"/>
      <c r="S957" s="210"/>
      <c r="T957" s="210"/>
      <c r="U957" s="210"/>
      <c r="V957" s="210"/>
      <c r="W957" s="210"/>
      <c r="X957" s="210"/>
      <c r="Y957" s="210"/>
      <c r="Z957" s="210"/>
    </row>
    <row r="958" ht="21.75" customHeight="1">
      <c r="A958" s="214"/>
      <c r="B958" s="221"/>
      <c r="C958" s="222">
        <v>104.0</v>
      </c>
      <c r="D958" s="223" t="s">
        <v>1402</v>
      </c>
      <c r="E958" s="223" t="s">
        <v>487</v>
      </c>
      <c r="F958" s="223" t="s">
        <v>512</v>
      </c>
      <c r="G958" s="223" t="s">
        <v>497</v>
      </c>
      <c r="H958" s="224" t="s">
        <v>490</v>
      </c>
      <c r="I958" s="208"/>
      <c r="J958" s="210"/>
      <c r="K958" s="210"/>
      <c r="L958" s="210"/>
      <c r="M958" s="210"/>
      <c r="N958" s="210"/>
      <c r="O958" s="210"/>
      <c r="P958" s="210"/>
      <c r="Q958" s="210"/>
      <c r="R958" s="210"/>
      <c r="S958" s="210"/>
      <c r="T958" s="210"/>
      <c r="U958" s="210"/>
      <c r="V958" s="210"/>
      <c r="W958" s="210"/>
      <c r="X958" s="210"/>
      <c r="Y958" s="210"/>
      <c r="Z958" s="210"/>
    </row>
    <row r="959" ht="21.75" customHeight="1">
      <c r="A959" s="228"/>
      <c r="B959" s="221"/>
      <c r="C959" s="222">
        <v>105.0</v>
      </c>
      <c r="D959" s="223" t="s">
        <v>507</v>
      </c>
      <c r="E959" s="223" t="s">
        <v>508</v>
      </c>
      <c r="F959" s="223" t="s">
        <v>509</v>
      </c>
      <c r="G959" s="223" t="s">
        <v>510</v>
      </c>
      <c r="H959" s="225" t="s">
        <v>879</v>
      </c>
      <c r="I959" s="208"/>
      <c r="J959" s="210"/>
      <c r="K959" s="210"/>
      <c r="L959" s="210"/>
      <c r="M959" s="210"/>
      <c r="N959" s="210"/>
      <c r="O959" s="210"/>
      <c r="P959" s="210"/>
      <c r="Q959" s="210"/>
      <c r="R959" s="210"/>
      <c r="S959" s="210"/>
      <c r="T959" s="210"/>
      <c r="U959" s="210"/>
      <c r="V959" s="210"/>
      <c r="W959" s="210"/>
      <c r="X959" s="210"/>
      <c r="Y959" s="210"/>
      <c r="Z959" s="210"/>
    </row>
    <row r="960" ht="21.75" customHeight="1">
      <c r="A960" s="214">
        <v>216.0</v>
      </c>
      <c r="B960" s="215" t="s">
        <v>1403</v>
      </c>
      <c r="C960" s="216"/>
      <c r="D960" s="217"/>
      <c r="E960" s="217"/>
      <c r="F960" s="217"/>
      <c r="G960" s="217"/>
      <c r="H960" s="217"/>
      <c r="I960" s="208"/>
      <c r="J960" s="210"/>
      <c r="K960" s="210"/>
      <c r="L960" s="210"/>
      <c r="M960" s="210"/>
      <c r="N960" s="210"/>
      <c r="O960" s="210"/>
      <c r="P960" s="210"/>
      <c r="Q960" s="210"/>
      <c r="R960" s="210"/>
      <c r="S960" s="210"/>
      <c r="T960" s="210"/>
      <c r="U960" s="210"/>
      <c r="V960" s="210"/>
      <c r="W960" s="210"/>
      <c r="X960" s="210"/>
      <c r="Y960" s="210"/>
      <c r="Z960" s="210"/>
    </row>
    <row r="961" ht="21.75" customHeight="1">
      <c r="A961" s="214"/>
      <c r="B961" s="218" t="s">
        <v>1404</v>
      </c>
      <c r="C961" s="219">
        <v>50672.0</v>
      </c>
      <c r="D961" s="220"/>
      <c r="E961" s="220"/>
      <c r="F961" s="220"/>
      <c r="G961" s="220"/>
      <c r="H961" s="220"/>
      <c r="I961" s="208"/>
      <c r="J961" s="210"/>
      <c r="K961" s="210"/>
      <c r="L961" s="210"/>
      <c r="M961" s="210"/>
      <c r="N961" s="210"/>
      <c r="O961" s="210"/>
      <c r="P961" s="210"/>
      <c r="Q961" s="210"/>
      <c r="R961" s="210"/>
      <c r="S961" s="210"/>
      <c r="T961" s="210"/>
      <c r="U961" s="210"/>
      <c r="V961" s="210"/>
      <c r="W961" s="210"/>
      <c r="X961" s="210"/>
      <c r="Y961" s="210"/>
      <c r="Z961" s="210"/>
    </row>
    <row r="962" ht="21.75" customHeight="1">
      <c r="A962" s="214"/>
      <c r="B962" s="221"/>
      <c r="C962" s="222">
        <v>100.0</v>
      </c>
      <c r="D962" s="223" t="s">
        <v>486</v>
      </c>
      <c r="E962" s="223" t="s">
        <v>487</v>
      </c>
      <c r="F962" s="223" t="s">
        <v>488</v>
      </c>
      <c r="G962" s="223" t="s">
        <v>489</v>
      </c>
      <c r="H962" s="224" t="s">
        <v>490</v>
      </c>
      <c r="I962" s="208"/>
      <c r="J962" s="210"/>
      <c r="K962" s="210"/>
      <c r="L962" s="210"/>
      <c r="M962" s="210"/>
      <c r="N962" s="210"/>
      <c r="O962" s="210"/>
      <c r="P962" s="210"/>
      <c r="Q962" s="210"/>
      <c r="R962" s="210"/>
      <c r="S962" s="210"/>
      <c r="T962" s="210"/>
      <c r="U962" s="210"/>
      <c r="V962" s="210"/>
      <c r="W962" s="210"/>
      <c r="X962" s="210"/>
      <c r="Y962" s="210"/>
      <c r="Z962" s="210"/>
    </row>
    <row r="963" ht="21.75" customHeight="1">
      <c r="A963" s="214"/>
      <c r="B963" s="221"/>
      <c r="C963" s="222">
        <v>101.0</v>
      </c>
      <c r="D963" s="223" t="s">
        <v>491</v>
      </c>
      <c r="E963" s="223" t="s">
        <v>487</v>
      </c>
      <c r="F963" s="223" t="s">
        <v>492</v>
      </c>
      <c r="G963" s="223" t="s">
        <v>678</v>
      </c>
      <c r="H963" s="225" t="s">
        <v>1405</v>
      </c>
      <c r="I963" s="208"/>
      <c r="J963" s="210"/>
      <c r="K963" s="210"/>
      <c r="L963" s="210"/>
      <c r="M963" s="210"/>
      <c r="N963" s="210"/>
      <c r="O963" s="210"/>
      <c r="P963" s="210"/>
      <c r="Q963" s="210"/>
      <c r="R963" s="210"/>
      <c r="S963" s="210"/>
      <c r="T963" s="210"/>
      <c r="U963" s="210"/>
      <c r="V963" s="210"/>
      <c r="W963" s="210"/>
      <c r="X963" s="210"/>
      <c r="Y963" s="210"/>
      <c r="Z963" s="210"/>
    </row>
    <row r="964" ht="21.75" customHeight="1">
      <c r="A964" s="214"/>
      <c r="B964" s="221"/>
      <c r="C964" s="222">
        <v>102.0</v>
      </c>
      <c r="D964" s="223" t="s">
        <v>516</v>
      </c>
      <c r="E964" s="223" t="s">
        <v>487</v>
      </c>
      <c r="F964" s="223" t="s">
        <v>496</v>
      </c>
      <c r="G964" s="223" t="s">
        <v>493</v>
      </c>
      <c r="H964" s="225" t="s">
        <v>1406</v>
      </c>
      <c r="I964" s="208"/>
      <c r="J964" s="210"/>
      <c r="K964" s="210"/>
      <c r="L964" s="210"/>
      <c r="M964" s="210"/>
      <c r="N964" s="210"/>
      <c r="O964" s="210"/>
      <c r="P964" s="210"/>
      <c r="Q964" s="210"/>
      <c r="R964" s="210"/>
      <c r="S964" s="210"/>
      <c r="T964" s="210"/>
      <c r="U964" s="210"/>
      <c r="V964" s="210"/>
      <c r="W964" s="210"/>
      <c r="X964" s="210"/>
      <c r="Y964" s="210"/>
      <c r="Z964" s="210"/>
    </row>
    <row r="965" ht="21.75" customHeight="1">
      <c r="A965" s="214"/>
      <c r="B965" s="221"/>
      <c r="C965" s="222">
        <v>103.0</v>
      </c>
      <c r="D965" s="223" t="s">
        <v>1407</v>
      </c>
      <c r="E965" s="223" t="s">
        <v>487</v>
      </c>
      <c r="F965" s="223" t="s">
        <v>500</v>
      </c>
      <c r="G965" s="223" t="s">
        <v>497</v>
      </c>
      <c r="H965" s="225" t="s">
        <v>1408</v>
      </c>
      <c r="I965" s="208"/>
      <c r="J965" s="210"/>
      <c r="K965" s="210"/>
      <c r="L965" s="210"/>
      <c r="M965" s="210"/>
      <c r="N965" s="210"/>
      <c r="O965" s="210"/>
      <c r="P965" s="210"/>
      <c r="Q965" s="210"/>
      <c r="R965" s="210"/>
      <c r="S965" s="210"/>
      <c r="T965" s="210"/>
      <c r="U965" s="210"/>
      <c r="V965" s="210"/>
      <c r="W965" s="210"/>
      <c r="X965" s="210"/>
      <c r="Y965" s="210"/>
      <c r="Z965" s="210"/>
    </row>
    <row r="966" ht="21.75" customHeight="1">
      <c r="A966" s="214"/>
      <c r="B966" s="221"/>
      <c r="C966" s="222">
        <v>104.0</v>
      </c>
      <c r="D966" s="223" t="s">
        <v>662</v>
      </c>
      <c r="E966" s="223" t="s">
        <v>487</v>
      </c>
      <c r="F966" s="223" t="s">
        <v>512</v>
      </c>
      <c r="G966" s="223" t="s">
        <v>501</v>
      </c>
      <c r="H966" s="225" t="s">
        <v>1409</v>
      </c>
      <c r="I966" s="208"/>
      <c r="J966" s="210"/>
      <c r="K966" s="210"/>
      <c r="L966" s="210"/>
      <c r="M966" s="210"/>
      <c r="N966" s="210"/>
      <c r="O966" s="210"/>
      <c r="P966" s="210"/>
      <c r="Q966" s="210"/>
      <c r="R966" s="210"/>
      <c r="S966" s="210"/>
      <c r="T966" s="210"/>
      <c r="U966" s="210"/>
      <c r="V966" s="210"/>
      <c r="W966" s="210"/>
      <c r="X966" s="210"/>
      <c r="Y966" s="210"/>
      <c r="Z966" s="210"/>
    </row>
    <row r="967" ht="21.75" customHeight="1">
      <c r="A967" s="228"/>
      <c r="B967" s="221"/>
      <c r="C967" s="222">
        <v>105.0</v>
      </c>
      <c r="D967" s="223" t="s">
        <v>507</v>
      </c>
      <c r="E967" s="223" t="s">
        <v>508</v>
      </c>
      <c r="F967" s="223" t="s">
        <v>509</v>
      </c>
      <c r="G967" s="223" t="s">
        <v>510</v>
      </c>
      <c r="H967" s="225" t="s">
        <v>1410</v>
      </c>
      <c r="I967" s="208"/>
      <c r="J967" s="210"/>
      <c r="K967" s="210"/>
      <c r="L967" s="210"/>
      <c r="M967" s="210"/>
      <c r="N967" s="210"/>
      <c r="O967" s="210"/>
      <c r="P967" s="210"/>
      <c r="Q967" s="210"/>
      <c r="R967" s="210"/>
      <c r="S967" s="210"/>
      <c r="T967" s="210"/>
      <c r="U967" s="210"/>
      <c r="V967" s="210"/>
      <c r="W967" s="210"/>
      <c r="X967" s="210"/>
      <c r="Y967" s="210"/>
      <c r="Z967" s="210"/>
    </row>
    <row r="968" ht="21.75" customHeight="1">
      <c r="A968" s="214">
        <v>219.0</v>
      </c>
      <c r="B968" s="229" t="s">
        <v>1411</v>
      </c>
      <c r="C968" s="230"/>
      <c r="D968" s="217"/>
      <c r="E968" s="217"/>
      <c r="F968" s="217"/>
      <c r="G968" s="217"/>
      <c r="H968" s="217"/>
      <c r="I968" s="208"/>
      <c r="J968" s="210"/>
      <c r="K968" s="210"/>
      <c r="L968" s="210"/>
      <c r="M968" s="210"/>
      <c r="N968" s="210"/>
      <c r="O968" s="210"/>
      <c r="P968" s="210"/>
      <c r="Q968" s="210"/>
      <c r="R968" s="210"/>
      <c r="S968" s="210"/>
      <c r="T968" s="210"/>
      <c r="U968" s="210"/>
      <c r="V968" s="210"/>
      <c r="W968" s="210"/>
      <c r="X968" s="210"/>
      <c r="Y968" s="210"/>
      <c r="Z968" s="210"/>
    </row>
    <row r="969" ht="21.75" customHeight="1">
      <c r="A969" s="214"/>
      <c r="B969" s="218" t="s">
        <v>1412</v>
      </c>
      <c r="C969" s="219">
        <v>50975.0</v>
      </c>
      <c r="D969" s="220"/>
      <c r="E969" s="220"/>
      <c r="F969" s="220"/>
      <c r="G969" s="220"/>
      <c r="H969" s="220"/>
      <c r="I969" s="208"/>
      <c r="J969" s="210"/>
      <c r="K969" s="210"/>
      <c r="L969" s="210"/>
      <c r="M969" s="210"/>
      <c r="N969" s="210"/>
      <c r="O969" s="210"/>
      <c r="P969" s="210"/>
      <c r="Q969" s="210"/>
      <c r="R969" s="210"/>
      <c r="S969" s="210"/>
      <c r="T969" s="210"/>
      <c r="U969" s="210"/>
      <c r="V969" s="210"/>
      <c r="W969" s="210"/>
      <c r="X969" s="210"/>
      <c r="Y969" s="210"/>
      <c r="Z969" s="210"/>
    </row>
    <row r="970" ht="21.75" customHeight="1">
      <c r="A970" s="214"/>
      <c r="B970" s="221"/>
      <c r="C970" s="222">
        <v>100.0</v>
      </c>
      <c r="D970" s="223" t="s">
        <v>486</v>
      </c>
      <c r="E970" s="223" t="s">
        <v>487</v>
      </c>
      <c r="F970" s="223" t="s">
        <v>638</v>
      </c>
      <c r="G970" s="223" t="s">
        <v>489</v>
      </c>
      <c r="H970" s="224" t="s">
        <v>490</v>
      </c>
      <c r="I970" s="208"/>
      <c r="J970" s="210"/>
      <c r="K970" s="210"/>
      <c r="L970" s="210"/>
      <c r="M970" s="210"/>
      <c r="N970" s="210"/>
      <c r="O970" s="210"/>
      <c r="P970" s="210"/>
      <c r="Q970" s="210"/>
      <c r="R970" s="210"/>
      <c r="S970" s="210"/>
      <c r="T970" s="210"/>
      <c r="U970" s="210"/>
      <c r="V970" s="210"/>
      <c r="W970" s="210"/>
      <c r="X970" s="210"/>
      <c r="Y970" s="210"/>
      <c r="Z970" s="210"/>
    </row>
    <row r="971" ht="21.75" customHeight="1">
      <c r="A971" s="214"/>
      <c r="B971" s="221"/>
      <c r="C971" s="222">
        <v>101.0</v>
      </c>
      <c r="D971" s="223" t="s">
        <v>491</v>
      </c>
      <c r="E971" s="223" t="s">
        <v>487</v>
      </c>
      <c r="F971" s="223" t="s">
        <v>488</v>
      </c>
      <c r="G971" s="223" t="s">
        <v>678</v>
      </c>
      <c r="H971" s="225" t="s">
        <v>1413</v>
      </c>
      <c r="I971" s="208"/>
      <c r="J971" s="210"/>
      <c r="K971" s="210"/>
      <c r="L971" s="210"/>
      <c r="M971" s="210"/>
      <c r="N971" s="210"/>
      <c r="O971" s="210"/>
      <c r="P971" s="210"/>
      <c r="Q971" s="210"/>
      <c r="R971" s="210"/>
      <c r="S971" s="210"/>
      <c r="T971" s="210"/>
      <c r="U971" s="210"/>
      <c r="V971" s="210"/>
      <c r="W971" s="210"/>
      <c r="X971" s="210"/>
      <c r="Y971" s="210"/>
      <c r="Z971" s="210"/>
    </row>
    <row r="972" ht="21.75" customHeight="1">
      <c r="A972" s="214"/>
      <c r="B972" s="221"/>
      <c r="C972" s="222">
        <v>102.0</v>
      </c>
      <c r="D972" s="223" t="s">
        <v>1414</v>
      </c>
      <c r="E972" s="223" t="s">
        <v>487</v>
      </c>
      <c r="F972" s="223" t="s">
        <v>492</v>
      </c>
      <c r="G972" s="223" t="s">
        <v>497</v>
      </c>
      <c r="H972" s="224" t="s">
        <v>490</v>
      </c>
      <c r="I972" s="208"/>
      <c r="J972" s="210"/>
      <c r="K972" s="210"/>
      <c r="L972" s="210"/>
      <c r="M972" s="210"/>
      <c r="N972" s="210"/>
      <c r="O972" s="210"/>
      <c r="P972" s="210"/>
      <c r="Q972" s="210"/>
      <c r="R972" s="210"/>
      <c r="S972" s="210"/>
      <c r="T972" s="210"/>
      <c r="U972" s="210"/>
      <c r="V972" s="210"/>
      <c r="W972" s="210"/>
      <c r="X972" s="210"/>
      <c r="Y972" s="210"/>
      <c r="Z972" s="210"/>
    </row>
    <row r="973" ht="21.75" customHeight="1">
      <c r="A973" s="214"/>
      <c r="B973" s="221"/>
      <c r="C973" s="222">
        <v>103.0</v>
      </c>
      <c r="D973" s="223" t="s">
        <v>1415</v>
      </c>
      <c r="E973" s="223" t="s">
        <v>487</v>
      </c>
      <c r="F973" s="223" t="s">
        <v>496</v>
      </c>
      <c r="G973" s="223" t="s">
        <v>501</v>
      </c>
      <c r="H973" s="224" t="s">
        <v>490</v>
      </c>
      <c r="I973" s="208"/>
      <c r="J973" s="210"/>
      <c r="K973" s="210"/>
      <c r="L973" s="210"/>
      <c r="M973" s="210"/>
      <c r="N973" s="210"/>
      <c r="O973" s="210"/>
      <c r="P973" s="210"/>
      <c r="Q973" s="210"/>
      <c r="R973" s="210"/>
      <c r="S973" s="210"/>
      <c r="T973" s="210"/>
      <c r="U973" s="210"/>
      <c r="V973" s="210"/>
      <c r="W973" s="210"/>
      <c r="X973" s="210"/>
      <c r="Y973" s="210"/>
      <c r="Z973" s="210"/>
    </row>
    <row r="974" ht="21.75" customHeight="1">
      <c r="A974" s="214"/>
      <c r="B974" s="221"/>
      <c r="C974" s="222">
        <v>104.0</v>
      </c>
      <c r="D974" s="223" t="s">
        <v>507</v>
      </c>
      <c r="E974" s="223" t="s">
        <v>539</v>
      </c>
      <c r="F974" s="223" t="s">
        <v>621</v>
      </c>
      <c r="G974" s="223" t="s">
        <v>561</v>
      </c>
      <c r="H974" s="224" t="s">
        <v>490</v>
      </c>
      <c r="I974" s="208"/>
      <c r="J974" s="210"/>
      <c r="K974" s="210"/>
      <c r="L974" s="210"/>
      <c r="M974" s="210"/>
      <c r="N974" s="210"/>
      <c r="O974" s="210"/>
      <c r="P974" s="210"/>
      <c r="Q974" s="210"/>
      <c r="R974" s="210"/>
      <c r="S974" s="210"/>
      <c r="T974" s="210"/>
      <c r="U974" s="210"/>
      <c r="V974" s="210"/>
      <c r="W974" s="210"/>
      <c r="X974" s="210"/>
      <c r="Y974" s="210"/>
      <c r="Z974" s="210"/>
    </row>
    <row r="975" ht="21.75" customHeight="1">
      <c r="A975" s="214"/>
      <c r="B975" s="221"/>
      <c r="C975" s="222">
        <v>105.0</v>
      </c>
      <c r="D975" s="223" t="s">
        <v>519</v>
      </c>
      <c r="E975" s="223" t="s">
        <v>508</v>
      </c>
      <c r="F975" s="223" t="s">
        <v>509</v>
      </c>
      <c r="G975" s="223" t="s">
        <v>510</v>
      </c>
      <c r="H975" s="225" t="s">
        <v>1416</v>
      </c>
      <c r="I975" s="208"/>
      <c r="J975" s="210"/>
      <c r="K975" s="210"/>
      <c r="L975" s="210"/>
      <c r="M975" s="210"/>
      <c r="N975" s="210"/>
      <c r="O975" s="210"/>
      <c r="P975" s="210"/>
      <c r="Q975" s="210"/>
      <c r="R975" s="210"/>
      <c r="S975" s="210"/>
      <c r="T975" s="210"/>
      <c r="U975" s="210"/>
      <c r="V975" s="210"/>
      <c r="W975" s="210"/>
      <c r="X975" s="210"/>
      <c r="Y975" s="210"/>
      <c r="Z975" s="210"/>
    </row>
    <row r="976" ht="21.75" customHeight="1">
      <c r="A976" s="214"/>
      <c r="B976" s="221"/>
      <c r="C976" s="222">
        <v>106.0</v>
      </c>
      <c r="D976" s="223" t="s">
        <v>862</v>
      </c>
      <c r="E976" s="223" t="s">
        <v>539</v>
      </c>
      <c r="F976" s="223" t="s">
        <v>542</v>
      </c>
      <c r="G976" s="223" t="s">
        <v>864</v>
      </c>
      <c r="H976" s="224" t="s">
        <v>490</v>
      </c>
      <c r="I976" s="208"/>
      <c r="J976" s="210"/>
      <c r="K976" s="210"/>
      <c r="L976" s="210"/>
      <c r="M976" s="210"/>
      <c r="N976" s="210"/>
      <c r="O976" s="210"/>
      <c r="P976" s="210"/>
      <c r="Q976" s="210"/>
      <c r="R976" s="210"/>
      <c r="S976" s="210"/>
      <c r="T976" s="210"/>
      <c r="U976" s="210"/>
      <c r="V976" s="210"/>
      <c r="W976" s="210"/>
      <c r="X976" s="210"/>
      <c r="Y976" s="210"/>
      <c r="Z976" s="210"/>
    </row>
    <row r="977" ht="21.75" customHeight="1">
      <c r="A977" s="214"/>
      <c r="B977" s="221"/>
      <c r="C977" s="222">
        <v>107.0</v>
      </c>
      <c r="D977" s="223" t="s">
        <v>912</v>
      </c>
      <c r="E977" s="223" t="s">
        <v>487</v>
      </c>
      <c r="F977" s="223" t="s">
        <v>500</v>
      </c>
      <c r="G977" s="223" t="s">
        <v>493</v>
      </c>
      <c r="H977" s="224" t="s">
        <v>490</v>
      </c>
      <c r="I977" s="208"/>
      <c r="J977" s="210"/>
      <c r="K977" s="210"/>
      <c r="L977" s="210"/>
      <c r="M977" s="210"/>
      <c r="N977" s="210"/>
      <c r="O977" s="210"/>
      <c r="P977" s="210"/>
      <c r="Q977" s="210"/>
      <c r="R977" s="210"/>
      <c r="S977" s="210"/>
      <c r="T977" s="210"/>
      <c r="U977" s="210"/>
      <c r="V977" s="210"/>
      <c r="W977" s="210"/>
      <c r="X977" s="210"/>
      <c r="Y977" s="210"/>
      <c r="Z977" s="210"/>
    </row>
    <row r="978" ht="21.75" customHeight="1">
      <c r="A978" s="214"/>
      <c r="B978" s="221"/>
      <c r="C978" s="222">
        <v>108.0</v>
      </c>
      <c r="D978" s="223" t="s">
        <v>1417</v>
      </c>
      <c r="E978" s="223" t="s">
        <v>487</v>
      </c>
      <c r="F978" s="223" t="s">
        <v>512</v>
      </c>
      <c r="G978" s="223" t="s">
        <v>602</v>
      </c>
      <c r="H978" s="224" t="s">
        <v>490</v>
      </c>
      <c r="I978" s="208"/>
      <c r="J978" s="210"/>
      <c r="K978" s="210"/>
      <c r="L978" s="210"/>
      <c r="M978" s="210"/>
      <c r="N978" s="210"/>
      <c r="O978" s="210"/>
      <c r="P978" s="210"/>
      <c r="Q978" s="210"/>
      <c r="R978" s="210"/>
      <c r="S978" s="210"/>
      <c r="T978" s="210"/>
      <c r="U978" s="210"/>
      <c r="V978" s="210"/>
      <c r="W978" s="210"/>
      <c r="X978" s="210"/>
      <c r="Y978" s="210"/>
      <c r="Z978" s="210"/>
    </row>
    <row r="979" ht="21.75" customHeight="1">
      <c r="A979" s="214"/>
      <c r="B979" s="221"/>
      <c r="C979" s="222">
        <v>109.0</v>
      </c>
      <c r="D979" s="223" t="s">
        <v>408</v>
      </c>
      <c r="E979" s="223" t="s">
        <v>487</v>
      </c>
      <c r="F979" s="223" t="s">
        <v>532</v>
      </c>
      <c r="G979" s="223" t="s">
        <v>526</v>
      </c>
      <c r="H979" s="224" t="s">
        <v>490</v>
      </c>
      <c r="I979" s="208"/>
      <c r="J979" s="210"/>
      <c r="K979" s="210"/>
      <c r="L979" s="210"/>
      <c r="M979" s="210"/>
      <c r="N979" s="210"/>
      <c r="O979" s="210"/>
      <c r="P979" s="210"/>
      <c r="Q979" s="210"/>
      <c r="R979" s="210"/>
      <c r="S979" s="210"/>
      <c r="T979" s="210"/>
      <c r="U979" s="210"/>
      <c r="V979" s="210"/>
      <c r="W979" s="210"/>
      <c r="X979" s="210"/>
      <c r="Y979" s="210"/>
      <c r="Z979" s="210"/>
    </row>
    <row r="980" ht="21.75" customHeight="1">
      <c r="A980" s="214"/>
      <c r="B980" s="221"/>
      <c r="C980" s="222">
        <v>110.0</v>
      </c>
      <c r="D980" s="223" t="s">
        <v>369</v>
      </c>
      <c r="E980" s="223" t="s">
        <v>487</v>
      </c>
      <c r="F980" s="223" t="s">
        <v>603</v>
      </c>
      <c r="G980" s="223" t="s">
        <v>513</v>
      </c>
      <c r="H980" s="224" t="s">
        <v>490</v>
      </c>
      <c r="I980" s="208"/>
      <c r="J980" s="210"/>
      <c r="K980" s="210"/>
      <c r="L980" s="210"/>
      <c r="M980" s="210"/>
      <c r="N980" s="210"/>
      <c r="O980" s="210"/>
      <c r="P980" s="210"/>
      <c r="Q980" s="210"/>
      <c r="R980" s="210"/>
      <c r="S980" s="210"/>
      <c r="T980" s="210"/>
      <c r="U980" s="210"/>
      <c r="V980" s="210"/>
      <c r="W980" s="210"/>
      <c r="X980" s="210"/>
      <c r="Y980" s="210"/>
      <c r="Z980" s="210"/>
    </row>
    <row r="981" ht="21.75" customHeight="1">
      <c r="A981" s="214"/>
      <c r="B981" s="221"/>
      <c r="C981" s="222">
        <v>111.0</v>
      </c>
      <c r="D981" s="223" t="s">
        <v>1418</v>
      </c>
      <c r="E981" s="223" t="s">
        <v>487</v>
      </c>
      <c r="F981" s="223" t="s">
        <v>579</v>
      </c>
      <c r="G981" s="223" t="s">
        <v>606</v>
      </c>
      <c r="H981" s="224" t="s">
        <v>490</v>
      </c>
      <c r="I981" s="208"/>
      <c r="J981" s="210"/>
      <c r="K981" s="210"/>
      <c r="L981" s="210"/>
      <c r="M981" s="210"/>
      <c r="N981" s="210"/>
      <c r="O981" s="210"/>
      <c r="P981" s="210"/>
      <c r="Q981" s="210"/>
      <c r="R981" s="210"/>
      <c r="S981" s="210"/>
      <c r="T981" s="210"/>
      <c r="U981" s="210"/>
      <c r="V981" s="210"/>
      <c r="W981" s="210"/>
      <c r="X981" s="210"/>
      <c r="Y981" s="210"/>
      <c r="Z981" s="210"/>
    </row>
    <row r="982" ht="21.75" customHeight="1">
      <c r="A982" s="214"/>
      <c r="B982" s="221"/>
      <c r="C982" s="222">
        <v>200.0</v>
      </c>
      <c r="D982" s="223" t="s">
        <v>1419</v>
      </c>
      <c r="E982" s="223" t="s">
        <v>487</v>
      </c>
      <c r="F982" s="223" t="s">
        <v>590</v>
      </c>
      <c r="G982" s="218" t="s">
        <v>490</v>
      </c>
      <c r="H982" s="224" t="s">
        <v>490</v>
      </c>
      <c r="I982" s="208"/>
      <c r="J982" s="210"/>
      <c r="K982" s="210"/>
      <c r="L982" s="210"/>
      <c r="M982" s="210"/>
      <c r="N982" s="210"/>
      <c r="O982" s="210"/>
      <c r="P982" s="210"/>
      <c r="Q982" s="210"/>
      <c r="R982" s="210"/>
      <c r="S982" s="210"/>
      <c r="T982" s="210"/>
      <c r="U982" s="210"/>
      <c r="V982" s="210"/>
      <c r="W982" s="210"/>
      <c r="X982" s="210"/>
      <c r="Y982" s="210"/>
      <c r="Z982" s="210"/>
    </row>
    <row r="983" ht="21.75" customHeight="1">
      <c r="A983" s="214"/>
      <c r="B983" s="221"/>
      <c r="C983" s="222">
        <v>201.0</v>
      </c>
      <c r="D983" s="223" t="s">
        <v>1420</v>
      </c>
      <c r="E983" s="223" t="s">
        <v>487</v>
      </c>
      <c r="F983" s="223" t="s">
        <v>583</v>
      </c>
      <c r="G983" s="218" t="s">
        <v>490</v>
      </c>
      <c r="H983" s="224" t="s">
        <v>490</v>
      </c>
      <c r="I983" s="208"/>
      <c r="J983" s="210"/>
      <c r="K983" s="210"/>
      <c r="L983" s="210"/>
      <c r="M983" s="210"/>
      <c r="N983" s="210"/>
      <c r="O983" s="210"/>
      <c r="P983" s="210"/>
      <c r="Q983" s="210"/>
      <c r="R983" s="210"/>
      <c r="S983" s="210"/>
      <c r="T983" s="210"/>
      <c r="U983" s="210"/>
      <c r="V983" s="210"/>
      <c r="W983" s="210"/>
      <c r="X983" s="210"/>
      <c r="Y983" s="210"/>
      <c r="Z983" s="210"/>
    </row>
    <row r="984" ht="21.75" customHeight="1">
      <c r="A984" s="214"/>
      <c r="B984" s="221"/>
      <c r="C984" s="222">
        <v>202.0</v>
      </c>
      <c r="D984" s="223" t="s">
        <v>1421</v>
      </c>
      <c r="E984" s="223" t="s">
        <v>487</v>
      </c>
      <c r="F984" s="223" t="s">
        <v>601</v>
      </c>
      <c r="G984" s="218" t="s">
        <v>490</v>
      </c>
      <c r="H984" s="224" t="s">
        <v>490</v>
      </c>
      <c r="I984" s="208"/>
      <c r="J984" s="210"/>
      <c r="K984" s="210"/>
      <c r="L984" s="210"/>
      <c r="M984" s="210"/>
      <c r="N984" s="210"/>
      <c r="O984" s="210"/>
      <c r="P984" s="210"/>
      <c r="Q984" s="210"/>
      <c r="R984" s="210"/>
      <c r="S984" s="210"/>
      <c r="T984" s="210"/>
      <c r="U984" s="210"/>
      <c r="V984" s="210"/>
      <c r="W984" s="210"/>
      <c r="X984" s="210"/>
      <c r="Y984" s="210"/>
      <c r="Z984" s="210"/>
    </row>
    <row r="985" ht="21.75" customHeight="1">
      <c r="A985" s="214"/>
      <c r="B985" s="221"/>
      <c r="C985" s="222">
        <v>203.0</v>
      </c>
      <c r="D985" s="223" t="s">
        <v>1422</v>
      </c>
      <c r="E985" s="223" t="s">
        <v>529</v>
      </c>
      <c r="F985" s="223" t="s">
        <v>530</v>
      </c>
      <c r="G985" s="218" t="s">
        <v>490</v>
      </c>
      <c r="H985" s="224" t="s">
        <v>490</v>
      </c>
      <c r="I985" s="208"/>
      <c r="J985" s="210"/>
      <c r="K985" s="210"/>
      <c r="L985" s="210"/>
      <c r="M985" s="210"/>
      <c r="N985" s="210"/>
      <c r="O985" s="210"/>
      <c r="P985" s="210"/>
      <c r="Q985" s="210"/>
      <c r="R985" s="210"/>
      <c r="S985" s="210"/>
      <c r="T985" s="210"/>
      <c r="U985" s="210"/>
      <c r="V985" s="210"/>
      <c r="W985" s="210"/>
      <c r="X985" s="210"/>
      <c r="Y985" s="210"/>
      <c r="Z985" s="210"/>
    </row>
    <row r="986" ht="21.75" customHeight="1">
      <c r="A986" s="214"/>
      <c r="B986" s="221"/>
      <c r="C986" s="222">
        <v>204.0</v>
      </c>
      <c r="D986" s="223" t="s">
        <v>1423</v>
      </c>
      <c r="E986" s="223" t="s">
        <v>529</v>
      </c>
      <c r="F986" s="223" t="s">
        <v>1367</v>
      </c>
      <c r="G986" s="218" t="s">
        <v>490</v>
      </c>
      <c r="H986" s="224" t="s">
        <v>490</v>
      </c>
      <c r="I986" s="208"/>
      <c r="J986" s="210"/>
      <c r="K986" s="210"/>
      <c r="L986" s="210"/>
      <c r="M986" s="210"/>
      <c r="N986" s="210"/>
      <c r="O986" s="210"/>
      <c r="P986" s="210"/>
      <c r="Q986" s="210"/>
      <c r="R986" s="210"/>
      <c r="S986" s="210"/>
      <c r="T986" s="210"/>
      <c r="U986" s="210"/>
      <c r="V986" s="210"/>
      <c r="W986" s="210"/>
      <c r="X986" s="210"/>
      <c r="Y986" s="210"/>
      <c r="Z986" s="210"/>
    </row>
    <row r="987" ht="21.75" customHeight="1">
      <c r="A987" s="214"/>
      <c r="B987" s="221"/>
      <c r="C987" s="222">
        <v>205.0</v>
      </c>
      <c r="D987" s="223" t="s">
        <v>1424</v>
      </c>
      <c r="E987" s="223" t="s">
        <v>487</v>
      </c>
      <c r="F987" s="223" t="s">
        <v>560</v>
      </c>
      <c r="G987" s="218" t="s">
        <v>490</v>
      </c>
      <c r="H987" s="224" t="s">
        <v>490</v>
      </c>
      <c r="I987" s="208"/>
      <c r="J987" s="210"/>
      <c r="K987" s="210"/>
      <c r="L987" s="210"/>
      <c r="M987" s="210"/>
      <c r="N987" s="210"/>
      <c r="O987" s="210"/>
      <c r="P987" s="210"/>
      <c r="Q987" s="210"/>
      <c r="R987" s="210"/>
      <c r="S987" s="210"/>
      <c r="T987" s="210"/>
      <c r="U987" s="210"/>
      <c r="V987" s="210"/>
      <c r="W987" s="210"/>
      <c r="X987" s="210"/>
      <c r="Y987" s="210"/>
      <c r="Z987" s="210"/>
    </row>
    <row r="988" ht="21.75" customHeight="1">
      <c r="A988" s="214"/>
      <c r="B988" s="221"/>
      <c r="C988" s="222">
        <v>206.0</v>
      </c>
      <c r="D988" s="223" t="s">
        <v>1425</v>
      </c>
      <c r="E988" s="223" t="s">
        <v>539</v>
      </c>
      <c r="F988" s="223" t="s">
        <v>625</v>
      </c>
      <c r="G988" s="218" t="s">
        <v>490</v>
      </c>
      <c r="H988" s="224" t="s">
        <v>490</v>
      </c>
      <c r="I988" s="208"/>
      <c r="J988" s="210"/>
      <c r="K988" s="210"/>
      <c r="L988" s="210"/>
      <c r="M988" s="210"/>
      <c r="N988" s="210"/>
      <c r="O988" s="210"/>
      <c r="P988" s="210"/>
      <c r="Q988" s="210"/>
      <c r="R988" s="210"/>
      <c r="S988" s="210"/>
      <c r="T988" s="210"/>
      <c r="U988" s="210"/>
      <c r="V988" s="210"/>
      <c r="W988" s="210"/>
      <c r="X988" s="210"/>
      <c r="Y988" s="210"/>
      <c r="Z988" s="210"/>
    </row>
    <row r="989" ht="21.75" customHeight="1">
      <c r="A989" s="214"/>
      <c r="B989" s="221"/>
      <c r="C989" s="222">
        <v>207.0</v>
      </c>
      <c r="D989" s="223" t="s">
        <v>555</v>
      </c>
      <c r="E989" s="223" t="s">
        <v>487</v>
      </c>
      <c r="F989" s="223" t="s">
        <v>613</v>
      </c>
      <c r="G989" s="218" t="s">
        <v>490</v>
      </c>
      <c r="H989" s="224" t="s">
        <v>490</v>
      </c>
      <c r="I989" s="208"/>
      <c r="J989" s="210"/>
      <c r="K989" s="210"/>
      <c r="L989" s="210"/>
      <c r="M989" s="210"/>
      <c r="N989" s="210"/>
      <c r="O989" s="210"/>
      <c r="P989" s="210"/>
      <c r="Q989" s="210"/>
      <c r="R989" s="210"/>
      <c r="S989" s="210"/>
      <c r="T989" s="210"/>
      <c r="U989" s="210"/>
      <c r="V989" s="210"/>
      <c r="W989" s="210"/>
      <c r="X989" s="210"/>
      <c r="Y989" s="210"/>
      <c r="Z989" s="210"/>
    </row>
    <row r="990" ht="21.75" customHeight="1">
      <c r="A990" s="214"/>
      <c r="B990" s="221"/>
      <c r="C990" s="222">
        <v>208.0</v>
      </c>
      <c r="D990" s="223" t="s">
        <v>1426</v>
      </c>
      <c r="E990" s="223" t="s">
        <v>487</v>
      </c>
      <c r="F990" s="223" t="s">
        <v>593</v>
      </c>
      <c r="G990" s="218" t="s">
        <v>490</v>
      </c>
      <c r="H990" s="224" t="s">
        <v>490</v>
      </c>
      <c r="I990" s="208"/>
      <c r="J990" s="210"/>
      <c r="K990" s="210"/>
      <c r="L990" s="210"/>
      <c r="M990" s="210"/>
      <c r="N990" s="210"/>
      <c r="O990" s="210"/>
      <c r="P990" s="210"/>
      <c r="Q990" s="210"/>
      <c r="R990" s="210"/>
      <c r="S990" s="210"/>
      <c r="T990" s="210"/>
      <c r="U990" s="210"/>
      <c r="V990" s="210"/>
      <c r="W990" s="210"/>
      <c r="X990" s="210"/>
      <c r="Y990" s="210"/>
      <c r="Z990" s="210"/>
    </row>
    <row r="991" ht="21.75" customHeight="1">
      <c r="A991" s="214"/>
      <c r="B991" s="221"/>
      <c r="C991" s="222">
        <v>209.0</v>
      </c>
      <c r="D991" s="223" t="s">
        <v>1427</v>
      </c>
      <c r="E991" s="223" t="s">
        <v>487</v>
      </c>
      <c r="F991" s="223" t="s">
        <v>605</v>
      </c>
      <c r="G991" s="218" t="s">
        <v>490</v>
      </c>
      <c r="H991" s="224" t="s">
        <v>490</v>
      </c>
      <c r="I991" s="208"/>
      <c r="J991" s="210"/>
      <c r="K991" s="210"/>
      <c r="L991" s="210"/>
      <c r="M991" s="210"/>
      <c r="N991" s="210"/>
      <c r="O991" s="210"/>
      <c r="P991" s="210"/>
      <c r="Q991" s="210"/>
      <c r="R991" s="210"/>
      <c r="S991" s="210"/>
      <c r="T991" s="210"/>
      <c r="U991" s="210"/>
      <c r="V991" s="210"/>
      <c r="W991" s="210"/>
      <c r="X991" s="210"/>
      <c r="Y991" s="210"/>
      <c r="Z991" s="210"/>
    </row>
    <row r="992" ht="21.75" customHeight="1">
      <c r="A992" s="228"/>
      <c r="B992" s="221"/>
      <c r="C992" s="222">
        <v>300.0</v>
      </c>
      <c r="D992" s="223" t="s">
        <v>696</v>
      </c>
      <c r="E992" s="223" t="s">
        <v>673</v>
      </c>
      <c r="F992" s="223" t="s">
        <v>696</v>
      </c>
      <c r="G992" s="218" t="s">
        <v>490</v>
      </c>
      <c r="H992" s="224" t="s">
        <v>490</v>
      </c>
      <c r="I992" s="208"/>
      <c r="J992" s="210"/>
      <c r="K992" s="210"/>
      <c r="L992" s="210"/>
      <c r="M992" s="210"/>
      <c r="N992" s="210"/>
      <c r="O992" s="210"/>
      <c r="P992" s="210"/>
      <c r="Q992" s="210"/>
      <c r="R992" s="210"/>
      <c r="S992" s="210"/>
      <c r="T992" s="210"/>
      <c r="U992" s="210"/>
      <c r="V992" s="210"/>
      <c r="W992" s="210"/>
      <c r="X992" s="210"/>
      <c r="Y992" s="210"/>
      <c r="Z992" s="210"/>
    </row>
    <row r="993" ht="21.75" customHeight="1">
      <c r="A993" s="214">
        <v>224.0</v>
      </c>
      <c r="B993" s="215" t="s">
        <v>1428</v>
      </c>
      <c r="C993" s="216"/>
      <c r="D993" s="217"/>
      <c r="E993" s="217"/>
      <c r="F993" s="217"/>
      <c r="G993" s="217"/>
      <c r="H993" s="217"/>
      <c r="I993" s="208"/>
      <c r="J993" s="210"/>
      <c r="K993" s="210"/>
      <c r="L993" s="210"/>
      <c r="M993" s="210"/>
      <c r="N993" s="210"/>
      <c r="O993" s="210"/>
      <c r="P993" s="210"/>
      <c r="Q993" s="210"/>
      <c r="R993" s="210"/>
      <c r="S993" s="210"/>
      <c r="T993" s="210"/>
      <c r="U993" s="210"/>
      <c r="V993" s="210"/>
      <c r="W993" s="210"/>
      <c r="X993" s="210"/>
      <c r="Y993" s="210"/>
      <c r="Z993" s="210"/>
    </row>
    <row r="994" ht="21.75" customHeight="1">
      <c r="A994" s="214"/>
      <c r="B994" s="218" t="s">
        <v>1429</v>
      </c>
      <c r="C994" s="219">
        <v>50710.0</v>
      </c>
      <c r="D994" s="220"/>
      <c r="E994" s="220"/>
      <c r="F994" s="220"/>
      <c r="G994" s="220"/>
      <c r="H994" s="220"/>
      <c r="I994" s="208"/>
      <c r="J994" s="210"/>
      <c r="K994" s="210"/>
      <c r="L994" s="210"/>
      <c r="M994" s="210"/>
      <c r="N994" s="210"/>
      <c r="O994" s="210"/>
      <c r="P994" s="210"/>
      <c r="Q994" s="210"/>
      <c r="R994" s="210"/>
      <c r="S994" s="210"/>
      <c r="T994" s="210"/>
      <c r="U994" s="210"/>
      <c r="V994" s="210"/>
      <c r="W994" s="210"/>
      <c r="X994" s="210"/>
      <c r="Y994" s="210"/>
      <c r="Z994" s="210"/>
    </row>
    <row r="995" ht="21.75" customHeight="1">
      <c r="A995" s="214"/>
      <c r="B995" s="221"/>
      <c r="C995" s="222">
        <v>100.0</v>
      </c>
      <c r="D995" s="223" t="s">
        <v>486</v>
      </c>
      <c r="E995" s="223" t="s">
        <v>487</v>
      </c>
      <c r="F995" s="223" t="s">
        <v>488</v>
      </c>
      <c r="G995" s="223" t="s">
        <v>489</v>
      </c>
      <c r="H995" s="224" t="s">
        <v>490</v>
      </c>
      <c r="I995" s="208"/>
      <c r="J995" s="210"/>
      <c r="K995" s="210"/>
      <c r="L995" s="210"/>
      <c r="M995" s="210"/>
      <c r="N995" s="210"/>
      <c r="O995" s="210"/>
      <c r="P995" s="210"/>
      <c r="Q995" s="210"/>
      <c r="R995" s="210"/>
      <c r="S995" s="210"/>
      <c r="T995" s="210"/>
      <c r="U995" s="210"/>
      <c r="V995" s="210"/>
      <c r="W995" s="210"/>
      <c r="X995" s="210"/>
      <c r="Y995" s="210"/>
      <c r="Z995" s="210"/>
    </row>
    <row r="996" ht="21.75" customHeight="1">
      <c r="A996" s="214"/>
      <c r="B996" s="221"/>
      <c r="C996" s="222">
        <v>101.0</v>
      </c>
      <c r="D996" s="223" t="s">
        <v>516</v>
      </c>
      <c r="E996" s="223" t="s">
        <v>487</v>
      </c>
      <c r="F996" s="223" t="s">
        <v>492</v>
      </c>
      <c r="G996" s="223" t="s">
        <v>526</v>
      </c>
      <c r="H996" s="225" t="s">
        <v>1430</v>
      </c>
      <c r="I996" s="208"/>
      <c r="J996" s="210"/>
      <c r="K996" s="210"/>
      <c r="L996" s="210"/>
      <c r="M996" s="210"/>
      <c r="N996" s="210"/>
      <c r="O996" s="210"/>
      <c r="P996" s="210"/>
      <c r="Q996" s="210"/>
      <c r="R996" s="210"/>
      <c r="S996" s="210"/>
      <c r="T996" s="210"/>
      <c r="U996" s="210"/>
      <c r="V996" s="210"/>
      <c r="W996" s="210"/>
      <c r="X996" s="210"/>
      <c r="Y996" s="210"/>
      <c r="Z996" s="210"/>
    </row>
    <row r="997" ht="21.75" customHeight="1">
      <c r="A997" s="214"/>
      <c r="B997" s="221"/>
      <c r="C997" s="222">
        <v>102.0</v>
      </c>
      <c r="D997" s="223" t="s">
        <v>491</v>
      </c>
      <c r="E997" s="223" t="s">
        <v>487</v>
      </c>
      <c r="F997" s="223" t="s">
        <v>496</v>
      </c>
      <c r="G997" s="223" t="s">
        <v>678</v>
      </c>
      <c r="H997" s="225" t="s">
        <v>1431</v>
      </c>
      <c r="I997" s="208"/>
      <c r="J997" s="210"/>
      <c r="K997" s="210"/>
      <c r="L997" s="210"/>
      <c r="M997" s="210"/>
      <c r="N997" s="210"/>
      <c r="O997" s="210"/>
      <c r="P997" s="210"/>
      <c r="Q997" s="210"/>
      <c r="R997" s="210"/>
      <c r="S997" s="210"/>
      <c r="T997" s="210"/>
      <c r="U997" s="210"/>
      <c r="V997" s="210"/>
      <c r="W997" s="210"/>
      <c r="X997" s="210"/>
      <c r="Y997" s="210"/>
      <c r="Z997" s="210"/>
    </row>
    <row r="998" ht="21.75" customHeight="1">
      <c r="A998" s="214"/>
      <c r="B998" s="221"/>
      <c r="C998" s="222">
        <v>103.0</v>
      </c>
      <c r="D998" s="223" t="s">
        <v>1432</v>
      </c>
      <c r="E998" s="223" t="s">
        <v>487</v>
      </c>
      <c r="F998" s="223" t="s">
        <v>500</v>
      </c>
      <c r="G998" s="223" t="s">
        <v>493</v>
      </c>
      <c r="H998" s="224" t="s">
        <v>490</v>
      </c>
      <c r="I998" s="208"/>
      <c r="J998" s="210"/>
      <c r="K998" s="210"/>
      <c r="L998" s="210"/>
      <c r="M998" s="210"/>
      <c r="N998" s="210"/>
      <c r="O998" s="210"/>
      <c r="P998" s="210"/>
      <c r="Q998" s="210"/>
      <c r="R998" s="210"/>
      <c r="S998" s="210"/>
      <c r="T998" s="210"/>
      <c r="U998" s="210"/>
      <c r="V998" s="210"/>
      <c r="W998" s="210"/>
      <c r="X998" s="210"/>
      <c r="Y998" s="210"/>
      <c r="Z998" s="210"/>
    </row>
    <row r="999" ht="21.75" customHeight="1">
      <c r="A999" s="214"/>
      <c r="B999" s="221"/>
      <c r="C999" s="222">
        <v>104.0</v>
      </c>
      <c r="D999" s="223" t="s">
        <v>1433</v>
      </c>
      <c r="E999" s="223" t="s">
        <v>487</v>
      </c>
      <c r="F999" s="223" t="s">
        <v>512</v>
      </c>
      <c r="G999" s="223" t="s">
        <v>497</v>
      </c>
      <c r="H999" s="224" t="s">
        <v>490</v>
      </c>
      <c r="I999" s="208"/>
      <c r="J999" s="210"/>
      <c r="K999" s="210"/>
      <c r="L999" s="210"/>
      <c r="M999" s="210"/>
      <c r="N999" s="210"/>
      <c r="O999" s="210"/>
      <c r="P999" s="210"/>
      <c r="Q999" s="210"/>
      <c r="R999" s="210"/>
      <c r="S999" s="210"/>
      <c r="T999" s="210"/>
      <c r="U999" s="210"/>
      <c r="V999" s="210"/>
      <c r="W999" s="210"/>
      <c r="X999" s="210"/>
      <c r="Y999" s="210"/>
      <c r="Z999" s="210"/>
    </row>
    <row r="1000" ht="21.75" customHeight="1">
      <c r="A1000" s="214"/>
      <c r="B1000" s="221"/>
      <c r="C1000" s="222">
        <v>105.0</v>
      </c>
      <c r="D1000" s="223" t="s">
        <v>1434</v>
      </c>
      <c r="E1000" s="223" t="s">
        <v>529</v>
      </c>
      <c r="F1000" s="223" t="s">
        <v>530</v>
      </c>
      <c r="G1000" s="218" t="s">
        <v>490</v>
      </c>
      <c r="H1000" s="225" t="s">
        <v>1435</v>
      </c>
      <c r="I1000" s="208"/>
      <c r="J1000" s="210"/>
      <c r="K1000" s="210"/>
      <c r="L1000" s="210"/>
      <c r="M1000" s="210"/>
      <c r="N1000" s="210"/>
      <c r="O1000" s="210"/>
      <c r="P1000" s="210"/>
      <c r="Q1000" s="210"/>
      <c r="R1000" s="210"/>
      <c r="S1000" s="210"/>
      <c r="T1000" s="210"/>
      <c r="U1000" s="210"/>
      <c r="V1000" s="210"/>
      <c r="W1000" s="210"/>
      <c r="X1000" s="210"/>
      <c r="Y1000" s="210"/>
      <c r="Z1000" s="210"/>
    </row>
    <row r="1001" ht="21.75" customHeight="1">
      <c r="A1001" s="214"/>
      <c r="B1001" s="221"/>
      <c r="C1001" s="222">
        <v>106.0</v>
      </c>
      <c r="D1001" s="223" t="s">
        <v>519</v>
      </c>
      <c r="E1001" s="223" t="s">
        <v>508</v>
      </c>
      <c r="F1001" s="223" t="s">
        <v>509</v>
      </c>
      <c r="G1001" s="223" t="s">
        <v>510</v>
      </c>
      <c r="H1001" s="225" t="s">
        <v>1436</v>
      </c>
      <c r="I1001" s="208"/>
      <c r="J1001" s="210"/>
      <c r="K1001" s="210"/>
      <c r="L1001" s="210"/>
      <c r="M1001" s="210"/>
      <c r="N1001" s="210"/>
      <c r="O1001" s="210"/>
      <c r="P1001" s="210"/>
      <c r="Q1001" s="210"/>
      <c r="R1001" s="210"/>
      <c r="S1001" s="210"/>
      <c r="T1001" s="210"/>
      <c r="U1001" s="210"/>
      <c r="V1001" s="210"/>
      <c r="W1001" s="210"/>
      <c r="X1001" s="210"/>
      <c r="Y1001" s="210"/>
      <c r="Z1001" s="210"/>
    </row>
    <row r="1002" ht="21.75" customHeight="1">
      <c r="A1002" s="228"/>
      <c r="B1002" s="221"/>
      <c r="C1002" s="222">
        <v>107.0</v>
      </c>
      <c r="D1002" s="223" t="s">
        <v>1434</v>
      </c>
      <c r="E1002" s="223" t="s">
        <v>487</v>
      </c>
      <c r="F1002" s="223" t="s">
        <v>826</v>
      </c>
      <c r="G1002" s="223" t="s">
        <v>501</v>
      </c>
      <c r="H1002" s="224" t="s">
        <v>490</v>
      </c>
      <c r="I1002" s="208"/>
      <c r="J1002" s="210"/>
      <c r="K1002" s="210"/>
      <c r="L1002" s="210"/>
      <c r="M1002" s="210"/>
      <c r="N1002" s="210"/>
      <c r="O1002" s="210"/>
      <c r="P1002" s="210"/>
      <c r="Q1002" s="210"/>
      <c r="R1002" s="210"/>
      <c r="S1002" s="210"/>
      <c r="T1002" s="210"/>
      <c r="U1002" s="210"/>
      <c r="V1002" s="210"/>
      <c r="W1002" s="210"/>
      <c r="X1002" s="210"/>
      <c r="Y1002" s="210"/>
      <c r="Z1002" s="210"/>
    </row>
    <row r="1003" ht="21.75" customHeight="1">
      <c r="A1003" s="214">
        <v>225.0</v>
      </c>
      <c r="B1003" s="215" t="s">
        <v>1437</v>
      </c>
      <c r="C1003" s="216"/>
      <c r="D1003" s="217"/>
      <c r="E1003" s="217"/>
      <c r="F1003" s="217"/>
      <c r="G1003" s="217"/>
      <c r="H1003" s="217"/>
      <c r="I1003" s="208"/>
      <c r="J1003" s="210"/>
      <c r="K1003" s="210"/>
      <c r="L1003" s="210"/>
      <c r="M1003" s="210"/>
      <c r="N1003" s="210"/>
      <c r="O1003" s="210"/>
      <c r="P1003" s="210"/>
      <c r="Q1003" s="210"/>
      <c r="R1003" s="210"/>
      <c r="S1003" s="210"/>
      <c r="T1003" s="210"/>
      <c r="U1003" s="210"/>
      <c r="V1003" s="210"/>
      <c r="W1003" s="210"/>
      <c r="X1003" s="210"/>
      <c r="Y1003" s="210"/>
      <c r="Z1003" s="210"/>
    </row>
    <row r="1004" ht="21.75" customHeight="1">
      <c r="A1004" s="214"/>
      <c r="B1004" s="218" t="s">
        <v>1438</v>
      </c>
      <c r="C1004" s="219">
        <v>50712.0</v>
      </c>
      <c r="D1004" s="220"/>
      <c r="E1004" s="220"/>
      <c r="F1004" s="220"/>
      <c r="G1004" s="220"/>
      <c r="H1004" s="220"/>
      <c r="I1004" s="208"/>
      <c r="J1004" s="210"/>
      <c r="K1004" s="210"/>
      <c r="L1004" s="210"/>
      <c r="M1004" s="210"/>
      <c r="N1004" s="210"/>
      <c r="O1004" s="210"/>
      <c r="P1004" s="210"/>
      <c r="Q1004" s="210"/>
      <c r="R1004" s="210"/>
      <c r="S1004" s="210"/>
      <c r="T1004" s="210"/>
      <c r="U1004" s="210"/>
      <c r="V1004" s="210"/>
      <c r="W1004" s="210"/>
      <c r="X1004" s="210"/>
      <c r="Y1004" s="210"/>
      <c r="Z1004" s="210"/>
    </row>
    <row r="1005" ht="21.75" customHeight="1">
      <c r="A1005" s="214"/>
      <c r="B1005" s="221"/>
      <c r="C1005" s="222">
        <v>100.0</v>
      </c>
      <c r="D1005" s="223" t="s">
        <v>486</v>
      </c>
      <c r="E1005" s="223" t="s">
        <v>487</v>
      </c>
      <c r="F1005" s="223" t="s">
        <v>488</v>
      </c>
      <c r="G1005" s="223" t="s">
        <v>489</v>
      </c>
      <c r="H1005" s="224" t="s">
        <v>490</v>
      </c>
      <c r="I1005" s="208"/>
      <c r="J1005" s="210"/>
      <c r="K1005" s="210"/>
      <c r="L1005" s="210"/>
      <c r="M1005" s="210"/>
      <c r="N1005" s="210"/>
      <c r="O1005" s="210"/>
      <c r="P1005" s="210"/>
      <c r="Q1005" s="210"/>
      <c r="R1005" s="210"/>
      <c r="S1005" s="210"/>
      <c r="T1005" s="210"/>
      <c r="U1005" s="210"/>
      <c r="V1005" s="210"/>
      <c r="W1005" s="210"/>
      <c r="X1005" s="210"/>
      <c r="Y1005" s="210"/>
      <c r="Z1005" s="210"/>
    </row>
    <row r="1006" ht="21.75" customHeight="1">
      <c r="A1006" s="214"/>
      <c r="B1006" s="221"/>
      <c r="C1006" s="222">
        <v>101.0</v>
      </c>
      <c r="D1006" s="223" t="s">
        <v>491</v>
      </c>
      <c r="E1006" s="223" t="s">
        <v>487</v>
      </c>
      <c r="F1006" s="223" t="s">
        <v>492</v>
      </c>
      <c r="G1006" s="223" t="s">
        <v>678</v>
      </c>
      <c r="H1006" s="225" t="s">
        <v>1439</v>
      </c>
      <c r="I1006" s="208"/>
      <c r="J1006" s="210"/>
      <c r="K1006" s="210"/>
      <c r="L1006" s="210"/>
      <c r="M1006" s="210"/>
      <c r="N1006" s="210"/>
      <c r="O1006" s="210"/>
      <c r="P1006" s="210"/>
      <c r="Q1006" s="210"/>
      <c r="R1006" s="210"/>
      <c r="S1006" s="210"/>
      <c r="T1006" s="210"/>
      <c r="U1006" s="210"/>
      <c r="V1006" s="210"/>
      <c r="W1006" s="210"/>
      <c r="X1006" s="210"/>
      <c r="Y1006" s="210"/>
      <c r="Z1006" s="210"/>
    </row>
    <row r="1007" ht="21.75" customHeight="1">
      <c r="A1007" s="214"/>
      <c r="B1007" s="221"/>
      <c r="C1007" s="222">
        <v>102.0</v>
      </c>
      <c r="D1007" s="223" t="s">
        <v>369</v>
      </c>
      <c r="E1007" s="223" t="s">
        <v>487</v>
      </c>
      <c r="F1007" s="223" t="s">
        <v>496</v>
      </c>
      <c r="G1007" s="223" t="s">
        <v>501</v>
      </c>
      <c r="H1007" s="224" t="s">
        <v>490</v>
      </c>
      <c r="I1007" s="208"/>
      <c r="J1007" s="210"/>
      <c r="K1007" s="210"/>
      <c r="L1007" s="210"/>
      <c r="M1007" s="210"/>
      <c r="N1007" s="210"/>
      <c r="O1007" s="210"/>
      <c r="P1007" s="210"/>
      <c r="Q1007" s="210"/>
      <c r="R1007" s="210"/>
      <c r="S1007" s="210"/>
      <c r="T1007" s="210"/>
      <c r="U1007" s="210"/>
      <c r="V1007" s="210"/>
      <c r="W1007" s="210"/>
      <c r="X1007" s="210"/>
      <c r="Y1007" s="210"/>
      <c r="Z1007" s="210"/>
    </row>
    <row r="1008" ht="21.75" customHeight="1">
      <c r="A1008" s="214"/>
      <c r="B1008" s="221"/>
      <c r="C1008" s="222">
        <v>103.0</v>
      </c>
      <c r="D1008" s="223" t="s">
        <v>662</v>
      </c>
      <c r="E1008" s="223" t="s">
        <v>487</v>
      </c>
      <c r="F1008" s="223" t="s">
        <v>500</v>
      </c>
      <c r="G1008" s="223" t="s">
        <v>497</v>
      </c>
      <c r="H1008" s="225" t="s">
        <v>1440</v>
      </c>
      <c r="I1008" s="208"/>
      <c r="J1008" s="210"/>
      <c r="K1008" s="210"/>
      <c r="L1008" s="210"/>
      <c r="M1008" s="210"/>
      <c r="N1008" s="210"/>
      <c r="O1008" s="210"/>
      <c r="P1008" s="210"/>
      <c r="Q1008" s="210"/>
      <c r="R1008" s="210"/>
      <c r="S1008" s="210"/>
      <c r="T1008" s="210"/>
      <c r="U1008" s="210"/>
      <c r="V1008" s="210"/>
      <c r="W1008" s="210"/>
      <c r="X1008" s="210"/>
      <c r="Y1008" s="210"/>
      <c r="Z1008" s="210"/>
    </row>
    <row r="1009" ht="21.75" customHeight="1">
      <c r="A1009" s="228"/>
      <c r="B1009" s="221"/>
      <c r="C1009" s="222">
        <v>104.0</v>
      </c>
      <c r="D1009" s="223" t="s">
        <v>519</v>
      </c>
      <c r="E1009" s="223" t="s">
        <v>508</v>
      </c>
      <c r="F1009" s="223" t="s">
        <v>509</v>
      </c>
      <c r="G1009" s="223" t="s">
        <v>510</v>
      </c>
      <c r="H1009" s="225" t="s">
        <v>1441</v>
      </c>
      <c r="I1009" s="208"/>
      <c r="J1009" s="210"/>
      <c r="K1009" s="210"/>
      <c r="L1009" s="210"/>
      <c r="M1009" s="210"/>
      <c r="N1009" s="210"/>
      <c r="O1009" s="210"/>
      <c r="P1009" s="210"/>
      <c r="Q1009" s="210"/>
      <c r="R1009" s="210"/>
      <c r="S1009" s="210"/>
      <c r="T1009" s="210"/>
      <c r="U1009" s="210"/>
      <c r="V1009" s="210"/>
      <c r="W1009" s="210"/>
      <c r="X1009" s="210"/>
      <c r="Y1009" s="210"/>
      <c r="Z1009" s="210"/>
    </row>
    <row r="1010" ht="21.75" customHeight="1">
      <c r="A1010" s="214">
        <v>227.0</v>
      </c>
      <c r="B1010" s="215" t="s">
        <v>1442</v>
      </c>
      <c r="C1010" s="216"/>
      <c r="D1010" s="217"/>
      <c r="E1010" s="217"/>
      <c r="F1010" s="217"/>
      <c r="G1010" s="217"/>
      <c r="H1010" s="217"/>
      <c r="I1010" s="208"/>
      <c r="J1010" s="210"/>
      <c r="K1010" s="210"/>
      <c r="L1010" s="210"/>
      <c r="M1010" s="210"/>
      <c r="N1010" s="210"/>
      <c r="O1010" s="210"/>
      <c r="P1010" s="210"/>
      <c r="Q1010" s="210"/>
      <c r="R1010" s="210"/>
      <c r="S1010" s="210"/>
      <c r="T1010" s="210"/>
      <c r="U1010" s="210"/>
      <c r="V1010" s="210"/>
      <c r="W1010" s="210"/>
      <c r="X1010" s="210"/>
      <c r="Y1010" s="210"/>
      <c r="Z1010" s="210"/>
    </row>
    <row r="1011" ht="21.75" customHeight="1">
      <c r="A1011" s="214"/>
      <c r="B1011" s="218" t="s">
        <v>1443</v>
      </c>
      <c r="C1011" s="219">
        <v>50724.0</v>
      </c>
      <c r="D1011" s="220"/>
      <c r="E1011" s="220"/>
      <c r="F1011" s="220"/>
      <c r="G1011" s="220"/>
      <c r="H1011" s="220"/>
      <c r="I1011" s="208"/>
      <c r="J1011" s="210"/>
      <c r="K1011" s="210"/>
      <c r="L1011" s="210"/>
      <c r="M1011" s="210"/>
      <c r="N1011" s="210"/>
      <c r="O1011" s="210"/>
      <c r="P1011" s="210"/>
      <c r="Q1011" s="210"/>
      <c r="R1011" s="210"/>
      <c r="S1011" s="210"/>
      <c r="T1011" s="210"/>
      <c r="U1011" s="210"/>
      <c r="V1011" s="210"/>
      <c r="W1011" s="210"/>
      <c r="X1011" s="210"/>
      <c r="Y1011" s="210"/>
      <c r="Z1011" s="210"/>
    </row>
    <row r="1012" ht="21.75" customHeight="1">
      <c r="A1012" s="214"/>
      <c r="B1012" s="221"/>
      <c r="C1012" s="222">
        <v>100.0</v>
      </c>
      <c r="D1012" s="223" t="s">
        <v>486</v>
      </c>
      <c r="E1012" s="223" t="s">
        <v>487</v>
      </c>
      <c r="F1012" s="223" t="s">
        <v>488</v>
      </c>
      <c r="G1012" s="223" t="s">
        <v>489</v>
      </c>
      <c r="H1012" s="224" t="s">
        <v>490</v>
      </c>
      <c r="I1012" s="208"/>
      <c r="J1012" s="210"/>
      <c r="K1012" s="210"/>
      <c r="L1012" s="210"/>
      <c r="M1012" s="210"/>
      <c r="N1012" s="210"/>
      <c r="O1012" s="210"/>
      <c r="P1012" s="210"/>
      <c r="Q1012" s="210"/>
      <c r="R1012" s="210"/>
      <c r="S1012" s="210"/>
      <c r="T1012" s="210"/>
      <c r="U1012" s="210"/>
      <c r="V1012" s="210"/>
      <c r="W1012" s="210"/>
      <c r="X1012" s="210"/>
      <c r="Y1012" s="210"/>
      <c r="Z1012" s="210"/>
    </row>
    <row r="1013" ht="21.75" customHeight="1">
      <c r="A1013" s="214"/>
      <c r="B1013" s="221"/>
      <c r="C1013" s="222">
        <v>101.0</v>
      </c>
      <c r="D1013" s="223" t="s">
        <v>491</v>
      </c>
      <c r="E1013" s="223" t="s">
        <v>487</v>
      </c>
      <c r="F1013" s="223" t="s">
        <v>492</v>
      </c>
      <c r="G1013" s="223" t="s">
        <v>678</v>
      </c>
      <c r="H1013" s="225" t="s">
        <v>1444</v>
      </c>
      <c r="I1013" s="208"/>
      <c r="J1013" s="210"/>
      <c r="K1013" s="210"/>
      <c r="L1013" s="210"/>
      <c r="M1013" s="210"/>
      <c r="N1013" s="210"/>
      <c r="O1013" s="210"/>
      <c r="P1013" s="210"/>
      <c r="Q1013" s="210"/>
      <c r="R1013" s="210"/>
      <c r="S1013" s="210"/>
      <c r="T1013" s="210"/>
      <c r="U1013" s="210"/>
      <c r="V1013" s="210"/>
      <c r="W1013" s="210"/>
      <c r="X1013" s="210"/>
      <c r="Y1013" s="210"/>
      <c r="Z1013" s="210"/>
    </row>
    <row r="1014" ht="21.75" customHeight="1">
      <c r="A1014" s="214"/>
      <c r="B1014" s="221"/>
      <c r="C1014" s="222">
        <v>102.0</v>
      </c>
      <c r="D1014" s="223" t="s">
        <v>516</v>
      </c>
      <c r="E1014" s="223" t="s">
        <v>487</v>
      </c>
      <c r="F1014" s="223" t="s">
        <v>496</v>
      </c>
      <c r="G1014" s="223" t="s">
        <v>497</v>
      </c>
      <c r="H1014" s="225" t="s">
        <v>1445</v>
      </c>
      <c r="I1014" s="208"/>
      <c r="J1014" s="210"/>
      <c r="K1014" s="210"/>
      <c r="L1014" s="210"/>
      <c r="M1014" s="210"/>
      <c r="N1014" s="210"/>
      <c r="O1014" s="210"/>
      <c r="P1014" s="210"/>
      <c r="Q1014" s="210"/>
      <c r="R1014" s="210"/>
      <c r="S1014" s="210"/>
      <c r="T1014" s="210"/>
      <c r="U1014" s="210"/>
      <c r="V1014" s="210"/>
      <c r="W1014" s="210"/>
      <c r="X1014" s="210"/>
      <c r="Y1014" s="210"/>
      <c r="Z1014" s="210"/>
    </row>
    <row r="1015" ht="21.75" customHeight="1">
      <c r="A1015" s="214"/>
      <c r="B1015" s="221"/>
      <c r="C1015" s="222">
        <v>103.0</v>
      </c>
      <c r="D1015" s="223" t="s">
        <v>408</v>
      </c>
      <c r="E1015" s="223" t="s">
        <v>487</v>
      </c>
      <c r="F1015" s="223" t="s">
        <v>500</v>
      </c>
      <c r="G1015" s="223" t="s">
        <v>501</v>
      </c>
      <c r="H1015" s="224" t="s">
        <v>490</v>
      </c>
      <c r="I1015" s="208"/>
      <c r="J1015" s="210"/>
      <c r="K1015" s="210"/>
      <c r="L1015" s="210"/>
      <c r="M1015" s="210"/>
      <c r="N1015" s="210"/>
      <c r="O1015" s="210"/>
      <c r="P1015" s="210"/>
      <c r="Q1015" s="210"/>
      <c r="R1015" s="210"/>
      <c r="S1015" s="210"/>
      <c r="T1015" s="210"/>
      <c r="U1015" s="210"/>
      <c r="V1015" s="210"/>
      <c r="W1015" s="210"/>
      <c r="X1015" s="210"/>
      <c r="Y1015" s="210"/>
      <c r="Z1015" s="210"/>
    </row>
    <row r="1016" ht="21.75" customHeight="1">
      <c r="A1016" s="228"/>
      <c r="B1016" s="221"/>
      <c r="C1016" s="222">
        <v>104.0</v>
      </c>
      <c r="D1016" s="223" t="s">
        <v>507</v>
      </c>
      <c r="E1016" s="223" t="s">
        <v>508</v>
      </c>
      <c r="F1016" s="223" t="s">
        <v>509</v>
      </c>
      <c r="G1016" s="223" t="s">
        <v>510</v>
      </c>
      <c r="H1016" s="225" t="s">
        <v>879</v>
      </c>
      <c r="I1016" s="208"/>
      <c r="J1016" s="210"/>
      <c r="K1016" s="210"/>
      <c r="L1016" s="210"/>
      <c r="M1016" s="210"/>
      <c r="N1016" s="210"/>
      <c r="O1016" s="210"/>
      <c r="P1016" s="210"/>
      <c r="Q1016" s="210"/>
      <c r="R1016" s="210"/>
      <c r="S1016" s="210"/>
      <c r="T1016" s="210"/>
      <c r="U1016" s="210"/>
      <c r="V1016" s="210"/>
      <c r="W1016" s="210"/>
      <c r="X1016" s="210"/>
      <c r="Y1016" s="210"/>
      <c r="Z1016" s="210"/>
    </row>
    <row r="1017" ht="21.75" customHeight="1">
      <c r="A1017" s="214">
        <v>229.0</v>
      </c>
      <c r="B1017" s="215" t="s">
        <v>1446</v>
      </c>
      <c r="C1017" s="216"/>
      <c r="D1017" s="217"/>
      <c r="E1017" s="217"/>
      <c r="F1017" s="217"/>
      <c r="G1017" s="217"/>
      <c r="H1017" s="217"/>
      <c r="I1017" s="208"/>
      <c r="J1017" s="210"/>
      <c r="K1017" s="210"/>
      <c r="L1017" s="210"/>
      <c r="M1017" s="210"/>
      <c r="N1017" s="210"/>
      <c r="O1017" s="210"/>
      <c r="P1017" s="210"/>
      <c r="Q1017" s="210"/>
      <c r="R1017" s="210"/>
      <c r="S1017" s="210"/>
      <c r="T1017" s="210"/>
      <c r="U1017" s="210"/>
      <c r="V1017" s="210"/>
      <c r="W1017" s="210"/>
      <c r="X1017" s="210"/>
      <c r="Y1017" s="210"/>
      <c r="Z1017" s="210"/>
    </row>
    <row r="1018" ht="21.75" customHeight="1">
      <c r="A1018" s="214"/>
      <c r="B1018" s="218" t="s">
        <v>1447</v>
      </c>
      <c r="C1018" s="219">
        <v>50731.0</v>
      </c>
      <c r="D1018" s="220"/>
      <c r="E1018" s="220"/>
      <c r="F1018" s="220"/>
      <c r="G1018" s="220"/>
      <c r="H1018" s="220"/>
      <c r="I1018" s="208"/>
      <c r="J1018" s="210"/>
      <c r="K1018" s="210"/>
      <c r="L1018" s="210"/>
      <c r="M1018" s="210"/>
      <c r="N1018" s="210"/>
      <c r="O1018" s="210"/>
      <c r="P1018" s="210"/>
      <c r="Q1018" s="210"/>
      <c r="R1018" s="210"/>
      <c r="S1018" s="210"/>
      <c r="T1018" s="210"/>
      <c r="U1018" s="210"/>
      <c r="V1018" s="210"/>
      <c r="W1018" s="210"/>
      <c r="X1018" s="210"/>
      <c r="Y1018" s="210"/>
      <c r="Z1018" s="210"/>
    </row>
    <row r="1019" ht="21.75" customHeight="1">
      <c r="A1019" s="214"/>
      <c r="B1019" s="221"/>
      <c r="C1019" s="222">
        <v>100.0</v>
      </c>
      <c r="D1019" s="223" t="s">
        <v>486</v>
      </c>
      <c r="E1019" s="223" t="s">
        <v>487</v>
      </c>
      <c r="F1019" s="223" t="s">
        <v>488</v>
      </c>
      <c r="G1019" s="223" t="s">
        <v>489</v>
      </c>
      <c r="H1019" s="224" t="s">
        <v>490</v>
      </c>
      <c r="I1019" s="208"/>
      <c r="J1019" s="210"/>
      <c r="K1019" s="210"/>
      <c r="L1019" s="210"/>
      <c r="M1019" s="210"/>
      <c r="N1019" s="210"/>
      <c r="O1019" s="210"/>
      <c r="P1019" s="210"/>
      <c r="Q1019" s="210"/>
      <c r="R1019" s="210"/>
      <c r="S1019" s="210"/>
      <c r="T1019" s="210"/>
      <c r="U1019" s="210"/>
      <c r="V1019" s="210"/>
      <c r="W1019" s="210"/>
      <c r="X1019" s="210"/>
      <c r="Y1019" s="210"/>
      <c r="Z1019" s="210"/>
    </row>
    <row r="1020" ht="21.75" customHeight="1">
      <c r="A1020" s="214"/>
      <c r="B1020" s="221"/>
      <c r="C1020" s="222">
        <v>101.0</v>
      </c>
      <c r="D1020" s="223" t="s">
        <v>491</v>
      </c>
      <c r="E1020" s="223" t="s">
        <v>487</v>
      </c>
      <c r="F1020" s="223" t="s">
        <v>492</v>
      </c>
      <c r="G1020" s="223" t="s">
        <v>678</v>
      </c>
      <c r="H1020" s="225" t="s">
        <v>1448</v>
      </c>
      <c r="I1020" s="208"/>
      <c r="J1020" s="210"/>
      <c r="K1020" s="210"/>
      <c r="L1020" s="210"/>
      <c r="M1020" s="210"/>
      <c r="N1020" s="210"/>
      <c r="O1020" s="210"/>
      <c r="P1020" s="210"/>
      <c r="Q1020" s="210"/>
      <c r="R1020" s="210"/>
      <c r="S1020" s="210"/>
      <c r="T1020" s="210"/>
      <c r="U1020" s="210"/>
      <c r="V1020" s="210"/>
      <c r="W1020" s="210"/>
      <c r="X1020" s="210"/>
      <c r="Y1020" s="210"/>
      <c r="Z1020" s="210"/>
    </row>
    <row r="1021" ht="21.75" customHeight="1">
      <c r="A1021" s="214"/>
      <c r="B1021" s="221"/>
      <c r="C1021" s="222">
        <v>102.0</v>
      </c>
      <c r="D1021" s="223" t="s">
        <v>516</v>
      </c>
      <c r="E1021" s="223" t="s">
        <v>487</v>
      </c>
      <c r="F1021" s="223" t="s">
        <v>496</v>
      </c>
      <c r="G1021" s="223" t="s">
        <v>493</v>
      </c>
      <c r="H1021" s="225" t="s">
        <v>1449</v>
      </c>
      <c r="I1021" s="208"/>
      <c r="J1021" s="210"/>
      <c r="K1021" s="210"/>
      <c r="L1021" s="210"/>
      <c r="M1021" s="210"/>
      <c r="N1021" s="210"/>
      <c r="O1021" s="210"/>
      <c r="P1021" s="210"/>
      <c r="Q1021" s="210"/>
      <c r="R1021" s="210"/>
      <c r="S1021" s="210"/>
      <c r="T1021" s="210"/>
      <c r="U1021" s="210"/>
      <c r="V1021" s="210"/>
      <c r="W1021" s="210"/>
      <c r="X1021" s="210"/>
      <c r="Y1021" s="210"/>
      <c r="Z1021" s="210"/>
    </row>
    <row r="1022" ht="21.75" customHeight="1">
      <c r="A1022" s="214"/>
      <c r="B1022" s="221"/>
      <c r="C1022" s="222">
        <v>103.0</v>
      </c>
      <c r="D1022" s="223" t="s">
        <v>408</v>
      </c>
      <c r="E1022" s="223" t="s">
        <v>487</v>
      </c>
      <c r="F1022" s="223" t="s">
        <v>500</v>
      </c>
      <c r="G1022" s="223" t="s">
        <v>497</v>
      </c>
      <c r="H1022" s="225" t="s">
        <v>1450</v>
      </c>
      <c r="I1022" s="208"/>
      <c r="J1022" s="210"/>
      <c r="K1022" s="210"/>
      <c r="L1022" s="210"/>
      <c r="M1022" s="210"/>
      <c r="N1022" s="210"/>
      <c r="O1022" s="210"/>
      <c r="P1022" s="210"/>
      <c r="Q1022" s="210"/>
      <c r="R1022" s="210"/>
      <c r="S1022" s="210"/>
      <c r="T1022" s="210"/>
      <c r="U1022" s="210"/>
      <c r="V1022" s="210"/>
      <c r="W1022" s="210"/>
      <c r="X1022" s="210"/>
      <c r="Y1022" s="210"/>
      <c r="Z1022" s="210"/>
    </row>
    <row r="1023" ht="21.75" customHeight="1">
      <c r="A1023" s="214"/>
      <c r="B1023" s="221"/>
      <c r="C1023" s="222">
        <v>104.0</v>
      </c>
      <c r="D1023" s="223" t="s">
        <v>1451</v>
      </c>
      <c r="E1023" s="223" t="s">
        <v>487</v>
      </c>
      <c r="F1023" s="223" t="s">
        <v>512</v>
      </c>
      <c r="G1023" s="223" t="s">
        <v>501</v>
      </c>
      <c r="H1023" s="225" t="s">
        <v>1452</v>
      </c>
      <c r="I1023" s="208"/>
      <c r="J1023" s="210"/>
      <c r="K1023" s="210"/>
      <c r="L1023" s="210"/>
      <c r="M1023" s="210"/>
      <c r="N1023" s="210"/>
      <c r="O1023" s="210"/>
      <c r="P1023" s="210"/>
      <c r="Q1023" s="210"/>
      <c r="R1023" s="210"/>
      <c r="S1023" s="210"/>
      <c r="T1023" s="210"/>
      <c r="U1023" s="210"/>
      <c r="V1023" s="210"/>
      <c r="W1023" s="210"/>
      <c r="X1023" s="210"/>
      <c r="Y1023" s="210"/>
      <c r="Z1023" s="210"/>
    </row>
    <row r="1024" ht="21.75" customHeight="1">
      <c r="A1024" s="228"/>
      <c r="B1024" s="221"/>
      <c r="C1024" s="222">
        <v>105.0</v>
      </c>
      <c r="D1024" s="223" t="s">
        <v>519</v>
      </c>
      <c r="E1024" s="223" t="s">
        <v>508</v>
      </c>
      <c r="F1024" s="223" t="s">
        <v>509</v>
      </c>
      <c r="G1024" s="223" t="s">
        <v>510</v>
      </c>
      <c r="H1024" s="225" t="s">
        <v>1453</v>
      </c>
      <c r="I1024" s="208"/>
      <c r="J1024" s="210"/>
      <c r="K1024" s="210"/>
      <c r="L1024" s="210"/>
      <c r="M1024" s="210"/>
      <c r="N1024" s="210"/>
      <c r="O1024" s="210"/>
      <c r="P1024" s="210"/>
      <c r="Q1024" s="210"/>
      <c r="R1024" s="210"/>
      <c r="S1024" s="210"/>
      <c r="T1024" s="210"/>
      <c r="U1024" s="210"/>
      <c r="V1024" s="210"/>
      <c r="W1024" s="210"/>
      <c r="X1024" s="210"/>
      <c r="Y1024" s="210"/>
      <c r="Z1024" s="210"/>
    </row>
    <row r="1025" ht="21.75" customHeight="1">
      <c r="A1025" s="214">
        <v>235.0</v>
      </c>
      <c r="B1025" s="215" t="s">
        <v>1454</v>
      </c>
      <c r="C1025" s="216"/>
      <c r="D1025" s="217"/>
      <c r="E1025" s="217"/>
      <c r="F1025" s="217"/>
      <c r="G1025" s="217"/>
      <c r="H1025" s="217"/>
      <c r="I1025" s="208"/>
      <c r="J1025" s="210"/>
      <c r="K1025" s="210"/>
      <c r="L1025" s="210"/>
      <c r="M1025" s="210"/>
      <c r="N1025" s="210"/>
      <c r="O1025" s="210"/>
      <c r="P1025" s="210"/>
      <c r="Q1025" s="210"/>
      <c r="R1025" s="210"/>
      <c r="S1025" s="210"/>
      <c r="T1025" s="210"/>
      <c r="U1025" s="210"/>
      <c r="V1025" s="210"/>
      <c r="W1025" s="210"/>
      <c r="X1025" s="210"/>
      <c r="Y1025" s="210"/>
      <c r="Z1025" s="210"/>
    </row>
    <row r="1026" ht="21.75" customHeight="1">
      <c r="A1026" s="214"/>
      <c r="B1026" s="218" t="s">
        <v>1455</v>
      </c>
      <c r="C1026" s="219">
        <v>50696.0</v>
      </c>
      <c r="D1026" s="220"/>
      <c r="E1026" s="220"/>
      <c r="F1026" s="220"/>
      <c r="G1026" s="220"/>
      <c r="H1026" s="220"/>
      <c r="I1026" s="208"/>
      <c r="J1026" s="210"/>
      <c r="K1026" s="210"/>
      <c r="L1026" s="210"/>
      <c r="M1026" s="210"/>
      <c r="N1026" s="210"/>
      <c r="O1026" s="210"/>
      <c r="P1026" s="210"/>
      <c r="Q1026" s="210"/>
      <c r="R1026" s="210"/>
      <c r="S1026" s="210"/>
      <c r="T1026" s="210"/>
      <c r="U1026" s="210"/>
      <c r="V1026" s="210"/>
      <c r="W1026" s="210"/>
      <c r="X1026" s="210"/>
      <c r="Y1026" s="210"/>
      <c r="Z1026" s="210"/>
    </row>
    <row r="1027" ht="21.75" customHeight="1">
      <c r="A1027" s="214"/>
      <c r="B1027" s="221"/>
      <c r="C1027" s="222">
        <v>100.0</v>
      </c>
      <c r="D1027" s="223" t="s">
        <v>486</v>
      </c>
      <c r="E1027" s="223" t="s">
        <v>487</v>
      </c>
      <c r="F1027" s="223" t="s">
        <v>488</v>
      </c>
      <c r="G1027" s="223" t="s">
        <v>489</v>
      </c>
      <c r="H1027" s="224" t="s">
        <v>490</v>
      </c>
      <c r="I1027" s="208"/>
      <c r="J1027" s="210"/>
      <c r="K1027" s="210"/>
      <c r="L1027" s="210"/>
      <c r="M1027" s="210"/>
      <c r="N1027" s="210"/>
      <c r="O1027" s="210"/>
      <c r="P1027" s="210"/>
      <c r="Q1027" s="210"/>
      <c r="R1027" s="210"/>
      <c r="S1027" s="210"/>
      <c r="T1027" s="210"/>
      <c r="U1027" s="210"/>
      <c r="V1027" s="210"/>
      <c r="W1027" s="210"/>
      <c r="X1027" s="210"/>
      <c r="Y1027" s="210"/>
      <c r="Z1027" s="210"/>
    </row>
    <row r="1028" ht="21.75" customHeight="1">
      <c r="A1028" s="214"/>
      <c r="B1028" s="221"/>
      <c r="C1028" s="222">
        <v>101.0</v>
      </c>
      <c r="D1028" s="223" t="s">
        <v>491</v>
      </c>
      <c r="E1028" s="223" t="s">
        <v>487</v>
      </c>
      <c r="F1028" s="223" t="s">
        <v>492</v>
      </c>
      <c r="G1028" s="223" t="s">
        <v>678</v>
      </c>
      <c r="H1028" s="225" t="s">
        <v>1456</v>
      </c>
      <c r="I1028" s="208"/>
      <c r="J1028" s="210"/>
      <c r="K1028" s="210"/>
      <c r="L1028" s="210"/>
      <c r="M1028" s="210"/>
      <c r="N1028" s="210"/>
      <c r="O1028" s="210"/>
      <c r="P1028" s="210"/>
      <c r="Q1028" s="210"/>
      <c r="R1028" s="210"/>
      <c r="S1028" s="210"/>
      <c r="T1028" s="210"/>
      <c r="U1028" s="210"/>
      <c r="V1028" s="210"/>
      <c r="W1028" s="210"/>
      <c r="X1028" s="210"/>
      <c r="Y1028" s="210"/>
      <c r="Z1028" s="210"/>
    </row>
    <row r="1029" ht="21.75" customHeight="1">
      <c r="A1029" s="214"/>
      <c r="B1029" s="221"/>
      <c r="C1029" s="222">
        <v>102.0</v>
      </c>
      <c r="D1029" s="223" t="s">
        <v>1457</v>
      </c>
      <c r="E1029" s="223" t="s">
        <v>487</v>
      </c>
      <c r="F1029" s="223" t="s">
        <v>496</v>
      </c>
      <c r="G1029" s="223" t="s">
        <v>497</v>
      </c>
      <c r="H1029" s="224" t="s">
        <v>490</v>
      </c>
      <c r="I1029" s="208"/>
      <c r="J1029" s="210"/>
      <c r="K1029" s="210"/>
      <c r="L1029" s="210"/>
      <c r="M1029" s="210"/>
      <c r="N1029" s="210"/>
      <c r="O1029" s="210"/>
      <c r="P1029" s="210"/>
      <c r="Q1029" s="210"/>
      <c r="R1029" s="210"/>
      <c r="S1029" s="210"/>
      <c r="T1029" s="210"/>
      <c r="U1029" s="210"/>
      <c r="V1029" s="210"/>
      <c r="W1029" s="210"/>
      <c r="X1029" s="210"/>
      <c r="Y1029" s="210"/>
      <c r="Z1029" s="210"/>
    </row>
    <row r="1030" ht="21.75" customHeight="1">
      <c r="A1030" s="228"/>
      <c r="B1030" s="221"/>
      <c r="C1030" s="222">
        <v>103.0</v>
      </c>
      <c r="D1030" s="223" t="s">
        <v>507</v>
      </c>
      <c r="E1030" s="223" t="s">
        <v>508</v>
      </c>
      <c r="F1030" s="223" t="s">
        <v>509</v>
      </c>
      <c r="G1030" s="223" t="s">
        <v>510</v>
      </c>
      <c r="H1030" s="225" t="s">
        <v>879</v>
      </c>
      <c r="I1030" s="208"/>
      <c r="J1030" s="210"/>
      <c r="K1030" s="210"/>
      <c r="L1030" s="210"/>
      <c r="M1030" s="210"/>
      <c r="N1030" s="210"/>
      <c r="O1030" s="210"/>
      <c r="P1030" s="210"/>
      <c r="Q1030" s="210"/>
      <c r="R1030" s="210"/>
      <c r="S1030" s="210"/>
      <c r="T1030" s="210"/>
      <c r="U1030" s="210"/>
      <c r="V1030" s="210"/>
      <c r="W1030" s="210"/>
      <c r="X1030" s="210"/>
      <c r="Y1030" s="210"/>
      <c r="Z1030" s="210"/>
    </row>
    <row r="1031" ht="21.75" customHeight="1">
      <c r="A1031" s="214">
        <v>237.0</v>
      </c>
      <c r="B1031" s="215" t="s">
        <v>1458</v>
      </c>
      <c r="C1031" s="216"/>
      <c r="D1031" s="217"/>
      <c r="E1031" s="217"/>
      <c r="F1031" s="217"/>
      <c r="G1031" s="217"/>
      <c r="H1031" s="217"/>
      <c r="I1031" s="208"/>
      <c r="J1031" s="210"/>
      <c r="K1031" s="210"/>
      <c r="L1031" s="210"/>
      <c r="M1031" s="210"/>
      <c r="N1031" s="210"/>
      <c r="O1031" s="210"/>
      <c r="P1031" s="210"/>
      <c r="Q1031" s="210"/>
      <c r="R1031" s="210"/>
      <c r="S1031" s="210"/>
      <c r="T1031" s="210"/>
      <c r="U1031" s="210"/>
      <c r="V1031" s="210"/>
      <c r="W1031" s="210"/>
      <c r="X1031" s="210"/>
      <c r="Y1031" s="210"/>
      <c r="Z1031" s="210"/>
    </row>
    <row r="1032" ht="21.75" customHeight="1">
      <c r="A1032" s="214"/>
      <c r="B1032" s="218" t="s">
        <v>1459</v>
      </c>
      <c r="C1032" s="219">
        <v>50766.0</v>
      </c>
      <c r="D1032" s="220"/>
      <c r="E1032" s="220"/>
      <c r="F1032" s="220"/>
      <c r="G1032" s="220"/>
      <c r="H1032" s="220"/>
      <c r="I1032" s="208"/>
      <c r="J1032" s="210"/>
      <c r="K1032" s="210"/>
      <c r="L1032" s="210"/>
      <c r="M1032" s="210"/>
      <c r="N1032" s="210"/>
      <c r="O1032" s="210"/>
      <c r="P1032" s="210"/>
      <c r="Q1032" s="210"/>
      <c r="R1032" s="210"/>
      <c r="S1032" s="210"/>
      <c r="T1032" s="210"/>
      <c r="U1032" s="210"/>
      <c r="V1032" s="210"/>
      <c r="W1032" s="210"/>
      <c r="X1032" s="210"/>
      <c r="Y1032" s="210"/>
      <c r="Z1032" s="210"/>
    </row>
    <row r="1033" ht="21.75" customHeight="1">
      <c r="A1033" s="214"/>
      <c r="B1033" s="221"/>
      <c r="C1033" s="222">
        <v>100.0</v>
      </c>
      <c r="D1033" s="223" t="s">
        <v>486</v>
      </c>
      <c r="E1033" s="223" t="s">
        <v>487</v>
      </c>
      <c r="F1033" s="223" t="s">
        <v>488</v>
      </c>
      <c r="G1033" s="223" t="s">
        <v>489</v>
      </c>
      <c r="H1033" s="224" t="s">
        <v>490</v>
      </c>
      <c r="I1033" s="208"/>
      <c r="J1033" s="210"/>
      <c r="K1033" s="210"/>
      <c r="L1033" s="210"/>
      <c r="M1033" s="210"/>
      <c r="N1033" s="210"/>
      <c r="O1033" s="210"/>
      <c r="P1033" s="210"/>
      <c r="Q1033" s="210"/>
      <c r="R1033" s="210"/>
      <c r="S1033" s="210"/>
      <c r="T1033" s="210"/>
      <c r="U1033" s="210"/>
      <c r="V1033" s="210"/>
      <c r="W1033" s="210"/>
      <c r="X1033" s="210"/>
      <c r="Y1033" s="210"/>
      <c r="Z1033" s="210"/>
    </row>
    <row r="1034" ht="21.75" customHeight="1">
      <c r="A1034" s="214"/>
      <c r="B1034" s="221"/>
      <c r="C1034" s="222">
        <v>101.0</v>
      </c>
      <c r="D1034" s="223" t="s">
        <v>491</v>
      </c>
      <c r="E1034" s="223" t="s">
        <v>487</v>
      </c>
      <c r="F1034" s="223" t="s">
        <v>492</v>
      </c>
      <c r="G1034" s="223" t="s">
        <v>678</v>
      </c>
      <c r="H1034" s="225" t="s">
        <v>1460</v>
      </c>
      <c r="I1034" s="208"/>
      <c r="J1034" s="210"/>
      <c r="K1034" s="210"/>
      <c r="L1034" s="210"/>
      <c r="M1034" s="210"/>
      <c r="N1034" s="210"/>
      <c r="O1034" s="210"/>
      <c r="P1034" s="210"/>
      <c r="Q1034" s="210"/>
      <c r="R1034" s="210"/>
      <c r="S1034" s="210"/>
      <c r="T1034" s="210"/>
      <c r="U1034" s="210"/>
      <c r="V1034" s="210"/>
      <c r="W1034" s="210"/>
      <c r="X1034" s="210"/>
      <c r="Y1034" s="210"/>
      <c r="Z1034" s="210"/>
    </row>
    <row r="1035" ht="21.75" customHeight="1">
      <c r="A1035" s="214"/>
      <c r="B1035" s="221"/>
      <c r="C1035" s="222">
        <v>102.0</v>
      </c>
      <c r="D1035" s="223" t="s">
        <v>749</v>
      </c>
      <c r="E1035" s="223" t="s">
        <v>487</v>
      </c>
      <c r="F1035" s="223" t="s">
        <v>496</v>
      </c>
      <c r="G1035" s="223" t="s">
        <v>497</v>
      </c>
      <c r="H1035" s="224" t="s">
        <v>490</v>
      </c>
      <c r="I1035" s="208"/>
      <c r="J1035" s="210"/>
      <c r="K1035" s="210"/>
      <c r="L1035" s="210"/>
      <c r="M1035" s="210"/>
      <c r="N1035" s="210"/>
      <c r="O1035" s="210"/>
      <c r="P1035" s="210"/>
      <c r="Q1035" s="210"/>
      <c r="R1035" s="210"/>
      <c r="S1035" s="210"/>
      <c r="T1035" s="210"/>
      <c r="U1035" s="210"/>
      <c r="V1035" s="210"/>
      <c r="W1035" s="210"/>
      <c r="X1035" s="210"/>
      <c r="Y1035" s="210"/>
      <c r="Z1035" s="210"/>
    </row>
    <row r="1036" ht="21.75" customHeight="1">
      <c r="A1036" s="214"/>
      <c r="B1036" s="221"/>
      <c r="C1036" s="222">
        <v>103.0</v>
      </c>
      <c r="D1036" s="223" t="s">
        <v>750</v>
      </c>
      <c r="E1036" s="223" t="s">
        <v>487</v>
      </c>
      <c r="F1036" s="223" t="s">
        <v>500</v>
      </c>
      <c r="G1036" s="223" t="s">
        <v>501</v>
      </c>
      <c r="H1036" s="224" t="s">
        <v>490</v>
      </c>
      <c r="I1036" s="208"/>
      <c r="J1036" s="210"/>
      <c r="K1036" s="210"/>
      <c r="L1036" s="210"/>
      <c r="M1036" s="210"/>
      <c r="N1036" s="210"/>
      <c r="O1036" s="210"/>
      <c r="P1036" s="210"/>
      <c r="Q1036" s="210"/>
      <c r="R1036" s="210"/>
      <c r="S1036" s="210"/>
      <c r="T1036" s="210"/>
      <c r="U1036" s="210"/>
      <c r="V1036" s="210"/>
      <c r="W1036" s="210"/>
      <c r="X1036" s="210"/>
      <c r="Y1036" s="210"/>
      <c r="Z1036" s="210"/>
    </row>
    <row r="1037" ht="21.75" customHeight="1">
      <c r="A1037" s="228"/>
      <c r="B1037" s="221"/>
      <c r="C1037" s="222">
        <v>104.0</v>
      </c>
      <c r="D1037" s="223" t="s">
        <v>904</v>
      </c>
      <c r="E1037" s="223" t="s">
        <v>508</v>
      </c>
      <c r="F1037" s="223" t="s">
        <v>509</v>
      </c>
      <c r="G1037" s="223" t="s">
        <v>510</v>
      </c>
      <c r="H1037" s="225" t="s">
        <v>1461</v>
      </c>
      <c r="I1037" s="208"/>
      <c r="J1037" s="210"/>
      <c r="K1037" s="210"/>
      <c r="L1037" s="210"/>
      <c r="M1037" s="210"/>
      <c r="N1037" s="210"/>
      <c r="O1037" s="210"/>
      <c r="P1037" s="210"/>
      <c r="Q1037" s="210"/>
      <c r="R1037" s="210"/>
      <c r="S1037" s="210"/>
      <c r="T1037" s="210"/>
      <c r="U1037" s="210"/>
      <c r="V1037" s="210"/>
      <c r="W1037" s="210"/>
      <c r="X1037" s="210"/>
      <c r="Y1037" s="210"/>
      <c r="Z1037" s="210"/>
    </row>
    <row r="1038" ht="21.75" customHeight="1">
      <c r="A1038" s="214">
        <v>240.0</v>
      </c>
      <c r="B1038" s="215" t="s">
        <v>1462</v>
      </c>
      <c r="C1038" s="216"/>
      <c r="D1038" s="217"/>
      <c r="E1038" s="217"/>
      <c r="F1038" s="217"/>
      <c r="G1038" s="217"/>
      <c r="H1038" s="217"/>
      <c r="I1038" s="208"/>
      <c r="J1038" s="210"/>
      <c r="K1038" s="210"/>
      <c r="L1038" s="210"/>
      <c r="M1038" s="210"/>
      <c r="N1038" s="210"/>
      <c r="O1038" s="210"/>
      <c r="P1038" s="210"/>
      <c r="Q1038" s="210"/>
      <c r="R1038" s="210"/>
      <c r="S1038" s="210"/>
      <c r="T1038" s="210"/>
      <c r="U1038" s="210"/>
      <c r="V1038" s="210"/>
      <c r="W1038" s="210"/>
      <c r="X1038" s="210"/>
      <c r="Y1038" s="210"/>
      <c r="Z1038" s="210"/>
    </row>
    <row r="1039" ht="21.75" customHeight="1">
      <c r="A1039" s="214"/>
      <c r="B1039" s="218" t="s">
        <v>1463</v>
      </c>
      <c r="C1039" s="219">
        <v>50795.0</v>
      </c>
      <c r="D1039" s="220"/>
      <c r="E1039" s="220"/>
      <c r="F1039" s="220"/>
      <c r="G1039" s="220"/>
      <c r="H1039" s="220"/>
      <c r="I1039" s="208"/>
      <c r="J1039" s="210"/>
      <c r="K1039" s="210"/>
      <c r="L1039" s="210"/>
      <c r="M1039" s="210"/>
      <c r="N1039" s="210"/>
      <c r="O1039" s="210"/>
      <c r="P1039" s="210"/>
      <c r="Q1039" s="210"/>
      <c r="R1039" s="210"/>
      <c r="S1039" s="210"/>
      <c r="T1039" s="210"/>
      <c r="U1039" s="210"/>
      <c r="V1039" s="210"/>
      <c r="W1039" s="210"/>
      <c r="X1039" s="210"/>
      <c r="Y1039" s="210"/>
      <c r="Z1039" s="210"/>
    </row>
    <row r="1040" ht="21.75" customHeight="1">
      <c r="A1040" s="214"/>
      <c r="B1040" s="221"/>
      <c r="C1040" s="222">
        <v>100.0</v>
      </c>
      <c r="D1040" s="223" t="s">
        <v>486</v>
      </c>
      <c r="E1040" s="223" t="s">
        <v>487</v>
      </c>
      <c r="F1040" s="223" t="s">
        <v>488</v>
      </c>
      <c r="G1040" s="223" t="s">
        <v>489</v>
      </c>
      <c r="H1040" s="224" t="s">
        <v>490</v>
      </c>
      <c r="I1040" s="208"/>
      <c r="J1040" s="210"/>
      <c r="K1040" s="210"/>
      <c r="L1040" s="210"/>
      <c r="M1040" s="210"/>
      <c r="N1040" s="210"/>
      <c r="O1040" s="210"/>
      <c r="P1040" s="210"/>
      <c r="Q1040" s="210"/>
      <c r="R1040" s="210"/>
      <c r="S1040" s="210"/>
      <c r="T1040" s="210"/>
      <c r="U1040" s="210"/>
      <c r="V1040" s="210"/>
      <c r="W1040" s="210"/>
      <c r="X1040" s="210"/>
      <c r="Y1040" s="210"/>
      <c r="Z1040" s="210"/>
    </row>
    <row r="1041" ht="21.75" customHeight="1">
      <c r="A1041" s="214"/>
      <c r="B1041" s="221"/>
      <c r="C1041" s="222">
        <v>101.0</v>
      </c>
      <c r="D1041" s="223" t="s">
        <v>491</v>
      </c>
      <c r="E1041" s="223" t="s">
        <v>487</v>
      </c>
      <c r="F1041" s="223" t="s">
        <v>492</v>
      </c>
      <c r="G1041" s="223" t="s">
        <v>678</v>
      </c>
      <c r="H1041" s="225" t="s">
        <v>1464</v>
      </c>
      <c r="I1041" s="208"/>
      <c r="J1041" s="210"/>
      <c r="K1041" s="210"/>
      <c r="L1041" s="210"/>
      <c r="M1041" s="210"/>
      <c r="N1041" s="210"/>
      <c r="O1041" s="210"/>
      <c r="P1041" s="210"/>
      <c r="Q1041" s="210"/>
      <c r="R1041" s="210"/>
      <c r="S1041" s="210"/>
      <c r="T1041" s="210"/>
      <c r="U1041" s="210"/>
      <c r="V1041" s="210"/>
      <c r="W1041" s="210"/>
      <c r="X1041" s="210"/>
      <c r="Y1041" s="210"/>
      <c r="Z1041" s="210"/>
    </row>
    <row r="1042" ht="21.75" customHeight="1">
      <c r="A1042" s="214"/>
      <c r="B1042" s="221"/>
      <c r="C1042" s="222">
        <v>102.0</v>
      </c>
      <c r="D1042" s="223" t="s">
        <v>1465</v>
      </c>
      <c r="E1042" s="223" t="s">
        <v>487</v>
      </c>
      <c r="F1042" s="223" t="s">
        <v>496</v>
      </c>
      <c r="G1042" s="223" t="s">
        <v>497</v>
      </c>
      <c r="H1042" s="224" t="s">
        <v>490</v>
      </c>
      <c r="I1042" s="208"/>
      <c r="J1042" s="210"/>
      <c r="K1042" s="210"/>
      <c r="L1042" s="210"/>
      <c r="M1042" s="210"/>
      <c r="N1042" s="210"/>
      <c r="O1042" s="210"/>
      <c r="P1042" s="210"/>
      <c r="Q1042" s="210"/>
      <c r="R1042" s="210"/>
      <c r="S1042" s="210"/>
      <c r="T1042" s="210"/>
      <c r="U1042" s="210"/>
      <c r="V1042" s="210"/>
      <c r="W1042" s="210"/>
      <c r="X1042" s="210"/>
      <c r="Y1042" s="210"/>
      <c r="Z1042" s="210"/>
    </row>
    <row r="1043" ht="21.75" customHeight="1">
      <c r="A1043" s="214"/>
      <c r="B1043" s="221"/>
      <c r="C1043" s="222">
        <v>103.0</v>
      </c>
      <c r="D1043" s="223" t="s">
        <v>1466</v>
      </c>
      <c r="E1043" s="223" t="s">
        <v>487</v>
      </c>
      <c r="F1043" s="223" t="s">
        <v>500</v>
      </c>
      <c r="G1043" s="223" t="s">
        <v>501</v>
      </c>
      <c r="H1043" s="224" t="s">
        <v>490</v>
      </c>
      <c r="I1043" s="208"/>
      <c r="J1043" s="210"/>
      <c r="K1043" s="210"/>
      <c r="L1043" s="210"/>
      <c r="M1043" s="210"/>
      <c r="N1043" s="210"/>
      <c r="O1043" s="210"/>
      <c r="P1043" s="210"/>
      <c r="Q1043" s="210"/>
      <c r="R1043" s="210"/>
      <c r="S1043" s="210"/>
      <c r="T1043" s="210"/>
      <c r="U1043" s="210"/>
      <c r="V1043" s="210"/>
      <c r="W1043" s="210"/>
      <c r="X1043" s="210"/>
      <c r="Y1043" s="210"/>
      <c r="Z1043" s="210"/>
    </row>
    <row r="1044" ht="21.75" customHeight="1">
      <c r="A1044" s="228"/>
      <c r="B1044" s="221"/>
      <c r="C1044" s="222">
        <v>104.0</v>
      </c>
      <c r="D1044" s="223" t="s">
        <v>507</v>
      </c>
      <c r="E1044" s="223" t="s">
        <v>508</v>
      </c>
      <c r="F1044" s="223" t="s">
        <v>509</v>
      </c>
      <c r="G1044" s="223" t="s">
        <v>510</v>
      </c>
      <c r="H1044" s="225" t="s">
        <v>1467</v>
      </c>
      <c r="I1044" s="208"/>
      <c r="J1044" s="210"/>
      <c r="K1044" s="210"/>
      <c r="L1044" s="210"/>
      <c r="M1044" s="210"/>
      <c r="N1044" s="210"/>
      <c r="O1044" s="210"/>
      <c r="P1044" s="210"/>
      <c r="Q1044" s="210"/>
      <c r="R1044" s="210"/>
      <c r="S1044" s="210"/>
      <c r="T1044" s="210"/>
      <c r="U1044" s="210"/>
      <c r="V1044" s="210"/>
      <c r="W1044" s="210"/>
      <c r="X1044" s="210"/>
      <c r="Y1044" s="210"/>
      <c r="Z1044" s="210"/>
    </row>
    <row r="1045" ht="21.75" customHeight="1">
      <c r="A1045" s="214">
        <v>241.0</v>
      </c>
      <c r="B1045" s="215" t="s">
        <v>1468</v>
      </c>
      <c r="C1045" s="216"/>
      <c r="D1045" s="217"/>
      <c r="E1045" s="217"/>
      <c r="F1045" s="217"/>
      <c r="G1045" s="217"/>
      <c r="H1045" s="217"/>
      <c r="I1045" s="208"/>
      <c r="J1045" s="210"/>
      <c r="K1045" s="210"/>
      <c r="L1045" s="210"/>
      <c r="M1045" s="210"/>
      <c r="N1045" s="210"/>
      <c r="O1045" s="210"/>
      <c r="P1045" s="210"/>
      <c r="Q1045" s="210"/>
      <c r="R1045" s="210"/>
      <c r="S1045" s="210"/>
      <c r="T1045" s="210"/>
      <c r="U1045" s="210"/>
      <c r="V1045" s="210"/>
      <c r="W1045" s="210"/>
      <c r="X1045" s="210"/>
      <c r="Y1045" s="210"/>
      <c r="Z1045" s="210"/>
    </row>
    <row r="1046" ht="21.75" customHeight="1">
      <c r="A1046" s="214"/>
      <c r="B1046" s="218" t="s">
        <v>1469</v>
      </c>
      <c r="C1046" s="219">
        <v>70033.0</v>
      </c>
      <c r="D1046" s="220"/>
      <c r="E1046" s="220"/>
      <c r="F1046" s="220"/>
      <c r="G1046" s="220"/>
      <c r="H1046" s="220"/>
      <c r="I1046" s="208"/>
      <c r="J1046" s="210"/>
      <c r="K1046" s="210"/>
      <c r="L1046" s="210"/>
      <c r="M1046" s="210"/>
      <c r="N1046" s="210"/>
      <c r="O1046" s="210"/>
      <c r="P1046" s="210"/>
      <c r="Q1046" s="210"/>
      <c r="R1046" s="210"/>
      <c r="S1046" s="210"/>
      <c r="T1046" s="210"/>
      <c r="U1046" s="210"/>
      <c r="V1046" s="210"/>
      <c r="W1046" s="210"/>
      <c r="X1046" s="210"/>
      <c r="Y1046" s="210"/>
      <c r="Z1046" s="210"/>
    </row>
    <row r="1047" ht="21.75" customHeight="1">
      <c r="A1047" s="214"/>
      <c r="B1047" s="221"/>
      <c r="C1047" s="222">
        <v>100.0</v>
      </c>
      <c r="D1047" s="223" t="s">
        <v>486</v>
      </c>
      <c r="E1047" s="223" t="s">
        <v>487</v>
      </c>
      <c r="F1047" s="223" t="s">
        <v>488</v>
      </c>
      <c r="G1047" s="223" t="s">
        <v>489</v>
      </c>
      <c r="H1047" s="224" t="s">
        <v>490</v>
      </c>
      <c r="I1047" s="208"/>
      <c r="J1047" s="210"/>
      <c r="K1047" s="210"/>
      <c r="L1047" s="210"/>
      <c r="M1047" s="210"/>
      <c r="N1047" s="210"/>
      <c r="O1047" s="210"/>
      <c r="P1047" s="210"/>
      <c r="Q1047" s="210"/>
      <c r="R1047" s="210"/>
      <c r="S1047" s="210"/>
      <c r="T1047" s="210"/>
      <c r="U1047" s="210"/>
      <c r="V1047" s="210"/>
      <c r="W1047" s="210"/>
      <c r="X1047" s="210"/>
      <c r="Y1047" s="210"/>
      <c r="Z1047" s="210"/>
    </row>
    <row r="1048" ht="21.75" customHeight="1">
      <c r="A1048" s="214"/>
      <c r="B1048" s="221"/>
      <c r="C1048" s="222">
        <v>101.0</v>
      </c>
      <c r="D1048" s="223" t="s">
        <v>491</v>
      </c>
      <c r="E1048" s="223" t="s">
        <v>487</v>
      </c>
      <c r="F1048" s="223" t="s">
        <v>492</v>
      </c>
      <c r="G1048" s="223" t="s">
        <v>678</v>
      </c>
      <c r="H1048" s="224" t="s">
        <v>490</v>
      </c>
      <c r="I1048" s="208"/>
      <c r="J1048" s="210"/>
      <c r="K1048" s="210"/>
      <c r="L1048" s="210"/>
      <c r="M1048" s="210"/>
      <c r="N1048" s="210"/>
      <c r="O1048" s="210"/>
      <c r="P1048" s="210"/>
      <c r="Q1048" s="210"/>
      <c r="R1048" s="210"/>
      <c r="S1048" s="210"/>
      <c r="T1048" s="210"/>
      <c r="U1048" s="210"/>
      <c r="V1048" s="210"/>
      <c r="W1048" s="210"/>
      <c r="X1048" s="210"/>
      <c r="Y1048" s="210"/>
      <c r="Z1048" s="210"/>
    </row>
    <row r="1049" ht="21.75" customHeight="1">
      <c r="A1049" s="214"/>
      <c r="B1049" s="221"/>
      <c r="C1049" s="222">
        <v>102.0</v>
      </c>
      <c r="D1049" s="223" t="s">
        <v>1470</v>
      </c>
      <c r="E1049" s="223" t="s">
        <v>487</v>
      </c>
      <c r="F1049" s="223" t="s">
        <v>496</v>
      </c>
      <c r="G1049" s="223" t="s">
        <v>497</v>
      </c>
      <c r="H1049" s="225" t="s">
        <v>1471</v>
      </c>
      <c r="I1049" s="208"/>
      <c r="J1049" s="210"/>
      <c r="K1049" s="210"/>
      <c r="L1049" s="210"/>
      <c r="M1049" s="210"/>
      <c r="N1049" s="210"/>
      <c r="O1049" s="210"/>
      <c r="P1049" s="210"/>
      <c r="Q1049" s="210"/>
      <c r="R1049" s="210"/>
      <c r="S1049" s="210"/>
      <c r="T1049" s="210"/>
      <c r="U1049" s="210"/>
      <c r="V1049" s="210"/>
      <c r="W1049" s="210"/>
      <c r="X1049" s="210"/>
      <c r="Y1049" s="210"/>
      <c r="Z1049" s="210"/>
    </row>
    <row r="1050" ht="21.75" customHeight="1">
      <c r="A1050" s="214"/>
      <c r="B1050" s="221"/>
      <c r="C1050" s="222">
        <v>103.0</v>
      </c>
      <c r="D1050" s="223" t="s">
        <v>507</v>
      </c>
      <c r="E1050" s="223" t="s">
        <v>508</v>
      </c>
      <c r="F1050" s="223" t="s">
        <v>509</v>
      </c>
      <c r="G1050" s="223" t="s">
        <v>510</v>
      </c>
      <c r="H1050" s="225" t="s">
        <v>1472</v>
      </c>
      <c r="I1050" s="208"/>
      <c r="J1050" s="210"/>
      <c r="K1050" s="210"/>
      <c r="L1050" s="210"/>
      <c r="M1050" s="210"/>
      <c r="N1050" s="210"/>
      <c r="O1050" s="210"/>
      <c r="P1050" s="210"/>
      <c r="Q1050" s="210"/>
      <c r="R1050" s="210"/>
      <c r="S1050" s="210"/>
      <c r="T1050" s="210"/>
      <c r="U1050" s="210"/>
      <c r="V1050" s="210"/>
      <c r="W1050" s="210"/>
      <c r="X1050" s="210"/>
      <c r="Y1050" s="210"/>
      <c r="Z1050" s="210"/>
    </row>
    <row r="1051" ht="21.75" customHeight="1">
      <c r="A1051" s="214"/>
      <c r="B1051" s="221"/>
      <c r="C1051" s="222">
        <v>104.0</v>
      </c>
      <c r="D1051" s="223" t="s">
        <v>1260</v>
      </c>
      <c r="E1051" s="223" t="s">
        <v>487</v>
      </c>
      <c r="F1051" s="223" t="s">
        <v>500</v>
      </c>
      <c r="G1051" s="218" t="s">
        <v>490</v>
      </c>
      <c r="H1051" s="224" t="s">
        <v>490</v>
      </c>
      <c r="I1051" s="208"/>
      <c r="J1051" s="210"/>
      <c r="K1051" s="210"/>
      <c r="L1051" s="210"/>
      <c r="M1051" s="210"/>
      <c r="N1051" s="210"/>
      <c r="O1051" s="210"/>
      <c r="P1051" s="210"/>
      <c r="Q1051" s="210"/>
      <c r="R1051" s="210"/>
      <c r="S1051" s="210"/>
      <c r="T1051" s="210"/>
      <c r="U1051" s="210"/>
      <c r="V1051" s="210"/>
      <c r="W1051" s="210"/>
      <c r="X1051" s="210"/>
      <c r="Y1051" s="210"/>
      <c r="Z1051" s="210"/>
    </row>
    <row r="1052" ht="21.75" customHeight="1">
      <c r="A1052" s="214"/>
      <c r="B1052" s="221"/>
      <c r="C1052" s="222">
        <v>105.0</v>
      </c>
      <c r="D1052" s="223" t="s">
        <v>1473</v>
      </c>
      <c r="E1052" s="223" t="s">
        <v>504</v>
      </c>
      <c r="F1052" s="223" t="s">
        <v>505</v>
      </c>
      <c r="G1052" s="218" t="s">
        <v>490</v>
      </c>
      <c r="H1052" s="225" t="s">
        <v>1474</v>
      </c>
      <c r="I1052" s="208"/>
      <c r="J1052" s="210"/>
      <c r="K1052" s="210"/>
      <c r="L1052" s="210"/>
      <c r="M1052" s="210"/>
      <c r="N1052" s="210"/>
      <c r="O1052" s="210"/>
      <c r="P1052" s="210"/>
      <c r="Q1052" s="210"/>
      <c r="R1052" s="210"/>
      <c r="S1052" s="210"/>
      <c r="T1052" s="210"/>
      <c r="U1052" s="210"/>
      <c r="V1052" s="210"/>
      <c r="W1052" s="210"/>
      <c r="X1052" s="210"/>
      <c r="Y1052" s="210"/>
      <c r="Z1052" s="210"/>
    </row>
    <row r="1053" ht="21.75" customHeight="1">
      <c r="A1053" s="214"/>
      <c r="B1053" s="221"/>
      <c r="C1053" s="222">
        <v>106.0</v>
      </c>
      <c r="D1053" s="223" t="s">
        <v>1475</v>
      </c>
      <c r="E1053" s="223" t="s">
        <v>487</v>
      </c>
      <c r="F1053" s="223" t="s">
        <v>512</v>
      </c>
      <c r="G1053" s="218" t="s">
        <v>490</v>
      </c>
      <c r="H1053" s="224" t="s">
        <v>490</v>
      </c>
      <c r="I1053" s="208"/>
      <c r="J1053" s="210"/>
      <c r="K1053" s="210"/>
      <c r="L1053" s="210"/>
      <c r="M1053" s="210"/>
      <c r="N1053" s="210"/>
      <c r="O1053" s="210"/>
      <c r="P1053" s="210"/>
      <c r="Q1053" s="210"/>
      <c r="R1053" s="210"/>
      <c r="S1053" s="210"/>
      <c r="T1053" s="210"/>
      <c r="U1053" s="210"/>
      <c r="V1053" s="210"/>
      <c r="W1053" s="210"/>
      <c r="X1053" s="210"/>
      <c r="Y1053" s="210"/>
      <c r="Z1053" s="210"/>
    </row>
    <row r="1054" ht="21.75" customHeight="1">
      <c r="A1054" s="214"/>
      <c r="B1054" s="221"/>
      <c r="C1054" s="222">
        <v>107.0</v>
      </c>
      <c r="D1054" s="223" t="s">
        <v>1476</v>
      </c>
      <c r="E1054" s="223" t="s">
        <v>487</v>
      </c>
      <c r="F1054" s="223" t="s">
        <v>532</v>
      </c>
      <c r="G1054" s="218" t="s">
        <v>490</v>
      </c>
      <c r="H1054" s="224" t="s">
        <v>490</v>
      </c>
      <c r="I1054" s="208"/>
      <c r="J1054" s="210"/>
      <c r="K1054" s="210"/>
      <c r="L1054" s="210"/>
      <c r="M1054" s="210"/>
      <c r="N1054" s="210"/>
      <c r="O1054" s="210"/>
      <c r="P1054" s="210"/>
      <c r="Q1054" s="210"/>
      <c r="R1054" s="210"/>
      <c r="S1054" s="210"/>
      <c r="T1054" s="210"/>
      <c r="U1054" s="210"/>
      <c r="V1054" s="210"/>
      <c r="W1054" s="210"/>
      <c r="X1054" s="210"/>
      <c r="Y1054" s="210"/>
      <c r="Z1054" s="210"/>
    </row>
    <row r="1055" ht="21.75" customHeight="1">
      <c r="A1055" s="214"/>
      <c r="B1055" s="221"/>
      <c r="C1055" s="222">
        <v>108.0</v>
      </c>
      <c r="D1055" s="223" t="s">
        <v>1477</v>
      </c>
      <c r="E1055" s="223" t="s">
        <v>487</v>
      </c>
      <c r="F1055" s="223" t="s">
        <v>590</v>
      </c>
      <c r="G1055" s="218" t="s">
        <v>490</v>
      </c>
      <c r="H1055" s="224" t="s">
        <v>490</v>
      </c>
      <c r="I1055" s="208"/>
      <c r="J1055" s="210"/>
      <c r="K1055" s="210"/>
      <c r="L1055" s="210"/>
      <c r="M1055" s="210"/>
      <c r="N1055" s="210"/>
      <c r="O1055" s="210"/>
      <c r="P1055" s="210"/>
      <c r="Q1055" s="210"/>
      <c r="R1055" s="210"/>
      <c r="S1055" s="210"/>
      <c r="T1055" s="210"/>
      <c r="U1055" s="210"/>
      <c r="V1055" s="210"/>
      <c r="W1055" s="210"/>
      <c r="X1055" s="210"/>
      <c r="Y1055" s="210"/>
      <c r="Z1055" s="210"/>
    </row>
    <row r="1056" ht="21.75" customHeight="1">
      <c r="A1056" s="214"/>
      <c r="B1056" s="221"/>
      <c r="C1056" s="222">
        <v>200.0</v>
      </c>
      <c r="D1056" s="223" t="s">
        <v>1478</v>
      </c>
      <c r="E1056" s="223" t="s">
        <v>673</v>
      </c>
      <c r="F1056" s="223" t="s">
        <v>674</v>
      </c>
      <c r="G1056" s="218" t="s">
        <v>490</v>
      </c>
      <c r="H1056" s="224" t="s">
        <v>490</v>
      </c>
      <c r="I1056" s="208"/>
      <c r="J1056" s="210"/>
      <c r="K1056" s="210"/>
      <c r="L1056" s="210"/>
      <c r="M1056" s="210"/>
      <c r="N1056" s="210"/>
      <c r="O1056" s="210"/>
      <c r="P1056" s="210"/>
      <c r="Q1056" s="210"/>
      <c r="R1056" s="210"/>
      <c r="S1056" s="210"/>
      <c r="T1056" s="210"/>
      <c r="U1056" s="210"/>
      <c r="V1056" s="210"/>
      <c r="W1056" s="210"/>
      <c r="X1056" s="210"/>
      <c r="Y1056" s="210"/>
      <c r="Z1056" s="210"/>
    </row>
    <row r="1057" ht="21.75" customHeight="1">
      <c r="A1057" s="214"/>
      <c r="B1057" s="221"/>
      <c r="C1057" s="222">
        <v>202.0</v>
      </c>
      <c r="D1057" s="223" t="s">
        <v>1479</v>
      </c>
      <c r="E1057" s="223" t="s">
        <v>487</v>
      </c>
      <c r="F1057" s="223" t="s">
        <v>603</v>
      </c>
      <c r="G1057" s="218" t="s">
        <v>490</v>
      </c>
      <c r="H1057" s="224" t="s">
        <v>490</v>
      </c>
      <c r="I1057" s="208"/>
      <c r="J1057" s="210"/>
      <c r="K1057" s="210"/>
      <c r="L1057" s="210"/>
      <c r="M1057" s="210"/>
      <c r="N1057" s="210"/>
      <c r="O1057" s="210"/>
      <c r="P1057" s="210"/>
      <c r="Q1057" s="210"/>
      <c r="R1057" s="210"/>
      <c r="S1057" s="210"/>
      <c r="T1057" s="210"/>
      <c r="U1057" s="210"/>
      <c r="V1057" s="210"/>
      <c r="W1057" s="210"/>
      <c r="X1057" s="210"/>
      <c r="Y1057" s="210"/>
      <c r="Z1057" s="210"/>
    </row>
    <row r="1058" ht="21.75" customHeight="1">
      <c r="A1058" s="228"/>
      <c r="B1058" s="221"/>
      <c r="C1058" s="222">
        <v>300.0</v>
      </c>
      <c r="D1058" s="223" t="s">
        <v>696</v>
      </c>
      <c r="E1058" s="223" t="s">
        <v>673</v>
      </c>
      <c r="F1058" s="223" t="s">
        <v>696</v>
      </c>
      <c r="G1058" s="218" t="s">
        <v>490</v>
      </c>
      <c r="H1058" s="224" t="s">
        <v>490</v>
      </c>
      <c r="I1058" s="208"/>
      <c r="J1058" s="210"/>
      <c r="K1058" s="210"/>
      <c r="L1058" s="210"/>
      <c r="M1058" s="210"/>
      <c r="N1058" s="210"/>
      <c r="O1058" s="210"/>
      <c r="P1058" s="210"/>
      <c r="Q1058" s="210"/>
      <c r="R1058" s="210"/>
      <c r="S1058" s="210"/>
      <c r="T1058" s="210"/>
      <c r="U1058" s="210"/>
      <c r="V1058" s="210"/>
      <c r="W1058" s="210"/>
      <c r="X1058" s="210"/>
      <c r="Y1058" s="210"/>
      <c r="Z1058" s="210"/>
    </row>
    <row r="1059" ht="21.75" customHeight="1">
      <c r="A1059" s="214">
        <v>242.0</v>
      </c>
      <c r="B1059" s="215" t="s">
        <v>1480</v>
      </c>
      <c r="C1059" s="216"/>
      <c r="D1059" s="217"/>
      <c r="E1059" s="217"/>
      <c r="F1059" s="217"/>
      <c r="G1059" s="217"/>
      <c r="H1059" s="217"/>
      <c r="I1059" s="208"/>
      <c r="J1059" s="210"/>
      <c r="K1059" s="210"/>
      <c r="L1059" s="210"/>
      <c r="M1059" s="210"/>
      <c r="N1059" s="210"/>
      <c r="O1059" s="210"/>
      <c r="P1059" s="210"/>
      <c r="Q1059" s="210"/>
      <c r="R1059" s="210"/>
      <c r="S1059" s="210"/>
      <c r="T1059" s="210"/>
      <c r="U1059" s="210"/>
      <c r="V1059" s="210"/>
      <c r="W1059" s="210"/>
      <c r="X1059" s="210"/>
      <c r="Y1059" s="210"/>
      <c r="Z1059" s="210"/>
    </row>
    <row r="1060" ht="21.75" customHeight="1">
      <c r="A1060" s="214"/>
      <c r="B1060" s="218" t="s">
        <v>1481</v>
      </c>
      <c r="C1060" s="219">
        <v>50774.0</v>
      </c>
      <c r="D1060" s="220"/>
      <c r="E1060" s="220"/>
      <c r="F1060" s="220"/>
      <c r="G1060" s="220"/>
      <c r="H1060" s="220"/>
      <c r="I1060" s="208"/>
      <c r="J1060" s="210"/>
      <c r="K1060" s="210"/>
      <c r="L1060" s="210"/>
      <c r="M1060" s="210"/>
      <c r="N1060" s="210"/>
      <c r="O1060" s="210"/>
      <c r="P1060" s="210"/>
      <c r="Q1060" s="210"/>
      <c r="R1060" s="210"/>
      <c r="S1060" s="210"/>
      <c r="T1060" s="210"/>
      <c r="U1060" s="210"/>
      <c r="V1060" s="210"/>
      <c r="W1060" s="210"/>
      <c r="X1060" s="210"/>
      <c r="Y1060" s="210"/>
      <c r="Z1060" s="210"/>
    </row>
    <row r="1061" ht="21.75" customHeight="1">
      <c r="A1061" s="214"/>
      <c r="B1061" s="221"/>
      <c r="C1061" s="222">
        <v>100.0</v>
      </c>
      <c r="D1061" s="223" t="s">
        <v>486</v>
      </c>
      <c r="E1061" s="223" t="s">
        <v>487</v>
      </c>
      <c r="F1061" s="223" t="s">
        <v>488</v>
      </c>
      <c r="G1061" s="223" t="s">
        <v>489</v>
      </c>
      <c r="H1061" s="224" t="s">
        <v>490</v>
      </c>
      <c r="I1061" s="208"/>
      <c r="J1061" s="210"/>
      <c r="K1061" s="210"/>
      <c r="L1061" s="210"/>
      <c r="M1061" s="210"/>
      <c r="N1061" s="210"/>
      <c r="O1061" s="210"/>
      <c r="P1061" s="210"/>
      <c r="Q1061" s="210"/>
      <c r="R1061" s="210"/>
      <c r="S1061" s="210"/>
      <c r="T1061" s="210"/>
      <c r="U1061" s="210"/>
      <c r="V1061" s="210"/>
      <c r="W1061" s="210"/>
      <c r="X1061" s="210"/>
      <c r="Y1061" s="210"/>
      <c r="Z1061" s="210"/>
    </row>
    <row r="1062" ht="21.75" customHeight="1">
      <c r="A1062" s="214"/>
      <c r="B1062" s="221"/>
      <c r="C1062" s="222">
        <v>101.0</v>
      </c>
      <c r="D1062" s="223" t="s">
        <v>491</v>
      </c>
      <c r="E1062" s="223" t="s">
        <v>487</v>
      </c>
      <c r="F1062" s="223" t="s">
        <v>492</v>
      </c>
      <c r="G1062" s="223" t="s">
        <v>678</v>
      </c>
      <c r="H1062" s="225" t="s">
        <v>1482</v>
      </c>
      <c r="I1062" s="208"/>
      <c r="J1062" s="210"/>
      <c r="K1062" s="210"/>
      <c r="L1062" s="210"/>
      <c r="M1062" s="210"/>
      <c r="N1062" s="210"/>
      <c r="O1062" s="210"/>
      <c r="P1062" s="210"/>
      <c r="Q1062" s="210"/>
      <c r="R1062" s="210"/>
      <c r="S1062" s="210"/>
      <c r="T1062" s="210"/>
      <c r="U1062" s="210"/>
      <c r="V1062" s="210"/>
      <c r="W1062" s="210"/>
      <c r="X1062" s="210"/>
      <c r="Y1062" s="210"/>
      <c r="Z1062" s="210"/>
    </row>
    <row r="1063" ht="21.75" customHeight="1">
      <c r="A1063" s="214"/>
      <c r="B1063" s="221"/>
      <c r="C1063" s="222">
        <v>102.0</v>
      </c>
      <c r="D1063" s="223" t="s">
        <v>837</v>
      </c>
      <c r="E1063" s="223" t="s">
        <v>529</v>
      </c>
      <c r="F1063" s="223" t="s">
        <v>530</v>
      </c>
      <c r="G1063" s="218" t="s">
        <v>490</v>
      </c>
      <c r="H1063" s="225" t="s">
        <v>1483</v>
      </c>
      <c r="I1063" s="208"/>
      <c r="J1063" s="210"/>
      <c r="K1063" s="210"/>
      <c r="L1063" s="210"/>
      <c r="M1063" s="210"/>
      <c r="N1063" s="210"/>
      <c r="O1063" s="210"/>
      <c r="P1063" s="210"/>
      <c r="Q1063" s="210"/>
      <c r="R1063" s="210"/>
      <c r="S1063" s="210"/>
      <c r="T1063" s="210"/>
      <c r="U1063" s="210"/>
      <c r="V1063" s="210"/>
      <c r="W1063" s="210"/>
      <c r="X1063" s="210"/>
      <c r="Y1063" s="210"/>
      <c r="Z1063" s="210"/>
    </row>
    <row r="1064" ht="21.75" customHeight="1">
      <c r="A1064" s="214"/>
      <c r="B1064" s="221"/>
      <c r="C1064" s="222">
        <v>103.0</v>
      </c>
      <c r="D1064" s="223" t="s">
        <v>516</v>
      </c>
      <c r="E1064" s="223" t="s">
        <v>487</v>
      </c>
      <c r="F1064" s="223" t="s">
        <v>500</v>
      </c>
      <c r="G1064" s="223" t="s">
        <v>493</v>
      </c>
      <c r="H1064" s="225" t="s">
        <v>1484</v>
      </c>
      <c r="I1064" s="208"/>
      <c r="J1064" s="210"/>
      <c r="K1064" s="210"/>
      <c r="L1064" s="210"/>
      <c r="M1064" s="210"/>
      <c r="N1064" s="210"/>
      <c r="O1064" s="210"/>
      <c r="P1064" s="210"/>
      <c r="Q1064" s="210"/>
      <c r="R1064" s="210"/>
      <c r="S1064" s="210"/>
      <c r="T1064" s="210"/>
      <c r="U1064" s="210"/>
      <c r="V1064" s="210"/>
      <c r="W1064" s="210"/>
      <c r="X1064" s="210"/>
      <c r="Y1064" s="210"/>
      <c r="Z1064" s="210"/>
    </row>
    <row r="1065" ht="21.75" customHeight="1">
      <c r="A1065" s="214"/>
      <c r="B1065" s="221"/>
      <c r="C1065" s="222">
        <v>104.0</v>
      </c>
      <c r="D1065" s="223" t="s">
        <v>1485</v>
      </c>
      <c r="E1065" s="223" t="s">
        <v>487</v>
      </c>
      <c r="F1065" s="223" t="s">
        <v>512</v>
      </c>
      <c r="G1065" s="223" t="s">
        <v>497</v>
      </c>
      <c r="H1065" s="225" t="s">
        <v>1486</v>
      </c>
      <c r="I1065" s="208"/>
      <c r="J1065" s="210"/>
      <c r="K1065" s="210"/>
      <c r="L1065" s="210"/>
      <c r="M1065" s="210"/>
      <c r="N1065" s="210"/>
      <c r="O1065" s="210"/>
      <c r="P1065" s="210"/>
      <c r="Q1065" s="210"/>
      <c r="R1065" s="210"/>
      <c r="S1065" s="210"/>
      <c r="T1065" s="210"/>
      <c r="U1065" s="210"/>
      <c r="V1065" s="210"/>
      <c r="W1065" s="210"/>
      <c r="X1065" s="210"/>
      <c r="Y1065" s="210"/>
      <c r="Z1065" s="210"/>
    </row>
    <row r="1066" ht="21.75" customHeight="1">
      <c r="A1066" s="214"/>
      <c r="B1066" s="221"/>
      <c r="C1066" s="222">
        <v>105.0</v>
      </c>
      <c r="D1066" s="223" t="s">
        <v>779</v>
      </c>
      <c r="E1066" s="223" t="s">
        <v>487</v>
      </c>
      <c r="F1066" s="223" t="s">
        <v>532</v>
      </c>
      <c r="G1066" s="223" t="s">
        <v>501</v>
      </c>
      <c r="H1066" s="225" t="s">
        <v>1487</v>
      </c>
      <c r="I1066" s="208"/>
      <c r="J1066" s="210"/>
      <c r="K1066" s="210"/>
      <c r="L1066" s="210"/>
      <c r="M1066" s="210"/>
      <c r="N1066" s="210"/>
      <c r="O1066" s="210"/>
      <c r="P1066" s="210"/>
      <c r="Q1066" s="210"/>
      <c r="R1066" s="210"/>
      <c r="S1066" s="210"/>
      <c r="T1066" s="210"/>
      <c r="U1066" s="210"/>
      <c r="V1066" s="210"/>
      <c r="W1066" s="210"/>
      <c r="X1066" s="210"/>
      <c r="Y1066" s="210"/>
      <c r="Z1066" s="210"/>
    </row>
    <row r="1067" ht="21.75" customHeight="1">
      <c r="A1067" s="214"/>
      <c r="B1067" s="221"/>
      <c r="C1067" s="222">
        <v>106.0</v>
      </c>
      <c r="D1067" s="223" t="s">
        <v>541</v>
      </c>
      <c r="E1067" s="223" t="s">
        <v>508</v>
      </c>
      <c r="F1067" s="223" t="s">
        <v>509</v>
      </c>
      <c r="G1067" s="223" t="s">
        <v>510</v>
      </c>
      <c r="H1067" s="225" t="s">
        <v>1488</v>
      </c>
      <c r="I1067" s="208"/>
      <c r="J1067" s="210"/>
      <c r="K1067" s="210"/>
      <c r="L1067" s="210"/>
      <c r="M1067" s="210"/>
      <c r="N1067" s="210"/>
      <c r="O1067" s="210"/>
      <c r="P1067" s="210"/>
      <c r="Q1067" s="210"/>
      <c r="R1067" s="210"/>
      <c r="S1067" s="210"/>
      <c r="T1067" s="210"/>
      <c r="U1067" s="210"/>
      <c r="V1067" s="210"/>
      <c r="W1067" s="210"/>
      <c r="X1067" s="210"/>
      <c r="Y1067" s="210"/>
      <c r="Z1067" s="210"/>
    </row>
    <row r="1068" ht="21.75" customHeight="1">
      <c r="A1068" s="214"/>
      <c r="B1068" s="217"/>
      <c r="C1068" s="222">
        <v>107.0</v>
      </c>
      <c r="D1068" s="215" t="s">
        <v>837</v>
      </c>
      <c r="E1068" s="215" t="s">
        <v>487</v>
      </c>
      <c r="F1068" s="215" t="s">
        <v>826</v>
      </c>
      <c r="G1068" s="215" t="s">
        <v>526</v>
      </c>
      <c r="H1068" s="224" t="s">
        <v>490</v>
      </c>
      <c r="I1068" s="208"/>
      <c r="J1068" s="210"/>
      <c r="K1068" s="210"/>
      <c r="L1068" s="210"/>
      <c r="M1068" s="210"/>
      <c r="N1068" s="210"/>
      <c r="O1068" s="210"/>
      <c r="P1068" s="210"/>
      <c r="Q1068" s="210"/>
      <c r="R1068" s="210"/>
      <c r="S1068" s="210"/>
      <c r="T1068" s="210"/>
      <c r="U1068" s="210"/>
      <c r="V1068" s="210"/>
      <c r="W1068" s="210"/>
      <c r="X1068" s="210"/>
      <c r="Y1068" s="210"/>
      <c r="Z1068" s="210"/>
    </row>
    <row r="1069" ht="21.75" customHeight="1">
      <c r="A1069" s="214"/>
      <c r="B1069" s="218" t="s">
        <v>1489</v>
      </c>
      <c r="C1069" s="226">
        <v>50832.0</v>
      </c>
      <c r="D1069" s="220"/>
      <c r="E1069" s="220"/>
      <c r="F1069" s="220"/>
      <c r="G1069" s="220"/>
      <c r="H1069" s="221"/>
      <c r="I1069" s="208"/>
      <c r="J1069" s="210"/>
      <c r="K1069" s="210"/>
      <c r="L1069" s="210"/>
      <c r="M1069" s="210"/>
      <c r="N1069" s="210"/>
      <c r="O1069" s="210"/>
      <c r="P1069" s="210"/>
      <c r="Q1069" s="210"/>
      <c r="R1069" s="210"/>
      <c r="S1069" s="210"/>
      <c r="T1069" s="210"/>
      <c r="U1069" s="210"/>
      <c r="V1069" s="210"/>
      <c r="W1069" s="210"/>
      <c r="X1069" s="210"/>
      <c r="Y1069" s="210"/>
      <c r="Z1069" s="210"/>
    </row>
    <row r="1070" ht="21.75" customHeight="1">
      <c r="A1070" s="214"/>
      <c r="B1070" s="221"/>
      <c r="C1070" s="222">
        <v>100.0</v>
      </c>
      <c r="D1070" s="223" t="s">
        <v>486</v>
      </c>
      <c r="E1070" s="223" t="s">
        <v>487</v>
      </c>
      <c r="F1070" s="223" t="s">
        <v>488</v>
      </c>
      <c r="G1070" s="223" t="s">
        <v>489</v>
      </c>
      <c r="H1070" s="224" t="s">
        <v>490</v>
      </c>
      <c r="I1070" s="208"/>
      <c r="J1070" s="210"/>
      <c r="K1070" s="210"/>
      <c r="L1070" s="210"/>
      <c r="M1070" s="210"/>
      <c r="N1070" s="210"/>
      <c r="O1070" s="210"/>
      <c r="P1070" s="210"/>
      <c r="Q1070" s="210"/>
      <c r="R1070" s="210"/>
      <c r="S1070" s="210"/>
      <c r="T1070" s="210"/>
      <c r="U1070" s="210"/>
      <c r="V1070" s="210"/>
      <c r="W1070" s="210"/>
      <c r="X1070" s="210"/>
      <c r="Y1070" s="210"/>
      <c r="Z1070" s="210"/>
    </row>
    <row r="1071" ht="21.75" customHeight="1">
      <c r="A1071" s="214"/>
      <c r="B1071" s="221"/>
      <c r="C1071" s="222">
        <v>101.0</v>
      </c>
      <c r="D1071" s="223" t="s">
        <v>516</v>
      </c>
      <c r="E1071" s="223" t="s">
        <v>487</v>
      </c>
      <c r="F1071" s="223" t="s">
        <v>492</v>
      </c>
      <c r="G1071" s="223" t="s">
        <v>493</v>
      </c>
      <c r="H1071" s="225" t="s">
        <v>1490</v>
      </c>
      <c r="I1071" s="208"/>
      <c r="J1071" s="210"/>
      <c r="K1071" s="210"/>
      <c r="L1071" s="210"/>
      <c r="M1071" s="210"/>
      <c r="N1071" s="210"/>
      <c r="O1071" s="210"/>
      <c r="P1071" s="210"/>
      <c r="Q1071" s="210"/>
      <c r="R1071" s="210"/>
      <c r="S1071" s="210"/>
      <c r="T1071" s="210"/>
      <c r="U1071" s="210"/>
      <c r="V1071" s="210"/>
      <c r="W1071" s="210"/>
      <c r="X1071" s="210"/>
      <c r="Y1071" s="210"/>
      <c r="Z1071" s="210"/>
    </row>
    <row r="1072" ht="21.75" customHeight="1">
      <c r="A1072" s="214"/>
      <c r="B1072" s="221"/>
      <c r="C1072" s="222">
        <v>102.0</v>
      </c>
      <c r="D1072" s="223" t="s">
        <v>1433</v>
      </c>
      <c r="E1072" s="223" t="s">
        <v>487</v>
      </c>
      <c r="F1072" s="223" t="s">
        <v>496</v>
      </c>
      <c r="G1072" s="223" t="s">
        <v>497</v>
      </c>
      <c r="H1072" s="225" t="s">
        <v>1491</v>
      </c>
      <c r="I1072" s="208"/>
      <c r="J1072" s="210"/>
      <c r="K1072" s="210"/>
      <c r="L1072" s="210"/>
      <c r="M1072" s="210"/>
      <c r="N1072" s="210"/>
      <c r="O1072" s="210"/>
      <c r="P1072" s="210"/>
      <c r="Q1072" s="210"/>
      <c r="R1072" s="210"/>
      <c r="S1072" s="210"/>
      <c r="T1072" s="210"/>
      <c r="U1072" s="210"/>
      <c r="V1072" s="210"/>
      <c r="W1072" s="210"/>
      <c r="X1072" s="210"/>
      <c r="Y1072" s="210"/>
      <c r="Z1072" s="210"/>
    </row>
    <row r="1073" ht="21.75" customHeight="1">
      <c r="A1073" s="214"/>
      <c r="B1073" s="221"/>
      <c r="C1073" s="222">
        <v>103.0</v>
      </c>
      <c r="D1073" s="223" t="s">
        <v>847</v>
      </c>
      <c r="E1073" s="223" t="s">
        <v>487</v>
      </c>
      <c r="F1073" s="223" t="s">
        <v>500</v>
      </c>
      <c r="G1073" s="223" t="s">
        <v>501</v>
      </c>
      <c r="H1073" s="225" t="s">
        <v>1492</v>
      </c>
      <c r="I1073" s="208"/>
      <c r="J1073" s="210"/>
      <c r="K1073" s="210"/>
      <c r="L1073" s="210"/>
      <c r="M1073" s="210"/>
      <c r="N1073" s="210"/>
      <c r="O1073" s="210"/>
      <c r="P1073" s="210"/>
      <c r="Q1073" s="210"/>
      <c r="R1073" s="210"/>
      <c r="S1073" s="210"/>
      <c r="T1073" s="210"/>
      <c r="U1073" s="210"/>
      <c r="V1073" s="210"/>
      <c r="W1073" s="210"/>
      <c r="X1073" s="210"/>
      <c r="Y1073" s="210"/>
      <c r="Z1073" s="210"/>
    </row>
    <row r="1074" ht="21.75" customHeight="1">
      <c r="A1074" s="228"/>
      <c r="B1074" s="221"/>
      <c r="C1074" s="222">
        <v>104.0</v>
      </c>
      <c r="D1074" s="223" t="s">
        <v>519</v>
      </c>
      <c r="E1074" s="223" t="s">
        <v>508</v>
      </c>
      <c r="F1074" s="223" t="s">
        <v>509</v>
      </c>
      <c r="G1074" s="223" t="s">
        <v>510</v>
      </c>
      <c r="H1074" s="225" t="s">
        <v>1493</v>
      </c>
      <c r="I1074" s="208"/>
      <c r="J1074" s="210"/>
      <c r="K1074" s="210"/>
      <c r="L1074" s="210"/>
      <c r="M1074" s="210"/>
      <c r="N1074" s="210"/>
      <c r="O1074" s="210"/>
      <c r="P1074" s="210"/>
      <c r="Q1074" s="210"/>
      <c r="R1074" s="210"/>
      <c r="S1074" s="210"/>
      <c r="T1074" s="210"/>
      <c r="U1074" s="210"/>
      <c r="V1074" s="210"/>
      <c r="W1074" s="210"/>
      <c r="X1074" s="210"/>
      <c r="Y1074" s="210"/>
      <c r="Z1074" s="210"/>
    </row>
    <row r="1075" ht="21.75" customHeight="1">
      <c r="A1075" s="214">
        <v>247.0</v>
      </c>
      <c r="B1075" s="215" t="s">
        <v>1494</v>
      </c>
      <c r="C1075" s="216"/>
      <c r="D1075" s="217"/>
      <c r="E1075" s="217"/>
      <c r="F1075" s="217"/>
      <c r="G1075" s="217"/>
      <c r="H1075" s="217"/>
      <c r="I1075" s="208"/>
      <c r="J1075" s="210"/>
      <c r="K1075" s="210"/>
      <c r="L1075" s="210"/>
      <c r="M1075" s="210"/>
      <c r="N1075" s="210"/>
      <c r="O1075" s="210"/>
      <c r="P1075" s="210"/>
      <c r="Q1075" s="210"/>
      <c r="R1075" s="210"/>
      <c r="S1075" s="210"/>
      <c r="T1075" s="210"/>
      <c r="U1075" s="210"/>
      <c r="V1075" s="210"/>
      <c r="W1075" s="210"/>
      <c r="X1075" s="210"/>
      <c r="Y1075" s="210"/>
      <c r="Z1075" s="210"/>
    </row>
    <row r="1076" ht="21.75" customHeight="1">
      <c r="A1076" s="214"/>
      <c r="B1076" s="218" t="s">
        <v>1495</v>
      </c>
      <c r="C1076" s="219">
        <v>50755.0</v>
      </c>
      <c r="D1076" s="220"/>
      <c r="E1076" s="220"/>
      <c r="F1076" s="220"/>
      <c r="G1076" s="220"/>
      <c r="H1076" s="220"/>
      <c r="I1076" s="208"/>
      <c r="J1076" s="210"/>
      <c r="K1076" s="210"/>
      <c r="L1076" s="210"/>
      <c r="M1076" s="210"/>
      <c r="N1076" s="210"/>
      <c r="O1076" s="210"/>
      <c r="P1076" s="210"/>
      <c r="Q1076" s="210"/>
      <c r="R1076" s="210"/>
      <c r="S1076" s="210"/>
      <c r="T1076" s="210"/>
      <c r="U1076" s="210"/>
      <c r="V1076" s="210"/>
      <c r="W1076" s="210"/>
      <c r="X1076" s="210"/>
      <c r="Y1076" s="210"/>
      <c r="Z1076" s="210"/>
    </row>
    <row r="1077" ht="21.75" customHeight="1">
      <c r="A1077" s="214"/>
      <c r="B1077" s="221"/>
      <c r="C1077" s="222">
        <v>100.0</v>
      </c>
      <c r="D1077" s="223" t="s">
        <v>486</v>
      </c>
      <c r="E1077" s="223" t="s">
        <v>487</v>
      </c>
      <c r="F1077" s="223" t="s">
        <v>488</v>
      </c>
      <c r="G1077" s="223" t="s">
        <v>489</v>
      </c>
      <c r="H1077" s="224" t="s">
        <v>490</v>
      </c>
      <c r="I1077" s="208"/>
      <c r="J1077" s="210"/>
      <c r="K1077" s="210"/>
      <c r="L1077" s="210"/>
      <c r="M1077" s="210"/>
      <c r="N1077" s="210"/>
      <c r="O1077" s="210"/>
      <c r="P1077" s="210"/>
      <c r="Q1077" s="210"/>
      <c r="R1077" s="210"/>
      <c r="S1077" s="210"/>
      <c r="T1077" s="210"/>
      <c r="U1077" s="210"/>
      <c r="V1077" s="210"/>
      <c r="W1077" s="210"/>
      <c r="X1077" s="210"/>
      <c r="Y1077" s="210"/>
      <c r="Z1077" s="210"/>
    </row>
    <row r="1078" ht="21.75" customHeight="1">
      <c r="A1078" s="214"/>
      <c r="B1078" s="221"/>
      <c r="C1078" s="222">
        <v>101.0</v>
      </c>
      <c r="D1078" s="223" t="s">
        <v>837</v>
      </c>
      <c r="E1078" s="223" t="s">
        <v>529</v>
      </c>
      <c r="F1078" s="223" t="s">
        <v>530</v>
      </c>
      <c r="G1078" s="218" t="s">
        <v>490</v>
      </c>
      <c r="H1078" s="225" t="s">
        <v>1496</v>
      </c>
      <c r="I1078" s="208"/>
      <c r="J1078" s="210"/>
      <c r="K1078" s="210"/>
      <c r="L1078" s="210"/>
      <c r="M1078" s="210"/>
      <c r="N1078" s="210"/>
      <c r="O1078" s="210"/>
      <c r="P1078" s="210"/>
      <c r="Q1078" s="210"/>
      <c r="R1078" s="210"/>
      <c r="S1078" s="210"/>
      <c r="T1078" s="210"/>
      <c r="U1078" s="210"/>
      <c r="V1078" s="210"/>
      <c r="W1078" s="210"/>
      <c r="X1078" s="210"/>
      <c r="Y1078" s="210"/>
      <c r="Z1078" s="210"/>
    </row>
    <row r="1079" ht="21.75" customHeight="1">
      <c r="A1079" s="214"/>
      <c r="B1079" s="221"/>
      <c r="C1079" s="222">
        <v>102.0</v>
      </c>
      <c r="D1079" s="223" t="s">
        <v>516</v>
      </c>
      <c r="E1079" s="223" t="s">
        <v>487</v>
      </c>
      <c r="F1079" s="223" t="s">
        <v>496</v>
      </c>
      <c r="G1079" s="223" t="s">
        <v>493</v>
      </c>
      <c r="H1079" s="225" t="s">
        <v>1497</v>
      </c>
      <c r="I1079" s="208"/>
      <c r="J1079" s="210"/>
      <c r="K1079" s="210"/>
      <c r="L1079" s="210"/>
      <c r="M1079" s="210"/>
      <c r="N1079" s="210"/>
      <c r="O1079" s="210"/>
      <c r="P1079" s="210"/>
      <c r="Q1079" s="210"/>
      <c r="R1079" s="210"/>
      <c r="S1079" s="210"/>
      <c r="T1079" s="210"/>
      <c r="U1079" s="210"/>
      <c r="V1079" s="210"/>
      <c r="W1079" s="210"/>
      <c r="X1079" s="210"/>
      <c r="Y1079" s="210"/>
      <c r="Z1079" s="210"/>
    </row>
    <row r="1080" ht="21.75" customHeight="1">
      <c r="A1080" s="214"/>
      <c r="B1080" s="221"/>
      <c r="C1080" s="222">
        <v>103.0</v>
      </c>
      <c r="D1080" s="223" t="s">
        <v>1433</v>
      </c>
      <c r="E1080" s="223" t="s">
        <v>487</v>
      </c>
      <c r="F1080" s="223" t="s">
        <v>500</v>
      </c>
      <c r="G1080" s="223" t="s">
        <v>497</v>
      </c>
      <c r="H1080" s="225" t="s">
        <v>1498</v>
      </c>
      <c r="I1080" s="208"/>
      <c r="J1080" s="210"/>
      <c r="K1080" s="210"/>
      <c r="L1080" s="210"/>
      <c r="M1080" s="210"/>
      <c r="N1080" s="210"/>
      <c r="O1080" s="210"/>
      <c r="P1080" s="210"/>
      <c r="Q1080" s="210"/>
      <c r="R1080" s="210"/>
      <c r="S1080" s="210"/>
      <c r="T1080" s="210"/>
      <c r="U1080" s="210"/>
      <c r="V1080" s="210"/>
      <c r="W1080" s="210"/>
      <c r="X1080" s="210"/>
      <c r="Y1080" s="210"/>
      <c r="Z1080" s="210"/>
    </row>
    <row r="1081" ht="21.75" customHeight="1">
      <c r="A1081" s="214"/>
      <c r="B1081" s="221"/>
      <c r="C1081" s="222">
        <v>104.0</v>
      </c>
      <c r="D1081" s="223" t="s">
        <v>847</v>
      </c>
      <c r="E1081" s="223" t="s">
        <v>487</v>
      </c>
      <c r="F1081" s="223" t="s">
        <v>512</v>
      </c>
      <c r="G1081" s="223" t="s">
        <v>501</v>
      </c>
      <c r="H1081" s="225" t="s">
        <v>1499</v>
      </c>
      <c r="I1081" s="208"/>
      <c r="J1081" s="210"/>
      <c r="K1081" s="210"/>
      <c r="L1081" s="210"/>
      <c r="M1081" s="210"/>
      <c r="N1081" s="210"/>
      <c r="O1081" s="210"/>
      <c r="P1081" s="210"/>
      <c r="Q1081" s="210"/>
      <c r="R1081" s="210"/>
      <c r="S1081" s="210"/>
      <c r="T1081" s="210"/>
      <c r="U1081" s="210"/>
      <c r="V1081" s="210"/>
      <c r="W1081" s="210"/>
      <c r="X1081" s="210"/>
      <c r="Y1081" s="210"/>
      <c r="Z1081" s="210"/>
    </row>
    <row r="1082" ht="21.75" customHeight="1">
      <c r="A1082" s="214"/>
      <c r="B1082" s="221"/>
      <c r="C1082" s="222">
        <v>105.0</v>
      </c>
      <c r="D1082" s="223" t="s">
        <v>519</v>
      </c>
      <c r="E1082" s="223" t="s">
        <v>508</v>
      </c>
      <c r="F1082" s="223" t="s">
        <v>509</v>
      </c>
      <c r="G1082" s="223" t="s">
        <v>510</v>
      </c>
      <c r="H1082" s="225" t="s">
        <v>1500</v>
      </c>
      <c r="I1082" s="208"/>
      <c r="J1082" s="210"/>
      <c r="K1082" s="210"/>
      <c r="L1082" s="210"/>
      <c r="M1082" s="210"/>
      <c r="N1082" s="210"/>
      <c r="O1082" s="210"/>
      <c r="P1082" s="210"/>
      <c r="Q1082" s="210"/>
      <c r="R1082" s="210"/>
      <c r="S1082" s="210"/>
      <c r="T1082" s="210"/>
      <c r="U1082" s="210"/>
      <c r="V1082" s="210"/>
      <c r="W1082" s="210"/>
      <c r="X1082" s="210"/>
      <c r="Y1082" s="210"/>
      <c r="Z1082" s="210"/>
    </row>
    <row r="1083" ht="21.75" customHeight="1">
      <c r="A1083" s="214"/>
      <c r="B1083" s="217"/>
      <c r="C1083" s="222">
        <v>106.0</v>
      </c>
      <c r="D1083" s="215" t="s">
        <v>837</v>
      </c>
      <c r="E1083" s="215" t="s">
        <v>487</v>
      </c>
      <c r="F1083" s="215" t="s">
        <v>826</v>
      </c>
      <c r="G1083" s="215" t="s">
        <v>526</v>
      </c>
      <c r="H1083" s="224" t="s">
        <v>490</v>
      </c>
      <c r="I1083" s="208"/>
      <c r="J1083" s="210"/>
      <c r="K1083" s="210"/>
      <c r="L1083" s="210"/>
      <c r="M1083" s="210"/>
      <c r="N1083" s="210"/>
      <c r="O1083" s="210"/>
      <c r="P1083" s="210"/>
      <c r="Q1083" s="210"/>
      <c r="R1083" s="210"/>
      <c r="S1083" s="210"/>
      <c r="T1083" s="210"/>
      <c r="U1083" s="210"/>
      <c r="V1083" s="210"/>
      <c r="W1083" s="210"/>
      <c r="X1083" s="210"/>
      <c r="Y1083" s="210"/>
      <c r="Z1083" s="210"/>
    </row>
    <row r="1084" ht="21.75" customHeight="1">
      <c r="A1084" s="214"/>
      <c r="B1084" s="218" t="s">
        <v>1501</v>
      </c>
      <c r="C1084" s="226">
        <v>50752.0</v>
      </c>
      <c r="D1084" s="220"/>
      <c r="E1084" s="220"/>
      <c r="F1084" s="220"/>
      <c r="G1084" s="220"/>
      <c r="H1084" s="221"/>
      <c r="I1084" s="208"/>
      <c r="J1084" s="210"/>
      <c r="K1084" s="210"/>
      <c r="L1084" s="210"/>
      <c r="M1084" s="210"/>
      <c r="N1084" s="210"/>
      <c r="O1084" s="210"/>
      <c r="P1084" s="210"/>
      <c r="Q1084" s="210"/>
      <c r="R1084" s="210"/>
      <c r="S1084" s="210"/>
      <c r="T1084" s="210"/>
      <c r="U1084" s="210"/>
      <c r="V1084" s="210"/>
      <c r="W1084" s="210"/>
      <c r="X1084" s="210"/>
      <c r="Y1084" s="210"/>
      <c r="Z1084" s="210"/>
    </row>
    <row r="1085" ht="21.75" customHeight="1">
      <c r="A1085" s="214"/>
      <c r="B1085" s="221"/>
      <c r="C1085" s="222">
        <v>100.0</v>
      </c>
      <c r="D1085" s="223" t="s">
        <v>486</v>
      </c>
      <c r="E1085" s="223" t="s">
        <v>487</v>
      </c>
      <c r="F1085" s="223" t="s">
        <v>488</v>
      </c>
      <c r="G1085" s="223" t="s">
        <v>489</v>
      </c>
      <c r="H1085" s="224" t="s">
        <v>490</v>
      </c>
      <c r="I1085" s="208"/>
      <c r="J1085" s="210"/>
      <c r="K1085" s="210"/>
      <c r="L1085" s="210"/>
      <c r="M1085" s="210"/>
      <c r="N1085" s="210"/>
      <c r="O1085" s="210"/>
      <c r="P1085" s="210"/>
      <c r="Q1085" s="210"/>
      <c r="R1085" s="210"/>
      <c r="S1085" s="210"/>
      <c r="T1085" s="210"/>
      <c r="U1085" s="210"/>
      <c r="V1085" s="210"/>
      <c r="W1085" s="210"/>
      <c r="X1085" s="210"/>
      <c r="Y1085" s="210"/>
      <c r="Z1085" s="210"/>
    </row>
    <row r="1086" ht="21.75" customHeight="1">
      <c r="A1086" s="214"/>
      <c r="B1086" s="221"/>
      <c r="C1086" s="222">
        <v>101.0</v>
      </c>
      <c r="D1086" s="223" t="s">
        <v>837</v>
      </c>
      <c r="E1086" s="223" t="s">
        <v>529</v>
      </c>
      <c r="F1086" s="223" t="s">
        <v>530</v>
      </c>
      <c r="G1086" s="218" t="s">
        <v>490</v>
      </c>
      <c r="H1086" s="225" t="s">
        <v>1502</v>
      </c>
      <c r="I1086" s="208"/>
      <c r="J1086" s="210"/>
      <c r="K1086" s="210"/>
      <c r="L1086" s="210"/>
      <c r="M1086" s="210"/>
      <c r="N1086" s="210"/>
      <c r="O1086" s="210"/>
      <c r="P1086" s="210"/>
      <c r="Q1086" s="210"/>
      <c r="R1086" s="210"/>
      <c r="S1086" s="210"/>
      <c r="T1086" s="210"/>
      <c r="U1086" s="210"/>
      <c r="V1086" s="210"/>
      <c r="W1086" s="210"/>
      <c r="X1086" s="210"/>
      <c r="Y1086" s="210"/>
      <c r="Z1086" s="210"/>
    </row>
    <row r="1087" ht="21.75" customHeight="1">
      <c r="A1087" s="214"/>
      <c r="B1087" s="221"/>
      <c r="C1087" s="222">
        <v>102.0</v>
      </c>
      <c r="D1087" s="223" t="s">
        <v>495</v>
      </c>
      <c r="E1087" s="223" t="s">
        <v>487</v>
      </c>
      <c r="F1087" s="223" t="s">
        <v>496</v>
      </c>
      <c r="G1087" s="223" t="s">
        <v>497</v>
      </c>
      <c r="H1087" s="225" t="s">
        <v>1503</v>
      </c>
      <c r="I1087" s="208"/>
      <c r="J1087" s="210"/>
      <c r="K1087" s="210"/>
      <c r="L1087" s="210"/>
      <c r="M1087" s="210"/>
      <c r="N1087" s="210"/>
      <c r="O1087" s="210"/>
      <c r="P1087" s="210"/>
      <c r="Q1087" s="210"/>
      <c r="R1087" s="210"/>
      <c r="S1087" s="210"/>
      <c r="T1087" s="210"/>
      <c r="U1087" s="210"/>
      <c r="V1087" s="210"/>
      <c r="W1087" s="210"/>
      <c r="X1087" s="210"/>
      <c r="Y1087" s="210"/>
      <c r="Z1087" s="210"/>
    </row>
    <row r="1088" ht="21.75" customHeight="1">
      <c r="A1088" s="214"/>
      <c r="B1088" s="221"/>
      <c r="C1088" s="222">
        <v>103.0</v>
      </c>
      <c r="D1088" s="223" t="s">
        <v>516</v>
      </c>
      <c r="E1088" s="223" t="s">
        <v>487</v>
      </c>
      <c r="F1088" s="223" t="s">
        <v>500</v>
      </c>
      <c r="G1088" s="223" t="s">
        <v>501</v>
      </c>
      <c r="H1088" s="225" t="s">
        <v>1504</v>
      </c>
      <c r="I1088" s="208"/>
      <c r="J1088" s="210"/>
      <c r="K1088" s="210"/>
      <c r="L1088" s="210"/>
      <c r="M1088" s="210"/>
      <c r="N1088" s="210"/>
      <c r="O1088" s="210"/>
      <c r="P1088" s="210"/>
      <c r="Q1088" s="210"/>
      <c r="R1088" s="210"/>
      <c r="S1088" s="210"/>
      <c r="T1088" s="210"/>
      <c r="U1088" s="210"/>
      <c r="V1088" s="210"/>
      <c r="W1088" s="210"/>
      <c r="X1088" s="210"/>
      <c r="Y1088" s="210"/>
      <c r="Z1088" s="210"/>
    </row>
    <row r="1089" ht="21.75" customHeight="1">
      <c r="A1089" s="214"/>
      <c r="B1089" s="221"/>
      <c r="C1089" s="222">
        <v>104.0</v>
      </c>
      <c r="D1089" s="223" t="s">
        <v>519</v>
      </c>
      <c r="E1089" s="223" t="s">
        <v>508</v>
      </c>
      <c r="F1089" s="223" t="s">
        <v>509</v>
      </c>
      <c r="G1089" s="223" t="s">
        <v>510</v>
      </c>
      <c r="H1089" s="225" t="s">
        <v>1505</v>
      </c>
      <c r="I1089" s="208"/>
      <c r="J1089" s="210"/>
      <c r="K1089" s="210"/>
      <c r="L1089" s="210"/>
      <c r="M1089" s="210"/>
      <c r="N1089" s="210"/>
      <c r="O1089" s="210"/>
      <c r="P1089" s="210"/>
      <c r="Q1089" s="210"/>
      <c r="R1089" s="210"/>
      <c r="S1089" s="210"/>
      <c r="T1089" s="210"/>
      <c r="U1089" s="210"/>
      <c r="V1089" s="210"/>
      <c r="W1089" s="210"/>
      <c r="X1089" s="210"/>
      <c r="Y1089" s="210"/>
      <c r="Z1089" s="210"/>
    </row>
    <row r="1090" ht="21.75" customHeight="1">
      <c r="A1090" s="214"/>
      <c r="B1090" s="217"/>
      <c r="C1090" s="222">
        <v>105.0</v>
      </c>
      <c r="D1090" s="215" t="s">
        <v>837</v>
      </c>
      <c r="E1090" s="215" t="s">
        <v>487</v>
      </c>
      <c r="F1090" s="215" t="s">
        <v>826</v>
      </c>
      <c r="G1090" s="215" t="s">
        <v>526</v>
      </c>
      <c r="H1090" s="224" t="s">
        <v>490</v>
      </c>
      <c r="I1090" s="208"/>
      <c r="J1090" s="210"/>
      <c r="K1090" s="210"/>
      <c r="L1090" s="210"/>
      <c r="M1090" s="210"/>
      <c r="N1090" s="210"/>
      <c r="O1090" s="210"/>
      <c r="P1090" s="210"/>
      <c r="Q1090" s="210"/>
      <c r="R1090" s="210"/>
      <c r="S1090" s="210"/>
      <c r="T1090" s="210"/>
      <c r="U1090" s="210"/>
      <c r="V1090" s="210"/>
      <c r="W1090" s="210"/>
      <c r="X1090" s="210"/>
      <c r="Y1090" s="210"/>
      <c r="Z1090" s="210"/>
    </row>
    <row r="1091" ht="21.75" customHeight="1">
      <c r="A1091" s="214"/>
      <c r="B1091" s="218" t="s">
        <v>1506</v>
      </c>
      <c r="C1091" s="226">
        <v>50754.0</v>
      </c>
      <c r="D1091" s="220"/>
      <c r="E1091" s="220"/>
      <c r="F1091" s="220"/>
      <c r="G1091" s="220"/>
      <c r="H1091" s="221"/>
      <c r="I1091" s="208"/>
      <c r="J1091" s="210"/>
      <c r="K1091" s="210"/>
      <c r="L1091" s="210"/>
      <c r="M1091" s="210"/>
      <c r="N1091" s="210"/>
      <c r="O1091" s="210"/>
      <c r="P1091" s="210"/>
      <c r="Q1091" s="210"/>
      <c r="R1091" s="210"/>
      <c r="S1091" s="210"/>
      <c r="T1091" s="210"/>
      <c r="U1091" s="210"/>
      <c r="V1091" s="210"/>
      <c r="W1091" s="210"/>
      <c r="X1091" s="210"/>
      <c r="Y1091" s="210"/>
      <c r="Z1091" s="210"/>
    </row>
    <row r="1092" ht="21.75" customHeight="1">
      <c r="A1092" s="214"/>
      <c r="B1092" s="221"/>
      <c r="C1092" s="222">
        <v>100.0</v>
      </c>
      <c r="D1092" s="223" t="s">
        <v>486</v>
      </c>
      <c r="E1092" s="223" t="s">
        <v>487</v>
      </c>
      <c r="F1092" s="223" t="s">
        <v>488</v>
      </c>
      <c r="G1092" s="223" t="s">
        <v>489</v>
      </c>
      <c r="H1092" s="224" t="s">
        <v>490</v>
      </c>
      <c r="I1092" s="208"/>
      <c r="J1092" s="210"/>
      <c r="K1092" s="210"/>
      <c r="L1092" s="210"/>
      <c r="M1092" s="210"/>
      <c r="N1092" s="210"/>
      <c r="O1092" s="210"/>
      <c r="P1092" s="210"/>
      <c r="Q1092" s="210"/>
      <c r="R1092" s="210"/>
      <c r="S1092" s="210"/>
      <c r="T1092" s="210"/>
      <c r="U1092" s="210"/>
      <c r="V1092" s="210"/>
      <c r="W1092" s="210"/>
      <c r="X1092" s="210"/>
      <c r="Y1092" s="210"/>
      <c r="Z1092" s="210"/>
    </row>
    <row r="1093" ht="21.75" customHeight="1">
      <c r="A1093" s="214"/>
      <c r="B1093" s="221"/>
      <c r="C1093" s="222">
        <v>101.0</v>
      </c>
      <c r="D1093" s="223" t="s">
        <v>837</v>
      </c>
      <c r="E1093" s="223" t="s">
        <v>529</v>
      </c>
      <c r="F1093" s="223" t="s">
        <v>530</v>
      </c>
      <c r="G1093" s="218" t="s">
        <v>490</v>
      </c>
      <c r="H1093" s="225" t="s">
        <v>1507</v>
      </c>
      <c r="I1093" s="208"/>
      <c r="J1093" s="210"/>
      <c r="K1093" s="210"/>
      <c r="L1093" s="210"/>
      <c r="M1093" s="210"/>
      <c r="N1093" s="210"/>
      <c r="O1093" s="210"/>
      <c r="P1093" s="210"/>
      <c r="Q1093" s="210"/>
      <c r="R1093" s="210"/>
      <c r="S1093" s="210"/>
      <c r="T1093" s="210"/>
      <c r="U1093" s="210"/>
      <c r="V1093" s="210"/>
      <c r="W1093" s="210"/>
      <c r="X1093" s="210"/>
      <c r="Y1093" s="210"/>
      <c r="Z1093" s="210"/>
    </row>
    <row r="1094" ht="21.75" customHeight="1">
      <c r="A1094" s="214"/>
      <c r="B1094" s="221"/>
      <c r="C1094" s="222">
        <v>102.0</v>
      </c>
      <c r="D1094" s="223" t="s">
        <v>516</v>
      </c>
      <c r="E1094" s="223" t="s">
        <v>487</v>
      </c>
      <c r="F1094" s="223" t="s">
        <v>496</v>
      </c>
      <c r="G1094" s="223" t="s">
        <v>493</v>
      </c>
      <c r="H1094" s="225" t="s">
        <v>1508</v>
      </c>
      <c r="I1094" s="208"/>
      <c r="J1094" s="210"/>
      <c r="K1094" s="210"/>
      <c r="L1094" s="210"/>
      <c r="M1094" s="210"/>
      <c r="N1094" s="210"/>
      <c r="O1094" s="210"/>
      <c r="P1094" s="210"/>
      <c r="Q1094" s="210"/>
      <c r="R1094" s="210"/>
      <c r="S1094" s="210"/>
      <c r="T1094" s="210"/>
      <c r="U1094" s="210"/>
      <c r="V1094" s="210"/>
      <c r="W1094" s="210"/>
      <c r="X1094" s="210"/>
      <c r="Y1094" s="210"/>
      <c r="Z1094" s="210"/>
    </row>
    <row r="1095" ht="21.75" customHeight="1">
      <c r="A1095" s="214"/>
      <c r="B1095" s="221"/>
      <c r="C1095" s="222">
        <v>103.0</v>
      </c>
      <c r="D1095" s="223" t="s">
        <v>1433</v>
      </c>
      <c r="E1095" s="223" t="s">
        <v>487</v>
      </c>
      <c r="F1095" s="223" t="s">
        <v>500</v>
      </c>
      <c r="G1095" s="223" t="s">
        <v>497</v>
      </c>
      <c r="H1095" s="225" t="s">
        <v>1509</v>
      </c>
      <c r="I1095" s="208"/>
      <c r="J1095" s="210"/>
      <c r="K1095" s="210"/>
      <c r="L1095" s="210"/>
      <c r="M1095" s="210"/>
      <c r="N1095" s="210"/>
      <c r="O1095" s="210"/>
      <c r="P1095" s="210"/>
      <c r="Q1095" s="210"/>
      <c r="R1095" s="210"/>
      <c r="S1095" s="210"/>
      <c r="T1095" s="210"/>
      <c r="U1095" s="210"/>
      <c r="V1095" s="210"/>
      <c r="W1095" s="210"/>
      <c r="X1095" s="210"/>
      <c r="Y1095" s="210"/>
      <c r="Z1095" s="210"/>
    </row>
    <row r="1096" ht="21.75" customHeight="1">
      <c r="A1096" s="214"/>
      <c r="B1096" s="221"/>
      <c r="C1096" s="222">
        <v>104.0</v>
      </c>
      <c r="D1096" s="223" t="s">
        <v>847</v>
      </c>
      <c r="E1096" s="223" t="s">
        <v>487</v>
      </c>
      <c r="F1096" s="223" t="s">
        <v>512</v>
      </c>
      <c r="G1096" s="223" t="s">
        <v>501</v>
      </c>
      <c r="H1096" s="224" t="s">
        <v>490</v>
      </c>
      <c r="I1096" s="208"/>
      <c r="J1096" s="210"/>
      <c r="K1096" s="210"/>
      <c r="L1096" s="210"/>
      <c r="M1096" s="210"/>
      <c r="N1096" s="210"/>
      <c r="O1096" s="210"/>
      <c r="P1096" s="210"/>
      <c r="Q1096" s="210"/>
      <c r="R1096" s="210"/>
      <c r="S1096" s="210"/>
      <c r="T1096" s="210"/>
      <c r="U1096" s="210"/>
      <c r="V1096" s="210"/>
      <c r="W1096" s="210"/>
      <c r="X1096" s="210"/>
      <c r="Y1096" s="210"/>
      <c r="Z1096" s="210"/>
    </row>
    <row r="1097" ht="21.75" customHeight="1">
      <c r="A1097" s="214"/>
      <c r="B1097" s="221"/>
      <c r="C1097" s="222">
        <v>105.0</v>
      </c>
      <c r="D1097" s="223" t="s">
        <v>519</v>
      </c>
      <c r="E1097" s="223" t="s">
        <v>508</v>
      </c>
      <c r="F1097" s="223" t="s">
        <v>509</v>
      </c>
      <c r="G1097" s="223" t="s">
        <v>510</v>
      </c>
      <c r="H1097" s="225" t="s">
        <v>1510</v>
      </c>
      <c r="I1097" s="208"/>
      <c r="J1097" s="210"/>
      <c r="K1097" s="210"/>
      <c r="L1097" s="210"/>
      <c r="M1097" s="210"/>
      <c r="N1097" s="210"/>
      <c r="O1097" s="210"/>
      <c r="P1097" s="210"/>
      <c r="Q1097" s="210"/>
      <c r="R1097" s="210"/>
      <c r="S1097" s="210"/>
      <c r="T1097" s="210"/>
      <c r="U1097" s="210"/>
      <c r="V1097" s="210"/>
      <c r="W1097" s="210"/>
      <c r="X1097" s="210"/>
      <c r="Y1097" s="210"/>
      <c r="Z1097" s="210"/>
    </row>
    <row r="1098" ht="21.75" customHeight="1">
      <c r="A1098" s="214"/>
      <c r="B1098" s="217"/>
      <c r="C1098" s="222">
        <v>106.0</v>
      </c>
      <c r="D1098" s="215" t="s">
        <v>837</v>
      </c>
      <c r="E1098" s="215" t="s">
        <v>487</v>
      </c>
      <c r="F1098" s="215" t="s">
        <v>826</v>
      </c>
      <c r="G1098" s="215" t="s">
        <v>526</v>
      </c>
      <c r="H1098" s="224" t="s">
        <v>490</v>
      </c>
      <c r="I1098" s="208"/>
      <c r="J1098" s="210"/>
      <c r="K1098" s="210"/>
      <c r="L1098" s="210"/>
      <c r="M1098" s="210"/>
      <c r="N1098" s="210"/>
      <c r="O1098" s="210"/>
      <c r="P1098" s="210"/>
      <c r="Q1098" s="210"/>
      <c r="R1098" s="210"/>
      <c r="S1098" s="210"/>
      <c r="T1098" s="210"/>
      <c r="U1098" s="210"/>
      <c r="V1098" s="210"/>
      <c r="W1098" s="210"/>
      <c r="X1098" s="210"/>
      <c r="Y1098" s="210"/>
      <c r="Z1098" s="210"/>
    </row>
    <row r="1099" ht="21.75" customHeight="1">
      <c r="A1099" s="214"/>
      <c r="B1099" s="218" t="s">
        <v>1511</v>
      </c>
      <c r="C1099" s="226">
        <v>50753.0</v>
      </c>
      <c r="D1099" s="220"/>
      <c r="E1099" s="220"/>
      <c r="F1099" s="220"/>
      <c r="G1099" s="220"/>
      <c r="H1099" s="221"/>
      <c r="I1099" s="208"/>
      <c r="J1099" s="210"/>
      <c r="K1099" s="210"/>
      <c r="L1099" s="210"/>
      <c r="M1099" s="210"/>
      <c r="N1099" s="210"/>
      <c r="O1099" s="210"/>
      <c r="P1099" s="210"/>
      <c r="Q1099" s="210"/>
      <c r="R1099" s="210"/>
      <c r="S1099" s="210"/>
      <c r="T1099" s="210"/>
      <c r="U1099" s="210"/>
      <c r="V1099" s="210"/>
      <c r="W1099" s="210"/>
      <c r="X1099" s="210"/>
      <c r="Y1099" s="210"/>
      <c r="Z1099" s="210"/>
    </row>
    <row r="1100" ht="21.75" customHeight="1">
      <c r="A1100" s="214"/>
      <c r="B1100" s="221"/>
      <c r="C1100" s="222">
        <v>100.0</v>
      </c>
      <c r="D1100" s="223" t="s">
        <v>486</v>
      </c>
      <c r="E1100" s="223" t="s">
        <v>487</v>
      </c>
      <c r="F1100" s="223" t="s">
        <v>488</v>
      </c>
      <c r="G1100" s="223" t="s">
        <v>489</v>
      </c>
      <c r="H1100" s="224" t="s">
        <v>490</v>
      </c>
      <c r="I1100" s="208"/>
      <c r="J1100" s="210"/>
      <c r="K1100" s="210"/>
      <c r="L1100" s="210"/>
      <c r="M1100" s="210"/>
      <c r="N1100" s="210"/>
      <c r="O1100" s="210"/>
      <c r="P1100" s="210"/>
      <c r="Q1100" s="210"/>
      <c r="R1100" s="210"/>
      <c r="S1100" s="210"/>
      <c r="T1100" s="210"/>
      <c r="U1100" s="210"/>
      <c r="V1100" s="210"/>
      <c r="W1100" s="210"/>
      <c r="X1100" s="210"/>
      <c r="Y1100" s="210"/>
      <c r="Z1100" s="210"/>
    </row>
    <row r="1101" ht="21.75" customHeight="1">
      <c r="A1101" s="214"/>
      <c r="B1101" s="221"/>
      <c r="C1101" s="222">
        <v>101.0</v>
      </c>
      <c r="D1101" s="223" t="s">
        <v>837</v>
      </c>
      <c r="E1101" s="223" t="s">
        <v>529</v>
      </c>
      <c r="F1101" s="223" t="s">
        <v>530</v>
      </c>
      <c r="G1101" s="218" t="s">
        <v>490</v>
      </c>
      <c r="H1101" s="225" t="s">
        <v>1512</v>
      </c>
      <c r="I1101" s="208"/>
      <c r="J1101" s="210"/>
      <c r="K1101" s="210"/>
      <c r="L1101" s="210"/>
      <c r="M1101" s="210"/>
      <c r="N1101" s="210"/>
      <c r="O1101" s="210"/>
      <c r="P1101" s="210"/>
      <c r="Q1101" s="210"/>
      <c r="R1101" s="210"/>
      <c r="S1101" s="210"/>
      <c r="T1101" s="210"/>
      <c r="U1101" s="210"/>
      <c r="V1101" s="210"/>
      <c r="W1101" s="210"/>
      <c r="X1101" s="210"/>
      <c r="Y1101" s="210"/>
      <c r="Z1101" s="210"/>
    </row>
    <row r="1102" ht="21.75" customHeight="1">
      <c r="A1102" s="214"/>
      <c r="B1102" s="221"/>
      <c r="C1102" s="222">
        <v>102.0</v>
      </c>
      <c r="D1102" s="223" t="s">
        <v>495</v>
      </c>
      <c r="E1102" s="223" t="s">
        <v>487</v>
      </c>
      <c r="F1102" s="223" t="s">
        <v>492</v>
      </c>
      <c r="G1102" s="223" t="s">
        <v>497</v>
      </c>
      <c r="H1102" s="225" t="s">
        <v>1513</v>
      </c>
      <c r="I1102" s="208"/>
      <c r="J1102" s="210"/>
      <c r="K1102" s="210"/>
      <c r="L1102" s="210"/>
      <c r="M1102" s="210"/>
      <c r="N1102" s="210"/>
      <c r="O1102" s="210"/>
      <c r="P1102" s="210"/>
      <c r="Q1102" s="210"/>
      <c r="R1102" s="210"/>
      <c r="S1102" s="210"/>
      <c r="T1102" s="210"/>
      <c r="U1102" s="210"/>
      <c r="V1102" s="210"/>
      <c r="W1102" s="210"/>
      <c r="X1102" s="210"/>
      <c r="Y1102" s="210"/>
      <c r="Z1102" s="210"/>
    </row>
    <row r="1103" ht="21.75" customHeight="1">
      <c r="A1103" s="214"/>
      <c r="B1103" s="221"/>
      <c r="C1103" s="222">
        <v>103.0</v>
      </c>
      <c r="D1103" s="223" t="s">
        <v>516</v>
      </c>
      <c r="E1103" s="223" t="s">
        <v>487</v>
      </c>
      <c r="F1103" s="223" t="s">
        <v>496</v>
      </c>
      <c r="G1103" s="223" t="s">
        <v>501</v>
      </c>
      <c r="H1103" s="225" t="s">
        <v>1514</v>
      </c>
      <c r="I1103" s="208"/>
      <c r="J1103" s="210"/>
      <c r="K1103" s="210"/>
      <c r="L1103" s="210"/>
      <c r="M1103" s="210"/>
      <c r="N1103" s="210"/>
      <c r="O1103" s="210"/>
      <c r="P1103" s="210"/>
      <c r="Q1103" s="210"/>
      <c r="R1103" s="210"/>
      <c r="S1103" s="210"/>
      <c r="T1103" s="210"/>
      <c r="U1103" s="210"/>
      <c r="V1103" s="210"/>
      <c r="W1103" s="210"/>
      <c r="X1103" s="210"/>
      <c r="Y1103" s="210"/>
      <c r="Z1103" s="210"/>
    </row>
    <row r="1104" ht="21.75" customHeight="1">
      <c r="A1104" s="214"/>
      <c r="B1104" s="221"/>
      <c r="C1104" s="222">
        <v>104.0</v>
      </c>
      <c r="D1104" s="223" t="s">
        <v>519</v>
      </c>
      <c r="E1104" s="223" t="s">
        <v>508</v>
      </c>
      <c r="F1104" s="223" t="s">
        <v>509</v>
      </c>
      <c r="G1104" s="223" t="s">
        <v>510</v>
      </c>
      <c r="H1104" s="225" t="s">
        <v>1515</v>
      </c>
      <c r="I1104" s="208"/>
      <c r="J1104" s="210"/>
      <c r="K1104" s="210"/>
      <c r="L1104" s="210"/>
      <c r="M1104" s="210"/>
      <c r="N1104" s="210"/>
      <c r="O1104" s="210"/>
      <c r="P1104" s="210"/>
      <c r="Q1104" s="210"/>
      <c r="R1104" s="210"/>
      <c r="S1104" s="210"/>
      <c r="T1104" s="210"/>
      <c r="U1104" s="210"/>
      <c r="V1104" s="210"/>
      <c r="W1104" s="210"/>
      <c r="X1104" s="210"/>
      <c r="Y1104" s="210"/>
      <c r="Z1104" s="210"/>
    </row>
    <row r="1105" ht="21.75" customHeight="1">
      <c r="A1105" s="228"/>
      <c r="B1105" s="221"/>
      <c r="C1105" s="222">
        <v>105.0</v>
      </c>
      <c r="D1105" s="223" t="s">
        <v>837</v>
      </c>
      <c r="E1105" s="223" t="s">
        <v>487</v>
      </c>
      <c r="F1105" s="223" t="s">
        <v>500</v>
      </c>
      <c r="G1105" s="223" t="s">
        <v>526</v>
      </c>
      <c r="H1105" s="224" t="s">
        <v>490</v>
      </c>
      <c r="I1105" s="208"/>
      <c r="J1105" s="210"/>
      <c r="K1105" s="210"/>
      <c r="L1105" s="210"/>
      <c r="M1105" s="210"/>
      <c r="N1105" s="210"/>
      <c r="O1105" s="210"/>
      <c r="P1105" s="210"/>
      <c r="Q1105" s="210"/>
      <c r="R1105" s="210"/>
      <c r="S1105" s="210"/>
      <c r="T1105" s="210"/>
      <c r="U1105" s="210"/>
      <c r="V1105" s="210"/>
      <c r="W1105" s="210"/>
      <c r="X1105" s="210"/>
      <c r="Y1105" s="210"/>
      <c r="Z1105" s="210"/>
    </row>
    <row r="1106" ht="21.75" customHeight="1">
      <c r="A1106" s="214">
        <v>248.0</v>
      </c>
      <c r="B1106" s="215" t="s">
        <v>1516</v>
      </c>
      <c r="C1106" s="216"/>
      <c r="D1106" s="217"/>
      <c r="E1106" s="217"/>
      <c r="F1106" s="217"/>
      <c r="G1106" s="217"/>
      <c r="H1106" s="217"/>
      <c r="I1106" s="208"/>
      <c r="J1106" s="210"/>
      <c r="K1106" s="210"/>
      <c r="L1106" s="210"/>
      <c r="M1106" s="210"/>
      <c r="N1106" s="210"/>
      <c r="O1106" s="210"/>
      <c r="P1106" s="210"/>
      <c r="Q1106" s="210"/>
      <c r="R1106" s="210"/>
      <c r="S1106" s="210"/>
      <c r="T1106" s="210"/>
      <c r="U1106" s="210"/>
      <c r="V1106" s="210"/>
      <c r="W1106" s="210"/>
      <c r="X1106" s="210"/>
      <c r="Y1106" s="210"/>
      <c r="Z1106" s="210"/>
    </row>
    <row r="1107" ht="21.75" customHeight="1">
      <c r="A1107" s="214"/>
      <c r="B1107" s="218" t="s">
        <v>1517</v>
      </c>
      <c r="C1107" s="219">
        <v>50745.0</v>
      </c>
      <c r="D1107" s="220"/>
      <c r="E1107" s="220"/>
      <c r="F1107" s="220"/>
      <c r="G1107" s="220"/>
      <c r="H1107" s="220"/>
      <c r="I1107" s="208"/>
      <c r="J1107" s="210"/>
      <c r="K1107" s="210"/>
      <c r="L1107" s="210"/>
      <c r="M1107" s="210"/>
      <c r="N1107" s="210"/>
      <c r="O1107" s="210"/>
      <c r="P1107" s="210"/>
      <c r="Q1107" s="210"/>
      <c r="R1107" s="210"/>
      <c r="S1107" s="210"/>
      <c r="T1107" s="210"/>
      <c r="U1107" s="210"/>
      <c r="V1107" s="210"/>
      <c r="W1107" s="210"/>
      <c r="X1107" s="210"/>
      <c r="Y1107" s="210"/>
      <c r="Z1107" s="210"/>
    </row>
    <row r="1108" ht="21.75" customHeight="1">
      <c r="A1108" s="214"/>
      <c r="B1108" s="221"/>
      <c r="C1108" s="222">
        <v>100.0</v>
      </c>
      <c r="D1108" s="223" t="s">
        <v>486</v>
      </c>
      <c r="E1108" s="223" t="s">
        <v>487</v>
      </c>
      <c r="F1108" s="223" t="s">
        <v>488</v>
      </c>
      <c r="G1108" s="223" t="s">
        <v>489</v>
      </c>
      <c r="H1108" s="224" t="s">
        <v>490</v>
      </c>
      <c r="I1108" s="208"/>
      <c r="J1108" s="210"/>
      <c r="K1108" s="210"/>
      <c r="L1108" s="210"/>
      <c r="M1108" s="210"/>
      <c r="N1108" s="210"/>
      <c r="O1108" s="210"/>
      <c r="P1108" s="210"/>
      <c r="Q1108" s="210"/>
      <c r="R1108" s="210"/>
      <c r="S1108" s="210"/>
      <c r="T1108" s="210"/>
      <c r="U1108" s="210"/>
      <c r="V1108" s="210"/>
      <c r="W1108" s="210"/>
      <c r="X1108" s="210"/>
      <c r="Y1108" s="210"/>
      <c r="Z1108" s="210"/>
    </row>
    <row r="1109" ht="21.75" customHeight="1">
      <c r="A1109" s="214"/>
      <c r="B1109" s="221"/>
      <c r="C1109" s="222">
        <v>101.0</v>
      </c>
      <c r="D1109" s="223" t="s">
        <v>491</v>
      </c>
      <c r="E1109" s="223" t="s">
        <v>487</v>
      </c>
      <c r="F1109" s="223" t="s">
        <v>492</v>
      </c>
      <c r="G1109" s="223" t="s">
        <v>678</v>
      </c>
      <c r="H1109" s="225" t="s">
        <v>1518</v>
      </c>
      <c r="I1109" s="208"/>
      <c r="J1109" s="210"/>
      <c r="K1109" s="210"/>
      <c r="L1109" s="210"/>
      <c r="M1109" s="210"/>
      <c r="N1109" s="210"/>
      <c r="O1109" s="210"/>
      <c r="P1109" s="210"/>
      <c r="Q1109" s="210"/>
      <c r="R1109" s="210"/>
      <c r="S1109" s="210"/>
      <c r="T1109" s="210"/>
      <c r="U1109" s="210"/>
      <c r="V1109" s="210"/>
      <c r="W1109" s="210"/>
      <c r="X1109" s="210"/>
      <c r="Y1109" s="210"/>
      <c r="Z1109" s="210"/>
    </row>
    <row r="1110" ht="21.75" customHeight="1">
      <c r="A1110" s="214"/>
      <c r="B1110" s="221"/>
      <c r="C1110" s="222">
        <v>102.0</v>
      </c>
      <c r="D1110" s="223" t="s">
        <v>937</v>
      </c>
      <c r="E1110" s="223" t="s">
        <v>487</v>
      </c>
      <c r="F1110" s="223" t="s">
        <v>496</v>
      </c>
      <c r="G1110" s="223" t="s">
        <v>497</v>
      </c>
      <c r="H1110" s="224" t="s">
        <v>490</v>
      </c>
      <c r="I1110" s="208"/>
      <c r="J1110" s="210"/>
      <c r="K1110" s="210"/>
      <c r="L1110" s="210"/>
      <c r="M1110" s="210"/>
      <c r="N1110" s="210"/>
      <c r="O1110" s="210"/>
      <c r="P1110" s="210"/>
      <c r="Q1110" s="210"/>
      <c r="R1110" s="210"/>
      <c r="S1110" s="210"/>
      <c r="T1110" s="210"/>
      <c r="U1110" s="210"/>
      <c r="V1110" s="210"/>
      <c r="W1110" s="210"/>
      <c r="X1110" s="210"/>
      <c r="Y1110" s="210"/>
      <c r="Z1110" s="210"/>
    </row>
    <row r="1111" ht="21.75" customHeight="1">
      <c r="A1111" s="214"/>
      <c r="B1111" s="221"/>
      <c r="C1111" s="222">
        <v>103.0</v>
      </c>
      <c r="D1111" s="223" t="s">
        <v>779</v>
      </c>
      <c r="E1111" s="223" t="s">
        <v>487</v>
      </c>
      <c r="F1111" s="223" t="s">
        <v>500</v>
      </c>
      <c r="G1111" s="223" t="s">
        <v>501</v>
      </c>
      <c r="H1111" s="224" t="s">
        <v>490</v>
      </c>
      <c r="I1111" s="208"/>
      <c r="J1111" s="210"/>
      <c r="K1111" s="210"/>
      <c r="L1111" s="210"/>
      <c r="M1111" s="210"/>
      <c r="N1111" s="210"/>
      <c r="O1111" s="210"/>
      <c r="P1111" s="210"/>
      <c r="Q1111" s="210"/>
      <c r="R1111" s="210"/>
      <c r="S1111" s="210"/>
      <c r="T1111" s="210"/>
      <c r="U1111" s="210"/>
      <c r="V1111" s="210"/>
      <c r="W1111" s="210"/>
      <c r="X1111" s="210"/>
      <c r="Y1111" s="210"/>
      <c r="Z1111" s="210"/>
    </row>
    <row r="1112" ht="21.75" customHeight="1">
      <c r="A1112" s="228"/>
      <c r="B1112" s="221"/>
      <c r="C1112" s="222">
        <v>104.0</v>
      </c>
      <c r="D1112" s="223" t="s">
        <v>519</v>
      </c>
      <c r="E1112" s="223" t="s">
        <v>508</v>
      </c>
      <c r="F1112" s="223" t="s">
        <v>509</v>
      </c>
      <c r="G1112" s="223" t="s">
        <v>510</v>
      </c>
      <c r="H1112" s="225" t="s">
        <v>1519</v>
      </c>
      <c r="I1112" s="208"/>
      <c r="J1112" s="210"/>
      <c r="K1112" s="210"/>
      <c r="L1112" s="210"/>
      <c r="M1112" s="210"/>
      <c r="N1112" s="210"/>
      <c r="O1112" s="210"/>
      <c r="P1112" s="210"/>
      <c r="Q1112" s="210"/>
      <c r="R1112" s="210"/>
      <c r="S1112" s="210"/>
      <c r="T1112" s="210"/>
      <c r="U1112" s="210"/>
      <c r="V1112" s="210"/>
      <c r="W1112" s="210"/>
      <c r="X1112" s="210"/>
      <c r="Y1112" s="210"/>
      <c r="Z1112" s="210"/>
    </row>
    <row r="1113" ht="21.75" customHeight="1">
      <c r="A1113" s="214">
        <v>249.0</v>
      </c>
      <c r="B1113" s="229" t="s">
        <v>1520</v>
      </c>
      <c r="C1113" s="230"/>
      <c r="D1113" s="217"/>
      <c r="E1113" s="217"/>
      <c r="F1113" s="217"/>
      <c r="G1113" s="217"/>
      <c r="H1113" s="217"/>
      <c r="I1113" s="208"/>
      <c r="J1113" s="210"/>
      <c r="K1113" s="210"/>
      <c r="L1113" s="210"/>
      <c r="M1113" s="210"/>
      <c r="N1113" s="210"/>
      <c r="O1113" s="210"/>
      <c r="P1113" s="210"/>
      <c r="Q1113" s="210"/>
      <c r="R1113" s="210"/>
      <c r="S1113" s="210"/>
      <c r="T1113" s="210"/>
      <c r="U1113" s="210"/>
      <c r="V1113" s="210"/>
      <c r="W1113" s="210"/>
      <c r="X1113" s="210"/>
      <c r="Y1113" s="210"/>
      <c r="Z1113" s="210"/>
    </row>
    <row r="1114" ht="21.75" customHeight="1">
      <c r="A1114" s="214"/>
      <c r="B1114" s="218" t="s">
        <v>1521</v>
      </c>
      <c r="C1114" s="219">
        <v>50777.0</v>
      </c>
      <c r="D1114" s="220"/>
      <c r="E1114" s="220"/>
      <c r="F1114" s="220"/>
      <c r="G1114" s="220"/>
      <c r="H1114" s="220"/>
      <c r="I1114" s="208"/>
      <c r="J1114" s="210"/>
      <c r="K1114" s="210"/>
      <c r="L1114" s="210"/>
      <c r="M1114" s="210"/>
      <c r="N1114" s="210"/>
      <c r="O1114" s="210"/>
      <c r="P1114" s="210"/>
      <c r="Q1114" s="210"/>
      <c r="R1114" s="210"/>
      <c r="S1114" s="210"/>
      <c r="T1114" s="210"/>
      <c r="U1114" s="210"/>
      <c r="V1114" s="210"/>
      <c r="W1114" s="210"/>
      <c r="X1114" s="210"/>
      <c r="Y1114" s="210"/>
      <c r="Z1114" s="210"/>
    </row>
    <row r="1115" ht="21.75" customHeight="1">
      <c r="A1115" s="214"/>
      <c r="B1115" s="221"/>
      <c r="C1115" s="222">
        <v>100.0</v>
      </c>
      <c r="D1115" s="223" t="s">
        <v>491</v>
      </c>
      <c r="E1115" s="223" t="s">
        <v>487</v>
      </c>
      <c r="F1115" s="223" t="s">
        <v>488</v>
      </c>
      <c r="G1115" s="223" t="s">
        <v>678</v>
      </c>
      <c r="H1115" s="225" t="s">
        <v>1522</v>
      </c>
      <c r="I1115" s="208"/>
      <c r="J1115" s="210"/>
      <c r="K1115" s="210"/>
      <c r="L1115" s="210"/>
      <c r="M1115" s="210"/>
      <c r="N1115" s="210"/>
      <c r="O1115" s="210"/>
      <c r="P1115" s="210"/>
      <c r="Q1115" s="210"/>
      <c r="R1115" s="210"/>
      <c r="S1115" s="210"/>
      <c r="T1115" s="210"/>
      <c r="U1115" s="210"/>
      <c r="V1115" s="210"/>
      <c r="W1115" s="210"/>
      <c r="X1115" s="210"/>
      <c r="Y1115" s="210"/>
      <c r="Z1115" s="210"/>
    </row>
    <row r="1116" ht="21.75" customHeight="1">
      <c r="A1116" s="214"/>
      <c r="B1116" s="221"/>
      <c r="C1116" s="222">
        <v>101.0</v>
      </c>
      <c r="D1116" s="223" t="s">
        <v>837</v>
      </c>
      <c r="E1116" s="223" t="s">
        <v>529</v>
      </c>
      <c r="F1116" s="223" t="s">
        <v>530</v>
      </c>
      <c r="G1116" s="218" t="s">
        <v>490</v>
      </c>
      <c r="H1116" s="225" t="s">
        <v>1523</v>
      </c>
      <c r="I1116" s="208"/>
      <c r="J1116" s="210"/>
      <c r="K1116" s="210"/>
      <c r="L1116" s="210"/>
      <c r="M1116" s="210"/>
      <c r="N1116" s="210"/>
      <c r="O1116" s="210"/>
      <c r="P1116" s="210"/>
      <c r="Q1116" s="210"/>
      <c r="R1116" s="210"/>
      <c r="S1116" s="210"/>
      <c r="T1116" s="210"/>
      <c r="U1116" s="210"/>
      <c r="V1116" s="210"/>
      <c r="W1116" s="210"/>
      <c r="X1116" s="210"/>
      <c r="Y1116" s="210"/>
      <c r="Z1116" s="210"/>
    </row>
    <row r="1117" ht="21.75" customHeight="1">
      <c r="A1117" s="214"/>
      <c r="B1117" s="221"/>
      <c r="C1117" s="222">
        <v>102.0</v>
      </c>
      <c r="D1117" s="223" t="s">
        <v>777</v>
      </c>
      <c r="E1117" s="223" t="s">
        <v>487</v>
      </c>
      <c r="F1117" s="223" t="s">
        <v>496</v>
      </c>
      <c r="G1117" s="223" t="s">
        <v>497</v>
      </c>
      <c r="H1117" s="224" t="s">
        <v>490</v>
      </c>
      <c r="I1117" s="208"/>
      <c r="J1117" s="210"/>
      <c r="K1117" s="210"/>
      <c r="L1117" s="210"/>
      <c r="M1117" s="210"/>
      <c r="N1117" s="210"/>
      <c r="O1117" s="210"/>
      <c r="P1117" s="210"/>
      <c r="Q1117" s="210"/>
      <c r="R1117" s="210"/>
      <c r="S1117" s="210"/>
      <c r="T1117" s="210"/>
      <c r="U1117" s="210"/>
      <c r="V1117" s="210"/>
      <c r="W1117" s="210"/>
      <c r="X1117" s="210"/>
      <c r="Y1117" s="210"/>
      <c r="Z1117" s="210"/>
    </row>
    <row r="1118" ht="21.75" customHeight="1">
      <c r="A1118" s="214"/>
      <c r="B1118" s="221"/>
      <c r="C1118" s="222">
        <v>103.0</v>
      </c>
      <c r="D1118" s="223" t="s">
        <v>1391</v>
      </c>
      <c r="E1118" s="223" t="s">
        <v>487</v>
      </c>
      <c r="F1118" s="223" t="s">
        <v>500</v>
      </c>
      <c r="G1118" s="223" t="s">
        <v>501</v>
      </c>
      <c r="H1118" s="224" t="s">
        <v>490</v>
      </c>
      <c r="I1118" s="208"/>
      <c r="J1118" s="210"/>
      <c r="K1118" s="210"/>
      <c r="L1118" s="210"/>
      <c r="M1118" s="210"/>
      <c r="N1118" s="210"/>
      <c r="O1118" s="210"/>
      <c r="P1118" s="210"/>
      <c r="Q1118" s="210"/>
      <c r="R1118" s="210"/>
      <c r="S1118" s="210"/>
      <c r="T1118" s="210"/>
      <c r="U1118" s="210"/>
      <c r="V1118" s="210"/>
      <c r="W1118" s="210"/>
      <c r="X1118" s="210"/>
      <c r="Y1118" s="210"/>
      <c r="Z1118" s="210"/>
    </row>
    <row r="1119" ht="21.75" customHeight="1">
      <c r="A1119" s="214"/>
      <c r="B1119" s="221"/>
      <c r="C1119" s="222">
        <v>104.0</v>
      </c>
      <c r="D1119" s="223" t="s">
        <v>519</v>
      </c>
      <c r="E1119" s="223" t="s">
        <v>508</v>
      </c>
      <c r="F1119" s="223" t="s">
        <v>509</v>
      </c>
      <c r="G1119" s="223" t="s">
        <v>510</v>
      </c>
      <c r="H1119" s="225" t="s">
        <v>1524</v>
      </c>
      <c r="I1119" s="208"/>
      <c r="J1119" s="210"/>
      <c r="K1119" s="210"/>
      <c r="L1119" s="210"/>
      <c r="M1119" s="210"/>
      <c r="N1119" s="210"/>
      <c r="O1119" s="210"/>
      <c r="P1119" s="210"/>
      <c r="Q1119" s="210"/>
      <c r="R1119" s="210"/>
      <c r="S1119" s="210"/>
      <c r="T1119" s="210"/>
      <c r="U1119" s="210"/>
      <c r="V1119" s="210"/>
      <c r="W1119" s="210"/>
      <c r="X1119" s="210"/>
      <c r="Y1119" s="210"/>
      <c r="Z1119" s="210"/>
    </row>
    <row r="1120" ht="21.75" customHeight="1">
      <c r="A1120" s="214"/>
      <c r="B1120" s="221"/>
      <c r="C1120" s="222">
        <v>105.0</v>
      </c>
      <c r="D1120" s="223" t="s">
        <v>862</v>
      </c>
      <c r="E1120" s="223" t="s">
        <v>539</v>
      </c>
      <c r="F1120" s="223" t="s">
        <v>542</v>
      </c>
      <c r="G1120" s="223" t="s">
        <v>864</v>
      </c>
      <c r="H1120" s="224" t="s">
        <v>490</v>
      </c>
      <c r="I1120" s="208"/>
      <c r="J1120" s="210"/>
      <c r="K1120" s="210"/>
      <c r="L1120" s="210"/>
      <c r="M1120" s="210"/>
      <c r="N1120" s="210"/>
      <c r="O1120" s="210"/>
      <c r="P1120" s="210"/>
      <c r="Q1120" s="210"/>
      <c r="R1120" s="210"/>
      <c r="S1120" s="210"/>
      <c r="T1120" s="210"/>
      <c r="U1120" s="210"/>
      <c r="V1120" s="210"/>
      <c r="W1120" s="210"/>
      <c r="X1120" s="210"/>
      <c r="Y1120" s="210"/>
      <c r="Z1120" s="210"/>
    </row>
    <row r="1121" ht="21.75" customHeight="1">
      <c r="A1121" s="214"/>
      <c r="B1121" s="221"/>
      <c r="C1121" s="222">
        <v>106.0</v>
      </c>
      <c r="D1121" s="223" t="s">
        <v>837</v>
      </c>
      <c r="E1121" s="223" t="s">
        <v>487</v>
      </c>
      <c r="F1121" s="223" t="s">
        <v>826</v>
      </c>
      <c r="G1121" s="223" t="s">
        <v>493</v>
      </c>
      <c r="H1121" s="224" t="s">
        <v>490</v>
      </c>
      <c r="I1121" s="208"/>
      <c r="J1121" s="210"/>
      <c r="K1121" s="210"/>
      <c r="L1121" s="210"/>
      <c r="M1121" s="210"/>
      <c r="N1121" s="210"/>
      <c r="O1121" s="210"/>
      <c r="P1121" s="210"/>
      <c r="Q1121" s="210"/>
      <c r="R1121" s="210"/>
      <c r="S1121" s="210"/>
      <c r="T1121" s="210"/>
      <c r="U1121" s="210"/>
      <c r="V1121" s="210"/>
      <c r="W1121" s="210"/>
      <c r="X1121" s="210"/>
      <c r="Y1121" s="210"/>
      <c r="Z1121" s="210"/>
    </row>
    <row r="1122" ht="21.75" customHeight="1">
      <c r="A1122" s="228"/>
      <c r="B1122" s="221"/>
      <c r="C1122" s="222">
        <v>111.0</v>
      </c>
      <c r="D1122" s="223" t="s">
        <v>863</v>
      </c>
      <c r="E1122" s="223" t="s">
        <v>539</v>
      </c>
      <c r="F1122" s="223" t="s">
        <v>863</v>
      </c>
      <c r="G1122" s="218" t="s">
        <v>490</v>
      </c>
      <c r="H1122" s="224" t="s">
        <v>490</v>
      </c>
      <c r="I1122" s="208"/>
      <c r="J1122" s="210"/>
      <c r="K1122" s="210"/>
      <c r="L1122" s="210"/>
      <c r="M1122" s="210"/>
      <c r="N1122" s="210"/>
      <c r="O1122" s="210"/>
      <c r="P1122" s="210"/>
      <c r="Q1122" s="210"/>
      <c r="R1122" s="210"/>
      <c r="S1122" s="210"/>
      <c r="T1122" s="210"/>
      <c r="U1122" s="210"/>
      <c r="V1122" s="210"/>
      <c r="W1122" s="210"/>
      <c r="X1122" s="210"/>
      <c r="Y1122" s="210"/>
      <c r="Z1122" s="210"/>
    </row>
    <row r="1123" ht="21.75" customHeight="1">
      <c r="A1123" s="214">
        <v>25.0</v>
      </c>
      <c r="B1123" s="215" t="s">
        <v>1525</v>
      </c>
      <c r="C1123" s="216"/>
      <c r="D1123" s="217"/>
      <c r="E1123" s="217"/>
      <c r="F1123" s="217"/>
      <c r="G1123" s="217"/>
      <c r="H1123" s="217"/>
      <c r="I1123" s="208"/>
      <c r="J1123" s="210"/>
      <c r="K1123" s="210"/>
      <c r="L1123" s="210"/>
      <c r="M1123" s="210"/>
      <c r="N1123" s="210"/>
      <c r="O1123" s="210"/>
      <c r="P1123" s="210"/>
      <c r="Q1123" s="210"/>
      <c r="R1123" s="210"/>
      <c r="S1123" s="210"/>
      <c r="T1123" s="210"/>
      <c r="U1123" s="210"/>
      <c r="V1123" s="210"/>
      <c r="W1123" s="210"/>
      <c r="X1123" s="210"/>
      <c r="Y1123" s="210"/>
      <c r="Z1123" s="210"/>
    </row>
    <row r="1124" ht="21.75" customHeight="1">
      <c r="A1124" s="214"/>
      <c r="B1124" s="218" t="s">
        <v>1526</v>
      </c>
      <c r="C1124" s="219">
        <v>50982.0</v>
      </c>
      <c r="D1124" s="220"/>
      <c r="E1124" s="220"/>
      <c r="F1124" s="220"/>
      <c r="G1124" s="220"/>
      <c r="H1124" s="220"/>
      <c r="I1124" s="208"/>
      <c r="J1124" s="210"/>
      <c r="K1124" s="210"/>
      <c r="L1124" s="210"/>
      <c r="M1124" s="210"/>
      <c r="N1124" s="210"/>
      <c r="O1124" s="210"/>
      <c r="P1124" s="210"/>
      <c r="Q1124" s="210"/>
      <c r="R1124" s="210"/>
      <c r="S1124" s="210"/>
      <c r="T1124" s="210"/>
      <c r="U1124" s="210"/>
      <c r="V1124" s="210"/>
      <c r="W1124" s="210"/>
      <c r="X1124" s="210"/>
      <c r="Y1124" s="210"/>
      <c r="Z1124" s="210"/>
    </row>
    <row r="1125" ht="21.75" customHeight="1">
      <c r="A1125" s="214"/>
      <c r="B1125" s="221"/>
      <c r="C1125" s="222">
        <v>100.0</v>
      </c>
      <c r="D1125" s="223" t="s">
        <v>491</v>
      </c>
      <c r="E1125" s="223" t="s">
        <v>487</v>
      </c>
      <c r="F1125" s="223" t="s">
        <v>488</v>
      </c>
      <c r="G1125" s="223" t="s">
        <v>678</v>
      </c>
      <c r="H1125" s="225" t="s">
        <v>1527</v>
      </c>
      <c r="I1125" s="208"/>
      <c r="J1125" s="210"/>
      <c r="K1125" s="210"/>
      <c r="L1125" s="210"/>
      <c r="M1125" s="210"/>
      <c r="N1125" s="210"/>
      <c r="O1125" s="210"/>
      <c r="P1125" s="210"/>
      <c r="Q1125" s="210"/>
      <c r="R1125" s="210"/>
      <c r="S1125" s="210"/>
      <c r="T1125" s="210"/>
      <c r="U1125" s="210"/>
      <c r="V1125" s="210"/>
      <c r="W1125" s="210"/>
      <c r="X1125" s="210"/>
      <c r="Y1125" s="210"/>
      <c r="Z1125" s="210"/>
    </row>
    <row r="1126" ht="21.75" customHeight="1">
      <c r="A1126" s="214"/>
      <c r="B1126" s="221"/>
      <c r="C1126" s="222">
        <v>101.0</v>
      </c>
      <c r="D1126" s="223" t="s">
        <v>1528</v>
      </c>
      <c r="E1126" s="223" t="s">
        <v>487</v>
      </c>
      <c r="F1126" s="223" t="s">
        <v>492</v>
      </c>
      <c r="G1126" s="223" t="s">
        <v>501</v>
      </c>
      <c r="H1126" s="224" t="s">
        <v>490</v>
      </c>
      <c r="I1126" s="208"/>
      <c r="J1126" s="210"/>
      <c r="K1126" s="210"/>
      <c r="L1126" s="210"/>
      <c r="M1126" s="210"/>
      <c r="N1126" s="210"/>
      <c r="O1126" s="210"/>
      <c r="P1126" s="210"/>
      <c r="Q1126" s="210"/>
      <c r="R1126" s="210"/>
      <c r="S1126" s="210"/>
      <c r="T1126" s="210"/>
      <c r="U1126" s="210"/>
      <c r="V1126" s="210"/>
      <c r="W1126" s="210"/>
      <c r="X1126" s="210"/>
      <c r="Y1126" s="210"/>
      <c r="Z1126" s="210"/>
    </row>
    <row r="1127" ht="21.75" customHeight="1">
      <c r="A1127" s="214"/>
      <c r="B1127" s="221"/>
      <c r="C1127" s="222">
        <v>102.0</v>
      </c>
      <c r="D1127" s="223" t="s">
        <v>1529</v>
      </c>
      <c r="E1127" s="223" t="s">
        <v>487</v>
      </c>
      <c r="F1127" s="223" t="s">
        <v>496</v>
      </c>
      <c r="G1127" s="223" t="s">
        <v>497</v>
      </c>
      <c r="H1127" s="224" t="s">
        <v>490</v>
      </c>
      <c r="I1127" s="208"/>
      <c r="J1127" s="210"/>
      <c r="K1127" s="210"/>
      <c r="L1127" s="210"/>
      <c r="M1127" s="210"/>
      <c r="N1127" s="210"/>
      <c r="O1127" s="210"/>
      <c r="P1127" s="210"/>
      <c r="Q1127" s="210"/>
      <c r="R1127" s="210"/>
      <c r="S1127" s="210"/>
      <c r="T1127" s="210"/>
      <c r="U1127" s="210"/>
      <c r="V1127" s="210"/>
      <c r="W1127" s="210"/>
      <c r="X1127" s="210"/>
      <c r="Y1127" s="210"/>
      <c r="Z1127" s="210"/>
    </row>
    <row r="1128" ht="21.75" customHeight="1">
      <c r="A1128" s="214"/>
      <c r="B1128" s="221"/>
      <c r="C1128" s="222">
        <v>103.0</v>
      </c>
      <c r="D1128" s="223" t="s">
        <v>1530</v>
      </c>
      <c r="E1128" s="223" t="s">
        <v>487</v>
      </c>
      <c r="F1128" s="223" t="s">
        <v>500</v>
      </c>
      <c r="G1128" s="223" t="s">
        <v>493</v>
      </c>
      <c r="H1128" s="225" t="s">
        <v>1531</v>
      </c>
      <c r="I1128" s="208"/>
      <c r="J1128" s="210"/>
      <c r="K1128" s="210"/>
      <c r="L1128" s="210"/>
      <c r="M1128" s="210"/>
      <c r="N1128" s="210"/>
      <c r="O1128" s="210"/>
      <c r="P1128" s="210"/>
      <c r="Q1128" s="210"/>
      <c r="R1128" s="210"/>
      <c r="S1128" s="210"/>
      <c r="T1128" s="210"/>
      <c r="U1128" s="210"/>
      <c r="V1128" s="210"/>
      <c r="W1128" s="210"/>
      <c r="X1128" s="210"/>
      <c r="Y1128" s="210"/>
      <c r="Z1128" s="210"/>
    </row>
    <row r="1129" ht="21.75" customHeight="1">
      <c r="A1129" s="214"/>
      <c r="B1129" s="221"/>
      <c r="C1129" s="222">
        <v>104.0</v>
      </c>
      <c r="D1129" s="223" t="s">
        <v>837</v>
      </c>
      <c r="E1129" s="223" t="s">
        <v>529</v>
      </c>
      <c r="F1129" s="223" t="s">
        <v>530</v>
      </c>
      <c r="G1129" s="218" t="s">
        <v>490</v>
      </c>
      <c r="H1129" s="225" t="s">
        <v>1532</v>
      </c>
      <c r="I1129" s="208"/>
      <c r="J1129" s="210"/>
      <c r="K1129" s="210"/>
      <c r="L1129" s="210"/>
      <c r="M1129" s="210"/>
      <c r="N1129" s="210"/>
      <c r="O1129" s="210"/>
      <c r="P1129" s="210"/>
      <c r="Q1129" s="210"/>
      <c r="R1129" s="210"/>
      <c r="S1129" s="210"/>
      <c r="T1129" s="210"/>
      <c r="U1129" s="210"/>
      <c r="V1129" s="210"/>
      <c r="W1129" s="210"/>
      <c r="X1129" s="210"/>
      <c r="Y1129" s="210"/>
      <c r="Z1129" s="210"/>
    </row>
    <row r="1130" ht="21.75" customHeight="1">
      <c r="A1130" s="214"/>
      <c r="B1130" s="221"/>
      <c r="C1130" s="222">
        <v>105.0</v>
      </c>
      <c r="D1130" s="223" t="s">
        <v>541</v>
      </c>
      <c r="E1130" s="223" t="s">
        <v>508</v>
      </c>
      <c r="F1130" s="223" t="s">
        <v>509</v>
      </c>
      <c r="G1130" s="223" t="s">
        <v>510</v>
      </c>
      <c r="H1130" s="225" t="s">
        <v>1533</v>
      </c>
      <c r="I1130" s="208"/>
      <c r="J1130" s="210"/>
      <c r="K1130" s="210"/>
      <c r="L1130" s="210"/>
      <c r="M1130" s="210"/>
      <c r="N1130" s="210"/>
      <c r="O1130" s="210"/>
      <c r="P1130" s="210"/>
      <c r="Q1130" s="210"/>
      <c r="R1130" s="210"/>
      <c r="S1130" s="210"/>
      <c r="T1130" s="210"/>
      <c r="U1130" s="210"/>
      <c r="V1130" s="210"/>
      <c r="W1130" s="210"/>
      <c r="X1130" s="210"/>
      <c r="Y1130" s="210"/>
      <c r="Z1130" s="210"/>
    </row>
    <row r="1131" ht="21.75" customHeight="1">
      <c r="A1131" s="214"/>
      <c r="B1131" s="221"/>
      <c r="C1131" s="222">
        <v>107.0</v>
      </c>
      <c r="D1131" s="223" t="s">
        <v>837</v>
      </c>
      <c r="E1131" s="223" t="s">
        <v>487</v>
      </c>
      <c r="F1131" s="223" t="s">
        <v>826</v>
      </c>
      <c r="G1131" s="223" t="s">
        <v>526</v>
      </c>
      <c r="H1131" s="224" t="s">
        <v>490</v>
      </c>
      <c r="I1131" s="208"/>
      <c r="J1131" s="210"/>
      <c r="K1131" s="210"/>
      <c r="L1131" s="210"/>
      <c r="M1131" s="210"/>
      <c r="N1131" s="210"/>
      <c r="O1131" s="210"/>
      <c r="P1131" s="210"/>
      <c r="Q1131" s="210"/>
      <c r="R1131" s="210"/>
      <c r="S1131" s="210"/>
      <c r="T1131" s="210"/>
      <c r="U1131" s="210"/>
      <c r="V1131" s="210"/>
      <c r="W1131" s="210"/>
      <c r="X1131" s="210"/>
      <c r="Y1131" s="210"/>
      <c r="Z1131" s="210"/>
    </row>
    <row r="1132" ht="21.75" customHeight="1">
      <c r="A1132" s="228"/>
      <c r="B1132" s="221"/>
      <c r="C1132" s="222">
        <v>110.0</v>
      </c>
      <c r="D1132" s="223" t="s">
        <v>486</v>
      </c>
      <c r="E1132" s="223" t="s">
        <v>487</v>
      </c>
      <c r="F1132" s="223" t="s">
        <v>512</v>
      </c>
      <c r="G1132" s="223" t="s">
        <v>489</v>
      </c>
      <c r="H1132" s="224" t="s">
        <v>490</v>
      </c>
      <c r="I1132" s="208"/>
      <c r="J1132" s="210"/>
      <c r="K1132" s="210"/>
      <c r="L1132" s="210"/>
      <c r="M1132" s="210"/>
      <c r="N1132" s="210"/>
      <c r="O1132" s="210"/>
      <c r="P1132" s="210"/>
      <c r="Q1132" s="210"/>
      <c r="R1132" s="210"/>
      <c r="S1132" s="210"/>
      <c r="T1132" s="210"/>
      <c r="U1132" s="210"/>
      <c r="V1132" s="210"/>
      <c r="W1132" s="210"/>
      <c r="X1132" s="210"/>
      <c r="Y1132" s="210"/>
      <c r="Z1132" s="210"/>
    </row>
    <row r="1133" ht="21.75" customHeight="1">
      <c r="A1133" s="214">
        <v>251.0</v>
      </c>
      <c r="B1133" s="215" t="s">
        <v>1534</v>
      </c>
      <c r="C1133" s="216"/>
      <c r="D1133" s="217"/>
      <c r="E1133" s="217"/>
      <c r="F1133" s="217"/>
      <c r="G1133" s="217"/>
      <c r="H1133" s="217"/>
      <c r="I1133" s="208"/>
      <c r="J1133" s="210"/>
      <c r="K1133" s="210"/>
      <c r="L1133" s="210"/>
      <c r="M1133" s="210"/>
      <c r="N1133" s="210"/>
      <c r="O1133" s="210"/>
      <c r="P1133" s="210"/>
      <c r="Q1133" s="210"/>
      <c r="R1133" s="210"/>
      <c r="S1133" s="210"/>
      <c r="T1133" s="210"/>
      <c r="U1133" s="210"/>
      <c r="V1133" s="210"/>
      <c r="W1133" s="210"/>
      <c r="X1133" s="210"/>
      <c r="Y1133" s="210"/>
      <c r="Z1133" s="210"/>
    </row>
    <row r="1134" ht="21.75" customHeight="1">
      <c r="A1134" s="214"/>
      <c r="B1134" s="218" t="s">
        <v>1535</v>
      </c>
      <c r="C1134" s="219">
        <v>70020.0</v>
      </c>
      <c r="D1134" s="220"/>
      <c r="E1134" s="220"/>
      <c r="F1134" s="220"/>
      <c r="G1134" s="220"/>
      <c r="H1134" s="220"/>
      <c r="I1134" s="208"/>
      <c r="J1134" s="210"/>
      <c r="K1134" s="210"/>
      <c r="L1134" s="210"/>
      <c r="M1134" s="210"/>
      <c r="N1134" s="210"/>
      <c r="O1134" s="210"/>
      <c r="P1134" s="210"/>
      <c r="Q1134" s="210"/>
      <c r="R1134" s="210"/>
      <c r="S1134" s="210"/>
      <c r="T1134" s="210"/>
      <c r="U1134" s="210"/>
      <c r="V1134" s="210"/>
      <c r="W1134" s="210"/>
      <c r="X1134" s="210"/>
      <c r="Y1134" s="210"/>
      <c r="Z1134" s="210"/>
    </row>
    <row r="1135" ht="21.75" customHeight="1">
      <c r="A1135" s="214"/>
      <c r="B1135" s="221"/>
      <c r="C1135" s="222">
        <v>100.0</v>
      </c>
      <c r="D1135" s="223" t="s">
        <v>486</v>
      </c>
      <c r="E1135" s="223" t="s">
        <v>487</v>
      </c>
      <c r="F1135" s="223" t="s">
        <v>488</v>
      </c>
      <c r="G1135" s="223" t="s">
        <v>489</v>
      </c>
      <c r="H1135" s="224" t="s">
        <v>490</v>
      </c>
      <c r="I1135" s="208"/>
      <c r="J1135" s="210"/>
      <c r="K1135" s="210"/>
      <c r="L1135" s="210"/>
      <c r="M1135" s="210"/>
      <c r="N1135" s="210"/>
      <c r="O1135" s="210"/>
      <c r="P1135" s="210"/>
      <c r="Q1135" s="210"/>
      <c r="R1135" s="210"/>
      <c r="S1135" s="210"/>
      <c r="T1135" s="210"/>
      <c r="U1135" s="210"/>
      <c r="V1135" s="210"/>
      <c r="W1135" s="210"/>
      <c r="X1135" s="210"/>
      <c r="Y1135" s="210"/>
      <c r="Z1135" s="210"/>
    </row>
    <row r="1136" ht="21.75" customHeight="1">
      <c r="A1136" s="214"/>
      <c r="B1136" s="221"/>
      <c r="C1136" s="222">
        <v>101.0</v>
      </c>
      <c r="D1136" s="223" t="s">
        <v>491</v>
      </c>
      <c r="E1136" s="223" t="s">
        <v>487</v>
      </c>
      <c r="F1136" s="223" t="s">
        <v>492</v>
      </c>
      <c r="G1136" s="223" t="s">
        <v>678</v>
      </c>
      <c r="H1136" s="225" t="s">
        <v>1536</v>
      </c>
      <c r="I1136" s="208"/>
      <c r="J1136" s="210"/>
      <c r="K1136" s="210"/>
      <c r="L1136" s="210"/>
      <c r="M1136" s="210"/>
      <c r="N1136" s="210"/>
      <c r="O1136" s="210"/>
      <c r="P1136" s="210"/>
      <c r="Q1136" s="210"/>
      <c r="R1136" s="210"/>
      <c r="S1136" s="210"/>
      <c r="T1136" s="210"/>
      <c r="U1136" s="210"/>
      <c r="V1136" s="210"/>
      <c r="W1136" s="210"/>
      <c r="X1136" s="210"/>
      <c r="Y1136" s="210"/>
      <c r="Z1136" s="210"/>
    </row>
    <row r="1137" ht="21.75" customHeight="1">
      <c r="A1137" s="214"/>
      <c r="B1137" s="221"/>
      <c r="C1137" s="222">
        <v>102.0</v>
      </c>
      <c r="D1137" s="223" t="s">
        <v>1537</v>
      </c>
      <c r="E1137" s="223" t="s">
        <v>487</v>
      </c>
      <c r="F1137" s="223" t="s">
        <v>496</v>
      </c>
      <c r="G1137" s="223" t="s">
        <v>501</v>
      </c>
      <c r="H1137" s="224" t="s">
        <v>490</v>
      </c>
      <c r="I1137" s="208"/>
      <c r="J1137" s="210"/>
      <c r="K1137" s="210"/>
      <c r="L1137" s="210"/>
      <c r="M1137" s="210"/>
      <c r="N1137" s="210"/>
      <c r="O1137" s="210"/>
      <c r="P1137" s="210"/>
      <c r="Q1137" s="210"/>
      <c r="R1137" s="210"/>
      <c r="S1137" s="210"/>
      <c r="T1137" s="210"/>
      <c r="U1137" s="210"/>
      <c r="V1137" s="210"/>
      <c r="W1137" s="210"/>
      <c r="X1137" s="210"/>
      <c r="Y1137" s="210"/>
      <c r="Z1137" s="210"/>
    </row>
    <row r="1138" ht="21.75" customHeight="1">
      <c r="A1138" s="214"/>
      <c r="B1138" s="221"/>
      <c r="C1138" s="222">
        <v>103.0</v>
      </c>
      <c r="D1138" s="223" t="s">
        <v>1538</v>
      </c>
      <c r="E1138" s="223" t="s">
        <v>487</v>
      </c>
      <c r="F1138" s="223" t="s">
        <v>500</v>
      </c>
      <c r="G1138" s="223" t="s">
        <v>497</v>
      </c>
      <c r="H1138" s="225" t="s">
        <v>1539</v>
      </c>
      <c r="I1138" s="208"/>
      <c r="J1138" s="210"/>
      <c r="K1138" s="210"/>
      <c r="L1138" s="210"/>
      <c r="M1138" s="210"/>
      <c r="N1138" s="210"/>
      <c r="O1138" s="210"/>
      <c r="P1138" s="210"/>
      <c r="Q1138" s="210"/>
      <c r="R1138" s="210"/>
      <c r="S1138" s="210"/>
      <c r="T1138" s="210"/>
      <c r="U1138" s="210"/>
      <c r="V1138" s="210"/>
      <c r="W1138" s="210"/>
      <c r="X1138" s="210"/>
      <c r="Y1138" s="210"/>
      <c r="Z1138" s="210"/>
    </row>
    <row r="1139" ht="21.75" customHeight="1">
      <c r="A1139" s="214"/>
      <c r="B1139" s="221"/>
      <c r="C1139" s="222">
        <v>104.0</v>
      </c>
      <c r="D1139" s="223" t="s">
        <v>507</v>
      </c>
      <c r="E1139" s="223" t="s">
        <v>508</v>
      </c>
      <c r="F1139" s="223" t="s">
        <v>509</v>
      </c>
      <c r="G1139" s="223" t="s">
        <v>510</v>
      </c>
      <c r="H1139" s="225" t="s">
        <v>1540</v>
      </c>
      <c r="I1139" s="208"/>
      <c r="J1139" s="210"/>
      <c r="K1139" s="210"/>
      <c r="L1139" s="210"/>
      <c r="M1139" s="210"/>
      <c r="N1139" s="210"/>
      <c r="O1139" s="210"/>
      <c r="P1139" s="210"/>
      <c r="Q1139" s="210"/>
      <c r="R1139" s="210"/>
      <c r="S1139" s="210"/>
      <c r="T1139" s="210"/>
      <c r="U1139" s="210"/>
      <c r="V1139" s="210"/>
      <c r="W1139" s="210"/>
      <c r="X1139" s="210"/>
      <c r="Y1139" s="210"/>
      <c r="Z1139" s="210"/>
    </row>
    <row r="1140" ht="21.75" customHeight="1">
      <c r="A1140" s="214"/>
      <c r="B1140" s="221"/>
      <c r="C1140" s="222">
        <v>105.0</v>
      </c>
      <c r="D1140" s="223" t="s">
        <v>1541</v>
      </c>
      <c r="E1140" s="223" t="s">
        <v>487</v>
      </c>
      <c r="F1140" s="223" t="s">
        <v>1542</v>
      </c>
      <c r="G1140" s="218" t="s">
        <v>490</v>
      </c>
      <c r="H1140" s="224" t="s">
        <v>490</v>
      </c>
      <c r="I1140" s="208"/>
      <c r="J1140" s="210"/>
      <c r="K1140" s="210"/>
      <c r="L1140" s="210"/>
      <c r="M1140" s="210"/>
      <c r="N1140" s="210"/>
      <c r="O1140" s="210"/>
      <c r="P1140" s="210"/>
      <c r="Q1140" s="210"/>
      <c r="R1140" s="210"/>
      <c r="S1140" s="210"/>
      <c r="T1140" s="210"/>
      <c r="U1140" s="210"/>
      <c r="V1140" s="210"/>
      <c r="W1140" s="210"/>
      <c r="X1140" s="210"/>
      <c r="Y1140" s="210"/>
      <c r="Z1140" s="210"/>
    </row>
    <row r="1141" ht="21.75" customHeight="1">
      <c r="A1141" s="214"/>
      <c r="B1141" s="221"/>
      <c r="C1141" s="222">
        <v>200.0</v>
      </c>
      <c r="D1141" s="223" t="s">
        <v>1543</v>
      </c>
      <c r="E1141" s="223" t="s">
        <v>487</v>
      </c>
      <c r="F1141" s="223" t="s">
        <v>512</v>
      </c>
      <c r="G1141" s="218" t="s">
        <v>490</v>
      </c>
      <c r="H1141" s="224" t="s">
        <v>490</v>
      </c>
      <c r="I1141" s="208"/>
      <c r="J1141" s="210"/>
      <c r="K1141" s="210"/>
      <c r="L1141" s="210"/>
      <c r="M1141" s="210"/>
      <c r="N1141" s="210"/>
      <c r="O1141" s="210"/>
      <c r="P1141" s="210"/>
      <c r="Q1141" s="210"/>
      <c r="R1141" s="210"/>
      <c r="S1141" s="210"/>
      <c r="T1141" s="210"/>
      <c r="U1141" s="210"/>
      <c r="V1141" s="210"/>
      <c r="W1141" s="210"/>
      <c r="X1141" s="210"/>
      <c r="Y1141" s="210"/>
      <c r="Z1141" s="210"/>
    </row>
    <row r="1142" ht="21.75" customHeight="1">
      <c r="A1142" s="214"/>
      <c r="B1142" s="221"/>
      <c r="C1142" s="222">
        <v>201.0</v>
      </c>
      <c r="D1142" s="223" t="s">
        <v>1544</v>
      </c>
      <c r="E1142" s="223" t="s">
        <v>487</v>
      </c>
      <c r="F1142" s="223" t="s">
        <v>532</v>
      </c>
      <c r="G1142" s="218" t="s">
        <v>490</v>
      </c>
      <c r="H1142" s="224" t="s">
        <v>490</v>
      </c>
      <c r="I1142" s="208"/>
      <c r="J1142" s="210"/>
      <c r="K1142" s="210"/>
      <c r="L1142" s="210"/>
      <c r="M1142" s="210"/>
      <c r="N1142" s="210"/>
      <c r="O1142" s="210"/>
      <c r="P1142" s="210"/>
      <c r="Q1142" s="210"/>
      <c r="R1142" s="210"/>
      <c r="S1142" s="210"/>
      <c r="T1142" s="210"/>
      <c r="U1142" s="210"/>
      <c r="V1142" s="210"/>
      <c r="W1142" s="210"/>
      <c r="X1142" s="210"/>
      <c r="Y1142" s="210"/>
      <c r="Z1142" s="210"/>
    </row>
    <row r="1143" ht="21.75" customHeight="1">
      <c r="A1143" s="214"/>
      <c r="B1143" s="221"/>
      <c r="C1143" s="222">
        <v>202.0</v>
      </c>
      <c r="D1143" s="223" t="s">
        <v>253</v>
      </c>
      <c r="E1143" s="223" t="s">
        <v>487</v>
      </c>
      <c r="F1143" s="223" t="s">
        <v>590</v>
      </c>
      <c r="G1143" s="218" t="s">
        <v>490</v>
      </c>
      <c r="H1143" s="224" t="s">
        <v>490</v>
      </c>
      <c r="I1143" s="208"/>
      <c r="J1143" s="210"/>
      <c r="K1143" s="210"/>
      <c r="L1143" s="210"/>
      <c r="M1143" s="210"/>
      <c r="N1143" s="210"/>
      <c r="O1143" s="210"/>
      <c r="P1143" s="210"/>
      <c r="Q1143" s="210"/>
      <c r="R1143" s="210"/>
      <c r="S1143" s="210"/>
      <c r="T1143" s="210"/>
      <c r="U1143" s="210"/>
      <c r="V1143" s="210"/>
      <c r="W1143" s="210"/>
      <c r="X1143" s="210"/>
      <c r="Y1143" s="210"/>
      <c r="Z1143" s="210"/>
    </row>
    <row r="1144" ht="21.75" customHeight="1">
      <c r="A1144" s="214"/>
      <c r="B1144" s="221"/>
      <c r="C1144" s="222">
        <v>203.0</v>
      </c>
      <c r="D1144" s="223" t="s">
        <v>1000</v>
      </c>
      <c r="E1144" s="223" t="s">
        <v>487</v>
      </c>
      <c r="F1144" s="223" t="s">
        <v>603</v>
      </c>
      <c r="G1144" s="218" t="s">
        <v>490</v>
      </c>
      <c r="H1144" s="224" t="s">
        <v>490</v>
      </c>
      <c r="I1144" s="208"/>
      <c r="J1144" s="210"/>
      <c r="K1144" s="210"/>
      <c r="L1144" s="210"/>
      <c r="M1144" s="210"/>
      <c r="N1144" s="210"/>
      <c r="O1144" s="210"/>
      <c r="P1144" s="210"/>
      <c r="Q1144" s="210"/>
      <c r="R1144" s="210"/>
      <c r="S1144" s="210"/>
      <c r="T1144" s="210"/>
      <c r="U1144" s="210"/>
      <c r="V1144" s="210"/>
      <c r="W1144" s="210"/>
      <c r="X1144" s="210"/>
      <c r="Y1144" s="210"/>
      <c r="Z1144" s="210"/>
    </row>
    <row r="1145" ht="21.75" customHeight="1">
      <c r="A1145" s="214"/>
      <c r="B1145" s="221"/>
      <c r="C1145" s="222">
        <v>204.0</v>
      </c>
      <c r="D1145" s="223" t="s">
        <v>1419</v>
      </c>
      <c r="E1145" s="223" t="s">
        <v>487</v>
      </c>
      <c r="F1145" s="223" t="s">
        <v>579</v>
      </c>
      <c r="G1145" s="218" t="s">
        <v>490</v>
      </c>
      <c r="H1145" s="224" t="s">
        <v>490</v>
      </c>
      <c r="I1145" s="208"/>
      <c r="J1145" s="210"/>
      <c r="K1145" s="210"/>
      <c r="L1145" s="210"/>
      <c r="M1145" s="210"/>
      <c r="N1145" s="210"/>
      <c r="O1145" s="210"/>
      <c r="P1145" s="210"/>
      <c r="Q1145" s="210"/>
      <c r="R1145" s="210"/>
      <c r="S1145" s="210"/>
      <c r="T1145" s="210"/>
      <c r="U1145" s="210"/>
      <c r="V1145" s="210"/>
      <c r="W1145" s="210"/>
      <c r="X1145" s="210"/>
      <c r="Y1145" s="210"/>
      <c r="Z1145" s="210"/>
    </row>
    <row r="1146" ht="21.75" customHeight="1">
      <c r="A1146" s="214"/>
      <c r="B1146" s="221"/>
      <c r="C1146" s="222">
        <v>205.0</v>
      </c>
      <c r="D1146" s="223" t="s">
        <v>1420</v>
      </c>
      <c r="E1146" s="223" t="s">
        <v>487</v>
      </c>
      <c r="F1146" s="223" t="s">
        <v>583</v>
      </c>
      <c r="G1146" s="218" t="s">
        <v>490</v>
      </c>
      <c r="H1146" s="224" t="s">
        <v>490</v>
      </c>
      <c r="I1146" s="208"/>
      <c r="J1146" s="210"/>
      <c r="K1146" s="210"/>
      <c r="L1146" s="210"/>
      <c r="M1146" s="210"/>
      <c r="N1146" s="210"/>
      <c r="O1146" s="210"/>
      <c r="P1146" s="210"/>
      <c r="Q1146" s="210"/>
      <c r="R1146" s="210"/>
      <c r="S1146" s="210"/>
      <c r="T1146" s="210"/>
      <c r="U1146" s="210"/>
      <c r="V1146" s="210"/>
      <c r="W1146" s="210"/>
      <c r="X1146" s="210"/>
      <c r="Y1146" s="210"/>
      <c r="Z1146" s="210"/>
    </row>
    <row r="1147" ht="21.75" customHeight="1">
      <c r="A1147" s="214"/>
      <c r="B1147" s="221"/>
      <c r="C1147" s="222">
        <v>206.0</v>
      </c>
      <c r="D1147" s="223" t="s">
        <v>1545</v>
      </c>
      <c r="E1147" s="223" t="s">
        <v>487</v>
      </c>
      <c r="F1147" s="223" t="s">
        <v>601</v>
      </c>
      <c r="G1147" s="218" t="s">
        <v>490</v>
      </c>
      <c r="H1147" s="224" t="s">
        <v>490</v>
      </c>
      <c r="I1147" s="208"/>
      <c r="J1147" s="210"/>
      <c r="K1147" s="210"/>
      <c r="L1147" s="210"/>
      <c r="M1147" s="210"/>
      <c r="N1147" s="210"/>
      <c r="O1147" s="210"/>
      <c r="P1147" s="210"/>
      <c r="Q1147" s="210"/>
      <c r="R1147" s="210"/>
      <c r="S1147" s="210"/>
      <c r="T1147" s="210"/>
      <c r="U1147" s="210"/>
      <c r="V1147" s="210"/>
      <c r="W1147" s="210"/>
      <c r="X1147" s="210"/>
      <c r="Y1147" s="210"/>
      <c r="Z1147" s="210"/>
    </row>
    <row r="1148" ht="21.75" customHeight="1">
      <c r="A1148" s="214"/>
      <c r="B1148" s="221"/>
      <c r="C1148" s="222">
        <v>207.0</v>
      </c>
      <c r="D1148" s="223" t="s">
        <v>1546</v>
      </c>
      <c r="E1148" s="223" t="s">
        <v>487</v>
      </c>
      <c r="F1148" s="223" t="s">
        <v>560</v>
      </c>
      <c r="G1148" s="218" t="s">
        <v>490</v>
      </c>
      <c r="H1148" s="224" t="s">
        <v>490</v>
      </c>
      <c r="I1148" s="208"/>
      <c r="J1148" s="210"/>
      <c r="K1148" s="210"/>
      <c r="L1148" s="210"/>
      <c r="M1148" s="210"/>
      <c r="N1148" s="210"/>
      <c r="O1148" s="210"/>
      <c r="P1148" s="210"/>
      <c r="Q1148" s="210"/>
      <c r="R1148" s="210"/>
      <c r="S1148" s="210"/>
      <c r="T1148" s="210"/>
      <c r="U1148" s="210"/>
      <c r="V1148" s="210"/>
      <c r="W1148" s="210"/>
      <c r="X1148" s="210"/>
      <c r="Y1148" s="210"/>
      <c r="Z1148" s="210"/>
    </row>
    <row r="1149" ht="21.75" customHeight="1">
      <c r="A1149" s="214"/>
      <c r="B1149" s="221"/>
      <c r="C1149" s="222">
        <v>208.0</v>
      </c>
      <c r="D1149" s="223" t="s">
        <v>1479</v>
      </c>
      <c r="E1149" s="223" t="s">
        <v>487</v>
      </c>
      <c r="F1149" s="223" t="s">
        <v>613</v>
      </c>
      <c r="G1149" s="218" t="s">
        <v>490</v>
      </c>
      <c r="H1149" s="224" t="s">
        <v>490</v>
      </c>
      <c r="I1149" s="208"/>
      <c r="J1149" s="210"/>
      <c r="K1149" s="210"/>
      <c r="L1149" s="210"/>
      <c r="M1149" s="210"/>
      <c r="N1149" s="210"/>
      <c r="O1149" s="210"/>
      <c r="P1149" s="210"/>
      <c r="Q1149" s="210"/>
      <c r="R1149" s="210"/>
      <c r="S1149" s="210"/>
      <c r="T1149" s="210"/>
      <c r="U1149" s="210"/>
      <c r="V1149" s="210"/>
      <c r="W1149" s="210"/>
      <c r="X1149" s="210"/>
      <c r="Y1149" s="210"/>
      <c r="Z1149" s="210"/>
    </row>
    <row r="1150" ht="21.75" customHeight="1">
      <c r="A1150" s="214"/>
      <c r="B1150" s="221"/>
      <c r="C1150" s="222">
        <v>209.0</v>
      </c>
      <c r="D1150" s="223" t="s">
        <v>1547</v>
      </c>
      <c r="E1150" s="223" t="s">
        <v>529</v>
      </c>
      <c r="F1150" s="223" t="s">
        <v>530</v>
      </c>
      <c r="G1150" s="218" t="s">
        <v>490</v>
      </c>
      <c r="H1150" s="224" t="s">
        <v>490</v>
      </c>
      <c r="I1150" s="208"/>
      <c r="J1150" s="210"/>
      <c r="K1150" s="210"/>
      <c r="L1150" s="210"/>
      <c r="M1150" s="210"/>
      <c r="N1150" s="210"/>
      <c r="O1150" s="210"/>
      <c r="P1150" s="210"/>
      <c r="Q1150" s="210"/>
      <c r="R1150" s="210"/>
      <c r="S1150" s="210"/>
      <c r="T1150" s="210"/>
      <c r="U1150" s="210"/>
      <c r="V1150" s="210"/>
      <c r="W1150" s="210"/>
      <c r="X1150" s="210"/>
      <c r="Y1150" s="210"/>
      <c r="Z1150" s="210"/>
    </row>
    <row r="1151" ht="21.75" customHeight="1">
      <c r="A1151" s="214"/>
      <c r="B1151" s="217"/>
      <c r="C1151" s="222">
        <v>300.0</v>
      </c>
      <c r="D1151" s="215" t="s">
        <v>696</v>
      </c>
      <c r="E1151" s="215" t="s">
        <v>673</v>
      </c>
      <c r="F1151" s="215" t="s">
        <v>696</v>
      </c>
      <c r="G1151" s="234" t="s">
        <v>490</v>
      </c>
      <c r="H1151" s="224" t="s">
        <v>490</v>
      </c>
      <c r="I1151" s="208"/>
      <c r="J1151" s="210"/>
      <c r="K1151" s="210"/>
      <c r="L1151" s="210"/>
      <c r="M1151" s="210"/>
      <c r="N1151" s="210"/>
      <c r="O1151" s="210"/>
      <c r="P1151" s="210"/>
      <c r="Q1151" s="210"/>
      <c r="R1151" s="210"/>
      <c r="S1151" s="210"/>
      <c r="T1151" s="210"/>
      <c r="U1151" s="210"/>
      <c r="V1151" s="210"/>
      <c r="W1151" s="210"/>
      <c r="X1151" s="210"/>
      <c r="Y1151" s="210"/>
      <c r="Z1151" s="210"/>
    </row>
    <row r="1152" ht="21.75" customHeight="1">
      <c r="A1152" s="214"/>
      <c r="B1152" s="218" t="s">
        <v>1548</v>
      </c>
      <c r="C1152" s="226">
        <v>70019.0</v>
      </c>
      <c r="D1152" s="220"/>
      <c r="E1152" s="220"/>
      <c r="F1152" s="220"/>
      <c r="G1152" s="220"/>
      <c r="H1152" s="221"/>
      <c r="I1152" s="208"/>
      <c r="J1152" s="210"/>
      <c r="K1152" s="210"/>
      <c r="L1152" s="210"/>
      <c r="M1152" s="210"/>
      <c r="N1152" s="210"/>
      <c r="O1152" s="210"/>
      <c r="P1152" s="210"/>
      <c r="Q1152" s="210"/>
      <c r="R1152" s="210"/>
      <c r="S1152" s="210"/>
      <c r="T1152" s="210"/>
      <c r="U1152" s="210"/>
      <c r="V1152" s="210"/>
      <c r="W1152" s="210"/>
      <c r="X1152" s="210"/>
      <c r="Y1152" s="210"/>
      <c r="Z1152" s="210"/>
    </row>
    <row r="1153" ht="21.75" customHeight="1">
      <c r="A1153" s="214"/>
      <c r="B1153" s="221"/>
      <c r="C1153" s="222">
        <v>100.0</v>
      </c>
      <c r="D1153" s="223" t="s">
        <v>486</v>
      </c>
      <c r="E1153" s="223" t="s">
        <v>487</v>
      </c>
      <c r="F1153" s="223" t="s">
        <v>488</v>
      </c>
      <c r="G1153" s="223" t="s">
        <v>489</v>
      </c>
      <c r="H1153" s="224" t="s">
        <v>490</v>
      </c>
      <c r="I1153" s="208"/>
      <c r="J1153" s="210"/>
      <c r="K1153" s="210"/>
      <c r="L1153" s="210"/>
      <c r="M1153" s="210"/>
      <c r="N1153" s="210"/>
      <c r="O1153" s="210"/>
      <c r="P1153" s="210"/>
      <c r="Q1153" s="210"/>
      <c r="R1153" s="210"/>
      <c r="S1153" s="210"/>
      <c r="T1153" s="210"/>
      <c r="U1153" s="210"/>
      <c r="V1153" s="210"/>
      <c r="W1153" s="210"/>
      <c r="X1153" s="210"/>
      <c r="Y1153" s="210"/>
      <c r="Z1153" s="210"/>
    </row>
    <row r="1154" ht="21.75" customHeight="1">
      <c r="A1154" s="214"/>
      <c r="B1154" s="221"/>
      <c r="C1154" s="222">
        <v>101.0</v>
      </c>
      <c r="D1154" s="223" t="s">
        <v>491</v>
      </c>
      <c r="E1154" s="223" t="s">
        <v>487</v>
      </c>
      <c r="F1154" s="223" t="s">
        <v>492</v>
      </c>
      <c r="G1154" s="223" t="s">
        <v>678</v>
      </c>
      <c r="H1154" s="225" t="s">
        <v>1549</v>
      </c>
      <c r="I1154" s="208"/>
      <c r="J1154" s="210"/>
      <c r="K1154" s="210"/>
      <c r="L1154" s="210"/>
      <c r="M1154" s="210"/>
      <c r="N1154" s="210"/>
      <c r="O1154" s="210"/>
      <c r="P1154" s="210"/>
      <c r="Q1154" s="210"/>
      <c r="R1154" s="210"/>
      <c r="S1154" s="210"/>
      <c r="T1154" s="210"/>
      <c r="U1154" s="210"/>
      <c r="V1154" s="210"/>
      <c r="W1154" s="210"/>
      <c r="X1154" s="210"/>
      <c r="Y1154" s="210"/>
      <c r="Z1154" s="210"/>
    </row>
    <row r="1155" ht="21.75" customHeight="1">
      <c r="A1155" s="214"/>
      <c r="B1155" s="221"/>
      <c r="C1155" s="222">
        <v>102.0</v>
      </c>
      <c r="D1155" s="223" t="s">
        <v>1537</v>
      </c>
      <c r="E1155" s="223" t="s">
        <v>487</v>
      </c>
      <c r="F1155" s="223" t="s">
        <v>496</v>
      </c>
      <c r="G1155" s="223" t="s">
        <v>501</v>
      </c>
      <c r="H1155" s="224" t="s">
        <v>490</v>
      </c>
      <c r="I1155" s="208"/>
      <c r="J1155" s="210"/>
      <c r="K1155" s="210"/>
      <c r="L1155" s="210"/>
      <c r="M1155" s="210"/>
      <c r="N1155" s="210"/>
      <c r="O1155" s="210"/>
      <c r="P1155" s="210"/>
      <c r="Q1155" s="210"/>
      <c r="R1155" s="210"/>
      <c r="S1155" s="210"/>
      <c r="T1155" s="210"/>
      <c r="U1155" s="210"/>
      <c r="V1155" s="210"/>
      <c r="W1155" s="210"/>
      <c r="X1155" s="210"/>
      <c r="Y1155" s="210"/>
      <c r="Z1155" s="210"/>
    </row>
    <row r="1156" ht="21.75" customHeight="1">
      <c r="A1156" s="214"/>
      <c r="B1156" s="221"/>
      <c r="C1156" s="222">
        <v>103.0</v>
      </c>
      <c r="D1156" s="223" t="s">
        <v>1538</v>
      </c>
      <c r="E1156" s="223" t="s">
        <v>487</v>
      </c>
      <c r="F1156" s="223" t="s">
        <v>500</v>
      </c>
      <c r="G1156" s="223" t="s">
        <v>497</v>
      </c>
      <c r="H1156" s="225" t="s">
        <v>1550</v>
      </c>
      <c r="I1156" s="208"/>
      <c r="J1156" s="210"/>
      <c r="K1156" s="210"/>
      <c r="L1156" s="210"/>
      <c r="M1156" s="210"/>
      <c r="N1156" s="210"/>
      <c r="O1156" s="210"/>
      <c r="P1156" s="210"/>
      <c r="Q1156" s="210"/>
      <c r="R1156" s="210"/>
      <c r="S1156" s="210"/>
      <c r="T1156" s="210"/>
      <c r="U1156" s="210"/>
      <c r="V1156" s="210"/>
      <c r="W1156" s="210"/>
      <c r="X1156" s="210"/>
      <c r="Y1156" s="210"/>
      <c r="Z1156" s="210"/>
    </row>
    <row r="1157" ht="21.75" customHeight="1">
      <c r="A1157" s="214"/>
      <c r="B1157" s="221"/>
      <c r="C1157" s="222">
        <v>104.0</v>
      </c>
      <c r="D1157" s="223" t="s">
        <v>507</v>
      </c>
      <c r="E1157" s="223" t="s">
        <v>508</v>
      </c>
      <c r="F1157" s="223" t="s">
        <v>509</v>
      </c>
      <c r="G1157" s="223" t="s">
        <v>510</v>
      </c>
      <c r="H1157" s="225" t="s">
        <v>1551</v>
      </c>
      <c r="I1157" s="208"/>
      <c r="J1157" s="210"/>
      <c r="K1157" s="210"/>
      <c r="L1157" s="210"/>
      <c r="M1157" s="210"/>
      <c r="N1157" s="210"/>
      <c r="O1157" s="210"/>
      <c r="P1157" s="210"/>
      <c r="Q1157" s="210"/>
      <c r="R1157" s="210"/>
      <c r="S1157" s="210"/>
      <c r="T1157" s="210"/>
      <c r="U1157" s="210"/>
      <c r="V1157" s="210"/>
      <c r="W1157" s="210"/>
      <c r="X1157" s="210"/>
      <c r="Y1157" s="210"/>
      <c r="Z1157" s="210"/>
    </row>
    <row r="1158" ht="21.75" customHeight="1">
      <c r="A1158" s="214"/>
      <c r="B1158" s="221"/>
      <c r="C1158" s="222">
        <v>105.0</v>
      </c>
      <c r="D1158" s="223" t="s">
        <v>1541</v>
      </c>
      <c r="E1158" s="223" t="s">
        <v>487</v>
      </c>
      <c r="F1158" s="223" t="s">
        <v>1542</v>
      </c>
      <c r="G1158" s="218" t="s">
        <v>490</v>
      </c>
      <c r="H1158" s="224" t="s">
        <v>490</v>
      </c>
      <c r="I1158" s="208"/>
      <c r="J1158" s="210"/>
      <c r="K1158" s="210"/>
      <c r="L1158" s="210"/>
      <c r="M1158" s="210"/>
      <c r="N1158" s="210"/>
      <c r="O1158" s="210"/>
      <c r="P1158" s="210"/>
      <c r="Q1158" s="210"/>
      <c r="R1158" s="210"/>
      <c r="S1158" s="210"/>
      <c r="T1158" s="210"/>
      <c r="U1158" s="210"/>
      <c r="V1158" s="210"/>
      <c r="W1158" s="210"/>
      <c r="X1158" s="210"/>
      <c r="Y1158" s="210"/>
      <c r="Z1158" s="210"/>
    </row>
    <row r="1159" ht="21.75" customHeight="1">
      <c r="A1159" s="214"/>
      <c r="B1159" s="221"/>
      <c r="C1159" s="222">
        <v>200.0</v>
      </c>
      <c r="D1159" s="223" t="s">
        <v>1543</v>
      </c>
      <c r="E1159" s="223" t="s">
        <v>487</v>
      </c>
      <c r="F1159" s="223" t="s">
        <v>512</v>
      </c>
      <c r="G1159" s="218" t="s">
        <v>490</v>
      </c>
      <c r="H1159" s="224" t="s">
        <v>490</v>
      </c>
      <c r="I1159" s="208"/>
      <c r="J1159" s="210"/>
      <c r="K1159" s="210"/>
      <c r="L1159" s="210"/>
      <c r="M1159" s="210"/>
      <c r="N1159" s="210"/>
      <c r="O1159" s="210"/>
      <c r="P1159" s="210"/>
      <c r="Q1159" s="210"/>
      <c r="R1159" s="210"/>
      <c r="S1159" s="210"/>
      <c r="T1159" s="210"/>
      <c r="U1159" s="210"/>
      <c r="V1159" s="210"/>
      <c r="W1159" s="210"/>
      <c r="X1159" s="210"/>
      <c r="Y1159" s="210"/>
      <c r="Z1159" s="210"/>
    </row>
    <row r="1160" ht="21.75" customHeight="1">
      <c r="A1160" s="214"/>
      <c r="B1160" s="221"/>
      <c r="C1160" s="222">
        <v>201.0</v>
      </c>
      <c r="D1160" s="223" t="s">
        <v>1544</v>
      </c>
      <c r="E1160" s="223" t="s">
        <v>487</v>
      </c>
      <c r="F1160" s="223" t="s">
        <v>532</v>
      </c>
      <c r="G1160" s="218" t="s">
        <v>490</v>
      </c>
      <c r="H1160" s="224" t="s">
        <v>490</v>
      </c>
      <c r="I1160" s="208"/>
      <c r="J1160" s="210"/>
      <c r="K1160" s="210"/>
      <c r="L1160" s="210"/>
      <c r="M1160" s="210"/>
      <c r="N1160" s="210"/>
      <c r="O1160" s="210"/>
      <c r="P1160" s="210"/>
      <c r="Q1160" s="210"/>
      <c r="R1160" s="210"/>
      <c r="S1160" s="210"/>
      <c r="T1160" s="210"/>
      <c r="U1160" s="210"/>
      <c r="V1160" s="210"/>
      <c r="W1160" s="210"/>
      <c r="X1160" s="210"/>
      <c r="Y1160" s="210"/>
      <c r="Z1160" s="210"/>
    </row>
    <row r="1161" ht="21.75" customHeight="1">
      <c r="A1161" s="214"/>
      <c r="B1161" s="221"/>
      <c r="C1161" s="222">
        <v>202.0</v>
      </c>
      <c r="D1161" s="223" t="s">
        <v>253</v>
      </c>
      <c r="E1161" s="223" t="s">
        <v>487</v>
      </c>
      <c r="F1161" s="223" t="s">
        <v>590</v>
      </c>
      <c r="G1161" s="218" t="s">
        <v>490</v>
      </c>
      <c r="H1161" s="224" t="s">
        <v>490</v>
      </c>
      <c r="I1161" s="208"/>
      <c r="J1161" s="210"/>
      <c r="K1161" s="210"/>
      <c r="L1161" s="210"/>
      <c r="M1161" s="210"/>
      <c r="N1161" s="210"/>
      <c r="O1161" s="210"/>
      <c r="P1161" s="210"/>
      <c r="Q1161" s="210"/>
      <c r="R1161" s="210"/>
      <c r="S1161" s="210"/>
      <c r="T1161" s="210"/>
      <c r="U1161" s="210"/>
      <c r="V1161" s="210"/>
      <c r="W1161" s="210"/>
      <c r="X1161" s="210"/>
      <c r="Y1161" s="210"/>
      <c r="Z1161" s="210"/>
    </row>
    <row r="1162" ht="21.75" customHeight="1">
      <c r="A1162" s="214"/>
      <c r="B1162" s="221"/>
      <c r="C1162" s="222">
        <v>203.0</v>
      </c>
      <c r="D1162" s="223" t="s">
        <v>1000</v>
      </c>
      <c r="E1162" s="223" t="s">
        <v>487</v>
      </c>
      <c r="F1162" s="223" t="s">
        <v>603</v>
      </c>
      <c r="G1162" s="218" t="s">
        <v>490</v>
      </c>
      <c r="H1162" s="224" t="s">
        <v>490</v>
      </c>
      <c r="I1162" s="208"/>
      <c r="J1162" s="210"/>
      <c r="K1162" s="210"/>
      <c r="L1162" s="210"/>
      <c r="M1162" s="210"/>
      <c r="N1162" s="210"/>
      <c r="O1162" s="210"/>
      <c r="P1162" s="210"/>
      <c r="Q1162" s="210"/>
      <c r="R1162" s="210"/>
      <c r="S1162" s="210"/>
      <c r="T1162" s="210"/>
      <c r="U1162" s="210"/>
      <c r="V1162" s="210"/>
      <c r="W1162" s="210"/>
      <c r="X1162" s="210"/>
      <c r="Y1162" s="210"/>
      <c r="Z1162" s="210"/>
    </row>
    <row r="1163" ht="21.75" customHeight="1">
      <c r="A1163" s="214"/>
      <c r="B1163" s="221"/>
      <c r="C1163" s="222">
        <v>204.0</v>
      </c>
      <c r="D1163" s="223" t="s">
        <v>1419</v>
      </c>
      <c r="E1163" s="223" t="s">
        <v>487</v>
      </c>
      <c r="F1163" s="223" t="s">
        <v>579</v>
      </c>
      <c r="G1163" s="218" t="s">
        <v>490</v>
      </c>
      <c r="H1163" s="224" t="s">
        <v>490</v>
      </c>
      <c r="I1163" s="208"/>
      <c r="J1163" s="210"/>
      <c r="K1163" s="210"/>
      <c r="L1163" s="210"/>
      <c r="M1163" s="210"/>
      <c r="N1163" s="210"/>
      <c r="O1163" s="210"/>
      <c r="P1163" s="210"/>
      <c r="Q1163" s="210"/>
      <c r="R1163" s="210"/>
      <c r="S1163" s="210"/>
      <c r="T1163" s="210"/>
      <c r="U1163" s="210"/>
      <c r="V1163" s="210"/>
      <c r="W1163" s="210"/>
      <c r="X1163" s="210"/>
      <c r="Y1163" s="210"/>
      <c r="Z1163" s="210"/>
    </row>
    <row r="1164" ht="21.75" customHeight="1">
      <c r="A1164" s="214"/>
      <c r="B1164" s="221"/>
      <c r="C1164" s="222">
        <v>205.0</v>
      </c>
      <c r="D1164" s="223" t="s">
        <v>1420</v>
      </c>
      <c r="E1164" s="223" t="s">
        <v>487</v>
      </c>
      <c r="F1164" s="223" t="s">
        <v>583</v>
      </c>
      <c r="G1164" s="218" t="s">
        <v>490</v>
      </c>
      <c r="H1164" s="224" t="s">
        <v>490</v>
      </c>
      <c r="I1164" s="208"/>
      <c r="J1164" s="210"/>
      <c r="K1164" s="210"/>
      <c r="L1164" s="210"/>
      <c r="M1164" s="210"/>
      <c r="N1164" s="210"/>
      <c r="O1164" s="210"/>
      <c r="P1164" s="210"/>
      <c r="Q1164" s="210"/>
      <c r="R1164" s="210"/>
      <c r="S1164" s="210"/>
      <c r="T1164" s="210"/>
      <c r="U1164" s="210"/>
      <c r="V1164" s="210"/>
      <c r="W1164" s="210"/>
      <c r="X1164" s="210"/>
      <c r="Y1164" s="210"/>
      <c r="Z1164" s="210"/>
    </row>
    <row r="1165" ht="21.75" customHeight="1">
      <c r="A1165" s="214"/>
      <c r="B1165" s="221"/>
      <c r="C1165" s="222">
        <v>206.0</v>
      </c>
      <c r="D1165" s="223" t="s">
        <v>1545</v>
      </c>
      <c r="E1165" s="223" t="s">
        <v>487</v>
      </c>
      <c r="F1165" s="223" t="s">
        <v>601</v>
      </c>
      <c r="G1165" s="218" t="s">
        <v>490</v>
      </c>
      <c r="H1165" s="224" t="s">
        <v>490</v>
      </c>
      <c r="I1165" s="208"/>
      <c r="J1165" s="210"/>
      <c r="K1165" s="210"/>
      <c r="L1165" s="210"/>
      <c r="M1165" s="210"/>
      <c r="N1165" s="210"/>
      <c r="O1165" s="210"/>
      <c r="P1165" s="210"/>
      <c r="Q1165" s="210"/>
      <c r="R1165" s="210"/>
      <c r="S1165" s="210"/>
      <c r="T1165" s="210"/>
      <c r="U1165" s="210"/>
      <c r="V1165" s="210"/>
      <c r="W1165" s="210"/>
      <c r="X1165" s="210"/>
      <c r="Y1165" s="210"/>
      <c r="Z1165" s="210"/>
    </row>
    <row r="1166" ht="21.75" customHeight="1">
      <c r="A1166" s="214"/>
      <c r="B1166" s="221"/>
      <c r="C1166" s="222">
        <v>207.0</v>
      </c>
      <c r="D1166" s="223" t="s">
        <v>1546</v>
      </c>
      <c r="E1166" s="223" t="s">
        <v>487</v>
      </c>
      <c r="F1166" s="223" t="s">
        <v>560</v>
      </c>
      <c r="G1166" s="218" t="s">
        <v>490</v>
      </c>
      <c r="H1166" s="224" t="s">
        <v>490</v>
      </c>
      <c r="I1166" s="208"/>
      <c r="J1166" s="210"/>
      <c r="K1166" s="210"/>
      <c r="L1166" s="210"/>
      <c r="M1166" s="210"/>
      <c r="N1166" s="210"/>
      <c r="O1166" s="210"/>
      <c r="P1166" s="210"/>
      <c r="Q1166" s="210"/>
      <c r="R1166" s="210"/>
      <c r="S1166" s="210"/>
      <c r="T1166" s="210"/>
      <c r="U1166" s="210"/>
      <c r="V1166" s="210"/>
      <c r="W1166" s="210"/>
      <c r="X1166" s="210"/>
      <c r="Y1166" s="210"/>
      <c r="Z1166" s="210"/>
    </row>
    <row r="1167" ht="21.75" customHeight="1">
      <c r="A1167" s="214"/>
      <c r="B1167" s="221"/>
      <c r="C1167" s="222">
        <v>208.0</v>
      </c>
      <c r="D1167" s="223" t="s">
        <v>1479</v>
      </c>
      <c r="E1167" s="223" t="s">
        <v>487</v>
      </c>
      <c r="F1167" s="223" t="s">
        <v>613</v>
      </c>
      <c r="G1167" s="218" t="s">
        <v>490</v>
      </c>
      <c r="H1167" s="224" t="s">
        <v>490</v>
      </c>
      <c r="I1167" s="208"/>
      <c r="J1167" s="210"/>
      <c r="K1167" s="210"/>
      <c r="L1167" s="210"/>
      <c r="M1167" s="210"/>
      <c r="N1167" s="210"/>
      <c r="O1167" s="210"/>
      <c r="P1167" s="210"/>
      <c r="Q1167" s="210"/>
      <c r="R1167" s="210"/>
      <c r="S1167" s="210"/>
      <c r="T1167" s="210"/>
      <c r="U1167" s="210"/>
      <c r="V1167" s="210"/>
      <c r="W1167" s="210"/>
      <c r="X1167" s="210"/>
      <c r="Y1167" s="210"/>
      <c r="Z1167" s="210"/>
    </row>
    <row r="1168" ht="21.75" customHeight="1">
      <c r="A1168" s="214"/>
      <c r="B1168" s="221"/>
      <c r="C1168" s="222">
        <v>209.0</v>
      </c>
      <c r="D1168" s="223" t="s">
        <v>1547</v>
      </c>
      <c r="E1168" s="223" t="s">
        <v>529</v>
      </c>
      <c r="F1168" s="223" t="s">
        <v>530</v>
      </c>
      <c r="G1168" s="218" t="s">
        <v>490</v>
      </c>
      <c r="H1168" s="224" t="s">
        <v>490</v>
      </c>
      <c r="I1168" s="208"/>
      <c r="J1168" s="210"/>
      <c r="K1168" s="210"/>
      <c r="L1168" s="210"/>
      <c r="M1168" s="210"/>
      <c r="N1168" s="210"/>
      <c r="O1168" s="210"/>
      <c r="P1168" s="210"/>
      <c r="Q1168" s="210"/>
      <c r="R1168" s="210"/>
      <c r="S1168" s="210"/>
      <c r="T1168" s="210"/>
      <c r="U1168" s="210"/>
      <c r="V1168" s="210"/>
      <c r="W1168" s="210"/>
      <c r="X1168" s="210"/>
      <c r="Y1168" s="210"/>
      <c r="Z1168" s="210"/>
    </row>
    <row r="1169" ht="21.75" customHeight="1">
      <c r="A1169" s="214"/>
      <c r="B1169" s="217"/>
      <c r="C1169" s="222">
        <v>300.0</v>
      </c>
      <c r="D1169" s="215" t="s">
        <v>696</v>
      </c>
      <c r="E1169" s="215" t="s">
        <v>673</v>
      </c>
      <c r="F1169" s="215" t="s">
        <v>696</v>
      </c>
      <c r="G1169" s="234" t="s">
        <v>490</v>
      </c>
      <c r="H1169" s="224" t="s">
        <v>490</v>
      </c>
      <c r="I1169" s="208"/>
      <c r="J1169" s="210"/>
      <c r="K1169" s="210"/>
      <c r="L1169" s="210"/>
      <c r="M1169" s="210"/>
      <c r="N1169" s="210"/>
      <c r="O1169" s="210"/>
      <c r="P1169" s="210"/>
      <c r="Q1169" s="210"/>
      <c r="R1169" s="210"/>
      <c r="S1169" s="210"/>
      <c r="T1169" s="210"/>
      <c r="U1169" s="210"/>
      <c r="V1169" s="210"/>
      <c r="W1169" s="210"/>
      <c r="X1169" s="210"/>
      <c r="Y1169" s="210"/>
      <c r="Z1169" s="210"/>
    </row>
    <row r="1170" ht="21.75" customHeight="1">
      <c r="A1170" s="214"/>
      <c r="B1170" s="218" t="s">
        <v>1552</v>
      </c>
      <c r="C1170" s="226">
        <v>70034.0</v>
      </c>
      <c r="D1170" s="220"/>
      <c r="E1170" s="220"/>
      <c r="F1170" s="220"/>
      <c r="G1170" s="220"/>
      <c r="H1170" s="221"/>
      <c r="I1170" s="208"/>
      <c r="J1170" s="210"/>
      <c r="K1170" s="210"/>
      <c r="L1170" s="210"/>
      <c r="M1170" s="210"/>
      <c r="N1170" s="210"/>
      <c r="O1170" s="210"/>
      <c r="P1170" s="210"/>
      <c r="Q1170" s="210"/>
      <c r="R1170" s="210"/>
      <c r="S1170" s="210"/>
      <c r="T1170" s="210"/>
      <c r="U1170" s="210"/>
      <c r="V1170" s="210"/>
      <c r="W1170" s="210"/>
      <c r="X1170" s="210"/>
      <c r="Y1170" s="210"/>
      <c r="Z1170" s="210"/>
    </row>
    <row r="1171" ht="21.75" customHeight="1">
      <c r="A1171" s="214"/>
      <c r="B1171" s="221"/>
      <c r="C1171" s="222">
        <v>100.0</v>
      </c>
      <c r="D1171" s="223" t="s">
        <v>486</v>
      </c>
      <c r="E1171" s="223" t="s">
        <v>487</v>
      </c>
      <c r="F1171" s="223" t="s">
        <v>488</v>
      </c>
      <c r="G1171" s="223" t="s">
        <v>489</v>
      </c>
      <c r="H1171" s="224" t="s">
        <v>490</v>
      </c>
      <c r="I1171" s="208"/>
      <c r="J1171" s="210"/>
      <c r="K1171" s="210"/>
      <c r="L1171" s="210"/>
      <c r="M1171" s="210"/>
      <c r="N1171" s="210"/>
      <c r="O1171" s="210"/>
      <c r="P1171" s="210"/>
      <c r="Q1171" s="210"/>
      <c r="R1171" s="210"/>
      <c r="S1171" s="210"/>
      <c r="T1171" s="210"/>
      <c r="U1171" s="210"/>
      <c r="V1171" s="210"/>
      <c r="W1171" s="210"/>
      <c r="X1171" s="210"/>
      <c r="Y1171" s="210"/>
      <c r="Z1171" s="210"/>
    </row>
    <row r="1172" ht="21.75" customHeight="1">
      <c r="A1172" s="214"/>
      <c r="B1172" s="221"/>
      <c r="C1172" s="222">
        <v>101.0</v>
      </c>
      <c r="D1172" s="223" t="s">
        <v>491</v>
      </c>
      <c r="E1172" s="223" t="s">
        <v>487</v>
      </c>
      <c r="F1172" s="223" t="s">
        <v>492</v>
      </c>
      <c r="G1172" s="223" t="s">
        <v>678</v>
      </c>
      <c r="H1172" s="225" t="s">
        <v>1553</v>
      </c>
      <c r="I1172" s="208"/>
      <c r="J1172" s="210"/>
      <c r="K1172" s="210"/>
      <c r="L1172" s="210"/>
      <c r="M1172" s="210"/>
      <c r="N1172" s="210"/>
      <c r="O1172" s="210"/>
      <c r="P1172" s="210"/>
      <c r="Q1172" s="210"/>
      <c r="R1172" s="210"/>
      <c r="S1172" s="210"/>
      <c r="T1172" s="210"/>
      <c r="U1172" s="210"/>
      <c r="V1172" s="210"/>
      <c r="W1172" s="210"/>
      <c r="X1172" s="210"/>
      <c r="Y1172" s="210"/>
      <c r="Z1172" s="210"/>
    </row>
    <row r="1173" ht="21.75" customHeight="1">
      <c r="A1173" s="214"/>
      <c r="B1173" s="221"/>
      <c r="C1173" s="222">
        <v>102.0</v>
      </c>
      <c r="D1173" s="223" t="s">
        <v>1537</v>
      </c>
      <c r="E1173" s="223" t="s">
        <v>487</v>
      </c>
      <c r="F1173" s="223" t="s">
        <v>496</v>
      </c>
      <c r="G1173" s="223" t="s">
        <v>501</v>
      </c>
      <c r="H1173" s="224" t="s">
        <v>490</v>
      </c>
      <c r="I1173" s="208"/>
      <c r="J1173" s="210"/>
      <c r="K1173" s="210"/>
      <c r="L1173" s="210"/>
      <c r="M1173" s="210"/>
      <c r="N1173" s="210"/>
      <c r="O1173" s="210"/>
      <c r="P1173" s="210"/>
      <c r="Q1173" s="210"/>
      <c r="R1173" s="210"/>
      <c r="S1173" s="210"/>
      <c r="T1173" s="210"/>
      <c r="U1173" s="210"/>
      <c r="V1173" s="210"/>
      <c r="W1173" s="210"/>
      <c r="X1173" s="210"/>
      <c r="Y1173" s="210"/>
      <c r="Z1173" s="210"/>
    </row>
    <row r="1174" ht="21.75" customHeight="1">
      <c r="A1174" s="214"/>
      <c r="B1174" s="221"/>
      <c r="C1174" s="222">
        <v>103.0</v>
      </c>
      <c r="D1174" s="223" t="s">
        <v>1538</v>
      </c>
      <c r="E1174" s="223" t="s">
        <v>487</v>
      </c>
      <c r="F1174" s="223" t="s">
        <v>500</v>
      </c>
      <c r="G1174" s="223" t="s">
        <v>497</v>
      </c>
      <c r="H1174" s="225" t="s">
        <v>1554</v>
      </c>
      <c r="I1174" s="208"/>
      <c r="J1174" s="210"/>
      <c r="K1174" s="210"/>
      <c r="L1174" s="210"/>
      <c r="M1174" s="210"/>
      <c r="N1174" s="210"/>
      <c r="O1174" s="210"/>
      <c r="P1174" s="210"/>
      <c r="Q1174" s="210"/>
      <c r="R1174" s="210"/>
      <c r="S1174" s="210"/>
      <c r="T1174" s="210"/>
      <c r="U1174" s="210"/>
      <c r="V1174" s="210"/>
      <c r="W1174" s="210"/>
      <c r="X1174" s="210"/>
      <c r="Y1174" s="210"/>
      <c r="Z1174" s="210"/>
    </row>
    <row r="1175" ht="21.75" customHeight="1">
      <c r="A1175" s="214"/>
      <c r="B1175" s="221"/>
      <c r="C1175" s="222">
        <v>104.0</v>
      </c>
      <c r="D1175" s="223" t="s">
        <v>507</v>
      </c>
      <c r="E1175" s="223" t="s">
        <v>508</v>
      </c>
      <c r="F1175" s="223" t="s">
        <v>509</v>
      </c>
      <c r="G1175" s="223" t="s">
        <v>510</v>
      </c>
      <c r="H1175" s="225" t="s">
        <v>1540</v>
      </c>
      <c r="I1175" s="208"/>
      <c r="J1175" s="210"/>
      <c r="K1175" s="210"/>
      <c r="L1175" s="210"/>
      <c r="M1175" s="210"/>
      <c r="N1175" s="210"/>
      <c r="O1175" s="210"/>
      <c r="P1175" s="210"/>
      <c r="Q1175" s="210"/>
      <c r="R1175" s="210"/>
      <c r="S1175" s="210"/>
      <c r="T1175" s="210"/>
      <c r="U1175" s="210"/>
      <c r="V1175" s="210"/>
      <c r="W1175" s="210"/>
      <c r="X1175" s="210"/>
      <c r="Y1175" s="210"/>
      <c r="Z1175" s="210"/>
    </row>
    <row r="1176" ht="21.75" customHeight="1">
      <c r="A1176" s="214"/>
      <c r="B1176" s="221"/>
      <c r="C1176" s="222">
        <v>105.0</v>
      </c>
      <c r="D1176" s="223" t="s">
        <v>1541</v>
      </c>
      <c r="E1176" s="223" t="s">
        <v>487</v>
      </c>
      <c r="F1176" s="223" t="s">
        <v>1542</v>
      </c>
      <c r="G1176" s="218" t="s">
        <v>490</v>
      </c>
      <c r="H1176" s="224" t="s">
        <v>490</v>
      </c>
      <c r="I1176" s="208"/>
      <c r="J1176" s="210"/>
      <c r="K1176" s="210"/>
      <c r="L1176" s="210"/>
      <c r="M1176" s="210"/>
      <c r="N1176" s="210"/>
      <c r="O1176" s="210"/>
      <c r="P1176" s="210"/>
      <c r="Q1176" s="210"/>
      <c r="R1176" s="210"/>
      <c r="S1176" s="210"/>
      <c r="T1176" s="210"/>
      <c r="U1176" s="210"/>
      <c r="V1176" s="210"/>
      <c r="W1176" s="210"/>
      <c r="X1176" s="210"/>
      <c r="Y1176" s="210"/>
      <c r="Z1176" s="210"/>
    </row>
    <row r="1177" ht="21.75" customHeight="1">
      <c r="A1177" s="214"/>
      <c r="B1177" s="221"/>
      <c r="C1177" s="222">
        <v>200.0</v>
      </c>
      <c r="D1177" s="223" t="s">
        <v>1543</v>
      </c>
      <c r="E1177" s="223" t="s">
        <v>487</v>
      </c>
      <c r="F1177" s="223" t="s">
        <v>512</v>
      </c>
      <c r="G1177" s="218" t="s">
        <v>490</v>
      </c>
      <c r="H1177" s="224" t="s">
        <v>490</v>
      </c>
      <c r="I1177" s="208"/>
      <c r="J1177" s="210"/>
      <c r="K1177" s="210"/>
      <c r="L1177" s="210"/>
      <c r="M1177" s="210"/>
      <c r="N1177" s="210"/>
      <c r="O1177" s="210"/>
      <c r="P1177" s="210"/>
      <c r="Q1177" s="210"/>
      <c r="R1177" s="210"/>
      <c r="S1177" s="210"/>
      <c r="T1177" s="210"/>
      <c r="U1177" s="210"/>
      <c r="V1177" s="210"/>
      <c r="W1177" s="210"/>
      <c r="X1177" s="210"/>
      <c r="Y1177" s="210"/>
      <c r="Z1177" s="210"/>
    </row>
    <row r="1178" ht="21.75" customHeight="1">
      <c r="A1178" s="214"/>
      <c r="B1178" s="221"/>
      <c r="C1178" s="222">
        <v>201.0</v>
      </c>
      <c r="D1178" s="223" t="s">
        <v>1544</v>
      </c>
      <c r="E1178" s="223" t="s">
        <v>487</v>
      </c>
      <c r="F1178" s="223" t="s">
        <v>532</v>
      </c>
      <c r="G1178" s="218" t="s">
        <v>490</v>
      </c>
      <c r="H1178" s="224" t="s">
        <v>490</v>
      </c>
      <c r="I1178" s="208"/>
      <c r="J1178" s="210"/>
      <c r="K1178" s="210"/>
      <c r="L1178" s="210"/>
      <c r="M1178" s="210"/>
      <c r="N1178" s="210"/>
      <c r="O1178" s="210"/>
      <c r="P1178" s="210"/>
      <c r="Q1178" s="210"/>
      <c r="R1178" s="210"/>
      <c r="S1178" s="210"/>
      <c r="T1178" s="210"/>
      <c r="U1178" s="210"/>
      <c r="V1178" s="210"/>
      <c r="W1178" s="210"/>
      <c r="X1178" s="210"/>
      <c r="Y1178" s="210"/>
      <c r="Z1178" s="210"/>
    </row>
    <row r="1179" ht="21.75" customHeight="1">
      <c r="A1179" s="214"/>
      <c r="B1179" s="221"/>
      <c r="C1179" s="222">
        <v>202.0</v>
      </c>
      <c r="D1179" s="223" t="s">
        <v>253</v>
      </c>
      <c r="E1179" s="223" t="s">
        <v>487</v>
      </c>
      <c r="F1179" s="223" t="s">
        <v>590</v>
      </c>
      <c r="G1179" s="218" t="s">
        <v>490</v>
      </c>
      <c r="H1179" s="224" t="s">
        <v>490</v>
      </c>
      <c r="I1179" s="208"/>
      <c r="J1179" s="210"/>
      <c r="K1179" s="210"/>
      <c r="L1179" s="210"/>
      <c r="M1179" s="210"/>
      <c r="N1179" s="210"/>
      <c r="O1179" s="210"/>
      <c r="P1179" s="210"/>
      <c r="Q1179" s="210"/>
      <c r="R1179" s="210"/>
      <c r="S1179" s="210"/>
      <c r="T1179" s="210"/>
      <c r="U1179" s="210"/>
      <c r="V1179" s="210"/>
      <c r="W1179" s="210"/>
      <c r="X1179" s="210"/>
      <c r="Y1179" s="210"/>
      <c r="Z1179" s="210"/>
    </row>
    <row r="1180" ht="21.75" customHeight="1">
      <c r="A1180" s="214"/>
      <c r="B1180" s="221"/>
      <c r="C1180" s="222">
        <v>203.0</v>
      </c>
      <c r="D1180" s="223" t="s">
        <v>1000</v>
      </c>
      <c r="E1180" s="223" t="s">
        <v>487</v>
      </c>
      <c r="F1180" s="223" t="s">
        <v>603</v>
      </c>
      <c r="G1180" s="218" t="s">
        <v>490</v>
      </c>
      <c r="H1180" s="224" t="s">
        <v>490</v>
      </c>
      <c r="I1180" s="208"/>
      <c r="J1180" s="210"/>
      <c r="K1180" s="210"/>
      <c r="L1180" s="210"/>
      <c r="M1180" s="210"/>
      <c r="N1180" s="210"/>
      <c r="O1180" s="210"/>
      <c r="P1180" s="210"/>
      <c r="Q1180" s="210"/>
      <c r="R1180" s="210"/>
      <c r="S1180" s="210"/>
      <c r="T1180" s="210"/>
      <c r="U1180" s="210"/>
      <c r="V1180" s="210"/>
      <c r="W1180" s="210"/>
      <c r="X1180" s="210"/>
      <c r="Y1180" s="210"/>
      <c r="Z1180" s="210"/>
    </row>
    <row r="1181" ht="21.75" customHeight="1">
      <c r="A1181" s="214"/>
      <c r="B1181" s="221"/>
      <c r="C1181" s="222">
        <v>204.0</v>
      </c>
      <c r="D1181" s="223" t="s">
        <v>1419</v>
      </c>
      <c r="E1181" s="223" t="s">
        <v>487</v>
      </c>
      <c r="F1181" s="223" t="s">
        <v>579</v>
      </c>
      <c r="G1181" s="218" t="s">
        <v>490</v>
      </c>
      <c r="H1181" s="224" t="s">
        <v>490</v>
      </c>
      <c r="I1181" s="208"/>
      <c r="J1181" s="210"/>
      <c r="K1181" s="210"/>
      <c r="L1181" s="210"/>
      <c r="M1181" s="210"/>
      <c r="N1181" s="210"/>
      <c r="O1181" s="210"/>
      <c r="P1181" s="210"/>
      <c r="Q1181" s="210"/>
      <c r="R1181" s="210"/>
      <c r="S1181" s="210"/>
      <c r="T1181" s="210"/>
      <c r="U1181" s="210"/>
      <c r="V1181" s="210"/>
      <c r="W1181" s="210"/>
      <c r="X1181" s="210"/>
      <c r="Y1181" s="210"/>
      <c r="Z1181" s="210"/>
    </row>
    <row r="1182" ht="21.75" customHeight="1">
      <c r="A1182" s="214"/>
      <c r="B1182" s="221"/>
      <c r="C1182" s="222">
        <v>205.0</v>
      </c>
      <c r="D1182" s="223" t="s">
        <v>1420</v>
      </c>
      <c r="E1182" s="223" t="s">
        <v>487</v>
      </c>
      <c r="F1182" s="223" t="s">
        <v>583</v>
      </c>
      <c r="G1182" s="218" t="s">
        <v>490</v>
      </c>
      <c r="H1182" s="224" t="s">
        <v>490</v>
      </c>
      <c r="I1182" s="208"/>
      <c r="J1182" s="210"/>
      <c r="K1182" s="210"/>
      <c r="L1182" s="210"/>
      <c r="M1182" s="210"/>
      <c r="N1182" s="210"/>
      <c r="O1182" s="210"/>
      <c r="P1182" s="210"/>
      <c r="Q1182" s="210"/>
      <c r="R1182" s="210"/>
      <c r="S1182" s="210"/>
      <c r="T1182" s="210"/>
      <c r="U1182" s="210"/>
      <c r="V1182" s="210"/>
      <c r="W1182" s="210"/>
      <c r="X1182" s="210"/>
      <c r="Y1182" s="210"/>
      <c r="Z1182" s="210"/>
    </row>
    <row r="1183" ht="21.75" customHeight="1">
      <c r="A1183" s="214"/>
      <c r="B1183" s="221"/>
      <c r="C1183" s="222">
        <v>206.0</v>
      </c>
      <c r="D1183" s="223" t="s">
        <v>1545</v>
      </c>
      <c r="E1183" s="223" t="s">
        <v>487</v>
      </c>
      <c r="F1183" s="223" t="s">
        <v>601</v>
      </c>
      <c r="G1183" s="218" t="s">
        <v>490</v>
      </c>
      <c r="H1183" s="224" t="s">
        <v>490</v>
      </c>
      <c r="I1183" s="208"/>
      <c r="J1183" s="210"/>
      <c r="K1183" s="210"/>
      <c r="L1183" s="210"/>
      <c r="M1183" s="210"/>
      <c r="N1183" s="210"/>
      <c r="O1183" s="210"/>
      <c r="P1183" s="210"/>
      <c r="Q1183" s="210"/>
      <c r="R1183" s="210"/>
      <c r="S1183" s="210"/>
      <c r="T1183" s="210"/>
      <c r="U1183" s="210"/>
      <c r="V1183" s="210"/>
      <c r="W1183" s="210"/>
      <c r="X1183" s="210"/>
      <c r="Y1183" s="210"/>
      <c r="Z1183" s="210"/>
    </row>
    <row r="1184" ht="21.75" customHeight="1">
      <c r="A1184" s="214"/>
      <c r="B1184" s="221"/>
      <c r="C1184" s="222">
        <v>207.0</v>
      </c>
      <c r="D1184" s="223" t="s">
        <v>1546</v>
      </c>
      <c r="E1184" s="223" t="s">
        <v>487</v>
      </c>
      <c r="F1184" s="223" t="s">
        <v>560</v>
      </c>
      <c r="G1184" s="218" t="s">
        <v>490</v>
      </c>
      <c r="H1184" s="224" t="s">
        <v>490</v>
      </c>
      <c r="I1184" s="208"/>
      <c r="J1184" s="210"/>
      <c r="K1184" s="210"/>
      <c r="L1184" s="210"/>
      <c r="M1184" s="210"/>
      <c r="N1184" s="210"/>
      <c r="O1184" s="210"/>
      <c r="P1184" s="210"/>
      <c r="Q1184" s="210"/>
      <c r="R1184" s="210"/>
      <c r="S1184" s="210"/>
      <c r="T1184" s="210"/>
      <c r="U1184" s="210"/>
      <c r="V1184" s="210"/>
      <c r="W1184" s="210"/>
      <c r="X1184" s="210"/>
      <c r="Y1184" s="210"/>
      <c r="Z1184" s="210"/>
    </row>
    <row r="1185" ht="21.75" customHeight="1">
      <c r="A1185" s="214"/>
      <c r="B1185" s="221"/>
      <c r="C1185" s="222">
        <v>208.0</v>
      </c>
      <c r="D1185" s="223" t="s">
        <v>1479</v>
      </c>
      <c r="E1185" s="223" t="s">
        <v>487</v>
      </c>
      <c r="F1185" s="223" t="s">
        <v>613</v>
      </c>
      <c r="G1185" s="218" t="s">
        <v>490</v>
      </c>
      <c r="H1185" s="224" t="s">
        <v>490</v>
      </c>
      <c r="I1185" s="208"/>
      <c r="J1185" s="210"/>
      <c r="K1185" s="210"/>
      <c r="L1185" s="210"/>
      <c r="M1185" s="210"/>
      <c r="N1185" s="210"/>
      <c r="O1185" s="210"/>
      <c r="P1185" s="210"/>
      <c r="Q1185" s="210"/>
      <c r="R1185" s="210"/>
      <c r="S1185" s="210"/>
      <c r="T1185" s="210"/>
      <c r="U1185" s="210"/>
      <c r="V1185" s="210"/>
      <c r="W1185" s="210"/>
      <c r="X1185" s="210"/>
      <c r="Y1185" s="210"/>
      <c r="Z1185" s="210"/>
    </row>
    <row r="1186" ht="21.75" customHeight="1">
      <c r="A1186" s="214"/>
      <c r="B1186" s="221"/>
      <c r="C1186" s="222">
        <v>209.0</v>
      </c>
      <c r="D1186" s="223" t="s">
        <v>1547</v>
      </c>
      <c r="E1186" s="223" t="s">
        <v>529</v>
      </c>
      <c r="F1186" s="223" t="s">
        <v>530</v>
      </c>
      <c r="G1186" s="218" t="s">
        <v>490</v>
      </c>
      <c r="H1186" s="224" t="s">
        <v>490</v>
      </c>
      <c r="I1186" s="208"/>
      <c r="J1186" s="210"/>
      <c r="K1186" s="210"/>
      <c r="L1186" s="210"/>
      <c r="M1186" s="210"/>
      <c r="N1186" s="210"/>
      <c r="O1186" s="210"/>
      <c r="P1186" s="210"/>
      <c r="Q1186" s="210"/>
      <c r="R1186" s="210"/>
      <c r="S1186" s="210"/>
      <c r="T1186" s="210"/>
      <c r="U1186" s="210"/>
      <c r="V1186" s="210"/>
      <c r="W1186" s="210"/>
      <c r="X1186" s="210"/>
      <c r="Y1186" s="210"/>
      <c r="Z1186" s="210"/>
    </row>
    <row r="1187" ht="21.75" customHeight="1">
      <c r="A1187" s="214"/>
      <c r="B1187" s="217"/>
      <c r="C1187" s="222">
        <v>300.0</v>
      </c>
      <c r="D1187" s="215" t="s">
        <v>696</v>
      </c>
      <c r="E1187" s="215" t="s">
        <v>673</v>
      </c>
      <c r="F1187" s="215" t="s">
        <v>696</v>
      </c>
      <c r="G1187" s="234" t="s">
        <v>490</v>
      </c>
      <c r="H1187" s="224" t="s">
        <v>490</v>
      </c>
      <c r="I1187" s="208"/>
      <c r="J1187" s="210"/>
      <c r="K1187" s="210"/>
      <c r="L1187" s="210"/>
      <c r="M1187" s="210"/>
      <c r="N1187" s="210"/>
      <c r="O1187" s="210"/>
      <c r="P1187" s="210"/>
      <c r="Q1187" s="210"/>
      <c r="R1187" s="210"/>
      <c r="S1187" s="210"/>
      <c r="T1187" s="210"/>
      <c r="U1187" s="210"/>
      <c r="V1187" s="210"/>
      <c r="W1187" s="210"/>
      <c r="X1187" s="210"/>
      <c r="Y1187" s="210"/>
      <c r="Z1187" s="210"/>
    </row>
    <row r="1188" ht="21.75" customHeight="1">
      <c r="A1188" s="214"/>
      <c r="B1188" s="218" t="s">
        <v>1555</v>
      </c>
      <c r="C1188" s="226">
        <v>70052.0</v>
      </c>
      <c r="D1188" s="220"/>
      <c r="E1188" s="220"/>
      <c r="F1188" s="220"/>
      <c r="G1188" s="220"/>
      <c r="H1188" s="221"/>
      <c r="I1188" s="208"/>
      <c r="J1188" s="210"/>
      <c r="K1188" s="210"/>
      <c r="L1188" s="210"/>
      <c r="M1188" s="210"/>
      <c r="N1188" s="210"/>
      <c r="O1188" s="210"/>
      <c r="P1188" s="210"/>
      <c r="Q1188" s="210"/>
      <c r="R1188" s="210"/>
      <c r="S1188" s="210"/>
      <c r="T1188" s="210"/>
      <c r="U1188" s="210"/>
      <c r="V1188" s="210"/>
      <c r="W1188" s="210"/>
      <c r="X1188" s="210"/>
      <c r="Y1188" s="210"/>
      <c r="Z1188" s="210"/>
    </row>
    <row r="1189" ht="21.75" customHeight="1">
      <c r="A1189" s="214"/>
      <c r="B1189" s="221"/>
      <c r="C1189" s="222">
        <v>1.0</v>
      </c>
      <c r="D1189" s="223" t="s">
        <v>486</v>
      </c>
      <c r="E1189" s="223" t="s">
        <v>487</v>
      </c>
      <c r="F1189" s="223" t="s">
        <v>488</v>
      </c>
      <c r="G1189" s="223" t="s">
        <v>489</v>
      </c>
      <c r="H1189" s="224" t="s">
        <v>490</v>
      </c>
      <c r="I1189" s="208"/>
      <c r="J1189" s="210"/>
      <c r="K1189" s="210"/>
      <c r="L1189" s="210"/>
      <c r="M1189" s="210"/>
      <c r="N1189" s="210"/>
      <c r="O1189" s="210"/>
      <c r="P1189" s="210"/>
      <c r="Q1189" s="210"/>
      <c r="R1189" s="210"/>
      <c r="S1189" s="210"/>
      <c r="T1189" s="210"/>
      <c r="U1189" s="210"/>
      <c r="V1189" s="210"/>
      <c r="W1189" s="210"/>
      <c r="X1189" s="210"/>
      <c r="Y1189" s="210"/>
      <c r="Z1189" s="210"/>
    </row>
    <row r="1190" ht="21.75" customHeight="1">
      <c r="A1190" s="214"/>
      <c r="B1190" s="221"/>
      <c r="C1190" s="222">
        <v>2.0</v>
      </c>
      <c r="D1190" s="223" t="s">
        <v>491</v>
      </c>
      <c r="E1190" s="223" t="s">
        <v>487</v>
      </c>
      <c r="F1190" s="223" t="s">
        <v>492</v>
      </c>
      <c r="G1190" s="223" t="s">
        <v>678</v>
      </c>
      <c r="H1190" s="225" t="s">
        <v>1556</v>
      </c>
      <c r="I1190" s="208"/>
      <c r="J1190" s="210"/>
      <c r="K1190" s="210"/>
      <c r="L1190" s="210"/>
      <c r="M1190" s="210"/>
      <c r="N1190" s="210"/>
      <c r="O1190" s="210"/>
      <c r="P1190" s="210"/>
      <c r="Q1190" s="210"/>
      <c r="R1190" s="210"/>
      <c r="S1190" s="210"/>
      <c r="T1190" s="210"/>
      <c r="U1190" s="210"/>
      <c r="V1190" s="210"/>
      <c r="W1190" s="210"/>
      <c r="X1190" s="210"/>
      <c r="Y1190" s="210"/>
      <c r="Z1190" s="210"/>
    </row>
    <row r="1191" ht="21.75" customHeight="1">
      <c r="A1191" s="214"/>
      <c r="B1191" s="221"/>
      <c r="C1191" s="222">
        <v>3.0</v>
      </c>
      <c r="D1191" s="223" t="s">
        <v>1537</v>
      </c>
      <c r="E1191" s="223" t="s">
        <v>487</v>
      </c>
      <c r="F1191" s="223" t="s">
        <v>496</v>
      </c>
      <c r="G1191" s="223" t="s">
        <v>501</v>
      </c>
      <c r="H1191" s="224" t="s">
        <v>490</v>
      </c>
      <c r="I1191" s="208"/>
      <c r="J1191" s="210"/>
      <c r="K1191" s="210"/>
      <c r="L1191" s="210"/>
      <c r="M1191" s="210"/>
      <c r="N1191" s="210"/>
      <c r="O1191" s="210"/>
      <c r="P1191" s="210"/>
      <c r="Q1191" s="210"/>
      <c r="R1191" s="210"/>
      <c r="S1191" s="210"/>
      <c r="T1191" s="210"/>
      <c r="U1191" s="210"/>
      <c r="V1191" s="210"/>
      <c r="W1191" s="210"/>
      <c r="X1191" s="210"/>
      <c r="Y1191" s="210"/>
      <c r="Z1191" s="210"/>
    </row>
    <row r="1192" ht="21.75" customHeight="1">
      <c r="A1192" s="214"/>
      <c r="B1192" s="221"/>
      <c r="C1192" s="222">
        <v>4.0</v>
      </c>
      <c r="D1192" s="223" t="s">
        <v>1538</v>
      </c>
      <c r="E1192" s="223" t="s">
        <v>487</v>
      </c>
      <c r="F1192" s="223" t="s">
        <v>500</v>
      </c>
      <c r="G1192" s="223" t="s">
        <v>497</v>
      </c>
      <c r="H1192" s="225" t="s">
        <v>1557</v>
      </c>
      <c r="I1192" s="208"/>
      <c r="J1192" s="210"/>
      <c r="K1192" s="210"/>
      <c r="L1192" s="210"/>
      <c r="M1192" s="210"/>
      <c r="N1192" s="210"/>
      <c r="O1192" s="210"/>
      <c r="P1192" s="210"/>
      <c r="Q1192" s="210"/>
      <c r="R1192" s="210"/>
      <c r="S1192" s="210"/>
      <c r="T1192" s="210"/>
      <c r="U1192" s="210"/>
      <c r="V1192" s="210"/>
      <c r="W1192" s="210"/>
      <c r="X1192" s="210"/>
      <c r="Y1192" s="210"/>
      <c r="Z1192" s="210"/>
    </row>
    <row r="1193" ht="21.75" customHeight="1">
      <c r="A1193" s="214"/>
      <c r="B1193" s="221"/>
      <c r="C1193" s="222">
        <v>5.0</v>
      </c>
      <c r="D1193" s="223" t="s">
        <v>507</v>
      </c>
      <c r="E1193" s="223" t="s">
        <v>508</v>
      </c>
      <c r="F1193" s="223" t="s">
        <v>509</v>
      </c>
      <c r="G1193" s="223" t="s">
        <v>510</v>
      </c>
      <c r="H1193" s="225" t="s">
        <v>1558</v>
      </c>
      <c r="I1193" s="208"/>
      <c r="J1193" s="210"/>
      <c r="K1193" s="210"/>
      <c r="L1193" s="210"/>
      <c r="M1193" s="210"/>
      <c r="N1193" s="210"/>
      <c r="O1193" s="210"/>
      <c r="P1193" s="210"/>
      <c r="Q1193" s="210"/>
      <c r="R1193" s="210"/>
      <c r="S1193" s="210"/>
      <c r="T1193" s="210"/>
      <c r="U1193" s="210"/>
      <c r="V1193" s="210"/>
      <c r="W1193" s="210"/>
      <c r="X1193" s="210"/>
      <c r="Y1193" s="210"/>
      <c r="Z1193" s="210"/>
    </row>
    <row r="1194" ht="21.75" customHeight="1">
      <c r="A1194" s="214"/>
      <c r="B1194" s="221"/>
      <c r="C1194" s="222">
        <v>105.0</v>
      </c>
      <c r="D1194" s="223" t="s">
        <v>1541</v>
      </c>
      <c r="E1194" s="223" t="s">
        <v>487</v>
      </c>
      <c r="F1194" s="223" t="s">
        <v>1542</v>
      </c>
      <c r="G1194" s="218" t="s">
        <v>490</v>
      </c>
      <c r="H1194" s="224" t="s">
        <v>490</v>
      </c>
      <c r="I1194" s="208"/>
      <c r="J1194" s="210"/>
      <c r="K1194" s="210"/>
      <c r="L1194" s="210"/>
      <c r="M1194" s="210"/>
      <c r="N1194" s="210"/>
      <c r="O1194" s="210"/>
      <c r="P1194" s="210"/>
      <c r="Q1194" s="210"/>
      <c r="R1194" s="210"/>
      <c r="S1194" s="210"/>
      <c r="T1194" s="210"/>
      <c r="U1194" s="210"/>
      <c r="V1194" s="210"/>
      <c r="W1194" s="210"/>
      <c r="X1194" s="210"/>
      <c r="Y1194" s="210"/>
      <c r="Z1194" s="210"/>
    </row>
    <row r="1195" ht="21.75" customHeight="1">
      <c r="A1195" s="214"/>
      <c r="B1195" s="221"/>
      <c r="C1195" s="222">
        <v>200.0</v>
      </c>
      <c r="D1195" s="223" t="s">
        <v>1543</v>
      </c>
      <c r="E1195" s="223" t="s">
        <v>487</v>
      </c>
      <c r="F1195" s="223" t="s">
        <v>512</v>
      </c>
      <c r="G1195" s="218" t="s">
        <v>490</v>
      </c>
      <c r="H1195" s="224" t="s">
        <v>490</v>
      </c>
      <c r="I1195" s="208"/>
      <c r="J1195" s="210"/>
      <c r="K1195" s="210"/>
      <c r="L1195" s="210"/>
      <c r="M1195" s="210"/>
      <c r="N1195" s="210"/>
      <c r="O1195" s="210"/>
      <c r="P1195" s="210"/>
      <c r="Q1195" s="210"/>
      <c r="R1195" s="210"/>
      <c r="S1195" s="210"/>
      <c r="T1195" s="210"/>
      <c r="U1195" s="210"/>
      <c r="V1195" s="210"/>
      <c r="W1195" s="210"/>
      <c r="X1195" s="210"/>
      <c r="Y1195" s="210"/>
      <c r="Z1195" s="210"/>
    </row>
    <row r="1196" ht="21.75" customHeight="1">
      <c r="A1196" s="214"/>
      <c r="B1196" s="221"/>
      <c r="C1196" s="222">
        <v>201.0</v>
      </c>
      <c r="D1196" s="223" t="s">
        <v>1544</v>
      </c>
      <c r="E1196" s="223" t="s">
        <v>487</v>
      </c>
      <c r="F1196" s="223" t="s">
        <v>532</v>
      </c>
      <c r="G1196" s="218" t="s">
        <v>490</v>
      </c>
      <c r="H1196" s="224" t="s">
        <v>490</v>
      </c>
      <c r="I1196" s="208"/>
      <c r="J1196" s="210"/>
      <c r="K1196" s="210"/>
      <c r="L1196" s="210"/>
      <c r="M1196" s="210"/>
      <c r="N1196" s="210"/>
      <c r="O1196" s="210"/>
      <c r="P1196" s="210"/>
      <c r="Q1196" s="210"/>
      <c r="R1196" s="210"/>
      <c r="S1196" s="210"/>
      <c r="T1196" s="210"/>
      <c r="U1196" s="210"/>
      <c r="V1196" s="210"/>
      <c r="W1196" s="210"/>
      <c r="X1196" s="210"/>
      <c r="Y1196" s="210"/>
      <c r="Z1196" s="210"/>
    </row>
    <row r="1197" ht="21.75" customHeight="1">
      <c r="A1197" s="214"/>
      <c r="B1197" s="221"/>
      <c r="C1197" s="222">
        <v>202.0</v>
      </c>
      <c r="D1197" s="223" t="s">
        <v>253</v>
      </c>
      <c r="E1197" s="223" t="s">
        <v>487</v>
      </c>
      <c r="F1197" s="223" t="s">
        <v>590</v>
      </c>
      <c r="G1197" s="218" t="s">
        <v>490</v>
      </c>
      <c r="H1197" s="224" t="s">
        <v>490</v>
      </c>
      <c r="I1197" s="208"/>
      <c r="J1197" s="210"/>
      <c r="K1197" s="210"/>
      <c r="L1197" s="210"/>
      <c r="M1197" s="210"/>
      <c r="N1197" s="210"/>
      <c r="O1197" s="210"/>
      <c r="P1197" s="210"/>
      <c r="Q1197" s="210"/>
      <c r="R1197" s="210"/>
      <c r="S1197" s="210"/>
      <c r="T1197" s="210"/>
      <c r="U1197" s="210"/>
      <c r="V1197" s="210"/>
      <c r="W1197" s="210"/>
      <c r="X1197" s="210"/>
      <c r="Y1197" s="210"/>
      <c r="Z1197" s="210"/>
    </row>
    <row r="1198" ht="21.75" customHeight="1">
      <c r="A1198" s="214"/>
      <c r="B1198" s="221"/>
      <c r="C1198" s="222">
        <v>203.0</v>
      </c>
      <c r="D1198" s="223" t="s">
        <v>1000</v>
      </c>
      <c r="E1198" s="223" t="s">
        <v>487</v>
      </c>
      <c r="F1198" s="223" t="s">
        <v>603</v>
      </c>
      <c r="G1198" s="218" t="s">
        <v>490</v>
      </c>
      <c r="H1198" s="224" t="s">
        <v>490</v>
      </c>
      <c r="I1198" s="208"/>
      <c r="J1198" s="210"/>
      <c r="K1198" s="210"/>
      <c r="L1198" s="210"/>
      <c r="M1198" s="210"/>
      <c r="N1198" s="210"/>
      <c r="O1198" s="210"/>
      <c r="P1198" s="210"/>
      <c r="Q1198" s="210"/>
      <c r="R1198" s="210"/>
      <c r="S1198" s="210"/>
      <c r="T1198" s="210"/>
      <c r="U1198" s="210"/>
      <c r="V1198" s="210"/>
      <c r="W1198" s="210"/>
      <c r="X1198" s="210"/>
      <c r="Y1198" s="210"/>
      <c r="Z1198" s="210"/>
    </row>
    <row r="1199" ht="21.75" customHeight="1">
      <c r="A1199" s="214"/>
      <c r="B1199" s="221"/>
      <c r="C1199" s="222">
        <v>204.0</v>
      </c>
      <c r="D1199" s="223" t="s">
        <v>1419</v>
      </c>
      <c r="E1199" s="223" t="s">
        <v>487</v>
      </c>
      <c r="F1199" s="223" t="s">
        <v>579</v>
      </c>
      <c r="G1199" s="218" t="s">
        <v>490</v>
      </c>
      <c r="H1199" s="224" t="s">
        <v>490</v>
      </c>
      <c r="I1199" s="208"/>
      <c r="J1199" s="210"/>
      <c r="K1199" s="210"/>
      <c r="L1199" s="210"/>
      <c r="M1199" s="210"/>
      <c r="N1199" s="210"/>
      <c r="O1199" s="210"/>
      <c r="P1199" s="210"/>
      <c r="Q1199" s="210"/>
      <c r="R1199" s="210"/>
      <c r="S1199" s="210"/>
      <c r="T1199" s="210"/>
      <c r="U1199" s="210"/>
      <c r="V1199" s="210"/>
      <c r="W1199" s="210"/>
      <c r="X1199" s="210"/>
      <c r="Y1199" s="210"/>
      <c r="Z1199" s="210"/>
    </row>
    <row r="1200" ht="21.75" customHeight="1">
      <c r="A1200" s="214"/>
      <c r="B1200" s="221"/>
      <c r="C1200" s="222">
        <v>205.0</v>
      </c>
      <c r="D1200" s="223" t="s">
        <v>1420</v>
      </c>
      <c r="E1200" s="223" t="s">
        <v>487</v>
      </c>
      <c r="F1200" s="223" t="s">
        <v>583</v>
      </c>
      <c r="G1200" s="218" t="s">
        <v>490</v>
      </c>
      <c r="H1200" s="224" t="s">
        <v>490</v>
      </c>
      <c r="I1200" s="208"/>
      <c r="J1200" s="210"/>
      <c r="K1200" s="210"/>
      <c r="L1200" s="210"/>
      <c r="M1200" s="210"/>
      <c r="N1200" s="210"/>
      <c r="O1200" s="210"/>
      <c r="P1200" s="210"/>
      <c r="Q1200" s="210"/>
      <c r="R1200" s="210"/>
      <c r="S1200" s="210"/>
      <c r="T1200" s="210"/>
      <c r="U1200" s="210"/>
      <c r="V1200" s="210"/>
      <c r="W1200" s="210"/>
      <c r="X1200" s="210"/>
      <c r="Y1200" s="210"/>
      <c r="Z1200" s="210"/>
    </row>
    <row r="1201" ht="21.75" customHeight="1">
      <c r="A1201" s="214"/>
      <c r="B1201" s="221"/>
      <c r="C1201" s="222">
        <v>206.0</v>
      </c>
      <c r="D1201" s="223" t="s">
        <v>1545</v>
      </c>
      <c r="E1201" s="223" t="s">
        <v>487</v>
      </c>
      <c r="F1201" s="223" t="s">
        <v>601</v>
      </c>
      <c r="G1201" s="218" t="s">
        <v>490</v>
      </c>
      <c r="H1201" s="224" t="s">
        <v>490</v>
      </c>
      <c r="I1201" s="208"/>
      <c r="J1201" s="210"/>
      <c r="K1201" s="210"/>
      <c r="L1201" s="210"/>
      <c r="M1201" s="210"/>
      <c r="N1201" s="210"/>
      <c r="O1201" s="210"/>
      <c r="P1201" s="210"/>
      <c r="Q1201" s="210"/>
      <c r="R1201" s="210"/>
      <c r="S1201" s="210"/>
      <c r="T1201" s="210"/>
      <c r="U1201" s="210"/>
      <c r="V1201" s="210"/>
      <c r="W1201" s="210"/>
      <c r="X1201" s="210"/>
      <c r="Y1201" s="210"/>
      <c r="Z1201" s="210"/>
    </row>
    <row r="1202" ht="21.75" customHeight="1">
      <c r="A1202" s="214"/>
      <c r="B1202" s="221"/>
      <c r="C1202" s="222">
        <v>207.0</v>
      </c>
      <c r="D1202" s="223" t="s">
        <v>1546</v>
      </c>
      <c r="E1202" s="223" t="s">
        <v>487</v>
      </c>
      <c r="F1202" s="223" t="s">
        <v>560</v>
      </c>
      <c r="G1202" s="218" t="s">
        <v>490</v>
      </c>
      <c r="H1202" s="224" t="s">
        <v>490</v>
      </c>
      <c r="I1202" s="208"/>
      <c r="J1202" s="210"/>
      <c r="K1202" s="210"/>
      <c r="L1202" s="210"/>
      <c r="M1202" s="210"/>
      <c r="N1202" s="210"/>
      <c r="O1202" s="210"/>
      <c r="P1202" s="210"/>
      <c r="Q1202" s="210"/>
      <c r="R1202" s="210"/>
      <c r="S1202" s="210"/>
      <c r="T1202" s="210"/>
      <c r="U1202" s="210"/>
      <c r="V1202" s="210"/>
      <c r="W1202" s="210"/>
      <c r="X1202" s="210"/>
      <c r="Y1202" s="210"/>
      <c r="Z1202" s="210"/>
    </row>
    <row r="1203" ht="21.75" customHeight="1">
      <c r="A1203" s="214"/>
      <c r="B1203" s="221"/>
      <c r="C1203" s="222">
        <v>208.0</v>
      </c>
      <c r="D1203" s="223" t="s">
        <v>1479</v>
      </c>
      <c r="E1203" s="223" t="s">
        <v>487</v>
      </c>
      <c r="F1203" s="223" t="s">
        <v>613</v>
      </c>
      <c r="G1203" s="218" t="s">
        <v>490</v>
      </c>
      <c r="H1203" s="224" t="s">
        <v>490</v>
      </c>
      <c r="I1203" s="208"/>
      <c r="J1203" s="210"/>
      <c r="K1203" s="210"/>
      <c r="L1203" s="210"/>
      <c r="M1203" s="210"/>
      <c r="N1203" s="210"/>
      <c r="O1203" s="210"/>
      <c r="P1203" s="210"/>
      <c r="Q1203" s="210"/>
      <c r="R1203" s="210"/>
      <c r="S1203" s="210"/>
      <c r="T1203" s="210"/>
      <c r="U1203" s="210"/>
      <c r="V1203" s="210"/>
      <c r="W1203" s="210"/>
      <c r="X1203" s="210"/>
      <c r="Y1203" s="210"/>
      <c r="Z1203" s="210"/>
    </row>
    <row r="1204" ht="21.75" customHeight="1">
      <c r="A1204" s="214"/>
      <c r="B1204" s="221"/>
      <c r="C1204" s="222">
        <v>209.0</v>
      </c>
      <c r="D1204" s="223" t="s">
        <v>1547</v>
      </c>
      <c r="E1204" s="223" t="s">
        <v>529</v>
      </c>
      <c r="F1204" s="223" t="s">
        <v>530</v>
      </c>
      <c r="G1204" s="218" t="s">
        <v>490</v>
      </c>
      <c r="H1204" s="224" t="s">
        <v>490</v>
      </c>
      <c r="I1204" s="208"/>
      <c r="J1204" s="210"/>
      <c r="K1204" s="210"/>
      <c r="L1204" s="210"/>
      <c r="M1204" s="210"/>
      <c r="N1204" s="210"/>
      <c r="O1204" s="210"/>
      <c r="P1204" s="210"/>
      <c r="Q1204" s="210"/>
      <c r="R1204" s="210"/>
      <c r="S1204" s="210"/>
      <c r="T1204" s="210"/>
      <c r="U1204" s="210"/>
      <c r="V1204" s="210"/>
      <c r="W1204" s="210"/>
      <c r="X1204" s="210"/>
      <c r="Y1204" s="210"/>
      <c r="Z1204" s="210"/>
    </row>
    <row r="1205" ht="21.75" customHeight="1">
      <c r="A1205" s="214"/>
      <c r="B1205" s="217"/>
      <c r="C1205" s="222">
        <v>300.0</v>
      </c>
      <c r="D1205" s="215" t="s">
        <v>696</v>
      </c>
      <c r="E1205" s="215" t="s">
        <v>673</v>
      </c>
      <c r="F1205" s="215" t="s">
        <v>696</v>
      </c>
      <c r="G1205" s="234" t="s">
        <v>490</v>
      </c>
      <c r="H1205" s="224" t="s">
        <v>490</v>
      </c>
      <c r="I1205" s="208"/>
      <c r="J1205" s="210"/>
      <c r="K1205" s="210"/>
      <c r="L1205" s="210"/>
      <c r="M1205" s="210"/>
      <c r="N1205" s="210"/>
      <c r="O1205" s="210"/>
      <c r="P1205" s="210"/>
      <c r="Q1205" s="210"/>
      <c r="R1205" s="210"/>
      <c r="S1205" s="210"/>
      <c r="T1205" s="210"/>
      <c r="U1205" s="210"/>
      <c r="V1205" s="210"/>
      <c r="W1205" s="210"/>
      <c r="X1205" s="210"/>
      <c r="Y1205" s="210"/>
      <c r="Z1205" s="210"/>
    </row>
    <row r="1206" ht="21.75" customHeight="1">
      <c r="A1206" s="214"/>
      <c r="B1206" s="218" t="s">
        <v>1559</v>
      </c>
      <c r="C1206" s="226">
        <v>70025.0</v>
      </c>
      <c r="D1206" s="220"/>
      <c r="E1206" s="220"/>
      <c r="F1206" s="220"/>
      <c r="G1206" s="220"/>
      <c r="H1206" s="221"/>
      <c r="I1206" s="208"/>
      <c r="J1206" s="210"/>
      <c r="K1206" s="210"/>
      <c r="L1206" s="210"/>
      <c r="M1206" s="210"/>
      <c r="N1206" s="210"/>
      <c r="O1206" s="210"/>
      <c r="P1206" s="210"/>
      <c r="Q1206" s="210"/>
      <c r="R1206" s="210"/>
      <c r="S1206" s="210"/>
      <c r="T1206" s="210"/>
      <c r="U1206" s="210"/>
      <c r="V1206" s="210"/>
      <c r="W1206" s="210"/>
      <c r="X1206" s="210"/>
      <c r="Y1206" s="210"/>
      <c r="Z1206" s="210"/>
    </row>
    <row r="1207" ht="21.75" customHeight="1">
      <c r="A1207" s="214"/>
      <c r="B1207" s="221"/>
      <c r="C1207" s="222">
        <v>100.0</v>
      </c>
      <c r="D1207" s="223" t="s">
        <v>486</v>
      </c>
      <c r="E1207" s="223" t="s">
        <v>487</v>
      </c>
      <c r="F1207" s="223" t="s">
        <v>488</v>
      </c>
      <c r="G1207" s="223" t="s">
        <v>489</v>
      </c>
      <c r="H1207" s="224" t="s">
        <v>490</v>
      </c>
      <c r="I1207" s="208"/>
      <c r="J1207" s="210"/>
      <c r="K1207" s="210"/>
      <c r="L1207" s="210"/>
      <c r="M1207" s="210"/>
      <c r="N1207" s="210"/>
      <c r="O1207" s="210"/>
      <c r="P1207" s="210"/>
      <c r="Q1207" s="210"/>
      <c r="R1207" s="210"/>
      <c r="S1207" s="210"/>
      <c r="T1207" s="210"/>
      <c r="U1207" s="210"/>
      <c r="V1207" s="210"/>
      <c r="W1207" s="210"/>
      <c r="X1207" s="210"/>
      <c r="Y1207" s="210"/>
      <c r="Z1207" s="210"/>
    </row>
    <row r="1208" ht="21.75" customHeight="1">
      <c r="A1208" s="214"/>
      <c r="B1208" s="221"/>
      <c r="C1208" s="222">
        <v>101.0</v>
      </c>
      <c r="D1208" s="223" t="s">
        <v>491</v>
      </c>
      <c r="E1208" s="223" t="s">
        <v>487</v>
      </c>
      <c r="F1208" s="223" t="s">
        <v>492</v>
      </c>
      <c r="G1208" s="223" t="s">
        <v>678</v>
      </c>
      <c r="H1208" s="225" t="s">
        <v>1560</v>
      </c>
      <c r="I1208" s="208"/>
      <c r="J1208" s="210"/>
      <c r="K1208" s="210"/>
      <c r="L1208" s="210"/>
      <c r="M1208" s="210"/>
      <c r="N1208" s="210"/>
      <c r="O1208" s="210"/>
      <c r="P1208" s="210"/>
      <c r="Q1208" s="210"/>
      <c r="R1208" s="210"/>
      <c r="S1208" s="210"/>
      <c r="T1208" s="210"/>
      <c r="U1208" s="210"/>
      <c r="V1208" s="210"/>
      <c r="W1208" s="210"/>
      <c r="X1208" s="210"/>
      <c r="Y1208" s="210"/>
      <c r="Z1208" s="210"/>
    </row>
    <row r="1209" ht="21.75" customHeight="1">
      <c r="A1209" s="214"/>
      <c r="B1209" s="221"/>
      <c r="C1209" s="222">
        <v>102.0</v>
      </c>
      <c r="D1209" s="223" t="s">
        <v>1537</v>
      </c>
      <c r="E1209" s="223" t="s">
        <v>487</v>
      </c>
      <c r="F1209" s="223" t="s">
        <v>496</v>
      </c>
      <c r="G1209" s="223" t="s">
        <v>501</v>
      </c>
      <c r="H1209" s="224" t="s">
        <v>490</v>
      </c>
      <c r="I1209" s="208"/>
      <c r="J1209" s="210"/>
      <c r="K1209" s="210"/>
      <c r="L1209" s="210"/>
      <c r="M1209" s="210"/>
      <c r="N1209" s="210"/>
      <c r="O1209" s="210"/>
      <c r="P1209" s="210"/>
      <c r="Q1209" s="210"/>
      <c r="R1209" s="210"/>
      <c r="S1209" s="210"/>
      <c r="T1209" s="210"/>
      <c r="U1209" s="210"/>
      <c r="V1209" s="210"/>
      <c r="W1209" s="210"/>
      <c r="X1209" s="210"/>
      <c r="Y1209" s="210"/>
      <c r="Z1209" s="210"/>
    </row>
    <row r="1210" ht="21.75" customHeight="1">
      <c r="A1210" s="214"/>
      <c r="B1210" s="221"/>
      <c r="C1210" s="222">
        <v>103.0</v>
      </c>
      <c r="D1210" s="223" t="s">
        <v>1538</v>
      </c>
      <c r="E1210" s="223" t="s">
        <v>487</v>
      </c>
      <c r="F1210" s="223" t="s">
        <v>500</v>
      </c>
      <c r="G1210" s="223" t="s">
        <v>497</v>
      </c>
      <c r="H1210" s="225" t="s">
        <v>1561</v>
      </c>
      <c r="I1210" s="208"/>
      <c r="J1210" s="210"/>
      <c r="K1210" s="210"/>
      <c r="L1210" s="210"/>
      <c r="M1210" s="210"/>
      <c r="N1210" s="210"/>
      <c r="O1210" s="210"/>
      <c r="P1210" s="210"/>
      <c r="Q1210" s="210"/>
      <c r="R1210" s="210"/>
      <c r="S1210" s="210"/>
      <c r="T1210" s="210"/>
      <c r="U1210" s="210"/>
      <c r="V1210" s="210"/>
      <c r="W1210" s="210"/>
      <c r="X1210" s="210"/>
      <c r="Y1210" s="210"/>
      <c r="Z1210" s="210"/>
    </row>
    <row r="1211" ht="21.75" customHeight="1">
      <c r="A1211" s="214"/>
      <c r="B1211" s="221"/>
      <c r="C1211" s="222">
        <v>104.0</v>
      </c>
      <c r="D1211" s="223" t="s">
        <v>507</v>
      </c>
      <c r="E1211" s="223" t="s">
        <v>508</v>
      </c>
      <c r="F1211" s="223" t="s">
        <v>509</v>
      </c>
      <c r="G1211" s="223" t="s">
        <v>510</v>
      </c>
      <c r="H1211" s="225" t="s">
        <v>1540</v>
      </c>
      <c r="I1211" s="208"/>
      <c r="J1211" s="210"/>
      <c r="K1211" s="210"/>
      <c r="L1211" s="210"/>
      <c r="M1211" s="210"/>
      <c r="N1211" s="210"/>
      <c r="O1211" s="210"/>
      <c r="P1211" s="210"/>
      <c r="Q1211" s="210"/>
      <c r="R1211" s="210"/>
      <c r="S1211" s="210"/>
      <c r="T1211" s="210"/>
      <c r="U1211" s="210"/>
      <c r="V1211" s="210"/>
      <c r="W1211" s="210"/>
      <c r="X1211" s="210"/>
      <c r="Y1211" s="210"/>
      <c r="Z1211" s="210"/>
    </row>
    <row r="1212" ht="21.75" customHeight="1">
      <c r="A1212" s="214"/>
      <c r="B1212" s="221"/>
      <c r="C1212" s="222">
        <v>105.0</v>
      </c>
      <c r="D1212" s="223" t="s">
        <v>1541</v>
      </c>
      <c r="E1212" s="223" t="s">
        <v>487</v>
      </c>
      <c r="F1212" s="223" t="s">
        <v>1542</v>
      </c>
      <c r="G1212" s="218" t="s">
        <v>490</v>
      </c>
      <c r="H1212" s="224" t="s">
        <v>490</v>
      </c>
      <c r="I1212" s="208"/>
      <c r="J1212" s="210"/>
      <c r="K1212" s="210"/>
      <c r="L1212" s="210"/>
      <c r="M1212" s="210"/>
      <c r="N1212" s="210"/>
      <c r="O1212" s="210"/>
      <c r="P1212" s="210"/>
      <c r="Q1212" s="210"/>
      <c r="R1212" s="210"/>
      <c r="S1212" s="210"/>
      <c r="T1212" s="210"/>
      <c r="U1212" s="210"/>
      <c r="V1212" s="210"/>
      <c r="W1212" s="210"/>
      <c r="X1212" s="210"/>
      <c r="Y1212" s="210"/>
      <c r="Z1212" s="210"/>
    </row>
    <row r="1213" ht="21.75" customHeight="1">
      <c r="A1213" s="214"/>
      <c r="B1213" s="221"/>
      <c r="C1213" s="222">
        <v>200.0</v>
      </c>
      <c r="D1213" s="223" t="s">
        <v>1543</v>
      </c>
      <c r="E1213" s="223" t="s">
        <v>487</v>
      </c>
      <c r="F1213" s="223" t="s">
        <v>512</v>
      </c>
      <c r="G1213" s="218" t="s">
        <v>490</v>
      </c>
      <c r="H1213" s="224" t="s">
        <v>490</v>
      </c>
      <c r="I1213" s="208"/>
      <c r="J1213" s="210"/>
      <c r="K1213" s="210"/>
      <c r="L1213" s="210"/>
      <c r="M1213" s="210"/>
      <c r="N1213" s="210"/>
      <c r="O1213" s="210"/>
      <c r="P1213" s="210"/>
      <c r="Q1213" s="210"/>
      <c r="R1213" s="210"/>
      <c r="S1213" s="210"/>
      <c r="T1213" s="210"/>
      <c r="U1213" s="210"/>
      <c r="V1213" s="210"/>
      <c r="W1213" s="210"/>
      <c r="X1213" s="210"/>
      <c r="Y1213" s="210"/>
      <c r="Z1213" s="210"/>
    </row>
    <row r="1214" ht="21.75" customHeight="1">
      <c r="A1214" s="214"/>
      <c r="B1214" s="221"/>
      <c r="C1214" s="222">
        <v>201.0</v>
      </c>
      <c r="D1214" s="223" t="s">
        <v>1544</v>
      </c>
      <c r="E1214" s="223" t="s">
        <v>487</v>
      </c>
      <c r="F1214" s="223" t="s">
        <v>532</v>
      </c>
      <c r="G1214" s="218" t="s">
        <v>490</v>
      </c>
      <c r="H1214" s="224" t="s">
        <v>490</v>
      </c>
      <c r="I1214" s="208"/>
      <c r="J1214" s="210"/>
      <c r="K1214" s="210"/>
      <c r="L1214" s="210"/>
      <c r="M1214" s="210"/>
      <c r="N1214" s="210"/>
      <c r="O1214" s="210"/>
      <c r="P1214" s="210"/>
      <c r="Q1214" s="210"/>
      <c r="R1214" s="210"/>
      <c r="S1214" s="210"/>
      <c r="T1214" s="210"/>
      <c r="U1214" s="210"/>
      <c r="V1214" s="210"/>
      <c r="W1214" s="210"/>
      <c r="X1214" s="210"/>
      <c r="Y1214" s="210"/>
      <c r="Z1214" s="210"/>
    </row>
    <row r="1215" ht="21.75" customHeight="1">
      <c r="A1215" s="214"/>
      <c r="B1215" s="221"/>
      <c r="C1215" s="222">
        <v>202.0</v>
      </c>
      <c r="D1215" s="223" t="s">
        <v>253</v>
      </c>
      <c r="E1215" s="223" t="s">
        <v>487</v>
      </c>
      <c r="F1215" s="223" t="s">
        <v>590</v>
      </c>
      <c r="G1215" s="218" t="s">
        <v>490</v>
      </c>
      <c r="H1215" s="224" t="s">
        <v>490</v>
      </c>
      <c r="I1215" s="208"/>
      <c r="J1215" s="210"/>
      <c r="K1215" s="210"/>
      <c r="L1215" s="210"/>
      <c r="M1215" s="210"/>
      <c r="N1215" s="210"/>
      <c r="O1215" s="210"/>
      <c r="P1215" s="210"/>
      <c r="Q1215" s="210"/>
      <c r="R1215" s="210"/>
      <c r="S1215" s="210"/>
      <c r="T1215" s="210"/>
      <c r="U1215" s="210"/>
      <c r="V1215" s="210"/>
      <c r="W1215" s="210"/>
      <c r="X1215" s="210"/>
      <c r="Y1215" s="210"/>
      <c r="Z1215" s="210"/>
    </row>
    <row r="1216" ht="21.75" customHeight="1">
      <c r="A1216" s="214"/>
      <c r="B1216" s="221"/>
      <c r="C1216" s="222">
        <v>203.0</v>
      </c>
      <c r="D1216" s="223" t="s">
        <v>1000</v>
      </c>
      <c r="E1216" s="223" t="s">
        <v>487</v>
      </c>
      <c r="F1216" s="223" t="s">
        <v>603</v>
      </c>
      <c r="G1216" s="218" t="s">
        <v>490</v>
      </c>
      <c r="H1216" s="224" t="s">
        <v>490</v>
      </c>
      <c r="I1216" s="208"/>
      <c r="J1216" s="210"/>
      <c r="K1216" s="210"/>
      <c r="L1216" s="210"/>
      <c r="M1216" s="210"/>
      <c r="N1216" s="210"/>
      <c r="O1216" s="210"/>
      <c r="P1216" s="210"/>
      <c r="Q1216" s="210"/>
      <c r="R1216" s="210"/>
      <c r="S1216" s="210"/>
      <c r="T1216" s="210"/>
      <c r="U1216" s="210"/>
      <c r="V1216" s="210"/>
      <c r="W1216" s="210"/>
      <c r="X1216" s="210"/>
      <c r="Y1216" s="210"/>
      <c r="Z1216" s="210"/>
    </row>
    <row r="1217" ht="21.75" customHeight="1">
      <c r="A1217" s="214"/>
      <c r="B1217" s="221"/>
      <c r="C1217" s="222">
        <v>204.0</v>
      </c>
      <c r="D1217" s="223" t="s">
        <v>1419</v>
      </c>
      <c r="E1217" s="223" t="s">
        <v>487</v>
      </c>
      <c r="F1217" s="223" t="s">
        <v>579</v>
      </c>
      <c r="G1217" s="218" t="s">
        <v>490</v>
      </c>
      <c r="H1217" s="224" t="s">
        <v>490</v>
      </c>
      <c r="I1217" s="208"/>
      <c r="J1217" s="210"/>
      <c r="K1217" s="210"/>
      <c r="L1217" s="210"/>
      <c r="M1217" s="210"/>
      <c r="N1217" s="210"/>
      <c r="O1217" s="210"/>
      <c r="P1217" s="210"/>
      <c r="Q1217" s="210"/>
      <c r="R1217" s="210"/>
      <c r="S1217" s="210"/>
      <c r="T1217" s="210"/>
      <c r="U1217" s="210"/>
      <c r="V1217" s="210"/>
      <c r="W1217" s="210"/>
      <c r="X1217" s="210"/>
      <c r="Y1217" s="210"/>
      <c r="Z1217" s="210"/>
    </row>
    <row r="1218" ht="21.75" customHeight="1">
      <c r="A1218" s="214"/>
      <c r="B1218" s="221"/>
      <c r="C1218" s="222">
        <v>205.0</v>
      </c>
      <c r="D1218" s="223" t="s">
        <v>1420</v>
      </c>
      <c r="E1218" s="223" t="s">
        <v>487</v>
      </c>
      <c r="F1218" s="223" t="s">
        <v>583</v>
      </c>
      <c r="G1218" s="218" t="s">
        <v>490</v>
      </c>
      <c r="H1218" s="224" t="s">
        <v>490</v>
      </c>
      <c r="I1218" s="208"/>
      <c r="J1218" s="210"/>
      <c r="K1218" s="210"/>
      <c r="L1218" s="210"/>
      <c r="M1218" s="210"/>
      <c r="N1218" s="210"/>
      <c r="O1218" s="210"/>
      <c r="P1218" s="210"/>
      <c r="Q1218" s="210"/>
      <c r="R1218" s="210"/>
      <c r="S1218" s="210"/>
      <c r="T1218" s="210"/>
      <c r="U1218" s="210"/>
      <c r="V1218" s="210"/>
      <c r="W1218" s="210"/>
      <c r="X1218" s="210"/>
      <c r="Y1218" s="210"/>
      <c r="Z1218" s="210"/>
    </row>
    <row r="1219" ht="21.75" customHeight="1">
      <c r="A1219" s="214"/>
      <c r="B1219" s="221"/>
      <c r="C1219" s="222">
        <v>206.0</v>
      </c>
      <c r="D1219" s="223" t="s">
        <v>1545</v>
      </c>
      <c r="E1219" s="223" t="s">
        <v>487</v>
      </c>
      <c r="F1219" s="223" t="s">
        <v>601</v>
      </c>
      <c r="G1219" s="218" t="s">
        <v>490</v>
      </c>
      <c r="H1219" s="224" t="s">
        <v>490</v>
      </c>
      <c r="I1219" s="208"/>
      <c r="J1219" s="210"/>
      <c r="K1219" s="210"/>
      <c r="L1219" s="210"/>
      <c r="M1219" s="210"/>
      <c r="N1219" s="210"/>
      <c r="O1219" s="210"/>
      <c r="P1219" s="210"/>
      <c r="Q1219" s="210"/>
      <c r="R1219" s="210"/>
      <c r="S1219" s="210"/>
      <c r="T1219" s="210"/>
      <c r="U1219" s="210"/>
      <c r="V1219" s="210"/>
      <c r="W1219" s="210"/>
      <c r="X1219" s="210"/>
      <c r="Y1219" s="210"/>
      <c r="Z1219" s="210"/>
    </row>
    <row r="1220" ht="21.75" customHeight="1">
      <c r="A1220" s="214"/>
      <c r="B1220" s="221"/>
      <c r="C1220" s="222">
        <v>207.0</v>
      </c>
      <c r="D1220" s="223" t="s">
        <v>1546</v>
      </c>
      <c r="E1220" s="223" t="s">
        <v>487</v>
      </c>
      <c r="F1220" s="223" t="s">
        <v>560</v>
      </c>
      <c r="G1220" s="218" t="s">
        <v>490</v>
      </c>
      <c r="H1220" s="224" t="s">
        <v>490</v>
      </c>
      <c r="I1220" s="208"/>
      <c r="J1220" s="210"/>
      <c r="K1220" s="210"/>
      <c r="L1220" s="210"/>
      <c r="M1220" s="210"/>
      <c r="N1220" s="210"/>
      <c r="O1220" s="210"/>
      <c r="P1220" s="210"/>
      <c r="Q1220" s="210"/>
      <c r="R1220" s="210"/>
      <c r="S1220" s="210"/>
      <c r="T1220" s="210"/>
      <c r="U1220" s="210"/>
      <c r="V1220" s="210"/>
      <c r="W1220" s="210"/>
      <c r="X1220" s="210"/>
      <c r="Y1220" s="210"/>
      <c r="Z1220" s="210"/>
    </row>
    <row r="1221" ht="21.75" customHeight="1">
      <c r="A1221" s="214"/>
      <c r="B1221" s="221"/>
      <c r="C1221" s="222">
        <v>208.0</v>
      </c>
      <c r="D1221" s="223" t="s">
        <v>1479</v>
      </c>
      <c r="E1221" s="223" t="s">
        <v>487</v>
      </c>
      <c r="F1221" s="223" t="s">
        <v>613</v>
      </c>
      <c r="G1221" s="218" t="s">
        <v>490</v>
      </c>
      <c r="H1221" s="224" t="s">
        <v>490</v>
      </c>
      <c r="I1221" s="208"/>
      <c r="J1221" s="210"/>
      <c r="K1221" s="210"/>
      <c r="L1221" s="210"/>
      <c r="M1221" s="210"/>
      <c r="N1221" s="210"/>
      <c r="O1221" s="210"/>
      <c r="P1221" s="210"/>
      <c r="Q1221" s="210"/>
      <c r="R1221" s="210"/>
      <c r="S1221" s="210"/>
      <c r="T1221" s="210"/>
      <c r="U1221" s="210"/>
      <c r="V1221" s="210"/>
      <c r="W1221" s="210"/>
      <c r="X1221" s="210"/>
      <c r="Y1221" s="210"/>
      <c r="Z1221" s="210"/>
    </row>
    <row r="1222" ht="21.75" customHeight="1">
      <c r="A1222" s="214"/>
      <c r="B1222" s="221"/>
      <c r="C1222" s="222">
        <v>209.0</v>
      </c>
      <c r="D1222" s="223" t="s">
        <v>1547</v>
      </c>
      <c r="E1222" s="223" t="s">
        <v>529</v>
      </c>
      <c r="F1222" s="223" t="s">
        <v>530</v>
      </c>
      <c r="G1222" s="218" t="s">
        <v>490</v>
      </c>
      <c r="H1222" s="224" t="s">
        <v>490</v>
      </c>
      <c r="I1222" s="208"/>
      <c r="J1222" s="210"/>
      <c r="K1222" s="210"/>
      <c r="L1222" s="210"/>
      <c r="M1222" s="210"/>
      <c r="N1222" s="210"/>
      <c r="O1222" s="210"/>
      <c r="P1222" s="210"/>
      <c r="Q1222" s="210"/>
      <c r="R1222" s="210"/>
      <c r="S1222" s="210"/>
      <c r="T1222" s="210"/>
      <c r="U1222" s="210"/>
      <c r="V1222" s="210"/>
      <c r="W1222" s="210"/>
      <c r="X1222" s="210"/>
      <c r="Y1222" s="210"/>
      <c r="Z1222" s="210"/>
    </row>
    <row r="1223" ht="21.75" customHeight="1">
      <c r="A1223" s="214"/>
      <c r="B1223" s="217"/>
      <c r="C1223" s="222">
        <v>300.0</v>
      </c>
      <c r="D1223" s="215" t="s">
        <v>696</v>
      </c>
      <c r="E1223" s="215" t="s">
        <v>673</v>
      </c>
      <c r="F1223" s="215" t="s">
        <v>696</v>
      </c>
      <c r="G1223" s="234" t="s">
        <v>490</v>
      </c>
      <c r="H1223" s="224" t="s">
        <v>490</v>
      </c>
      <c r="I1223" s="208"/>
      <c r="J1223" s="210"/>
      <c r="K1223" s="210"/>
      <c r="L1223" s="210"/>
      <c r="M1223" s="210"/>
      <c r="N1223" s="210"/>
      <c r="O1223" s="210"/>
      <c r="P1223" s="210"/>
      <c r="Q1223" s="210"/>
      <c r="R1223" s="210"/>
      <c r="S1223" s="210"/>
      <c r="T1223" s="210"/>
      <c r="U1223" s="210"/>
      <c r="V1223" s="210"/>
      <c r="W1223" s="210"/>
      <c r="X1223" s="210"/>
      <c r="Y1223" s="210"/>
      <c r="Z1223" s="210"/>
    </row>
    <row r="1224" ht="21.75" customHeight="1">
      <c r="A1224" s="214"/>
      <c r="B1224" s="218" t="s">
        <v>1562</v>
      </c>
      <c r="C1224" s="226">
        <v>70026.0</v>
      </c>
      <c r="D1224" s="220"/>
      <c r="E1224" s="220"/>
      <c r="F1224" s="220"/>
      <c r="G1224" s="220"/>
      <c r="H1224" s="221"/>
      <c r="I1224" s="208"/>
      <c r="J1224" s="210"/>
      <c r="K1224" s="210"/>
      <c r="L1224" s="210"/>
      <c r="M1224" s="210"/>
      <c r="N1224" s="210"/>
      <c r="O1224" s="210"/>
      <c r="P1224" s="210"/>
      <c r="Q1224" s="210"/>
      <c r="R1224" s="210"/>
      <c r="S1224" s="210"/>
      <c r="T1224" s="210"/>
      <c r="U1224" s="210"/>
      <c r="V1224" s="210"/>
      <c r="W1224" s="210"/>
      <c r="X1224" s="210"/>
      <c r="Y1224" s="210"/>
      <c r="Z1224" s="210"/>
    </row>
    <row r="1225" ht="21.75" customHeight="1">
      <c r="A1225" s="214"/>
      <c r="B1225" s="221"/>
      <c r="C1225" s="222">
        <v>100.0</v>
      </c>
      <c r="D1225" s="223" t="s">
        <v>486</v>
      </c>
      <c r="E1225" s="223" t="s">
        <v>487</v>
      </c>
      <c r="F1225" s="223" t="s">
        <v>488</v>
      </c>
      <c r="G1225" s="223" t="s">
        <v>489</v>
      </c>
      <c r="H1225" s="224" t="s">
        <v>490</v>
      </c>
      <c r="I1225" s="208"/>
      <c r="J1225" s="210"/>
      <c r="K1225" s="210"/>
      <c r="L1225" s="210"/>
      <c r="M1225" s="210"/>
      <c r="N1225" s="210"/>
      <c r="O1225" s="210"/>
      <c r="P1225" s="210"/>
      <c r="Q1225" s="210"/>
      <c r="R1225" s="210"/>
      <c r="S1225" s="210"/>
      <c r="T1225" s="210"/>
      <c r="U1225" s="210"/>
      <c r="V1225" s="210"/>
      <c r="W1225" s="210"/>
      <c r="X1225" s="210"/>
      <c r="Y1225" s="210"/>
      <c r="Z1225" s="210"/>
    </row>
    <row r="1226" ht="21.75" customHeight="1">
      <c r="A1226" s="214"/>
      <c r="B1226" s="221"/>
      <c r="C1226" s="222">
        <v>101.0</v>
      </c>
      <c r="D1226" s="223" t="s">
        <v>491</v>
      </c>
      <c r="E1226" s="223" t="s">
        <v>487</v>
      </c>
      <c r="F1226" s="223" t="s">
        <v>492</v>
      </c>
      <c r="G1226" s="223" t="s">
        <v>678</v>
      </c>
      <c r="H1226" s="225" t="s">
        <v>1563</v>
      </c>
      <c r="I1226" s="208"/>
      <c r="J1226" s="210"/>
      <c r="K1226" s="210"/>
      <c r="L1226" s="210"/>
      <c r="M1226" s="210"/>
      <c r="N1226" s="210"/>
      <c r="O1226" s="210"/>
      <c r="P1226" s="210"/>
      <c r="Q1226" s="210"/>
      <c r="R1226" s="210"/>
      <c r="S1226" s="210"/>
      <c r="T1226" s="210"/>
      <c r="U1226" s="210"/>
      <c r="V1226" s="210"/>
      <c r="W1226" s="210"/>
      <c r="X1226" s="210"/>
      <c r="Y1226" s="210"/>
      <c r="Z1226" s="210"/>
    </row>
    <row r="1227" ht="21.75" customHeight="1">
      <c r="A1227" s="214"/>
      <c r="B1227" s="221"/>
      <c r="C1227" s="222">
        <v>102.0</v>
      </c>
      <c r="D1227" s="223" t="s">
        <v>1537</v>
      </c>
      <c r="E1227" s="223" t="s">
        <v>487</v>
      </c>
      <c r="F1227" s="223" t="s">
        <v>496</v>
      </c>
      <c r="G1227" s="223" t="s">
        <v>501</v>
      </c>
      <c r="H1227" s="224" t="s">
        <v>490</v>
      </c>
      <c r="I1227" s="208"/>
      <c r="J1227" s="210"/>
      <c r="K1227" s="210"/>
      <c r="L1227" s="210"/>
      <c r="M1227" s="210"/>
      <c r="N1227" s="210"/>
      <c r="O1227" s="210"/>
      <c r="P1227" s="210"/>
      <c r="Q1227" s="210"/>
      <c r="R1227" s="210"/>
      <c r="S1227" s="210"/>
      <c r="T1227" s="210"/>
      <c r="U1227" s="210"/>
      <c r="V1227" s="210"/>
      <c r="W1227" s="210"/>
      <c r="X1227" s="210"/>
      <c r="Y1227" s="210"/>
      <c r="Z1227" s="210"/>
    </row>
    <row r="1228" ht="21.75" customHeight="1">
      <c r="A1228" s="214"/>
      <c r="B1228" s="221"/>
      <c r="C1228" s="222">
        <v>103.0</v>
      </c>
      <c r="D1228" s="223" t="s">
        <v>1538</v>
      </c>
      <c r="E1228" s="223" t="s">
        <v>487</v>
      </c>
      <c r="F1228" s="223" t="s">
        <v>500</v>
      </c>
      <c r="G1228" s="223" t="s">
        <v>497</v>
      </c>
      <c r="H1228" s="225" t="s">
        <v>1564</v>
      </c>
      <c r="I1228" s="208"/>
      <c r="J1228" s="210"/>
      <c r="K1228" s="210"/>
      <c r="L1228" s="210"/>
      <c r="M1228" s="210"/>
      <c r="N1228" s="210"/>
      <c r="O1228" s="210"/>
      <c r="P1228" s="210"/>
      <c r="Q1228" s="210"/>
      <c r="R1228" s="210"/>
      <c r="S1228" s="210"/>
      <c r="T1228" s="210"/>
      <c r="U1228" s="210"/>
      <c r="V1228" s="210"/>
      <c r="W1228" s="210"/>
      <c r="X1228" s="210"/>
      <c r="Y1228" s="210"/>
      <c r="Z1228" s="210"/>
    </row>
    <row r="1229" ht="21.75" customHeight="1">
      <c r="A1229" s="214"/>
      <c r="B1229" s="221"/>
      <c r="C1229" s="222">
        <v>104.0</v>
      </c>
      <c r="D1229" s="223" t="s">
        <v>507</v>
      </c>
      <c r="E1229" s="223" t="s">
        <v>508</v>
      </c>
      <c r="F1229" s="223" t="s">
        <v>509</v>
      </c>
      <c r="G1229" s="223" t="s">
        <v>510</v>
      </c>
      <c r="H1229" s="225" t="s">
        <v>1540</v>
      </c>
      <c r="I1229" s="208"/>
      <c r="J1229" s="210"/>
      <c r="K1229" s="210"/>
      <c r="L1229" s="210"/>
      <c r="M1229" s="210"/>
      <c r="N1229" s="210"/>
      <c r="O1229" s="210"/>
      <c r="P1229" s="210"/>
      <c r="Q1229" s="210"/>
      <c r="R1229" s="210"/>
      <c r="S1229" s="210"/>
      <c r="T1229" s="210"/>
      <c r="U1229" s="210"/>
      <c r="V1229" s="210"/>
      <c r="W1229" s="210"/>
      <c r="X1229" s="210"/>
      <c r="Y1229" s="210"/>
      <c r="Z1229" s="210"/>
    </row>
    <row r="1230" ht="21.75" customHeight="1">
      <c r="A1230" s="214"/>
      <c r="B1230" s="221"/>
      <c r="C1230" s="222">
        <v>105.0</v>
      </c>
      <c r="D1230" s="223" t="s">
        <v>1541</v>
      </c>
      <c r="E1230" s="223" t="s">
        <v>487</v>
      </c>
      <c r="F1230" s="223" t="s">
        <v>1542</v>
      </c>
      <c r="G1230" s="218" t="s">
        <v>490</v>
      </c>
      <c r="H1230" s="224" t="s">
        <v>490</v>
      </c>
      <c r="I1230" s="208"/>
      <c r="J1230" s="210"/>
      <c r="K1230" s="210"/>
      <c r="L1230" s="210"/>
      <c r="M1230" s="210"/>
      <c r="N1230" s="210"/>
      <c r="O1230" s="210"/>
      <c r="P1230" s="210"/>
      <c r="Q1230" s="210"/>
      <c r="R1230" s="210"/>
      <c r="S1230" s="210"/>
      <c r="T1230" s="210"/>
      <c r="U1230" s="210"/>
      <c r="V1230" s="210"/>
      <c r="W1230" s="210"/>
      <c r="X1230" s="210"/>
      <c r="Y1230" s="210"/>
      <c r="Z1230" s="210"/>
    </row>
    <row r="1231" ht="21.75" customHeight="1">
      <c r="A1231" s="214"/>
      <c r="B1231" s="221"/>
      <c r="C1231" s="222">
        <v>200.0</v>
      </c>
      <c r="D1231" s="223" t="s">
        <v>1543</v>
      </c>
      <c r="E1231" s="223" t="s">
        <v>487</v>
      </c>
      <c r="F1231" s="223" t="s">
        <v>512</v>
      </c>
      <c r="G1231" s="218" t="s">
        <v>490</v>
      </c>
      <c r="H1231" s="224" t="s">
        <v>490</v>
      </c>
      <c r="I1231" s="208"/>
      <c r="J1231" s="210"/>
      <c r="K1231" s="210"/>
      <c r="L1231" s="210"/>
      <c r="M1231" s="210"/>
      <c r="N1231" s="210"/>
      <c r="O1231" s="210"/>
      <c r="P1231" s="210"/>
      <c r="Q1231" s="210"/>
      <c r="R1231" s="210"/>
      <c r="S1231" s="210"/>
      <c r="T1231" s="210"/>
      <c r="U1231" s="210"/>
      <c r="V1231" s="210"/>
      <c r="W1231" s="210"/>
      <c r="X1231" s="210"/>
      <c r="Y1231" s="210"/>
      <c r="Z1231" s="210"/>
    </row>
    <row r="1232" ht="21.75" customHeight="1">
      <c r="A1232" s="214"/>
      <c r="B1232" s="221"/>
      <c r="C1232" s="222">
        <v>201.0</v>
      </c>
      <c r="D1232" s="223" t="s">
        <v>1544</v>
      </c>
      <c r="E1232" s="223" t="s">
        <v>487</v>
      </c>
      <c r="F1232" s="223" t="s">
        <v>532</v>
      </c>
      <c r="G1232" s="218" t="s">
        <v>490</v>
      </c>
      <c r="H1232" s="224" t="s">
        <v>490</v>
      </c>
      <c r="I1232" s="208"/>
      <c r="J1232" s="210"/>
      <c r="K1232" s="210"/>
      <c r="L1232" s="210"/>
      <c r="M1232" s="210"/>
      <c r="N1232" s="210"/>
      <c r="O1232" s="210"/>
      <c r="P1232" s="210"/>
      <c r="Q1232" s="210"/>
      <c r="R1232" s="210"/>
      <c r="S1232" s="210"/>
      <c r="T1232" s="210"/>
      <c r="U1232" s="210"/>
      <c r="V1232" s="210"/>
      <c r="W1232" s="210"/>
      <c r="X1232" s="210"/>
      <c r="Y1232" s="210"/>
      <c r="Z1232" s="210"/>
    </row>
    <row r="1233" ht="21.75" customHeight="1">
      <c r="A1233" s="214"/>
      <c r="B1233" s="221"/>
      <c r="C1233" s="222">
        <v>202.0</v>
      </c>
      <c r="D1233" s="223" t="s">
        <v>253</v>
      </c>
      <c r="E1233" s="223" t="s">
        <v>487</v>
      </c>
      <c r="F1233" s="223" t="s">
        <v>590</v>
      </c>
      <c r="G1233" s="218" t="s">
        <v>490</v>
      </c>
      <c r="H1233" s="224" t="s">
        <v>490</v>
      </c>
      <c r="I1233" s="208"/>
      <c r="J1233" s="210"/>
      <c r="K1233" s="210"/>
      <c r="L1233" s="210"/>
      <c r="M1233" s="210"/>
      <c r="N1233" s="210"/>
      <c r="O1233" s="210"/>
      <c r="P1233" s="210"/>
      <c r="Q1233" s="210"/>
      <c r="R1233" s="210"/>
      <c r="S1233" s="210"/>
      <c r="T1233" s="210"/>
      <c r="U1233" s="210"/>
      <c r="V1233" s="210"/>
      <c r="W1233" s="210"/>
      <c r="X1233" s="210"/>
      <c r="Y1233" s="210"/>
      <c r="Z1233" s="210"/>
    </row>
    <row r="1234" ht="21.75" customHeight="1">
      <c r="A1234" s="214"/>
      <c r="B1234" s="221"/>
      <c r="C1234" s="222">
        <v>203.0</v>
      </c>
      <c r="D1234" s="223" t="s">
        <v>1000</v>
      </c>
      <c r="E1234" s="223" t="s">
        <v>487</v>
      </c>
      <c r="F1234" s="223" t="s">
        <v>603</v>
      </c>
      <c r="G1234" s="218" t="s">
        <v>490</v>
      </c>
      <c r="H1234" s="224" t="s">
        <v>490</v>
      </c>
      <c r="I1234" s="208"/>
      <c r="J1234" s="210"/>
      <c r="K1234" s="210"/>
      <c r="L1234" s="210"/>
      <c r="M1234" s="210"/>
      <c r="N1234" s="210"/>
      <c r="O1234" s="210"/>
      <c r="P1234" s="210"/>
      <c r="Q1234" s="210"/>
      <c r="R1234" s="210"/>
      <c r="S1234" s="210"/>
      <c r="T1234" s="210"/>
      <c r="U1234" s="210"/>
      <c r="V1234" s="210"/>
      <c r="W1234" s="210"/>
      <c r="X1234" s="210"/>
      <c r="Y1234" s="210"/>
      <c r="Z1234" s="210"/>
    </row>
    <row r="1235" ht="21.75" customHeight="1">
      <c r="A1235" s="214"/>
      <c r="B1235" s="221"/>
      <c r="C1235" s="222">
        <v>204.0</v>
      </c>
      <c r="D1235" s="223" t="s">
        <v>1419</v>
      </c>
      <c r="E1235" s="223" t="s">
        <v>487</v>
      </c>
      <c r="F1235" s="223" t="s">
        <v>579</v>
      </c>
      <c r="G1235" s="218" t="s">
        <v>490</v>
      </c>
      <c r="H1235" s="224" t="s">
        <v>490</v>
      </c>
      <c r="I1235" s="208"/>
      <c r="J1235" s="210"/>
      <c r="K1235" s="210"/>
      <c r="L1235" s="210"/>
      <c r="M1235" s="210"/>
      <c r="N1235" s="210"/>
      <c r="O1235" s="210"/>
      <c r="P1235" s="210"/>
      <c r="Q1235" s="210"/>
      <c r="R1235" s="210"/>
      <c r="S1235" s="210"/>
      <c r="T1235" s="210"/>
      <c r="U1235" s="210"/>
      <c r="V1235" s="210"/>
      <c r="W1235" s="210"/>
      <c r="X1235" s="210"/>
      <c r="Y1235" s="210"/>
      <c r="Z1235" s="210"/>
    </row>
    <row r="1236" ht="21.75" customHeight="1">
      <c r="A1236" s="214"/>
      <c r="B1236" s="221"/>
      <c r="C1236" s="222">
        <v>205.0</v>
      </c>
      <c r="D1236" s="223" t="s">
        <v>1420</v>
      </c>
      <c r="E1236" s="223" t="s">
        <v>487</v>
      </c>
      <c r="F1236" s="223" t="s">
        <v>583</v>
      </c>
      <c r="G1236" s="218" t="s">
        <v>490</v>
      </c>
      <c r="H1236" s="224" t="s">
        <v>490</v>
      </c>
      <c r="I1236" s="208"/>
      <c r="J1236" s="210"/>
      <c r="K1236" s="210"/>
      <c r="L1236" s="210"/>
      <c r="M1236" s="210"/>
      <c r="N1236" s="210"/>
      <c r="O1236" s="210"/>
      <c r="P1236" s="210"/>
      <c r="Q1236" s="210"/>
      <c r="R1236" s="210"/>
      <c r="S1236" s="210"/>
      <c r="T1236" s="210"/>
      <c r="U1236" s="210"/>
      <c r="V1236" s="210"/>
      <c r="W1236" s="210"/>
      <c r="X1236" s="210"/>
      <c r="Y1236" s="210"/>
      <c r="Z1236" s="210"/>
    </row>
    <row r="1237" ht="21.75" customHeight="1">
      <c r="A1237" s="214"/>
      <c r="B1237" s="221"/>
      <c r="C1237" s="222">
        <v>206.0</v>
      </c>
      <c r="D1237" s="223" t="s">
        <v>1545</v>
      </c>
      <c r="E1237" s="223" t="s">
        <v>487</v>
      </c>
      <c r="F1237" s="223" t="s">
        <v>601</v>
      </c>
      <c r="G1237" s="218" t="s">
        <v>490</v>
      </c>
      <c r="H1237" s="224" t="s">
        <v>490</v>
      </c>
      <c r="I1237" s="208"/>
      <c r="J1237" s="210"/>
      <c r="K1237" s="210"/>
      <c r="L1237" s="210"/>
      <c r="M1237" s="210"/>
      <c r="N1237" s="210"/>
      <c r="O1237" s="210"/>
      <c r="P1237" s="210"/>
      <c r="Q1237" s="210"/>
      <c r="R1237" s="210"/>
      <c r="S1237" s="210"/>
      <c r="T1237" s="210"/>
      <c r="U1237" s="210"/>
      <c r="V1237" s="210"/>
      <c r="W1237" s="210"/>
      <c r="X1237" s="210"/>
      <c r="Y1237" s="210"/>
      <c r="Z1237" s="210"/>
    </row>
    <row r="1238" ht="21.75" customHeight="1">
      <c r="A1238" s="214"/>
      <c r="B1238" s="221"/>
      <c r="C1238" s="222">
        <v>207.0</v>
      </c>
      <c r="D1238" s="223" t="s">
        <v>1546</v>
      </c>
      <c r="E1238" s="223" t="s">
        <v>487</v>
      </c>
      <c r="F1238" s="223" t="s">
        <v>560</v>
      </c>
      <c r="G1238" s="218" t="s">
        <v>490</v>
      </c>
      <c r="H1238" s="224" t="s">
        <v>490</v>
      </c>
      <c r="I1238" s="208"/>
      <c r="J1238" s="210"/>
      <c r="K1238" s="210"/>
      <c r="L1238" s="210"/>
      <c r="M1238" s="210"/>
      <c r="N1238" s="210"/>
      <c r="O1238" s="210"/>
      <c r="P1238" s="210"/>
      <c r="Q1238" s="210"/>
      <c r="R1238" s="210"/>
      <c r="S1238" s="210"/>
      <c r="T1238" s="210"/>
      <c r="U1238" s="210"/>
      <c r="V1238" s="210"/>
      <c r="W1238" s="210"/>
      <c r="X1238" s="210"/>
      <c r="Y1238" s="210"/>
      <c r="Z1238" s="210"/>
    </row>
    <row r="1239" ht="21.75" customHeight="1">
      <c r="A1239" s="214"/>
      <c r="B1239" s="221"/>
      <c r="C1239" s="222">
        <v>208.0</v>
      </c>
      <c r="D1239" s="223" t="s">
        <v>1479</v>
      </c>
      <c r="E1239" s="223" t="s">
        <v>487</v>
      </c>
      <c r="F1239" s="223" t="s">
        <v>613</v>
      </c>
      <c r="G1239" s="218" t="s">
        <v>490</v>
      </c>
      <c r="H1239" s="224" t="s">
        <v>490</v>
      </c>
      <c r="I1239" s="208"/>
      <c r="J1239" s="210"/>
      <c r="K1239" s="210"/>
      <c r="L1239" s="210"/>
      <c r="M1239" s="210"/>
      <c r="N1239" s="210"/>
      <c r="O1239" s="210"/>
      <c r="P1239" s="210"/>
      <c r="Q1239" s="210"/>
      <c r="R1239" s="210"/>
      <c r="S1239" s="210"/>
      <c r="T1239" s="210"/>
      <c r="U1239" s="210"/>
      <c r="V1239" s="210"/>
      <c r="W1239" s="210"/>
      <c r="X1239" s="210"/>
      <c r="Y1239" s="210"/>
      <c r="Z1239" s="210"/>
    </row>
    <row r="1240" ht="21.75" customHeight="1">
      <c r="A1240" s="214"/>
      <c r="B1240" s="221"/>
      <c r="C1240" s="222">
        <v>209.0</v>
      </c>
      <c r="D1240" s="223" t="s">
        <v>1547</v>
      </c>
      <c r="E1240" s="223" t="s">
        <v>529</v>
      </c>
      <c r="F1240" s="223" t="s">
        <v>530</v>
      </c>
      <c r="G1240" s="218" t="s">
        <v>490</v>
      </c>
      <c r="H1240" s="224" t="s">
        <v>490</v>
      </c>
      <c r="I1240" s="208"/>
      <c r="J1240" s="210"/>
      <c r="K1240" s="210"/>
      <c r="L1240" s="210"/>
      <c r="M1240" s="210"/>
      <c r="N1240" s="210"/>
      <c r="O1240" s="210"/>
      <c r="P1240" s="210"/>
      <c r="Q1240" s="210"/>
      <c r="R1240" s="210"/>
      <c r="S1240" s="210"/>
      <c r="T1240" s="210"/>
      <c r="U1240" s="210"/>
      <c r="V1240" s="210"/>
      <c r="W1240" s="210"/>
      <c r="X1240" s="210"/>
      <c r="Y1240" s="210"/>
      <c r="Z1240" s="210"/>
    </row>
    <row r="1241" ht="21.75" customHeight="1">
      <c r="A1241" s="214"/>
      <c r="B1241" s="217"/>
      <c r="C1241" s="222">
        <v>300.0</v>
      </c>
      <c r="D1241" s="215" t="s">
        <v>696</v>
      </c>
      <c r="E1241" s="215" t="s">
        <v>673</v>
      </c>
      <c r="F1241" s="215" t="s">
        <v>696</v>
      </c>
      <c r="G1241" s="234" t="s">
        <v>490</v>
      </c>
      <c r="H1241" s="224" t="s">
        <v>490</v>
      </c>
      <c r="I1241" s="208"/>
      <c r="J1241" s="210"/>
      <c r="K1241" s="210"/>
      <c r="L1241" s="210"/>
      <c r="M1241" s="210"/>
      <c r="N1241" s="210"/>
      <c r="O1241" s="210"/>
      <c r="P1241" s="210"/>
      <c r="Q1241" s="210"/>
      <c r="R1241" s="210"/>
      <c r="S1241" s="210"/>
      <c r="T1241" s="210"/>
      <c r="U1241" s="210"/>
      <c r="V1241" s="210"/>
      <c r="W1241" s="210"/>
      <c r="X1241" s="210"/>
      <c r="Y1241" s="210"/>
      <c r="Z1241" s="210"/>
    </row>
    <row r="1242" ht="21.75" customHeight="1">
      <c r="A1242" s="214"/>
      <c r="B1242" s="218" t="s">
        <v>1565</v>
      </c>
      <c r="C1242" s="226">
        <v>50792.0</v>
      </c>
      <c r="D1242" s="220"/>
      <c r="E1242" s="220"/>
      <c r="F1242" s="220"/>
      <c r="G1242" s="220"/>
      <c r="H1242" s="221"/>
      <c r="I1242" s="208"/>
      <c r="J1242" s="210"/>
      <c r="K1242" s="210"/>
      <c r="L1242" s="210"/>
      <c r="M1242" s="210"/>
      <c r="N1242" s="210"/>
      <c r="O1242" s="210"/>
      <c r="P1242" s="210"/>
      <c r="Q1242" s="210"/>
      <c r="R1242" s="210"/>
      <c r="S1242" s="210"/>
      <c r="T1242" s="210"/>
      <c r="U1242" s="210"/>
      <c r="V1242" s="210"/>
      <c r="W1242" s="210"/>
      <c r="X1242" s="210"/>
      <c r="Y1242" s="210"/>
      <c r="Z1242" s="210"/>
    </row>
    <row r="1243" ht="21.75" customHeight="1">
      <c r="A1243" s="214"/>
      <c r="B1243" s="221"/>
      <c r="C1243" s="222">
        <v>100.0</v>
      </c>
      <c r="D1243" s="223" t="s">
        <v>486</v>
      </c>
      <c r="E1243" s="223" t="s">
        <v>487</v>
      </c>
      <c r="F1243" s="223" t="s">
        <v>488</v>
      </c>
      <c r="G1243" s="223" t="s">
        <v>489</v>
      </c>
      <c r="H1243" s="224" t="s">
        <v>490</v>
      </c>
      <c r="I1243" s="208"/>
      <c r="J1243" s="210"/>
      <c r="K1243" s="210"/>
      <c r="L1243" s="210"/>
      <c r="M1243" s="210"/>
      <c r="N1243" s="210"/>
      <c r="O1243" s="210"/>
      <c r="P1243" s="210"/>
      <c r="Q1243" s="210"/>
      <c r="R1243" s="210"/>
      <c r="S1243" s="210"/>
      <c r="T1243" s="210"/>
      <c r="U1243" s="210"/>
      <c r="V1243" s="210"/>
      <c r="W1243" s="210"/>
      <c r="X1243" s="210"/>
      <c r="Y1243" s="210"/>
      <c r="Z1243" s="210"/>
    </row>
    <row r="1244" ht="21.75" customHeight="1">
      <c r="A1244" s="214"/>
      <c r="B1244" s="221"/>
      <c r="C1244" s="222">
        <v>101.0</v>
      </c>
      <c r="D1244" s="223" t="s">
        <v>491</v>
      </c>
      <c r="E1244" s="223" t="s">
        <v>487</v>
      </c>
      <c r="F1244" s="223" t="s">
        <v>492</v>
      </c>
      <c r="G1244" s="223" t="s">
        <v>678</v>
      </c>
      <c r="H1244" s="225" t="s">
        <v>1566</v>
      </c>
      <c r="I1244" s="208"/>
      <c r="J1244" s="210"/>
      <c r="K1244" s="210"/>
      <c r="L1244" s="210"/>
      <c r="M1244" s="210"/>
      <c r="N1244" s="210"/>
      <c r="O1244" s="210"/>
      <c r="P1244" s="210"/>
      <c r="Q1244" s="210"/>
      <c r="R1244" s="210"/>
      <c r="S1244" s="210"/>
      <c r="T1244" s="210"/>
      <c r="U1244" s="210"/>
      <c r="V1244" s="210"/>
      <c r="W1244" s="210"/>
      <c r="X1244" s="210"/>
      <c r="Y1244" s="210"/>
      <c r="Z1244" s="210"/>
    </row>
    <row r="1245" ht="21.75" customHeight="1">
      <c r="A1245" s="214"/>
      <c r="B1245" s="221"/>
      <c r="C1245" s="222">
        <v>102.0</v>
      </c>
      <c r="D1245" s="223" t="s">
        <v>1537</v>
      </c>
      <c r="E1245" s="223" t="s">
        <v>487</v>
      </c>
      <c r="F1245" s="223" t="s">
        <v>496</v>
      </c>
      <c r="G1245" s="223" t="s">
        <v>501</v>
      </c>
      <c r="H1245" s="224" t="s">
        <v>490</v>
      </c>
      <c r="I1245" s="208"/>
      <c r="J1245" s="210"/>
      <c r="K1245" s="210"/>
      <c r="L1245" s="210"/>
      <c r="M1245" s="210"/>
      <c r="N1245" s="210"/>
      <c r="O1245" s="210"/>
      <c r="P1245" s="210"/>
      <c r="Q1245" s="210"/>
      <c r="R1245" s="210"/>
      <c r="S1245" s="210"/>
      <c r="T1245" s="210"/>
      <c r="U1245" s="210"/>
      <c r="V1245" s="210"/>
      <c r="W1245" s="210"/>
      <c r="X1245" s="210"/>
      <c r="Y1245" s="210"/>
      <c r="Z1245" s="210"/>
    </row>
    <row r="1246" ht="21.75" customHeight="1">
      <c r="A1246" s="214"/>
      <c r="B1246" s="221"/>
      <c r="C1246" s="222">
        <v>103.0</v>
      </c>
      <c r="D1246" s="223" t="s">
        <v>1538</v>
      </c>
      <c r="E1246" s="223" t="s">
        <v>487</v>
      </c>
      <c r="F1246" s="223" t="s">
        <v>500</v>
      </c>
      <c r="G1246" s="223" t="s">
        <v>497</v>
      </c>
      <c r="H1246" s="225" t="s">
        <v>1567</v>
      </c>
      <c r="I1246" s="208"/>
      <c r="J1246" s="210"/>
      <c r="K1246" s="210"/>
      <c r="L1246" s="210"/>
      <c r="M1246" s="210"/>
      <c r="N1246" s="210"/>
      <c r="O1246" s="210"/>
      <c r="P1246" s="210"/>
      <c r="Q1246" s="210"/>
      <c r="R1246" s="210"/>
      <c r="S1246" s="210"/>
      <c r="T1246" s="210"/>
      <c r="U1246" s="210"/>
      <c r="V1246" s="210"/>
      <c r="W1246" s="210"/>
      <c r="X1246" s="210"/>
      <c r="Y1246" s="210"/>
      <c r="Z1246" s="210"/>
    </row>
    <row r="1247" ht="21.75" customHeight="1">
      <c r="A1247" s="214"/>
      <c r="B1247" s="221"/>
      <c r="C1247" s="222">
        <v>104.0</v>
      </c>
      <c r="D1247" s="223" t="s">
        <v>507</v>
      </c>
      <c r="E1247" s="223" t="s">
        <v>508</v>
      </c>
      <c r="F1247" s="223" t="s">
        <v>509</v>
      </c>
      <c r="G1247" s="223" t="s">
        <v>510</v>
      </c>
      <c r="H1247" s="225" t="s">
        <v>1540</v>
      </c>
      <c r="I1247" s="208"/>
      <c r="J1247" s="210"/>
      <c r="K1247" s="210"/>
      <c r="L1247" s="210"/>
      <c r="M1247" s="210"/>
      <c r="N1247" s="210"/>
      <c r="O1247" s="210"/>
      <c r="P1247" s="210"/>
      <c r="Q1247" s="210"/>
      <c r="R1247" s="210"/>
      <c r="S1247" s="210"/>
      <c r="T1247" s="210"/>
      <c r="U1247" s="210"/>
      <c r="V1247" s="210"/>
      <c r="W1247" s="210"/>
      <c r="X1247" s="210"/>
      <c r="Y1247" s="210"/>
      <c r="Z1247" s="210"/>
    </row>
    <row r="1248" ht="21.75" customHeight="1">
      <c r="A1248" s="214"/>
      <c r="B1248" s="221"/>
      <c r="C1248" s="222">
        <v>105.0</v>
      </c>
      <c r="D1248" s="223" t="s">
        <v>1541</v>
      </c>
      <c r="E1248" s="223" t="s">
        <v>487</v>
      </c>
      <c r="F1248" s="223" t="s">
        <v>1542</v>
      </c>
      <c r="G1248" s="218" t="s">
        <v>490</v>
      </c>
      <c r="H1248" s="224" t="s">
        <v>490</v>
      </c>
      <c r="I1248" s="208"/>
      <c r="J1248" s="210"/>
      <c r="K1248" s="210"/>
      <c r="L1248" s="210"/>
      <c r="M1248" s="210"/>
      <c r="N1248" s="210"/>
      <c r="O1248" s="210"/>
      <c r="P1248" s="210"/>
      <c r="Q1248" s="210"/>
      <c r="R1248" s="210"/>
      <c r="S1248" s="210"/>
      <c r="T1248" s="210"/>
      <c r="U1248" s="210"/>
      <c r="V1248" s="210"/>
      <c r="W1248" s="210"/>
      <c r="X1248" s="210"/>
      <c r="Y1248" s="210"/>
      <c r="Z1248" s="210"/>
    </row>
    <row r="1249" ht="21.75" customHeight="1">
      <c r="A1249" s="214"/>
      <c r="B1249" s="221"/>
      <c r="C1249" s="222">
        <v>200.0</v>
      </c>
      <c r="D1249" s="223" t="s">
        <v>1543</v>
      </c>
      <c r="E1249" s="223" t="s">
        <v>487</v>
      </c>
      <c r="F1249" s="223" t="s">
        <v>512</v>
      </c>
      <c r="G1249" s="218" t="s">
        <v>490</v>
      </c>
      <c r="H1249" s="224" t="s">
        <v>490</v>
      </c>
      <c r="I1249" s="208"/>
      <c r="J1249" s="210"/>
      <c r="K1249" s="210"/>
      <c r="L1249" s="210"/>
      <c r="M1249" s="210"/>
      <c r="N1249" s="210"/>
      <c r="O1249" s="210"/>
      <c r="P1249" s="210"/>
      <c r="Q1249" s="210"/>
      <c r="R1249" s="210"/>
      <c r="S1249" s="210"/>
      <c r="T1249" s="210"/>
      <c r="U1249" s="210"/>
      <c r="V1249" s="210"/>
      <c r="W1249" s="210"/>
      <c r="X1249" s="210"/>
      <c r="Y1249" s="210"/>
      <c r="Z1249" s="210"/>
    </row>
    <row r="1250" ht="21.75" customHeight="1">
      <c r="A1250" s="214"/>
      <c r="B1250" s="221"/>
      <c r="C1250" s="222">
        <v>201.0</v>
      </c>
      <c r="D1250" s="223" t="s">
        <v>1544</v>
      </c>
      <c r="E1250" s="223" t="s">
        <v>487</v>
      </c>
      <c r="F1250" s="223" t="s">
        <v>532</v>
      </c>
      <c r="G1250" s="223" t="s">
        <v>594</v>
      </c>
      <c r="H1250" s="224" t="s">
        <v>490</v>
      </c>
      <c r="I1250" s="208"/>
      <c r="J1250" s="210"/>
      <c r="K1250" s="210"/>
      <c r="L1250" s="210"/>
      <c r="M1250" s="210"/>
      <c r="N1250" s="210"/>
      <c r="O1250" s="210"/>
      <c r="P1250" s="210"/>
      <c r="Q1250" s="210"/>
      <c r="R1250" s="210"/>
      <c r="S1250" s="210"/>
      <c r="T1250" s="210"/>
      <c r="U1250" s="210"/>
      <c r="V1250" s="210"/>
      <c r="W1250" s="210"/>
      <c r="X1250" s="210"/>
      <c r="Y1250" s="210"/>
      <c r="Z1250" s="210"/>
    </row>
    <row r="1251" ht="21.75" customHeight="1">
      <c r="A1251" s="214"/>
      <c r="B1251" s="221"/>
      <c r="C1251" s="222">
        <v>202.0</v>
      </c>
      <c r="D1251" s="223" t="s">
        <v>253</v>
      </c>
      <c r="E1251" s="223" t="s">
        <v>487</v>
      </c>
      <c r="F1251" s="223" t="s">
        <v>590</v>
      </c>
      <c r="G1251" s="218" t="s">
        <v>490</v>
      </c>
      <c r="H1251" s="224" t="s">
        <v>490</v>
      </c>
      <c r="I1251" s="208"/>
      <c r="J1251" s="210"/>
      <c r="K1251" s="210"/>
      <c r="L1251" s="210"/>
      <c r="M1251" s="210"/>
      <c r="N1251" s="210"/>
      <c r="O1251" s="210"/>
      <c r="P1251" s="210"/>
      <c r="Q1251" s="210"/>
      <c r="R1251" s="210"/>
      <c r="S1251" s="210"/>
      <c r="T1251" s="210"/>
      <c r="U1251" s="210"/>
      <c r="V1251" s="210"/>
      <c r="W1251" s="210"/>
      <c r="X1251" s="210"/>
      <c r="Y1251" s="210"/>
      <c r="Z1251" s="210"/>
    </row>
    <row r="1252" ht="21.75" customHeight="1">
      <c r="A1252" s="214"/>
      <c r="B1252" s="221"/>
      <c r="C1252" s="222">
        <v>203.0</v>
      </c>
      <c r="D1252" s="223" t="s">
        <v>1000</v>
      </c>
      <c r="E1252" s="223" t="s">
        <v>487</v>
      </c>
      <c r="F1252" s="223" t="s">
        <v>603</v>
      </c>
      <c r="G1252" s="218" t="s">
        <v>490</v>
      </c>
      <c r="H1252" s="224" t="s">
        <v>490</v>
      </c>
      <c r="I1252" s="208"/>
      <c r="J1252" s="210"/>
      <c r="K1252" s="210"/>
      <c r="L1252" s="210"/>
      <c r="M1252" s="210"/>
      <c r="N1252" s="210"/>
      <c r="O1252" s="210"/>
      <c r="P1252" s="210"/>
      <c r="Q1252" s="210"/>
      <c r="R1252" s="210"/>
      <c r="S1252" s="210"/>
      <c r="T1252" s="210"/>
      <c r="U1252" s="210"/>
      <c r="V1252" s="210"/>
      <c r="W1252" s="210"/>
      <c r="X1252" s="210"/>
      <c r="Y1252" s="210"/>
      <c r="Z1252" s="210"/>
    </row>
    <row r="1253" ht="21.75" customHeight="1">
      <c r="A1253" s="214"/>
      <c r="B1253" s="221"/>
      <c r="C1253" s="222">
        <v>204.0</v>
      </c>
      <c r="D1253" s="223" t="s">
        <v>1419</v>
      </c>
      <c r="E1253" s="223" t="s">
        <v>487</v>
      </c>
      <c r="F1253" s="223" t="s">
        <v>579</v>
      </c>
      <c r="G1253" s="218" t="s">
        <v>490</v>
      </c>
      <c r="H1253" s="224" t="s">
        <v>490</v>
      </c>
      <c r="I1253" s="208"/>
      <c r="J1253" s="210"/>
      <c r="K1253" s="210"/>
      <c r="L1253" s="210"/>
      <c r="M1253" s="210"/>
      <c r="N1253" s="210"/>
      <c r="O1253" s="210"/>
      <c r="P1253" s="210"/>
      <c r="Q1253" s="210"/>
      <c r="R1253" s="210"/>
      <c r="S1253" s="210"/>
      <c r="T1253" s="210"/>
      <c r="U1253" s="210"/>
      <c r="V1253" s="210"/>
      <c r="W1253" s="210"/>
      <c r="X1253" s="210"/>
      <c r="Y1253" s="210"/>
      <c r="Z1253" s="210"/>
    </row>
    <row r="1254" ht="21.75" customHeight="1">
      <c r="A1254" s="214"/>
      <c r="B1254" s="221"/>
      <c r="C1254" s="222">
        <v>205.0</v>
      </c>
      <c r="D1254" s="223" t="s">
        <v>1420</v>
      </c>
      <c r="E1254" s="223" t="s">
        <v>487</v>
      </c>
      <c r="F1254" s="223" t="s">
        <v>583</v>
      </c>
      <c r="G1254" s="218" t="s">
        <v>490</v>
      </c>
      <c r="H1254" s="224" t="s">
        <v>490</v>
      </c>
      <c r="I1254" s="208"/>
      <c r="J1254" s="210"/>
      <c r="K1254" s="210"/>
      <c r="L1254" s="210"/>
      <c r="M1254" s="210"/>
      <c r="N1254" s="210"/>
      <c r="O1254" s="210"/>
      <c r="P1254" s="210"/>
      <c r="Q1254" s="210"/>
      <c r="R1254" s="210"/>
      <c r="S1254" s="210"/>
      <c r="T1254" s="210"/>
      <c r="U1254" s="210"/>
      <c r="V1254" s="210"/>
      <c r="W1254" s="210"/>
      <c r="X1254" s="210"/>
      <c r="Y1254" s="210"/>
      <c r="Z1254" s="210"/>
    </row>
    <row r="1255" ht="21.75" customHeight="1">
      <c r="A1255" s="214"/>
      <c r="B1255" s="221"/>
      <c r="C1255" s="222">
        <v>206.0</v>
      </c>
      <c r="D1255" s="223" t="s">
        <v>1545</v>
      </c>
      <c r="E1255" s="223" t="s">
        <v>487</v>
      </c>
      <c r="F1255" s="223" t="s">
        <v>601</v>
      </c>
      <c r="G1255" s="223" t="s">
        <v>606</v>
      </c>
      <c r="H1255" s="224" t="s">
        <v>490</v>
      </c>
      <c r="I1255" s="208"/>
      <c r="J1255" s="210"/>
      <c r="K1255" s="210"/>
      <c r="L1255" s="210"/>
      <c r="M1255" s="210"/>
      <c r="N1255" s="210"/>
      <c r="O1255" s="210"/>
      <c r="P1255" s="210"/>
      <c r="Q1255" s="210"/>
      <c r="R1255" s="210"/>
      <c r="S1255" s="210"/>
      <c r="T1255" s="210"/>
      <c r="U1255" s="210"/>
      <c r="V1255" s="210"/>
      <c r="W1255" s="210"/>
      <c r="X1255" s="210"/>
      <c r="Y1255" s="210"/>
      <c r="Z1255" s="210"/>
    </row>
    <row r="1256" ht="21.75" customHeight="1">
      <c r="A1256" s="214"/>
      <c r="B1256" s="221"/>
      <c r="C1256" s="222">
        <v>207.0</v>
      </c>
      <c r="D1256" s="223" t="s">
        <v>1546</v>
      </c>
      <c r="E1256" s="223" t="s">
        <v>487</v>
      </c>
      <c r="F1256" s="223" t="s">
        <v>560</v>
      </c>
      <c r="G1256" s="223" t="s">
        <v>561</v>
      </c>
      <c r="H1256" s="224" t="s">
        <v>490</v>
      </c>
      <c r="I1256" s="208"/>
      <c r="J1256" s="210"/>
      <c r="K1256" s="210"/>
      <c r="L1256" s="210"/>
      <c r="M1256" s="210"/>
      <c r="N1256" s="210"/>
      <c r="O1256" s="210"/>
      <c r="P1256" s="210"/>
      <c r="Q1256" s="210"/>
      <c r="R1256" s="210"/>
      <c r="S1256" s="210"/>
      <c r="T1256" s="210"/>
      <c r="U1256" s="210"/>
      <c r="V1256" s="210"/>
      <c r="W1256" s="210"/>
      <c r="X1256" s="210"/>
      <c r="Y1256" s="210"/>
      <c r="Z1256" s="210"/>
    </row>
    <row r="1257" ht="21.75" customHeight="1">
      <c r="A1257" s="214"/>
      <c r="B1257" s="221"/>
      <c r="C1257" s="222">
        <v>208.0</v>
      </c>
      <c r="D1257" s="223" t="s">
        <v>1479</v>
      </c>
      <c r="E1257" s="223" t="s">
        <v>487</v>
      </c>
      <c r="F1257" s="223" t="s">
        <v>613</v>
      </c>
      <c r="G1257" s="218" t="s">
        <v>490</v>
      </c>
      <c r="H1257" s="224" t="s">
        <v>490</v>
      </c>
      <c r="I1257" s="208"/>
      <c r="J1257" s="210"/>
      <c r="K1257" s="210"/>
      <c r="L1257" s="210"/>
      <c r="M1257" s="210"/>
      <c r="N1257" s="210"/>
      <c r="O1257" s="210"/>
      <c r="P1257" s="210"/>
      <c r="Q1257" s="210"/>
      <c r="R1257" s="210"/>
      <c r="S1257" s="210"/>
      <c r="T1257" s="210"/>
      <c r="U1257" s="210"/>
      <c r="V1257" s="210"/>
      <c r="W1257" s="210"/>
      <c r="X1257" s="210"/>
      <c r="Y1257" s="210"/>
      <c r="Z1257" s="210"/>
    </row>
    <row r="1258" ht="21.75" customHeight="1">
      <c r="A1258" s="214"/>
      <c r="B1258" s="221"/>
      <c r="C1258" s="222">
        <v>209.0</v>
      </c>
      <c r="D1258" s="223" t="s">
        <v>1547</v>
      </c>
      <c r="E1258" s="223" t="s">
        <v>529</v>
      </c>
      <c r="F1258" s="223" t="s">
        <v>530</v>
      </c>
      <c r="G1258" s="223" t="s">
        <v>580</v>
      </c>
      <c r="H1258" s="224" t="s">
        <v>490</v>
      </c>
      <c r="I1258" s="208"/>
      <c r="J1258" s="210"/>
      <c r="K1258" s="210"/>
      <c r="L1258" s="210"/>
      <c r="M1258" s="210"/>
      <c r="N1258" s="210"/>
      <c r="O1258" s="210"/>
      <c r="P1258" s="210"/>
      <c r="Q1258" s="210"/>
      <c r="R1258" s="210"/>
      <c r="S1258" s="210"/>
      <c r="T1258" s="210"/>
      <c r="U1258" s="210"/>
      <c r="V1258" s="210"/>
      <c r="W1258" s="210"/>
      <c r="X1258" s="210"/>
      <c r="Y1258" s="210"/>
      <c r="Z1258" s="210"/>
    </row>
    <row r="1259" ht="21.75" customHeight="1">
      <c r="A1259" s="214"/>
      <c r="B1259" s="217"/>
      <c r="C1259" s="222">
        <v>300.0</v>
      </c>
      <c r="D1259" s="215" t="s">
        <v>696</v>
      </c>
      <c r="E1259" s="215" t="s">
        <v>673</v>
      </c>
      <c r="F1259" s="215" t="s">
        <v>696</v>
      </c>
      <c r="G1259" s="234" t="s">
        <v>490</v>
      </c>
      <c r="H1259" s="224" t="s">
        <v>490</v>
      </c>
      <c r="I1259" s="208"/>
      <c r="J1259" s="210"/>
      <c r="K1259" s="210"/>
      <c r="L1259" s="210"/>
      <c r="M1259" s="210"/>
      <c r="N1259" s="210"/>
      <c r="O1259" s="210"/>
      <c r="P1259" s="210"/>
      <c r="Q1259" s="210"/>
      <c r="R1259" s="210"/>
      <c r="S1259" s="210"/>
      <c r="T1259" s="210"/>
      <c r="U1259" s="210"/>
      <c r="V1259" s="210"/>
      <c r="W1259" s="210"/>
      <c r="X1259" s="210"/>
      <c r="Y1259" s="210"/>
      <c r="Z1259" s="210"/>
    </row>
    <row r="1260" ht="21.75" customHeight="1">
      <c r="A1260" s="214"/>
      <c r="B1260" s="218" t="s">
        <v>1568</v>
      </c>
      <c r="C1260" s="226">
        <v>50793.0</v>
      </c>
      <c r="D1260" s="220"/>
      <c r="E1260" s="220"/>
      <c r="F1260" s="220"/>
      <c r="G1260" s="220"/>
      <c r="H1260" s="221"/>
      <c r="I1260" s="208"/>
      <c r="J1260" s="210"/>
      <c r="K1260" s="210"/>
      <c r="L1260" s="210"/>
      <c r="M1260" s="210"/>
      <c r="N1260" s="210"/>
      <c r="O1260" s="210"/>
      <c r="P1260" s="210"/>
      <c r="Q1260" s="210"/>
      <c r="R1260" s="210"/>
      <c r="S1260" s="210"/>
      <c r="T1260" s="210"/>
      <c r="U1260" s="210"/>
      <c r="V1260" s="210"/>
      <c r="W1260" s="210"/>
      <c r="X1260" s="210"/>
      <c r="Y1260" s="210"/>
      <c r="Z1260" s="210"/>
    </row>
    <row r="1261" ht="21.75" customHeight="1">
      <c r="A1261" s="214"/>
      <c r="B1261" s="221"/>
      <c r="C1261" s="222">
        <v>100.0</v>
      </c>
      <c r="D1261" s="223" t="s">
        <v>486</v>
      </c>
      <c r="E1261" s="223" t="s">
        <v>487</v>
      </c>
      <c r="F1261" s="223" t="s">
        <v>488</v>
      </c>
      <c r="G1261" s="223" t="s">
        <v>489</v>
      </c>
      <c r="H1261" s="224" t="s">
        <v>490</v>
      </c>
      <c r="I1261" s="208"/>
      <c r="J1261" s="210"/>
      <c r="K1261" s="210"/>
      <c r="L1261" s="210"/>
      <c r="M1261" s="210"/>
      <c r="N1261" s="210"/>
      <c r="O1261" s="210"/>
      <c r="P1261" s="210"/>
      <c r="Q1261" s="210"/>
      <c r="R1261" s="210"/>
      <c r="S1261" s="210"/>
      <c r="T1261" s="210"/>
      <c r="U1261" s="210"/>
      <c r="V1261" s="210"/>
      <c r="W1261" s="210"/>
      <c r="X1261" s="210"/>
      <c r="Y1261" s="210"/>
      <c r="Z1261" s="210"/>
    </row>
    <row r="1262" ht="21.75" customHeight="1">
      <c r="A1262" s="214"/>
      <c r="B1262" s="221"/>
      <c r="C1262" s="222">
        <v>101.0</v>
      </c>
      <c r="D1262" s="223" t="s">
        <v>491</v>
      </c>
      <c r="E1262" s="223" t="s">
        <v>487</v>
      </c>
      <c r="F1262" s="223" t="s">
        <v>492</v>
      </c>
      <c r="G1262" s="223" t="s">
        <v>678</v>
      </c>
      <c r="H1262" s="225" t="s">
        <v>1569</v>
      </c>
      <c r="I1262" s="208"/>
      <c r="J1262" s="210"/>
      <c r="K1262" s="210"/>
      <c r="L1262" s="210"/>
      <c r="M1262" s="210"/>
      <c r="N1262" s="210"/>
      <c r="O1262" s="210"/>
      <c r="P1262" s="210"/>
      <c r="Q1262" s="210"/>
      <c r="R1262" s="210"/>
      <c r="S1262" s="210"/>
      <c r="T1262" s="210"/>
      <c r="U1262" s="210"/>
      <c r="V1262" s="210"/>
      <c r="W1262" s="210"/>
      <c r="X1262" s="210"/>
      <c r="Y1262" s="210"/>
      <c r="Z1262" s="210"/>
    </row>
    <row r="1263" ht="21.75" customHeight="1">
      <c r="A1263" s="214"/>
      <c r="B1263" s="221"/>
      <c r="C1263" s="222">
        <v>102.0</v>
      </c>
      <c r="D1263" s="223" t="s">
        <v>1537</v>
      </c>
      <c r="E1263" s="223" t="s">
        <v>487</v>
      </c>
      <c r="F1263" s="223" t="s">
        <v>496</v>
      </c>
      <c r="G1263" s="223" t="s">
        <v>501</v>
      </c>
      <c r="H1263" s="224" t="s">
        <v>490</v>
      </c>
      <c r="I1263" s="208"/>
      <c r="J1263" s="210"/>
      <c r="K1263" s="210"/>
      <c r="L1263" s="210"/>
      <c r="M1263" s="210"/>
      <c r="N1263" s="210"/>
      <c r="O1263" s="210"/>
      <c r="P1263" s="210"/>
      <c r="Q1263" s="210"/>
      <c r="R1263" s="210"/>
      <c r="S1263" s="210"/>
      <c r="T1263" s="210"/>
      <c r="U1263" s="210"/>
      <c r="V1263" s="210"/>
      <c r="W1263" s="210"/>
      <c r="X1263" s="210"/>
      <c r="Y1263" s="210"/>
      <c r="Z1263" s="210"/>
    </row>
    <row r="1264" ht="21.75" customHeight="1">
      <c r="A1264" s="214"/>
      <c r="B1264" s="221"/>
      <c r="C1264" s="222">
        <v>103.0</v>
      </c>
      <c r="D1264" s="223" t="s">
        <v>1538</v>
      </c>
      <c r="E1264" s="223" t="s">
        <v>487</v>
      </c>
      <c r="F1264" s="223" t="s">
        <v>500</v>
      </c>
      <c r="G1264" s="223" t="s">
        <v>497</v>
      </c>
      <c r="H1264" s="225" t="s">
        <v>1570</v>
      </c>
      <c r="I1264" s="208"/>
      <c r="J1264" s="210"/>
      <c r="K1264" s="210"/>
      <c r="L1264" s="210"/>
      <c r="M1264" s="210"/>
      <c r="N1264" s="210"/>
      <c r="O1264" s="210"/>
      <c r="P1264" s="210"/>
      <c r="Q1264" s="210"/>
      <c r="R1264" s="210"/>
      <c r="S1264" s="210"/>
      <c r="T1264" s="210"/>
      <c r="U1264" s="210"/>
      <c r="V1264" s="210"/>
      <c r="W1264" s="210"/>
      <c r="X1264" s="210"/>
      <c r="Y1264" s="210"/>
      <c r="Z1264" s="210"/>
    </row>
    <row r="1265" ht="21.75" customHeight="1">
      <c r="A1265" s="214"/>
      <c r="B1265" s="221"/>
      <c r="C1265" s="222">
        <v>104.0</v>
      </c>
      <c r="D1265" s="223" t="s">
        <v>507</v>
      </c>
      <c r="E1265" s="223" t="s">
        <v>508</v>
      </c>
      <c r="F1265" s="223" t="s">
        <v>509</v>
      </c>
      <c r="G1265" s="223" t="s">
        <v>510</v>
      </c>
      <c r="H1265" s="225" t="s">
        <v>1540</v>
      </c>
      <c r="I1265" s="208"/>
      <c r="J1265" s="210"/>
      <c r="K1265" s="210"/>
      <c r="L1265" s="210"/>
      <c r="M1265" s="210"/>
      <c r="N1265" s="210"/>
      <c r="O1265" s="210"/>
      <c r="P1265" s="210"/>
      <c r="Q1265" s="210"/>
      <c r="R1265" s="210"/>
      <c r="S1265" s="210"/>
      <c r="T1265" s="210"/>
      <c r="U1265" s="210"/>
      <c r="V1265" s="210"/>
      <c r="W1265" s="210"/>
      <c r="X1265" s="210"/>
      <c r="Y1265" s="210"/>
      <c r="Z1265" s="210"/>
    </row>
    <row r="1266" ht="21.75" customHeight="1">
      <c r="A1266" s="214"/>
      <c r="B1266" s="221"/>
      <c r="C1266" s="222">
        <v>105.0</v>
      </c>
      <c r="D1266" s="223" t="s">
        <v>1541</v>
      </c>
      <c r="E1266" s="223" t="s">
        <v>487</v>
      </c>
      <c r="F1266" s="223" t="s">
        <v>1542</v>
      </c>
      <c r="G1266" s="218" t="s">
        <v>490</v>
      </c>
      <c r="H1266" s="224" t="s">
        <v>490</v>
      </c>
      <c r="I1266" s="208"/>
      <c r="J1266" s="210"/>
      <c r="K1266" s="210"/>
      <c r="L1266" s="210"/>
      <c r="M1266" s="210"/>
      <c r="N1266" s="210"/>
      <c r="O1266" s="210"/>
      <c r="P1266" s="210"/>
      <c r="Q1266" s="210"/>
      <c r="R1266" s="210"/>
      <c r="S1266" s="210"/>
      <c r="T1266" s="210"/>
      <c r="U1266" s="210"/>
      <c r="V1266" s="210"/>
      <c r="W1266" s="210"/>
      <c r="X1266" s="210"/>
      <c r="Y1266" s="210"/>
      <c r="Z1266" s="210"/>
    </row>
    <row r="1267" ht="21.75" customHeight="1">
      <c r="A1267" s="214"/>
      <c r="B1267" s="221"/>
      <c r="C1267" s="222">
        <v>200.0</v>
      </c>
      <c r="D1267" s="223" t="s">
        <v>1543</v>
      </c>
      <c r="E1267" s="223" t="s">
        <v>487</v>
      </c>
      <c r="F1267" s="223" t="s">
        <v>512</v>
      </c>
      <c r="G1267" s="218" t="s">
        <v>490</v>
      </c>
      <c r="H1267" s="224" t="s">
        <v>490</v>
      </c>
      <c r="I1267" s="208"/>
      <c r="J1267" s="210"/>
      <c r="K1267" s="210"/>
      <c r="L1267" s="210"/>
      <c r="M1267" s="210"/>
      <c r="N1267" s="210"/>
      <c r="O1267" s="210"/>
      <c r="P1267" s="210"/>
      <c r="Q1267" s="210"/>
      <c r="R1267" s="210"/>
      <c r="S1267" s="210"/>
      <c r="T1267" s="210"/>
      <c r="U1267" s="210"/>
      <c r="V1267" s="210"/>
      <c r="W1267" s="210"/>
      <c r="X1267" s="210"/>
      <c r="Y1267" s="210"/>
      <c r="Z1267" s="210"/>
    </row>
    <row r="1268" ht="21.75" customHeight="1">
      <c r="A1268" s="214"/>
      <c r="B1268" s="221"/>
      <c r="C1268" s="222">
        <v>201.0</v>
      </c>
      <c r="D1268" s="223" t="s">
        <v>1544</v>
      </c>
      <c r="E1268" s="223" t="s">
        <v>487</v>
      </c>
      <c r="F1268" s="223" t="s">
        <v>532</v>
      </c>
      <c r="G1268" s="223" t="s">
        <v>594</v>
      </c>
      <c r="H1268" s="224" t="s">
        <v>490</v>
      </c>
      <c r="I1268" s="208"/>
      <c r="J1268" s="210"/>
      <c r="K1268" s="210"/>
      <c r="L1268" s="210"/>
      <c r="M1268" s="210"/>
      <c r="N1268" s="210"/>
      <c r="O1268" s="210"/>
      <c r="P1268" s="210"/>
      <c r="Q1268" s="210"/>
      <c r="R1268" s="210"/>
      <c r="S1268" s="210"/>
      <c r="T1268" s="210"/>
      <c r="U1268" s="210"/>
      <c r="V1268" s="210"/>
      <c r="W1268" s="210"/>
      <c r="X1268" s="210"/>
      <c r="Y1268" s="210"/>
      <c r="Z1268" s="210"/>
    </row>
    <row r="1269" ht="21.75" customHeight="1">
      <c r="A1269" s="214"/>
      <c r="B1269" s="221"/>
      <c r="C1269" s="222">
        <v>202.0</v>
      </c>
      <c r="D1269" s="223" t="s">
        <v>253</v>
      </c>
      <c r="E1269" s="223" t="s">
        <v>487</v>
      </c>
      <c r="F1269" s="223" t="s">
        <v>590</v>
      </c>
      <c r="G1269" s="218" t="s">
        <v>490</v>
      </c>
      <c r="H1269" s="224" t="s">
        <v>490</v>
      </c>
      <c r="I1269" s="208"/>
      <c r="J1269" s="210"/>
      <c r="K1269" s="210"/>
      <c r="L1269" s="210"/>
      <c r="M1269" s="210"/>
      <c r="N1269" s="210"/>
      <c r="O1269" s="210"/>
      <c r="P1269" s="210"/>
      <c r="Q1269" s="210"/>
      <c r="R1269" s="210"/>
      <c r="S1269" s="210"/>
      <c r="T1269" s="210"/>
      <c r="U1269" s="210"/>
      <c r="V1269" s="210"/>
      <c r="W1269" s="210"/>
      <c r="X1269" s="210"/>
      <c r="Y1269" s="210"/>
      <c r="Z1269" s="210"/>
    </row>
    <row r="1270" ht="21.75" customHeight="1">
      <c r="A1270" s="214"/>
      <c r="B1270" s="221"/>
      <c r="C1270" s="222">
        <v>203.0</v>
      </c>
      <c r="D1270" s="223" t="s">
        <v>1000</v>
      </c>
      <c r="E1270" s="223" t="s">
        <v>487</v>
      </c>
      <c r="F1270" s="223" t="s">
        <v>603</v>
      </c>
      <c r="G1270" s="218" t="s">
        <v>490</v>
      </c>
      <c r="H1270" s="224" t="s">
        <v>490</v>
      </c>
      <c r="I1270" s="208"/>
      <c r="J1270" s="210"/>
      <c r="K1270" s="210"/>
      <c r="L1270" s="210"/>
      <c r="M1270" s="210"/>
      <c r="N1270" s="210"/>
      <c r="O1270" s="210"/>
      <c r="P1270" s="210"/>
      <c r="Q1270" s="210"/>
      <c r="R1270" s="210"/>
      <c r="S1270" s="210"/>
      <c r="T1270" s="210"/>
      <c r="U1270" s="210"/>
      <c r="V1270" s="210"/>
      <c r="W1270" s="210"/>
      <c r="X1270" s="210"/>
      <c r="Y1270" s="210"/>
      <c r="Z1270" s="210"/>
    </row>
    <row r="1271" ht="21.75" customHeight="1">
      <c r="A1271" s="214"/>
      <c r="B1271" s="221"/>
      <c r="C1271" s="222">
        <v>204.0</v>
      </c>
      <c r="D1271" s="223" t="s">
        <v>1419</v>
      </c>
      <c r="E1271" s="223" t="s">
        <v>487</v>
      </c>
      <c r="F1271" s="223" t="s">
        <v>579</v>
      </c>
      <c r="G1271" s="218" t="s">
        <v>490</v>
      </c>
      <c r="H1271" s="224" t="s">
        <v>490</v>
      </c>
      <c r="I1271" s="208"/>
      <c r="J1271" s="210"/>
      <c r="K1271" s="210"/>
      <c r="L1271" s="210"/>
      <c r="M1271" s="210"/>
      <c r="N1271" s="210"/>
      <c r="O1271" s="210"/>
      <c r="P1271" s="210"/>
      <c r="Q1271" s="210"/>
      <c r="R1271" s="210"/>
      <c r="S1271" s="210"/>
      <c r="T1271" s="210"/>
      <c r="U1271" s="210"/>
      <c r="V1271" s="210"/>
      <c r="W1271" s="210"/>
      <c r="X1271" s="210"/>
      <c r="Y1271" s="210"/>
      <c r="Z1271" s="210"/>
    </row>
    <row r="1272" ht="21.75" customHeight="1">
      <c r="A1272" s="214"/>
      <c r="B1272" s="221"/>
      <c r="C1272" s="222">
        <v>205.0</v>
      </c>
      <c r="D1272" s="223" t="s">
        <v>1420</v>
      </c>
      <c r="E1272" s="223" t="s">
        <v>487</v>
      </c>
      <c r="F1272" s="223" t="s">
        <v>583</v>
      </c>
      <c r="G1272" s="218" t="s">
        <v>490</v>
      </c>
      <c r="H1272" s="224" t="s">
        <v>490</v>
      </c>
      <c r="I1272" s="208"/>
      <c r="J1272" s="210"/>
      <c r="K1272" s="210"/>
      <c r="L1272" s="210"/>
      <c r="M1272" s="210"/>
      <c r="N1272" s="210"/>
      <c r="O1272" s="210"/>
      <c r="P1272" s="210"/>
      <c r="Q1272" s="210"/>
      <c r="R1272" s="210"/>
      <c r="S1272" s="210"/>
      <c r="T1272" s="210"/>
      <c r="U1272" s="210"/>
      <c r="V1272" s="210"/>
      <c r="W1272" s="210"/>
      <c r="X1272" s="210"/>
      <c r="Y1272" s="210"/>
      <c r="Z1272" s="210"/>
    </row>
    <row r="1273" ht="21.75" customHeight="1">
      <c r="A1273" s="214"/>
      <c r="B1273" s="221"/>
      <c r="C1273" s="222">
        <v>206.0</v>
      </c>
      <c r="D1273" s="223" t="s">
        <v>1545</v>
      </c>
      <c r="E1273" s="223" t="s">
        <v>487</v>
      </c>
      <c r="F1273" s="223" t="s">
        <v>601</v>
      </c>
      <c r="G1273" s="223" t="s">
        <v>606</v>
      </c>
      <c r="H1273" s="224" t="s">
        <v>490</v>
      </c>
      <c r="I1273" s="208"/>
      <c r="J1273" s="210"/>
      <c r="K1273" s="210"/>
      <c r="L1273" s="210"/>
      <c r="M1273" s="210"/>
      <c r="N1273" s="210"/>
      <c r="O1273" s="210"/>
      <c r="P1273" s="210"/>
      <c r="Q1273" s="210"/>
      <c r="R1273" s="210"/>
      <c r="S1273" s="210"/>
      <c r="T1273" s="210"/>
      <c r="U1273" s="210"/>
      <c r="V1273" s="210"/>
      <c r="W1273" s="210"/>
      <c r="X1273" s="210"/>
      <c r="Y1273" s="210"/>
      <c r="Z1273" s="210"/>
    </row>
    <row r="1274" ht="21.75" customHeight="1">
      <c r="A1274" s="214"/>
      <c r="B1274" s="221"/>
      <c r="C1274" s="222">
        <v>207.0</v>
      </c>
      <c r="D1274" s="223" t="s">
        <v>1546</v>
      </c>
      <c r="E1274" s="223" t="s">
        <v>487</v>
      </c>
      <c r="F1274" s="223" t="s">
        <v>560</v>
      </c>
      <c r="G1274" s="223" t="s">
        <v>561</v>
      </c>
      <c r="H1274" s="224" t="s">
        <v>490</v>
      </c>
      <c r="I1274" s="208"/>
      <c r="J1274" s="210"/>
      <c r="K1274" s="210"/>
      <c r="L1274" s="210"/>
      <c r="M1274" s="210"/>
      <c r="N1274" s="210"/>
      <c r="O1274" s="210"/>
      <c r="P1274" s="210"/>
      <c r="Q1274" s="210"/>
      <c r="R1274" s="210"/>
      <c r="S1274" s="210"/>
      <c r="T1274" s="210"/>
      <c r="U1274" s="210"/>
      <c r="V1274" s="210"/>
      <c r="W1274" s="210"/>
      <c r="X1274" s="210"/>
      <c r="Y1274" s="210"/>
      <c r="Z1274" s="210"/>
    </row>
    <row r="1275" ht="21.75" customHeight="1">
      <c r="A1275" s="214"/>
      <c r="B1275" s="221"/>
      <c r="C1275" s="222">
        <v>208.0</v>
      </c>
      <c r="D1275" s="223" t="s">
        <v>1479</v>
      </c>
      <c r="E1275" s="223" t="s">
        <v>487</v>
      </c>
      <c r="F1275" s="223" t="s">
        <v>613</v>
      </c>
      <c r="G1275" s="218" t="s">
        <v>490</v>
      </c>
      <c r="H1275" s="224" t="s">
        <v>490</v>
      </c>
      <c r="I1275" s="208"/>
      <c r="J1275" s="210"/>
      <c r="K1275" s="210"/>
      <c r="L1275" s="210"/>
      <c r="M1275" s="210"/>
      <c r="N1275" s="210"/>
      <c r="O1275" s="210"/>
      <c r="P1275" s="210"/>
      <c r="Q1275" s="210"/>
      <c r="R1275" s="210"/>
      <c r="S1275" s="210"/>
      <c r="T1275" s="210"/>
      <c r="U1275" s="210"/>
      <c r="V1275" s="210"/>
      <c r="W1275" s="210"/>
      <c r="X1275" s="210"/>
      <c r="Y1275" s="210"/>
      <c r="Z1275" s="210"/>
    </row>
    <row r="1276" ht="21.75" customHeight="1">
      <c r="A1276" s="214"/>
      <c r="B1276" s="221"/>
      <c r="C1276" s="222">
        <v>209.0</v>
      </c>
      <c r="D1276" s="223" t="s">
        <v>1547</v>
      </c>
      <c r="E1276" s="223" t="s">
        <v>529</v>
      </c>
      <c r="F1276" s="223" t="s">
        <v>530</v>
      </c>
      <c r="G1276" s="223" t="s">
        <v>580</v>
      </c>
      <c r="H1276" s="224" t="s">
        <v>490</v>
      </c>
      <c r="I1276" s="208"/>
      <c r="J1276" s="210"/>
      <c r="K1276" s="210"/>
      <c r="L1276" s="210"/>
      <c r="M1276" s="210"/>
      <c r="N1276" s="210"/>
      <c r="O1276" s="210"/>
      <c r="P1276" s="210"/>
      <c r="Q1276" s="210"/>
      <c r="R1276" s="210"/>
      <c r="S1276" s="210"/>
      <c r="T1276" s="210"/>
      <c r="U1276" s="210"/>
      <c r="V1276" s="210"/>
      <c r="W1276" s="210"/>
      <c r="X1276" s="210"/>
      <c r="Y1276" s="210"/>
      <c r="Z1276" s="210"/>
    </row>
    <row r="1277" ht="21.75" customHeight="1">
      <c r="A1277" s="214"/>
      <c r="B1277" s="217"/>
      <c r="C1277" s="222">
        <v>300.0</v>
      </c>
      <c r="D1277" s="215" t="s">
        <v>696</v>
      </c>
      <c r="E1277" s="215" t="s">
        <v>673</v>
      </c>
      <c r="F1277" s="215" t="s">
        <v>696</v>
      </c>
      <c r="G1277" s="234" t="s">
        <v>490</v>
      </c>
      <c r="H1277" s="224" t="s">
        <v>490</v>
      </c>
      <c r="I1277" s="208"/>
      <c r="J1277" s="210"/>
      <c r="K1277" s="210"/>
      <c r="L1277" s="210"/>
      <c r="M1277" s="210"/>
      <c r="N1277" s="210"/>
      <c r="O1277" s="210"/>
      <c r="P1277" s="210"/>
      <c r="Q1277" s="210"/>
      <c r="R1277" s="210"/>
      <c r="S1277" s="210"/>
      <c r="T1277" s="210"/>
      <c r="U1277" s="210"/>
      <c r="V1277" s="210"/>
      <c r="W1277" s="210"/>
      <c r="X1277" s="210"/>
      <c r="Y1277" s="210"/>
      <c r="Z1277" s="210"/>
    </row>
    <row r="1278" ht="21.75" customHeight="1">
      <c r="A1278" s="214"/>
      <c r="B1278" s="218" t="s">
        <v>1571</v>
      </c>
      <c r="C1278" s="226">
        <v>70012.0</v>
      </c>
      <c r="D1278" s="220"/>
      <c r="E1278" s="220"/>
      <c r="F1278" s="220"/>
      <c r="G1278" s="220"/>
      <c r="H1278" s="221"/>
      <c r="I1278" s="208"/>
      <c r="J1278" s="210"/>
      <c r="K1278" s="210"/>
      <c r="L1278" s="210"/>
      <c r="M1278" s="210"/>
      <c r="N1278" s="210"/>
      <c r="O1278" s="210"/>
      <c r="P1278" s="210"/>
      <c r="Q1278" s="210"/>
      <c r="R1278" s="210"/>
      <c r="S1278" s="210"/>
      <c r="T1278" s="210"/>
      <c r="U1278" s="210"/>
      <c r="V1278" s="210"/>
      <c r="W1278" s="210"/>
      <c r="X1278" s="210"/>
      <c r="Y1278" s="210"/>
      <c r="Z1278" s="210"/>
    </row>
    <row r="1279" ht="21.75" customHeight="1">
      <c r="A1279" s="214"/>
      <c r="B1279" s="221"/>
      <c r="C1279" s="222">
        <v>100.0</v>
      </c>
      <c r="D1279" s="223" t="s">
        <v>486</v>
      </c>
      <c r="E1279" s="223" t="s">
        <v>487</v>
      </c>
      <c r="F1279" s="223" t="s">
        <v>488</v>
      </c>
      <c r="G1279" s="223" t="s">
        <v>489</v>
      </c>
      <c r="H1279" s="224" t="s">
        <v>490</v>
      </c>
      <c r="I1279" s="208"/>
      <c r="J1279" s="210"/>
      <c r="K1279" s="210"/>
      <c r="L1279" s="210"/>
      <c r="M1279" s="210"/>
      <c r="N1279" s="210"/>
      <c r="O1279" s="210"/>
      <c r="P1279" s="210"/>
      <c r="Q1279" s="210"/>
      <c r="R1279" s="210"/>
      <c r="S1279" s="210"/>
      <c r="T1279" s="210"/>
      <c r="U1279" s="210"/>
      <c r="V1279" s="210"/>
      <c r="W1279" s="210"/>
      <c r="X1279" s="210"/>
      <c r="Y1279" s="210"/>
      <c r="Z1279" s="210"/>
    </row>
    <row r="1280" ht="21.75" customHeight="1">
      <c r="A1280" s="214"/>
      <c r="B1280" s="221"/>
      <c r="C1280" s="222">
        <v>101.0</v>
      </c>
      <c r="D1280" s="223" t="s">
        <v>491</v>
      </c>
      <c r="E1280" s="223" t="s">
        <v>487</v>
      </c>
      <c r="F1280" s="223" t="s">
        <v>492</v>
      </c>
      <c r="G1280" s="223" t="s">
        <v>678</v>
      </c>
      <c r="H1280" s="225" t="s">
        <v>1572</v>
      </c>
      <c r="I1280" s="208"/>
      <c r="J1280" s="210"/>
      <c r="K1280" s="210"/>
      <c r="L1280" s="210"/>
      <c r="M1280" s="210"/>
      <c r="N1280" s="210"/>
      <c r="O1280" s="210"/>
      <c r="P1280" s="210"/>
      <c r="Q1280" s="210"/>
      <c r="R1280" s="210"/>
      <c r="S1280" s="210"/>
      <c r="T1280" s="210"/>
      <c r="U1280" s="210"/>
      <c r="V1280" s="210"/>
      <c r="W1280" s="210"/>
      <c r="X1280" s="210"/>
      <c r="Y1280" s="210"/>
      <c r="Z1280" s="210"/>
    </row>
    <row r="1281" ht="21.75" customHeight="1">
      <c r="A1281" s="214"/>
      <c r="B1281" s="221"/>
      <c r="C1281" s="222">
        <v>102.0</v>
      </c>
      <c r="D1281" s="223" t="s">
        <v>1537</v>
      </c>
      <c r="E1281" s="223" t="s">
        <v>487</v>
      </c>
      <c r="F1281" s="223" t="s">
        <v>496</v>
      </c>
      <c r="G1281" s="223" t="s">
        <v>501</v>
      </c>
      <c r="H1281" s="224" t="s">
        <v>490</v>
      </c>
      <c r="I1281" s="208"/>
      <c r="J1281" s="210"/>
      <c r="K1281" s="210"/>
      <c r="L1281" s="210"/>
      <c r="M1281" s="210"/>
      <c r="N1281" s="210"/>
      <c r="O1281" s="210"/>
      <c r="P1281" s="210"/>
      <c r="Q1281" s="210"/>
      <c r="R1281" s="210"/>
      <c r="S1281" s="210"/>
      <c r="T1281" s="210"/>
      <c r="U1281" s="210"/>
      <c r="V1281" s="210"/>
      <c r="W1281" s="210"/>
      <c r="X1281" s="210"/>
      <c r="Y1281" s="210"/>
      <c r="Z1281" s="210"/>
    </row>
    <row r="1282" ht="21.75" customHeight="1">
      <c r="A1282" s="214"/>
      <c r="B1282" s="221"/>
      <c r="C1282" s="222">
        <v>103.0</v>
      </c>
      <c r="D1282" s="223" t="s">
        <v>1538</v>
      </c>
      <c r="E1282" s="223" t="s">
        <v>487</v>
      </c>
      <c r="F1282" s="223" t="s">
        <v>500</v>
      </c>
      <c r="G1282" s="223" t="s">
        <v>497</v>
      </c>
      <c r="H1282" s="225" t="s">
        <v>1573</v>
      </c>
      <c r="I1282" s="208"/>
      <c r="J1282" s="210"/>
      <c r="K1282" s="210"/>
      <c r="L1282" s="210"/>
      <c r="M1282" s="210"/>
      <c r="N1282" s="210"/>
      <c r="O1282" s="210"/>
      <c r="P1282" s="210"/>
      <c r="Q1282" s="210"/>
      <c r="R1282" s="210"/>
      <c r="S1282" s="210"/>
      <c r="T1282" s="210"/>
      <c r="U1282" s="210"/>
      <c r="V1282" s="210"/>
      <c r="W1282" s="210"/>
      <c r="X1282" s="210"/>
      <c r="Y1282" s="210"/>
      <c r="Z1282" s="210"/>
    </row>
    <row r="1283" ht="21.75" customHeight="1">
      <c r="A1283" s="214"/>
      <c r="B1283" s="221"/>
      <c r="C1283" s="222">
        <v>104.0</v>
      </c>
      <c r="D1283" s="223" t="s">
        <v>507</v>
      </c>
      <c r="E1283" s="223" t="s">
        <v>508</v>
      </c>
      <c r="F1283" s="223" t="s">
        <v>509</v>
      </c>
      <c r="G1283" s="223" t="s">
        <v>510</v>
      </c>
      <c r="H1283" s="225" t="s">
        <v>1540</v>
      </c>
      <c r="I1283" s="208"/>
      <c r="J1283" s="210"/>
      <c r="K1283" s="210"/>
      <c r="L1283" s="210"/>
      <c r="M1283" s="210"/>
      <c r="N1283" s="210"/>
      <c r="O1283" s="210"/>
      <c r="P1283" s="210"/>
      <c r="Q1283" s="210"/>
      <c r="R1283" s="210"/>
      <c r="S1283" s="210"/>
      <c r="T1283" s="210"/>
      <c r="U1283" s="210"/>
      <c r="V1283" s="210"/>
      <c r="W1283" s="210"/>
      <c r="X1283" s="210"/>
      <c r="Y1283" s="210"/>
      <c r="Z1283" s="210"/>
    </row>
    <row r="1284" ht="21.75" customHeight="1">
      <c r="A1284" s="214"/>
      <c r="B1284" s="221"/>
      <c r="C1284" s="222">
        <v>105.0</v>
      </c>
      <c r="D1284" s="223" t="s">
        <v>1541</v>
      </c>
      <c r="E1284" s="223" t="s">
        <v>487</v>
      </c>
      <c r="F1284" s="223" t="s">
        <v>1542</v>
      </c>
      <c r="G1284" s="218" t="s">
        <v>490</v>
      </c>
      <c r="H1284" s="224" t="s">
        <v>490</v>
      </c>
      <c r="I1284" s="208"/>
      <c r="J1284" s="210"/>
      <c r="K1284" s="210"/>
      <c r="L1284" s="210"/>
      <c r="M1284" s="210"/>
      <c r="N1284" s="210"/>
      <c r="O1284" s="210"/>
      <c r="P1284" s="210"/>
      <c r="Q1284" s="210"/>
      <c r="R1284" s="210"/>
      <c r="S1284" s="210"/>
      <c r="T1284" s="210"/>
      <c r="U1284" s="210"/>
      <c r="V1284" s="210"/>
      <c r="W1284" s="210"/>
      <c r="X1284" s="210"/>
      <c r="Y1284" s="210"/>
      <c r="Z1284" s="210"/>
    </row>
    <row r="1285" ht="21.75" customHeight="1">
      <c r="A1285" s="214"/>
      <c r="B1285" s="221"/>
      <c r="C1285" s="222">
        <v>200.0</v>
      </c>
      <c r="D1285" s="223" t="s">
        <v>1543</v>
      </c>
      <c r="E1285" s="223" t="s">
        <v>487</v>
      </c>
      <c r="F1285" s="223" t="s">
        <v>512</v>
      </c>
      <c r="G1285" s="218" t="s">
        <v>490</v>
      </c>
      <c r="H1285" s="224" t="s">
        <v>490</v>
      </c>
      <c r="I1285" s="208"/>
      <c r="J1285" s="210"/>
      <c r="K1285" s="210"/>
      <c r="L1285" s="210"/>
      <c r="M1285" s="210"/>
      <c r="N1285" s="210"/>
      <c r="O1285" s="210"/>
      <c r="P1285" s="210"/>
      <c r="Q1285" s="210"/>
      <c r="R1285" s="210"/>
      <c r="S1285" s="210"/>
      <c r="T1285" s="210"/>
      <c r="U1285" s="210"/>
      <c r="V1285" s="210"/>
      <c r="W1285" s="210"/>
      <c r="X1285" s="210"/>
      <c r="Y1285" s="210"/>
      <c r="Z1285" s="210"/>
    </row>
    <row r="1286" ht="21.75" customHeight="1">
      <c r="A1286" s="214"/>
      <c r="B1286" s="221"/>
      <c r="C1286" s="222">
        <v>201.0</v>
      </c>
      <c r="D1286" s="223" t="s">
        <v>1544</v>
      </c>
      <c r="E1286" s="223" t="s">
        <v>487</v>
      </c>
      <c r="F1286" s="223" t="s">
        <v>532</v>
      </c>
      <c r="G1286" s="223" t="s">
        <v>594</v>
      </c>
      <c r="H1286" s="224" t="s">
        <v>490</v>
      </c>
      <c r="I1286" s="208"/>
      <c r="J1286" s="210"/>
      <c r="K1286" s="210"/>
      <c r="L1286" s="210"/>
      <c r="M1286" s="210"/>
      <c r="N1286" s="210"/>
      <c r="O1286" s="210"/>
      <c r="P1286" s="210"/>
      <c r="Q1286" s="210"/>
      <c r="R1286" s="210"/>
      <c r="S1286" s="210"/>
      <c r="T1286" s="210"/>
      <c r="U1286" s="210"/>
      <c r="V1286" s="210"/>
      <c r="W1286" s="210"/>
      <c r="X1286" s="210"/>
      <c r="Y1286" s="210"/>
      <c r="Z1286" s="210"/>
    </row>
    <row r="1287" ht="21.75" customHeight="1">
      <c r="A1287" s="214"/>
      <c r="B1287" s="221"/>
      <c r="C1287" s="222">
        <v>202.0</v>
      </c>
      <c r="D1287" s="223" t="s">
        <v>253</v>
      </c>
      <c r="E1287" s="223" t="s">
        <v>487</v>
      </c>
      <c r="F1287" s="223" t="s">
        <v>590</v>
      </c>
      <c r="G1287" s="218" t="s">
        <v>490</v>
      </c>
      <c r="H1287" s="224" t="s">
        <v>490</v>
      </c>
      <c r="I1287" s="208"/>
      <c r="J1287" s="210"/>
      <c r="K1287" s="210"/>
      <c r="L1287" s="210"/>
      <c r="M1287" s="210"/>
      <c r="N1287" s="210"/>
      <c r="O1287" s="210"/>
      <c r="P1287" s="210"/>
      <c r="Q1287" s="210"/>
      <c r="R1287" s="210"/>
      <c r="S1287" s="210"/>
      <c r="T1287" s="210"/>
      <c r="U1287" s="210"/>
      <c r="V1287" s="210"/>
      <c r="W1287" s="210"/>
      <c r="X1287" s="210"/>
      <c r="Y1287" s="210"/>
      <c r="Z1287" s="210"/>
    </row>
    <row r="1288" ht="21.75" customHeight="1">
      <c r="A1288" s="214"/>
      <c r="B1288" s="221"/>
      <c r="C1288" s="222">
        <v>203.0</v>
      </c>
      <c r="D1288" s="223" t="s">
        <v>1000</v>
      </c>
      <c r="E1288" s="223" t="s">
        <v>487</v>
      </c>
      <c r="F1288" s="223" t="s">
        <v>603</v>
      </c>
      <c r="G1288" s="218" t="s">
        <v>490</v>
      </c>
      <c r="H1288" s="224" t="s">
        <v>490</v>
      </c>
      <c r="I1288" s="208"/>
      <c r="J1288" s="210"/>
      <c r="K1288" s="210"/>
      <c r="L1288" s="210"/>
      <c r="M1288" s="210"/>
      <c r="N1288" s="210"/>
      <c r="O1288" s="210"/>
      <c r="P1288" s="210"/>
      <c r="Q1288" s="210"/>
      <c r="R1288" s="210"/>
      <c r="S1288" s="210"/>
      <c r="T1288" s="210"/>
      <c r="U1288" s="210"/>
      <c r="V1288" s="210"/>
      <c r="W1288" s="210"/>
      <c r="X1288" s="210"/>
      <c r="Y1288" s="210"/>
      <c r="Z1288" s="210"/>
    </row>
    <row r="1289" ht="21.75" customHeight="1">
      <c r="A1289" s="214"/>
      <c r="B1289" s="221"/>
      <c r="C1289" s="222">
        <v>204.0</v>
      </c>
      <c r="D1289" s="223" t="s">
        <v>1419</v>
      </c>
      <c r="E1289" s="223" t="s">
        <v>487</v>
      </c>
      <c r="F1289" s="223" t="s">
        <v>579</v>
      </c>
      <c r="G1289" s="218" t="s">
        <v>490</v>
      </c>
      <c r="H1289" s="224" t="s">
        <v>490</v>
      </c>
      <c r="I1289" s="208"/>
      <c r="J1289" s="210"/>
      <c r="K1289" s="210"/>
      <c r="L1289" s="210"/>
      <c r="M1289" s="210"/>
      <c r="N1289" s="210"/>
      <c r="O1289" s="210"/>
      <c r="P1289" s="210"/>
      <c r="Q1289" s="210"/>
      <c r="R1289" s="210"/>
      <c r="S1289" s="210"/>
      <c r="T1289" s="210"/>
      <c r="U1289" s="210"/>
      <c r="V1289" s="210"/>
      <c r="W1289" s="210"/>
      <c r="X1289" s="210"/>
      <c r="Y1289" s="210"/>
      <c r="Z1289" s="210"/>
    </row>
    <row r="1290" ht="21.75" customHeight="1">
      <c r="A1290" s="214"/>
      <c r="B1290" s="221"/>
      <c r="C1290" s="222">
        <v>205.0</v>
      </c>
      <c r="D1290" s="223" t="s">
        <v>1420</v>
      </c>
      <c r="E1290" s="223" t="s">
        <v>487</v>
      </c>
      <c r="F1290" s="223" t="s">
        <v>583</v>
      </c>
      <c r="G1290" s="218" t="s">
        <v>490</v>
      </c>
      <c r="H1290" s="224" t="s">
        <v>490</v>
      </c>
      <c r="I1290" s="208"/>
      <c r="J1290" s="210"/>
      <c r="K1290" s="210"/>
      <c r="L1290" s="210"/>
      <c r="M1290" s="210"/>
      <c r="N1290" s="210"/>
      <c r="O1290" s="210"/>
      <c r="P1290" s="210"/>
      <c r="Q1290" s="210"/>
      <c r="R1290" s="210"/>
      <c r="S1290" s="210"/>
      <c r="T1290" s="210"/>
      <c r="U1290" s="210"/>
      <c r="V1290" s="210"/>
      <c r="W1290" s="210"/>
      <c r="X1290" s="210"/>
      <c r="Y1290" s="210"/>
      <c r="Z1290" s="210"/>
    </row>
    <row r="1291" ht="21.75" customHeight="1">
      <c r="A1291" s="214"/>
      <c r="B1291" s="221"/>
      <c r="C1291" s="222">
        <v>206.0</v>
      </c>
      <c r="D1291" s="223" t="s">
        <v>1545</v>
      </c>
      <c r="E1291" s="223" t="s">
        <v>487</v>
      </c>
      <c r="F1291" s="223" t="s">
        <v>601</v>
      </c>
      <c r="G1291" s="223" t="s">
        <v>606</v>
      </c>
      <c r="H1291" s="224" t="s">
        <v>490</v>
      </c>
      <c r="I1291" s="208"/>
      <c r="J1291" s="210"/>
      <c r="K1291" s="210"/>
      <c r="L1291" s="210"/>
      <c r="M1291" s="210"/>
      <c r="N1291" s="210"/>
      <c r="O1291" s="210"/>
      <c r="P1291" s="210"/>
      <c r="Q1291" s="210"/>
      <c r="R1291" s="210"/>
      <c r="S1291" s="210"/>
      <c r="T1291" s="210"/>
      <c r="U1291" s="210"/>
      <c r="V1291" s="210"/>
      <c r="W1291" s="210"/>
      <c r="X1291" s="210"/>
      <c r="Y1291" s="210"/>
      <c r="Z1291" s="210"/>
    </row>
    <row r="1292" ht="21.75" customHeight="1">
      <c r="A1292" s="214"/>
      <c r="B1292" s="221"/>
      <c r="C1292" s="222">
        <v>207.0</v>
      </c>
      <c r="D1292" s="223" t="s">
        <v>1546</v>
      </c>
      <c r="E1292" s="223" t="s">
        <v>487</v>
      </c>
      <c r="F1292" s="223" t="s">
        <v>560</v>
      </c>
      <c r="G1292" s="223" t="s">
        <v>561</v>
      </c>
      <c r="H1292" s="224" t="s">
        <v>490</v>
      </c>
      <c r="I1292" s="208"/>
      <c r="J1292" s="210"/>
      <c r="K1292" s="210"/>
      <c r="L1292" s="210"/>
      <c r="M1292" s="210"/>
      <c r="N1292" s="210"/>
      <c r="O1292" s="210"/>
      <c r="P1292" s="210"/>
      <c r="Q1292" s="210"/>
      <c r="R1292" s="210"/>
      <c r="S1292" s="210"/>
      <c r="T1292" s="210"/>
      <c r="U1292" s="210"/>
      <c r="V1292" s="210"/>
      <c r="W1292" s="210"/>
      <c r="X1292" s="210"/>
      <c r="Y1292" s="210"/>
      <c r="Z1292" s="210"/>
    </row>
    <row r="1293" ht="21.75" customHeight="1">
      <c r="A1293" s="214"/>
      <c r="B1293" s="221"/>
      <c r="C1293" s="222">
        <v>208.0</v>
      </c>
      <c r="D1293" s="223" t="s">
        <v>1479</v>
      </c>
      <c r="E1293" s="223" t="s">
        <v>487</v>
      </c>
      <c r="F1293" s="223" t="s">
        <v>613</v>
      </c>
      <c r="G1293" s="218" t="s">
        <v>490</v>
      </c>
      <c r="H1293" s="224" t="s">
        <v>490</v>
      </c>
      <c r="I1293" s="208"/>
      <c r="J1293" s="210"/>
      <c r="K1293" s="210"/>
      <c r="L1293" s="210"/>
      <c r="M1293" s="210"/>
      <c r="N1293" s="210"/>
      <c r="O1293" s="210"/>
      <c r="P1293" s="210"/>
      <c r="Q1293" s="210"/>
      <c r="R1293" s="210"/>
      <c r="S1293" s="210"/>
      <c r="T1293" s="210"/>
      <c r="U1293" s="210"/>
      <c r="V1293" s="210"/>
      <c r="W1293" s="210"/>
      <c r="X1293" s="210"/>
      <c r="Y1293" s="210"/>
      <c r="Z1293" s="210"/>
    </row>
    <row r="1294" ht="21.75" customHeight="1">
      <c r="A1294" s="214"/>
      <c r="B1294" s="221"/>
      <c r="C1294" s="222">
        <v>209.0</v>
      </c>
      <c r="D1294" s="223" t="s">
        <v>1547</v>
      </c>
      <c r="E1294" s="223" t="s">
        <v>529</v>
      </c>
      <c r="F1294" s="223" t="s">
        <v>530</v>
      </c>
      <c r="G1294" s="223" t="s">
        <v>580</v>
      </c>
      <c r="H1294" s="224" t="s">
        <v>490</v>
      </c>
      <c r="I1294" s="208"/>
      <c r="J1294" s="210"/>
      <c r="K1294" s="210"/>
      <c r="L1294" s="210"/>
      <c r="M1294" s="210"/>
      <c r="N1294" s="210"/>
      <c r="O1294" s="210"/>
      <c r="P1294" s="210"/>
      <c r="Q1294" s="210"/>
      <c r="R1294" s="210"/>
      <c r="S1294" s="210"/>
      <c r="T1294" s="210"/>
      <c r="U1294" s="210"/>
      <c r="V1294" s="210"/>
      <c r="W1294" s="210"/>
      <c r="X1294" s="210"/>
      <c r="Y1294" s="210"/>
      <c r="Z1294" s="210"/>
    </row>
    <row r="1295" ht="21.75" customHeight="1">
      <c r="A1295" s="214"/>
      <c r="B1295" s="217"/>
      <c r="C1295" s="222">
        <v>300.0</v>
      </c>
      <c r="D1295" s="215" t="s">
        <v>696</v>
      </c>
      <c r="E1295" s="215" t="s">
        <v>673</v>
      </c>
      <c r="F1295" s="215" t="s">
        <v>696</v>
      </c>
      <c r="G1295" s="234" t="s">
        <v>490</v>
      </c>
      <c r="H1295" s="224" t="s">
        <v>490</v>
      </c>
      <c r="I1295" s="208"/>
      <c r="J1295" s="210"/>
      <c r="K1295" s="210"/>
      <c r="L1295" s="210"/>
      <c r="M1295" s="210"/>
      <c r="N1295" s="210"/>
      <c r="O1295" s="210"/>
      <c r="P1295" s="210"/>
      <c r="Q1295" s="210"/>
      <c r="R1295" s="210"/>
      <c r="S1295" s="210"/>
      <c r="T1295" s="210"/>
      <c r="U1295" s="210"/>
      <c r="V1295" s="210"/>
      <c r="W1295" s="210"/>
      <c r="X1295" s="210"/>
      <c r="Y1295" s="210"/>
      <c r="Z1295" s="210"/>
    </row>
    <row r="1296" ht="21.75" customHeight="1">
      <c r="A1296" s="214"/>
      <c r="B1296" s="218" t="s">
        <v>1574</v>
      </c>
      <c r="C1296" s="226">
        <v>70014.0</v>
      </c>
      <c r="D1296" s="220"/>
      <c r="E1296" s="220"/>
      <c r="F1296" s="220"/>
      <c r="G1296" s="220"/>
      <c r="H1296" s="221"/>
      <c r="I1296" s="208"/>
      <c r="J1296" s="210"/>
      <c r="K1296" s="210"/>
      <c r="L1296" s="210"/>
      <c r="M1296" s="210"/>
      <c r="N1296" s="210"/>
      <c r="O1296" s="210"/>
      <c r="P1296" s="210"/>
      <c r="Q1296" s="210"/>
      <c r="R1296" s="210"/>
      <c r="S1296" s="210"/>
      <c r="T1296" s="210"/>
      <c r="U1296" s="210"/>
      <c r="V1296" s="210"/>
      <c r="W1296" s="210"/>
      <c r="X1296" s="210"/>
      <c r="Y1296" s="210"/>
      <c r="Z1296" s="210"/>
    </row>
    <row r="1297" ht="21.75" customHeight="1">
      <c r="A1297" s="214"/>
      <c r="B1297" s="221"/>
      <c r="C1297" s="222">
        <v>100.0</v>
      </c>
      <c r="D1297" s="223" t="s">
        <v>486</v>
      </c>
      <c r="E1297" s="223" t="s">
        <v>487</v>
      </c>
      <c r="F1297" s="223" t="s">
        <v>488</v>
      </c>
      <c r="G1297" s="223" t="s">
        <v>489</v>
      </c>
      <c r="H1297" s="224" t="s">
        <v>490</v>
      </c>
      <c r="I1297" s="208"/>
      <c r="J1297" s="210"/>
      <c r="K1297" s="210"/>
      <c r="L1297" s="210"/>
      <c r="M1297" s="210"/>
      <c r="N1297" s="210"/>
      <c r="O1297" s="210"/>
      <c r="P1297" s="210"/>
      <c r="Q1297" s="210"/>
      <c r="R1297" s="210"/>
      <c r="S1297" s="210"/>
      <c r="T1297" s="210"/>
      <c r="U1297" s="210"/>
      <c r="V1297" s="210"/>
      <c r="W1297" s="210"/>
      <c r="X1297" s="210"/>
      <c r="Y1297" s="210"/>
      <c r="Z1297" s="210"/>
    </row>
    <row r="1298" ht="21.75" customHeight="1">
      <c r="A1298" s="214"/>
      <c r="B1298" s="221"/>
      <c r="C1298" s="222">
        <v>101.0</v>
      </c>
      <c r="D1298" s="223" t="s">
        <v>491</v>
      </c>
      <c r="E1298" s="223" t="s">
        <v>487</v>
      </c>
      <c r="F1298" s="223" t="s">
        <v>492</v>
      </c>
      <c r="G1298" s="223" t="s">
        <v>678</v>
      </c>
      <c r="H1298" s="225" t="s">
        <v>1575</v>
      </c>
      <c r="I1298" s="208"/>
      <c r="J1298" s="210"/>
      <c r="K1298" s="210"/>
      <c r="L1298" s="210"/>
      <c r="M1298" s="210"/>
      <c r="N1298" s="210"/>
      <c r="O1298" s="210"/>
      <c r="P1298" s="210"/>
      <c r="Q1298" s="210"/>
      <c r="R1298" s="210"/>
      <c r="S1298" s="210"/>
      <c r="T1298" s="210"/>
      <c r="U1298" s="210"/>
      <c r="V1298" s="210"/>
      <c r="W1298" s="210"/>
      <c r="X1298" s="210"/>
      <c r="Y1298" s="210"/>
      <c r="Z1298" s="210"/>
    </row>
    <row r="1299" ht="21.75" customHeight="1">
      <c r="A1299" s="214"/>
      <c r="B1299" s="221"/>
      <c r="C1299" s="222">
        <v>102.0</v>
      </c>
      <c r="D1299" s="223" t="s">
        <v>1537</v>
      </c>
      <c r="E1299" s="223" t="s">
        <v>487</v>
      </c>
      <c r="F1299" s="223" t="s">
        <v>496</v>
      </c>
      <c r="G1299" s="223" t="s">
        <v>501</v>
      </c>
      <c r="H1299" s="224" t="s">
        <v>490</v>
      </c>
      <c r="I1299" s="208"/>
      <c r="J1299" s="210"/>
      <c r="K1299" s="210"/>
      <c r="L1299" s="210"/>
      <c r="M1299" s="210"/>
      <c r="N1299" s="210"/>
      <c r="O1299" s="210"/>
      <c r="P1299" s="210"/>
      <c r="Q1299" s="210"/>
      <c r="R1299" s="210"/>
      <c r="S1299" s="210"/>
      <c r="T1299" s="210"/>
      <c r="U1299" s="210"/>
      <c r="V1299" s="210"/>
      <c r="W1299" s="210"/>
      <c r="X1299" s="210"/>
      <c r="Y1299" s="210"/>
      <c r="Z1299" s="210"/>
    </row>
    <row r="1300" ht="21.75" customHeight="1">
      <c r="A1300" s="214"/>
      <c r="B1300" s="221"/>
      <c r="C1300" s="222">
        <v>103.0</v>
      </c>
      <c r="D1300" s="223" t="s">
        <v>1538</v>
      </c>
      <c r="E1300" s="223" t="s">
        <v>487</v>
      </c>
      <c r="F1300" s="223" t="s">
        <v>500</v>
      </c>
      <c r="G1300" s="223" t="s">
        <v>497</v>
      </c>
      <c r="H1300" s="225" t="s">
        <v>1576</v>
      </c>
      <c r="I1300" s="208"/>
      <c r="J1300" s="210"/>
      <c r="K1300" s="210"/>
      <c r="L1300" s="210"/>
      <c r="M1300" s="210"/>
      <c r="N1300" s="210"/>
      <c r="O1300" s="210"/>
      <c r="P1300" s="210"/>
      <c r="Q1300" s="210"/>
      <c r="R1300" s="210"/>
      <c r="S1300" s="210"/>
      <c r="T1300" s="210"/>
      <c r="U1300" s="210"/>
      <c r="V1300" s="210"/>
      <c r="W1300" s="210"/>
      <c r="X1300" s="210"/>
      <c r="Y1300" s="210"/>
      <c r="Z1300" s="210"/>
    </row>
    <row r="1301" ht="21.75" customHeight="1">
      <c r="A1301" s="214"/>
      <c r="B1301" s="221"/>
      <c r="C1301" s="222">
        <v>104.0</v>
      </c>
      <c r="D1301" s="223" t="s">
        <v>507</v>
      </c>
      <c r="E1301" s="223" t="s">
        <v>508</v>
      </c>
      <c r="F1301" s="223" t="s">
        <v>509</v>
      </c>
      <c r="G1301" s="223" t="s">
        <v>510</v>
      </c>
      <c r="H1301" s="225" t="s">
        <v>1540</v>
      </c>
      <c r="I1301" s="208"/>
      <c r="J1301" s="210"/>
      <c r="K1301" s="210"/>
      <c r="L1301" s="210"/>
      <c r="M1301" s="210"/>
      <c r="N1301" s="210"/>
      <c r="O1301" s="210"/>
      <c r="P1301" s="210"/>
      <c r="Q1301" s="210"/>
      <c r="R1301" s="210"/>
      <c r="S1301" s="210"/>
      <c r="T1301" s="210"/>
      <c r="U1301" s="210"/>
      <c r="V1301" s="210"/>
      <c r="W1301" s="210"/>
      <c r="X1301" s="210"/>
      <c r="Y1301" s="210"/>
      <c r="Z1301" s="210"/>
    </row>
    <row r="1302" ht="21.75" customHeight="1">
      <c r="A1302" s="214"/>
      <c r="B1302" s="221"/>
      <c r="C1302" s="222">
        <v>105.0</v>
      </c>
      <c r="D1302" s="223" t="s">
        <v>1541</v>
      </c>
      <c r="E1302" s="223" t="s">
        <v>487</v>
      </c>
      <c r="F1302" s="223" t="s">
        <v>1542</v>
      </c>
      <c r="G1302" s="218" t="s">
        <v>490</v>
      </c>
      <c r="H1302" s="224" t="s">
        <v>490</v>
      </c>
      <c r="I1302" s="208"/>
      <c r="J1302" s="210"/>
      <c r="K1302" s="210"/>
      <c r="L1302" s="210"/>
      <c r="M1302" s="210"/>
      <c r="N1302" s="210"/>
      <c r="O1302" s="210"/>
      <c r="P1302" s="210"/>
      <c r="Q1302" s="210"/>
      <c r="R1302" s="210"/>
      <c r="S1302" s="210"/>
      <c r="T1302" s="210"/>
      <c r="U1302" s="210"/>
      <c r="V1302" s="210"/>
      <c r="W1302" s="210"/>
      <c r="X1302" s="210"/>
      <c r="Y1302" s="210"/>
      <c r="Z1302" s="210"/>
    </row>
    <row r="1303" ht="21.75" customHeight="1">
      <c r="A1303" s="214"/>
      <c r="B1303" s="221"/>
      <c r="C1303" s="222">
        <v>200.0</v>
      </c>
      <c r="D1303" s="223" t="s">
        <v>1543</v>
      </c>
      <c r="E1303" s="223" t="s">
        <v>487</v>
      </c>
      <c r="F1303" s="223" t="s">
        <v>512</v>
      </c>
      <c r="G1303" s="218" t="s">
        <v>490</v>
      </c>
      <c r="H1303" s="224" t="s">
        <v>490</v>
      </c>
      <c r="I1303" s="208"/>
      <c r="J1303" s="210"/>
      <c r="K1303" s="210"/>
      <c r="L1303" s="210"/>
      <c r="M1303" s="210"/>
      <c r="N1303" s="210"/>
      <c r="O1303" s="210"/>
      <c r="P1303" s="210"/>
      <c r="Q1303" s="210"/>
      <c r="R1303" s="210"/>
      <c r="S1303" s="210"/>
      <c r="T1303" s="210"/>
      <c r="U1303" s="210"/>
      <c r="V1303" s="210"/>
      <c r="W1303" s="210"/>
      <c r="X1303" s="210"/>
      <c r="Y1303" s="210"/>
      <c r="Z1303" s="210"/>
    </row>
    <row r="1304" ht="21.75" customHeight="1">
      <c r="A1304" s="214"/>
      <c r="B1304" s="221"/>
      <c r="C1304" s="222">
        <v>201.0</v>
      </c>
      <c r="D1304" s="223" t="s">
        <v>1544</v>
      </c>
      <c r="E1304" s="223" t="s">
        <v>487</v>
      </c>
      <c r="F1304" s="223" t="s">
        <v>532</v>
      </c>
      <c r="G1304" s="218" t="s">
        <v>490</v>
      </c>
      <c r="H1304" s="224" t="s">
        <v>490</v>
      </c>
      <c r="I1304" s="208"/>
      <c r="J1304" s="210"/>
      <c r="K1304" s="210"/>
      <c r="L1304" s="210"/>
      <c r="M1304" s="210"/>
      <c r="N1304" s="210"/>
      <c r="O1304" s="210"/>
      <c r="P1304" s="210"/>
      <c r="Q1304" s="210"/>
      <c r="R1304" s="210"/>
      <c r="S1304" s="210"/>
      <c r="T1304" s="210"/>
      <c r="U1304" s="210"/>
      <c r="V1304" s="210"/>
      <c r="W1304" s="210"/>
      <c r="X1304" s="210"/>
      <c r="Y1304" s="210"/>
      <c r="Z1304" s="210"/>
    </row>
    <row r="1305" ht="21.75" customHeight="1">
      <c r="A1305" s="214"/>
      <c r="B1305" s="221"/>
      <c r="C1305" s="222">
        <v>202.0</v>
      </c>
      <c r="D1305" s="223" t="s">
        <v>253</v>
      </c>
      <c r="E1305" s="223" t="s">
        <v>487</v>
      </c>
      <c r="F1305" s="223" t="s">
        <v>590</v>
      </c>
      <c r="G1305" s="218" t="s">
        <v>490</v>
      </c>
      <c r="H1305" s="224" t="s">
        <v>490</v>
      </c>
      <c r="I1305" s="208"/>
      <c r="J1305" s="210"/>
      <c r="K1305" s="210"/>
      <c r="L1305" s="210"/>
      <c r="M1305" s="210"/>
      <c r="N1305" s="210"/>
      <c r="O1305" s="210"/>
      <c r="P1305" s="210"/>
      <c r="Q1305" s="210"/>
      <c r="R1305" s="210"/>
      <c r="S1305" s="210"/>
      <c r="T1305" s="210"/>
      <c r="U1305" s="210"/>
      <c r="V1305" s="210"/>
      <c r="W1305" s="210"/>
      <c r="X1305" s="210"/>
      <c r="Y1305" s="210"/>
      <c r="Z1305" s="210"/>
    </row>
    <row r="1306" ht="21.75" customHeight="1">
      <c r="A1306" s="214"/>
      <c r="B1306" s="221"/>
      <c r="C1306" s="222">
        <v>203.0</v>
      </c>
      <c r="D1306" s="223" t="s">
        <v>1000</v>
      </c>
      <c r="E1306" s="223" t="s">
        <v>487</v>
      </c>
      <c r="F1306" s="223" t="s">
        <v>603</v>
      </c>
      <c r="G1306" s="218" t="s">
        <v>490</v>
      </c>
      <c r="H1306" s="224" t="s">
        <v>490</v>
      </c>
      <c r="I1306" s="208"/>
      <c r="J1306" s="210"/>
      <c r="K1306" s="210"/>
      <c r="L1306" s="210"/>
      <c r="M1306" s="210"/>
      <c r="N1306" s="210"/>
      <c r="O1306" s="210"/>
      <c r="P1306" s="210"/>
      <c r="Q1306" s="210"/>
      <c r="R1306" s="210"/>
      <c r="S1306" s="210"/>
      <c r="T1306" s="210"/>
      <c r="U1306" s="210"/>
      <c r="V1306" s="210"/>
      <c r="W1306" s="210"/>
      <c r="X1306" s="210"/>
      <c r="Y1306" s="210"/>
      <c r="Z1306" s="210"/>
    </row>
    <row r="1307" ht="21.75" customHeight="1">
      <c r="A1307" s="214"/>
      <c r="B1307" s="221"/>
      <c r="C1307" s="222">
        <v>204.0</v>
      </c>
      <c r="D1307" s="223" t="s">
        <v>1419</v>
      </c>
      <c r="E1307" s="223" t="s">
        <v>487</v>
      </c>
      <c r="F1307" s="223" t="s">
        <v>579</v>
      </c>
      <c r="G1307" s="218" t="s">
        <v>490</v>
      </c>
      <c r="H1307" s="224" t="s">
        <v>490</v>
      </c>
      <c r="I1307" s="208"/>
      <c r="J1307" s="210"/>
      <c r="K1307" s="210"/>
      <c r="L1307" s="210"/>
      <c r="M1307" s="210"/>
      <c r="N1307" s="210"/>
      <c r="O1307" s="210"/>
      <c r="P1307" s="210"/>
      <c r="Q1307" s="210"/>
      <c r="R1307" s="210"/>
      <c r="S1307" s="210"/>
      <c r="T1307" s="210"/>
      <c r="U1307" s="210"/>
      <c r="V1307" s="210"/>
      <c r="W1307" s="210"/>
      <c r="X1307" s="210"/>
      <c r="Y1307" s="210"/>
      <c r="Z1307" s="210"/>
    </row>
    <row r="1308" ht="21.75" customHeight="1">
      <c r="A1308" s="214"/>
      <c r="B1308" s="221"/>
      <c r="C1308" s="222">
        <v>205.0</v>
      </c>
      <c r="D1308" s="223" t="s">
        <v>1420</v>
      </c>
      <c r="E1308" s="223" t="s">
        <v>487</v>
      </c>
      <c r="F1308" s="223" t="s">
        <v>583</v>
      </c>
      <c r="G1308" s="218" t="s">
        <v>490</v>
      </c>
      <c r="H1308" s="224" t="s">
        <v>490</v>
      </c>
      <c r="I1308" s="208"/>
      <c r="J1308" s="210"/>
      <c r="K1308" s="210"/>
      <c r="L1308" s="210"/>
      <c r="M1308" s="210"/>
      <c r="N1308" s="210"/>
      <c r="O1308" s="210"/>
      <c r="P1308" s="210"/>
      <c r="Q1308" s="210"/>
      <c r="R1308" s="210"/>
      <c r="S1308" s="210"/>
      <c r="T1308" s="210"/>
      <c r="U1308" s="210"/>
      <c r="V1308" s="210"/>
      <c r="W1308" s="210"/>
      <c r="X1308" s="210"/>
      <c r="Y1308" s="210"/>
      <c r="Z1308" s="210"/>
    </row>
    <row r="1309" ht="21.75" customHeight="1">
      <c r="A1309" s="214"/>
      <c r="B1309" s="221"/>
      <c r="C1309" s="222">
        <v>206.0</v>
      </c>
      <c r="D1309" s="223" t="s">
        <v>1545</v>
      </c>
      <c r="E1309" s="223" t="s">
        <v>487</v>
      </c>
      <c r="F1309" s="223" t="s">
        <v>601</v>
      </c>
      <c r="G1309" s="218" t="s">
        <v>490</v>
      </c>
      <c r="H1309" s="224" t="s">
        <v>490</v>
      </c>
      <c r="I1309" s="208"/>
      <c r="J1309" s="210"/>
      <c r="K1309" s="210"/>
      <c r="L1309" s="210"/>
      <c r="M1309" s="210"/>
      <c r="N1309" s="210"/>
      <c r="O1309" s="210"/>
      <c r="P1309" s="210"/>
      <c r="Q1309" s="210"/>
      <c r="R1309" s="210"/>
      <c r="S1309" s="210"/>
      <c r="T1309" s="210"/>
      <c r="U1309" s="210"/>
      <c r="V1309" s="210"/>
      <c r="W1309" s="210"/>
      <c r="X1309" s="210"/>
      <c r="Y1309" s="210"/>
      <c r="Z1309" s="210"/>
    </row>
    <row r="1310" ht="21.75" customHeight="1">
      <c r="A1310" s="214"/>
      <c r="B1310" s="221"/>
      <c r="C1310" s="222">
        <v>207.0</v>
      </c>
      <c r="D1310" s="223" t="s">
        <v>1546</v>
      </c>
      <c r="E1310" s="223" t="s">
        <v>487</v>
      </c>
      <c r="F1310" s="223" t="s">
        <v>560</v>
      </c>
      <c r="G1310" s="218" t="s">
        <v>490</v>
      </c>
      <c r="H1310" s="224" t="s">
        <v>490</v>
      </c>
      <c r="I1310" s="208"/>
      <c r="J1310" s="210"/>
      <c r="K1310" s="210"/>
      <c r="L1310" s="210"/>
      <c r="M1310" s="210"/>
      <c r="N1310" s="210"/>
      <c r="O1310" s="210"/>
      <c r="P1310" s="210"/>
      <c r="Q1310" s="210"/>
      <c r="R1310" s="210"/>
      <c r="S1310" s="210"/>
      <c r="T1310" s="210"/>
      <c r="U1310" s="210"/>
      <c r="V1310" s="210"/>
      <c r="W1310" s="210"/>
      <c r="X1310" s="210"/>
      <c r="Y1310" s="210"/>
      <c r="Z1310" s="210"/>
    </row>
    <row r="1311" ht="21.75" customHeight="1">
      <c r="A1311" s="214"/>
      <c r="B1311" s="221"/>
      <c r="C1311" s="222">
        <v>208.0</v>
      </c>
      <c r="D1311" s="223" t="s">
        <v>1479</v>
      </c>
      <c r="E1311" s="223" t="s">
        <v>487</v>
      </c>
      <c r="F1311" s="223" t="s">
        <v>613</v>
      </c>
      <c r="G1311" s="218" t="s">
        <v>490</v>
      </c>
      <c r="H1311" s="224" t="s">
        <v>490</v>
      </c>
      <c r="I1311" s="208"/>
      <c r="J1311" s="210"/>
      <c r="K1311" s="210"/>
      <c r="L1311" s="210"/>
      <c r="M1311" s="210"/>
      <c r="N1311" s="210"/>
      <c r="O1311" s="210"/>
      <c r="P1311" s="210"/>
      <c r="Q1311" s="210"/>
      <c r="R1311" s="210"/>
      <c r="S1311" s="210"/>
      <c r="T1311" s="210"/>
      <c r="U1311" s="210"/>
      <c r="V1311" s="210"/>
      <c r="W1311" s="210"/>
      <c r="X1311" s="210"/>
      <c r="Y1311" s="210"/>
      <c r="Z1311" s="210"/>
    </row>
    <row r="1312" ht="21.75" customHeight="1">
      <c r="A1312" s="214"/>
      <c r="B1312" s="221"/>
      <c r="C1312" s="222">
        <v>209.0</v>
      </c>
      <c r="D1312" s="223" t="s">
        <v>1547</v>
      </c>
      <c r="E1312" s="223" t="s">
        <v>529</v>
      </c>
      <c r="F1312" s="223" t="s">
        <v>530</v>
      </c>
      <c r="G1312" s="218" t="s">
        <v>490</v>
      </c>
      <c r="H1312" s="224" t="s">
        <v>490</v>
      </c>
      <c r="I1312" s="208"/>
      <c r="J1312" s="210"/>
      <c r="K1312" s="210"/>
      <c r="L1312" s="210"/>
      <c r="M1312" s="210"/>
      <c r="N1312" s="210"/>
      <c r="O1312" s="210"/>
      <c r="P1312" s="210"/>
      <c r="Q1312" s="210"/>
      <c r="R1312" s="210"/>
      <c r="S1312" s="210"/>
      <c r="T1312" s="210"/>
      <c r="U1312" s="210"/>
      <c r="V1312" s="210"/>
      <c r="W1312" s="210"/>
      <c r="X1312" s="210"/>
      <c r="Y1312" s="210"/>
      <c r="Z1312" s="210"/>
    </row>
    <row r="1313" ht="21.75" customHeight="1">
      <c r="A1313" s="214"/>
      <c r="B1313" s="217"/>
      <c r="C1313" s="222">
        <v>300.0</v>
      </c>
      <c r="D1313" s="215" t="s">
        <v>696</v>
      </c>
      <c r="E1313" s="215" t="s">
        <v>673</v>
      </c>
      <c r="F1313" s="215" t="s">
        <v>696</v>
      </c>
      <c r="G1313" s="234" t="s">
        <v>490</v>
      </c>
      <c r="H1313" s="224" t="s">
        <v>490</v>
      </c>
      <c r="I1313" s="208"/>
      <c r="J1313" s="210"/>
      <c r="K1313" s="210"/>
      <c r="L1313" s="210"/>
      <c r="M1313" s="210"/>
      <c r="N1313" s="210"/>
      <c r="O1313" s="210"/>
      <c r="P1313" s="210"/>
      <c r="Q1313" s="210"/>
      <c r="R1313" s="210"/>
      <c r="S1313" s="210"/>
      <c r="T1313" s="210"/>
      <c r="U1313" s="210"/>
      <c r="V1313" s="210"/>
      <c r="W1313" s="210"/>
      <c r="X1313" s="210"/>
      <c r="Y1313" s="210"/>
      <c r="Z1313" s="210"/>
    </row>
    <row r="1314" ht="21.75" customHeight="1">
      <c r="A1314" s="214"/>
      <c r="B1314" s="218" t="s">
        <v>1577</v>
      </c>
      <c r="C1314" s="226">
        <v>70013.0</v>
      </c>
      <c r="D1314" s="220"/>
      <c r="E1314" s="220"/>
      <c r="F1314" s="220"/>
      <c r="G1314" s="220"/>
      <c r="H1314" s="221"/>
      <c r="I1314" s="208"/>
      <c r="J1314" s="210"/>
      <c r="K1314" s="210"/>
      <c r="L1314" s="210"/>
      <c r="M1314" s="210"/>
      <c r="N1314" s="210"/>
      <c r="O1314" s="210"/>
      <c r="P1314" s="210"/>
      <c r="Q1314" s="210"/>
      <c r="R1314" s="210"/>
      <c r="S1314" s="210"/>
      <c r="T1314" s="210"/>
      <c r="U1314" s="210"/>
      <c r="V1314" s="210"/>
      <c r="W1314" s="210"/>
      <c r="X1314" s="210"/>
      <c r="Y1314" s="210"/>
      <c r="Z1314" s="210"/>
    </row>
    <row r="1315" ht="21.75" customHeight="1">
      <c r="A1315" s="214"/>
      <c r="B1315" s="221"/>
      <c r="C1315" s="222">
        <v>100.0</v>
      </c>
      <c r="D1315" s="223" t="s">
        <v>486</v>
      </c>
      <c r="E1315" s="223" t="s">
        <v>487</v>
      </c>
      <c r="F1315" s="223" t="s">
        <v>488</v>
      </c>
      <c r="G1315" s="223" t="s">
        <v>489</v>
      </c>
      <c r="H1315" s="224" t="s">
        <v>490</v>
      </c>
      <c r="I1315" s="208"/>
      <c r="J1315" s="210"/>
      <c r="K1315" s="210"/>
      <c r="L1315" s="210"/>
      <c r="M1315" s="210"/>
      <c r="N1315" s="210"/>
      <c r="O1315" s="210"/>
      <c r="P1315" s="210"/>
      <c r="Q1315" s="210"/>
      <c r="R1315" s="210"/>
      <c r="S1315" s="210"/>
      <c r="T1315" s="210"/>
      <c r="U1315" s="210"/>
      <c r="V1315" s="210"/>
      <c r="W1315" s="210"/>
      <c r="X1315" s="210"/>
      <c r="Y1315" s="210"/>
      <c r="Z1315" s="210"/>
    </row>
    <row r="1316" ht="21.75" customHeight="1">
      <c r="A1316" s="214"/>
      <c r="B1316" s="221"/>
      <c r="C1316" s="222">
        <v>101.0</v>
      </c>
      <c r="D1316" s="223" t="s">
        <v>491</v>
      </c>
      <c r="E1316" s="223" t="s">
        <v>487</v>
      </c>
      <c r="F1316" s="223" t="s">
        <v>492</v>
      </c>
      <c r="G1316" s="223" t="s">
        <v>678</v>
      </c>
      <c r="H1316" s="225" t="s">
        <v>1578</v>
      </c>
      <c r="I1316" s="208"/>
      <c r="J1316" s="210"/>
      <c r="K1316" s="210"/>
      <c r="L1316" s="210"/>
      <c r="M1316" s="210"/>
      <c r="N1316" s="210"/>
      <c r="O1316" s="210"/>
      <c r="P1316" s="210"/>
      <c r="Q1316" s="210"/>
      <c r="R1316" s="210"/>
      <c r="S1316" s="210"/>
      <c r="T1316" s="210"/>
      <c r="U1316" s="210"/>
      <c r="V1316" s="210"/>
      <c r="W1316" s="210"/>
      <c r="X1316" s="210"/>
      <c r="Y1316" s="210"/>
      <c r="Z1316" s="210"/>
    </row>
    <row r="1317" ht="21.75" customHeight="1">
      <c r="A1317" s="214"/>
      <c r="B1317" s="221"/>
      <c r="C1317" s="222">
        <v>102.0</v>
      </c>
      <c r="D1317" s="223" t="s">
        <v>1537</v>
      </c>
      <c r="E1317" s="223" t="s">
        <v>487</v>
      </c>
      <c r="F1317" s="223" t="s">
        <v>496</v>
      </c>
      <c r="G1317" s="223" t="s">
        <v>501</v>
      </c>
      <c r="H1317" s="224" t="s">
        <v>490</v>
      </c>
      <c r="I1317" s="208"/>
      <c r="J1317" s="210"/>
      <c r="K1317" s="210"/>
      <c r="L1317" s="210"/>
      <c r="M1317" s="210"/>
      <c r="N1317" s="210"/>
      <c r="O1317" s="210"/>
      <c r="P1317" s="210"/>
      <c r="Q1317" s="210"/>
      <c r="R1317" s="210"/>
      <c r="S1317" s="210"/>
      <c r="T1317" s="210"/>
      <c r="U1317" s="210"/>
      <c r="V1317" s="210"/>
      <c r="W1317" s="210"/>
      <c r="X1317" s="210"/>
      <c r="Y1317" s="210"/>
      <c r="Z1317" s="210"/>
    </row>
    <row r="1318" ht="21.75" customHeight="1">
      <c r="A1318" s="214"/>
      <c r="B1318" s="221"/>
      <c r="C1318" s="222">
        <v>103.0</v>
      </c>
      <c r="D1318" s="223" t="s">
        <v>1538</v>
      </c>
      <c r="E1318" s="223" t="s">
        <v>487</v>
      </c>
      <c r="F1318" s="223" t="s">
        <v>500</v>
      </c>
      <c r="G1318" s="223" t="s">
        <v>497</v>
      </c>
      <c r="H1318" s="225" t="s">
        <v>1579</v>
      </c>
      <c r="I1318" s="208"/>
      <c r="J1318" s="210"/>
      <c r="K1318" s="210"/>
      <c r="L1318" s="210"/>
      <c r="M1318" s="210"/>
      <c r="N1318" s="210"/>
      <c r="O1318" s="210"/>
      <c r="P1318" s="210"/>
      <c r="Q1318" s="210"/>
      <c r="R1318" s="210"/>
      <c r="S1318" s="210"/>
      <c r="T1318" s="210"/>
      <c r="U1318" s="210"/>
      <c r="V1318" s="210"/>
      <c r="W1318" s="210"/>
      <c r="X1318" s="210"/>
      <c r="Y1318" s="210"/>
      <c r="Z1318" s="210"/>
    </row>
    <row r="1319" ht="21.75" customHeight="1">
      <c r="A1319" s="214"/>
      <c r="B1319" s="221"/>
      <c r="C1319" s="222">
        <v>104.0</v>
      </c>
      <c r="D1319" s="223" t="s">
        <v>507</v>
      </c>
      <c r="E1319" s="223" t="s">
        <v>508</v>
      </c>
      <c r="F1319" s="223" t="s">
        <v>509</v>
      </c>
      <c r="G1319" s="223" t="s">
        <v>510</v>
      </c>
      <c r="H1319" s="225" t="s">
        <v>1540</v>
      </c>
      <c r="I1319" s="208"/>
      <c r="J1319" s="210"/>
      <c r="K1319" s="210"/>
      <c r="L1319" s="210"/>
      <c r="M1319" s="210"/>
      <c r="N1319" s="210"/>
      <c r="O1319" s="210"/>
      <c r="P1319" s="210"/>
      <c r="Q1319" s="210"/>
      <c r="R1319" s="210"/>
      <c r="S1319" s="210"/>
      <c r="T1319" s="210"/>
      <c r="U1319" s="210"/>
      <c r="V1319" s="210"/>
      <c r="W1319" s="210"/>
      <c r="X1319" s="210"/>
      <c r="Y1319" s="210"/>
      <c r="Z1319" s="210"/>
    </row>
    <row r="1320" ht="21.75" customHeight="1">
      <c r="A1320" s="214"/>
      <c r="B1320" s="221"/>
      <c r="C1320" s="222">
        <v>105.0</v>
      </c>
      <c r="D1320" s="223" t="s">
        <v>1541</v>
      </c>
      <c r="E1320" s="223" t="s">
        <v>487</v>
      </c>
      <c r="F1320" s="223" t="s">
        <v>1542</v>
      </c>
      <c r="G1320" s="218" t="s">
        <v>490</v>
      </c>
      <c r="H1320" s="224" t="s">
        <v>490</v>
      </c>
      <c r="I1320" s="208"/>
      <c r="J1320" s="210"/>
      <c r="K1320" s="210"/>
      <c r="L1320" s="210"/>
      <c r="M1320" s="210"/>
      <c r="N1320" s="210"/>
      <c r="O1320" s="210"/>
      <c r="P1320" s="210"/>
      <c r="Q1320" s="210"/>
      <c r="R1320" s="210"/>
      <c r="S1320" s="210"/>
      <c r="T1320" s="210"/>
      <c r="U1320" s="210"/>
      <c r="V1320" s="210"/>
      <c r="W1320" s="210"/>
      <c r="X1320" s="210"/>
      <c r="Y1320" s="210"/>
      <c r="Z1320" s="210"/>
    </row>
    <row r="1321" ht="21.75" customHeight="1">
      <c r="A1321" s="214"/>
      <c r="B1321" s="221"/>
      <c r="C1321" s="222">
        <v>200.0</v>
      </c>
      <c r="D1321" s="223" t="s">
        <v>1543</v>
      </c>
      <c r="E1321" s="223" t="s">
        <v>487</v>
      </c>
      <c r="F1321" s="223" t="s">
        <v>512</v>
      </c>
      <c r="G1321" s="218" t="s">
        <v>490</v>
      </c>
      <c r="H1321" s="224" t="s">
        <v>490</v>
      </c>
      <c r="I1321" s="208"/>
      <c r="J1321" s="210"/>
      <c r="K1321" s="210"/>
      <c r="L1321" s="210"/>
      <c r="M1321" s="210"/>
      <c r="N1321" s="210"/>
      <c r="O1321" s="210"/>
      <c r="P1321" s="210"/>
      <c r="Q1321" s="210"/>
      <c r="R1321" s="210"/>
      <c r="S1321" s="210"/>
      <c r="T1321" s="210"/>
      <c r="U1321" s="210"/>
      <c r="V1321" s="210"/>
      <c r="W1321" s="210"/>
      <c r="X1321" s="210"/>
      <c r="Y1321" s="210"/>
      <c r="Z1321" s="210"/>
    </row>
    <row r="1322" ht="21.75" customHeight="1">
      <c r="A1322" s="214"/>
      <c r="B1322" s="221"/>
      <c r="C1322" s="222">
        <v>201.0</v>
      </c>
      <c r="D1322" s="223" t="s">
        <v>1544</v>
      </c>
      <c r="E1322" s="223" t="s">
        <v>487</v>
      </c>
      <c r="F1322" s="223" t="s">
        <v>532</v>
      </c>
      <c r="G1322" s="218" t="s">
        <v>490</v>
      </c>
      <c r="H1322" s="224" t="s">
        <v>490</v>
      </c>
      <c r="I1322" s="208"/>
      <c r="J1322" s="210"/>
      <c r="K1322" s="210"/>
      <c r="L1322" s="210"/>
      <c r="M1322" s="210"/>
      <c r="N1322" s="210"/>
      <c r="O1322" s="210"/>
      <c r="P1322" s="210"/>
      <c r="Q1322" s="210"/>
      <c r="R1322" s="210"/>
      <c r="S1322" s="210"/>
      <c r="T1322" s="210"/>
      <c r="U1322" s="210"/>
      <c r="V1322" s="210"/>
      <c r="W1322" s="210"/>
      <c r="X1322" s="210"/>
      <c r="Y1322" s="210"/>
      <c r="Z1322" s="210"/>
    </row>
    <row r="1323" ht="21.75" customHeight="1">
      <c r="A1323" s="214"/>
      <c r="B1323" s="221"/>
      <c r="C1323" s="222">
        <v>202.0</v>
      </c>
      <c r="D1323" s="223" t="s">
        <v>253</v>
      </c>
      <c r="E1323" s="223" t="s">
        <v>487</v>
      </c>
      <c r="F1323" s="223" t="s">
        <v>590</v>
      </c>
      <c r="G1323" s="218" t="s">
        <v>490</v>
      </c>
      <c r="H1323" s="224" t="s">
        <v>490</v>
      </c>
      <c r="I1323" s="208"/>
      <c r="J1323" s="210"/>
      <c r="K1323" s="210"/>
      <c r="L1323" s="210"/>
      <c r="M1323" s="210"/>
      <c r="N1323" s="210"/>
      <c r="O1323" s="210"/>
      <c r="P1323" s="210"/>
      <c r="Q1323" s="210"/>
      <c r="R1323" s="210"/>
      <c r="S1323" s="210"/>
      <c r="T1323" s="210"/>
      <c r="U1323" s="210"/>
      <c r="V1323" s="210"/>
      <c r="W1323" s="210"/>
      <c r="X1323" s="210"/>
      <c r="Y1323" s="210"/>
      <c r="Z1323" s="210"/>
    </row>
    <row r="1324" ht="21.75" customHeight="1">
      <c r="A1324" s="214"/>
      <c r="B1324" s="221"/>
      <c r="C1324" s="222">
        <v>203.0</v>
      </c>
      <c r="D1324" s="223" t="s">
        <v>1000</v>
      </c>
      <c r="E1324" s="223" t="s">
        <v>487</v>
      </c>
      <c r="F1324" s="223" t="s">
        <v>603</v>
      </c>
      <c r="G1324" s="218" t="s">
        <v>490</v>
      </c>
      <c r="H1324" s="224" t="s">
        <v>490</v>
      </c>
      <c r="I1324" s="208"/>
      <c r="J1324" s="210"/>
      <c r="K1324" s="210"/>
      <c r="L1324" s="210"/>
      <c r="M1324" s="210"/>
      <c r="N1324" s="210"/>
      <c r="O1324" s="210"/>
      <c r="P1324" s="210"/>
      <c r="Q1324" s="210"/>
      <c r="R1324" s="210"/>
      <c r="S1324" s="210"/>
      <c r="T1324" s="210"/>
      <c r="U1324" s="210"/>
      <c r="V1324" s="210"/>
      <c r="W1324" s="210"/>
      <c r="X1324" s="210"/>
      <c r="Y1324" s="210"/>
      <c r="Z1324" s="210"/>
    </row>
    <row r="1325" ht="21.75" customHeight="1">
      <c r="A1325" s="214"/>
      <c r="B1325" s="221"/>
      <c r="C1325" s="222">
        <v>204.0</v>
      </c>
      <c r="D1325" s="223" t="s">
        <v>1419</v>
      </c>
      <c r="E1325" s="223" t="s">
        <v>487</v>
      </c>
      <c r="F1325" s="223" t="s">
        <v>579</v>
      </c>
      <c r="G1325" s="218" t="s">
        <v>490</v>
      </c>
      <c r="H1325" s="224" t="s">
        <v>490</v>
      </c>
      <c r="I1325" s="208"/>
      <c r="J1325" s="210"/>
      <c r="K1325" s="210"/>
      <c r="L1325" s="210"/>
      <c r="M1325" s="210"/>
      <c r="N1325" s="210"/>
      <c r="O1325" s="210"/>
      <c r="P1325" s="210"/>
      <c r="Q1325" s="210"/>
      <c r="R1325" s="210"/>
      <c r="S1325" s="210"/>
      <c r="T1325" s="210"/>
      <c r="U1325" s="210"/>
      <c r="V1325" s="210"/>
      <c r="W1325" s="210"/>
      <c r="X1325" s="210"/>
      <c r="Y1325" s="210"/>
      <c r="Z1325" s="210"/>
    </row>
    <row r="1326" ht="21.75" customHeight="1">
      <c r="A1326" s="214"/>
      <c r="B1326" s="221"/>
      <c r="C1326" s="222">
        <v>205.0</v>
      </c>
      <c r="D1326" s="223" t="s">
        <v>1420</v>
      </c>
      <c r="E1326" s="223" t="s">
        <v>487</v>
      </c>
      <c r="F1326" s="223" t="s">
        <v>583</v>
      </c>
      <c r="G1326" s="218" t="s">
        <v>490</v>
      </c>
      <c r="H1326" s="224" t="s">
        <v>490</v>
      </c>
      <c r="I1326" s="208"/>
      <c r="J1326" s="210"/>
      <c r="K1326" s="210"/>
      <c r="L1326" s="210"/>
      <c r="M1326" s="210"/>
      <c r="N1326" s="210"/>
      <c r="O1326" s="210"/>
      <c r="P1326" s="210"/>
      <c r="Q1326" s="210"/>
      <c r="R1326" s="210"/>
      <c r="S1326" s="210"/>
      <c r="T1326" s="210"/>
      <c r="U1326" s="210"/>
      <c r="V1326" s="210"/>
      <c r="W1326" s="210"/>
      <c r="X1326" s="210"/>
      <c r="Y1326" s="210"/>
      <c r="Z1326" s="210"/>
    </row>
    <row r="1327" ht="21.75" customHeight="1">
      <c r="A1327" s="214"/>
      <c r="B1327" s="221"/>
      <c r="C1327" s="222">
        <v>206.0</v>
      </c>
      <c r="D1327" s="223" t="s">
        <v>1545</v>
      </c>
      <c r="E1327" s="223" t="s">
        <v>487</v>
      </c>
      <c r="F1327" s="223" t="s">
        <v>601</v>
      </c>
      <c r="G1327" s="218" t="s">
        <v>490</v>
      </c>
      <c r="H1327" s="224" t="s">
        <v>490</v>
      </c>
      <c r="I1327" s="208"/>
      <c r="J1327" s="210"/>
      <c r="K1327" s="210"/>
      <c r="L1327" s="210"/>
      <c r="M1327" s="210"/>
      <c r="N1327" s="210"/>
      <c r="O1327" s="210"/>
      <c r="P1327" s="210"/>
      <c r="Q1327" s="210"/>
      <c r="R1327" s="210"/>
      <c r="S1327" s="210"/>
      <c r="T1327" s="210"/>
      <c r="U1327" s="210"/>
      <c r="V1327" s="210"/>
      <c r="W1327" s="210"/>
      <c r="X1327" s="210"/>
      <c r="Y1327" s="210"/>
      <c r="Z1327" s="210"/>
    </row>
    <row r="1328" ht="21.75" customHeight="1">
      <c r="A1328" s="214"/>
      <c r="B1328" s="221"/>
      <c r="C1328" s="222">
        <v>207.0</v>
      </c>
      <c r="D1328" s="223" t="s">
        <v>1546</v>
      </c>
      <c r="E1328" s="223" t="s">
        <v>487</v>
      </c>
      <c r="F1328" s="223" t="s">
        <v>560</v>
      </c>
      <c r="G1328" s="218" t="s">
        <v>490</v>
      </c>
      <c r="H1328" s="224" t="s">
        <v>490</v>
      </c>
      <c r="I1328" s="208"/>
      <c r="J1328" s="210"/>
      <c r="K1328" s="210"/>
      <c r="L1328" s="210"/>
      <c r="M1328" s="210"/>
      <c r="N1328" s="210"/>
      <c r="O1328" s="210"/>
      <c r="P1328" s="210"/>
      <c r="Q1328" s="210"/>
      <c r="R1328" s="210"/>
      <c r="S1328" s="210"/>
      <c r="T1328" s="210"/>
      <c r="U1328" s="210"/>
      <c r="V1328" s="210"/>
      <c r="W1328" s="210"/>
      <c r="X1328" s="210"/>
      <c r="Y1328" s="210"/>
      <c r="Z1328" s="210"/>
    </row>
    <row r="1329" ht="21.75" customHeight="1">
      <c r="A1329" s="214"/>
      <c r="B1329" s="221"/>
      <c r="C1329" s="222">
        <v>208.0</v>
      </c>
      <c r="D1329" s="223" t="s">
        <v>1479</v>
      </c>
      <c r="E1329" s="223" t="s">
        <v>487</v>
      </c>
      <c r="F1329" s="223" t="s">
        <v>613</v>
      </c>
      <c r="G1329" s="218" t="s">
        <v>490</v>
      </c>
      <c r="H1329" s="224" t="s">
        <v>490</v>
      </c>
      <c r="I1329" s="208"/>
      <c r="J1329" s="210"/>
      <c r="K1329" s="210"/>
      <c r="L1329" s="210"/>
      <c r="M1329" s="210"/>
      <c r="N1329" s="210"/>
      <c r="O1329" s="210"/>
      <c r="P1329" s="210"/>
      <c r="Q1329" s="210"/>
      <c r="R1329" s="210"/>
      <c r="S1329" s="210"/>
      <c r="T1329" s="210"/>
      <c r="U1329" s="210"/>
      <c r="V1329" s="210"/>
      <c r="W1329" s="210"/>
      <c r="X1329" s="210"/>
      <c r="Y1329" s="210"/>
      <c r="Z1329" s="210"/>
    </row>
    <row r="1330" ht="21.75" customHeight="1">
      <c r="A1330" s="214"/>
      <c r="B1330" s="221"/>
      <c r="C1330" s="222">
        <v>209.0</v>
      </c>
      <c r="D1330" s="223" t="s">
        <v>1547</v>
      </c>
      <c r="E1330" s="223" t="s">
        <v>529</v>
      </c>
      <c r="F1330" s="223" t="s">
        <v>530</v>
      </c>
      <c r="G1330" s="218" t="s">
        <v>490</v>
      </c>
      <c r="H1330" s="224" t="s">
        <v>490</v>
      </c>
      <c r="I1330" s="208"/>
      <c r="J1330" s="210"/>
      <c r="K1330" s="210"/>
      <c r="L1330" s="210"/>
      <c r="M1330" s="210"/>
      <c r="N1330" s="210"/>
      <c r="O1330" s="210"/>
      <c r="P1330" s="210"/>
      <c r="Q1330" s="210"/>
      <c r="R1330" s="210"/>
      <c r="S1330" s="210"/>
      <c r="T1330" s="210"/>
      <c r="U1330" s="210"/>
      <c r="V1330" s="210"/>
      <c r="W1330" s="210"/>
      <c r="X1330" s="210"/>
      <c r="Y1330" s="210"/>
      <c r="Z1330" s="210"/>
    </row>
    <row r="1331" ht="21.75" customHeight="1">
      <c r="A1331" s="214"/>
      <c r="B1331" s="217"/>
      <c r="C1331" s="222">
        <v>300.0</v>
      </c>
      <c r="D1331" s="215" t="s">
        <v>696</v>
      </c>
      <c r="E1331" s="215" t="s">
        <v>673</v>
      </c>
      <c r="F1331" s="215" t="s">
        <v>696</v>
      </c>
      <c r="G1331" s="234" t="s">
        <v>490</v>
      </c>
      <c r="H1331" s="224" t="s">
        <v>490</v>
      </c>
      <c r="I1331" s="208"/>
      <c r="J1331" s="210"/>
      <c r="K1331" s="210"/>
      <c r="L1331" s="210"/>
      <c r="M1331" s="210"/>
      <c r="N1331" s="210"/>
      <c r="O1331" s="210"/>
      <c r="P1331" s="210"/>
      <c r="Q1331" s="210"/>
      <c r="R1331" s="210"/>
      <c r="S1331" s="210"/>
      <c r="T1331" s="210"/>
      <c r="U1331" s="210"/>
      <c r="V1331" s="210"/>
      <c r="W1331" s="210"/>
      <c r="X1331" s="210"/>
      <c r="Y1331" s="210"/>
      <c r="Z1331" s="210"/>
    </row>
    <row r="1332" ht="21.75" customHeight="1">
      <c r="A1332" s="214"/>
      <c r="B1332" s="218" t="s">
        <v>1580</v>
      </c>
      <c r="C1332" s="226">
        <v>70050.0</v>
      </c>
      <c r="D1332" s="220"/>
      <c r="E1332" s="220"/>
      <c r="F1332" s="220"/>
      <c r="G1332" s="220"/>
      <c r="H1332" s="221"/>
      <c r="I1332" s="208"/>
      <c r="J1332" s="210"/>
      <c r="K1332" s="210"/>
      <c r="L1332" s="210"/>
      <c r="M1332" s="210"/>
      <c r="N1332" s="210"/>
      <c r="O1332" s="210"/>
      <c r="P1332" s="210"/>
      <c r="Q1332" s="210"/>
      <c r="R1332" s="210"/>
      <c r="S1332" s="210"/>
      <c r="T1332" s="210"/>
      <c r="U1332" s="210"/>
      <c r="V1332" s="210"/>
      <c r="W1332" s="210"/>
      <c r="X1332" s="210"/>
      <c r="Y1332" s="210"/>
      <c r="Z1332" s="210"/>
    </row>
    <row r="1333" ht="21.75" customHeight="1">
      <c r="A1333" s="214"/>
      <c r="B1333" s="221"/>
      <c r="C1333" s="222">
        <v>1.0</v>
      </c>
      <c r="D1333" s="223" t="s">
        <v>486</v>
      </c>
      <c r="E1333" s="223" t="s">
        <v>487</v>
      </c>
      <c r="F1333" s="223" t="s">
        <v>488</v>
      </c>
      <c r="G1333" s="223" t="s">
        <v>489</v>
      </c>
      <c r="H1333" s="224" t="s">
        <v>490</v>
      </c>
      <c r="I1333" s="208"/>
      <c r="J1333" s="210"/>
      <c r="K1333" s="210"/>
      <c r="L1333" s="210"/>
      <c r="M1333" s="210"/>
      <c r="N1333" s="210"/>
      <c r="O1333" s="210"/>
      <c r="P1333" s="210"/>
      <c r="Q1333" s="210"/>
      <c r="R1333" s="210"/>
      <c r="S1333" s="210"/>
      <c r="T1333" s="210"/>
      <c r="U1333" s="210"/>
      <c r="V1333" s="210"/>
      <c r="W1333" s="210"/>
      <c r="X1333" s="210"/>
      <c r="Y1333" s="210"/>
      <c r="Z1333" s="210"/>
    </row>
    <row r="1334" ht="21.75" customHeight="1">
      <c r="A1334" s="214"/>
      <c r="B1334" s="221"/>
      <c r="C1334" s="222">
        <v>2.0</v>
      </c>
      <c r="D1334" s="223" t="s">
        <v>491</v>
      </c>
      <c r="E1334" s="223" t="s">
        <v>487</v>
      </c>
      <c r="F1334" s="223" t="s">
        <v>492</v>
      </c>
      <c r="G1334" s="223" t="s">
        <v>678</v>
      </c>
      <c r="H1334" s="225" t="s">
        <v>1581</v>
      </c>
      <c r="I1334" s="208"/>
      <c r="J1334" s="210"/>
      <c r="K1334" s="210"/>
      <c r="L1334" s="210"/>
      <c r="M1334" s="210"/>
      <c r="N1334" s="210"/>
      <c r="O1334" s="210"/>
      <c r="P1334" s="210"/>
      <c r="Q1334" s="210"/>
      <c r="R1334" s="210"/>
      <c r="S1334" s="210"/>
      <c r="T1334" s="210"/>
      <c r="U1334" s="210"/>
      <c r="V1334" s="210"/>
      <c r="W1334" s="210"/>
      <c r="X1334" s="210"/>
      <c r="Y1334" s="210"/>
      <c r="Z1334" s="210"/>
    </row>
    <row r="1335" ht="21.75" customHeight="1">
      <c r="A1335" s="214"/>
      <c r="B1335" s="221"/>
      <c r="C1335" s="222">
        <v>3.0</v>
      </c>
      <c r="D1335" s="223" t="s">
        <v>1537</v>
      </c>
      <c r="E1335" s="223" t="s">
        <v>487</v>
      </c>
      <c r="F1335" s="223" t="s">
        <v>496</v>
      </c>
      <c r="G1335" s="223" t="s">
        <v>501</v>
      </c>
      <c r="H1335" s="224" t="s">
        <v>490</v>
      </c>
      <c r="I1335" s="208"/>
      <c r="J1335" s="210"/>
      <c r="K1335" s="210"/>
      <c r="L1335" s="210"/>
      <c r="M1335" s="210"/>
      <c r="N1335" s="210"/>
      <c r="O1335" s="210"/>
      <c r="P1335" s="210"/>
      <c r="Q1335" s="210"/>
      <c r="R1335" s="210"/>
      <c r="S1335" s="210"/>
      <c r="T1335" s="210"/>
      <c r="U1335" s="210"/>
      <c r="V1335" s="210"/>
      <c r="W1335" s="210"/>
      <c r="X1335" s="210"/>
      <c r="Y1335" s="210"/>
      <c r="Z1335" s="210"/>
    </row>
    <row r="1336" ht="21.75" customHeight="1">
      <c r="A1336" s="214"/>
      <c r="B1336" s="221"/>
      <c r="C1336" s="222">
        <v>4.0</v>
      </c>
      <c r="D1336" s="223" t="s">
        <v>1538</v>
      </c>
      <c r="E1336" s="223" t="s">
        <v>487</v>
      </c>
      <c r="F1336" s="223" t="s">
        <v>500</v>
      </c>
      <c r="G1336" s="223" t="s">
        <v>497</v>
      </c>
      <c r="H1336" s="225" t="s">
        <v>1557</v>
      </c>
      <c r="I1336" s="208"/>
      <c r="J1336" s="210"/>
      <c r="K1336" s="210"/>
      <c r="L1336" s="210"/>
      <c r="M1336" s="210"/>
      <c r="N1336" s="210"/>
      <c r="O1336" s="210"/>
      <c r="P1336" s="210"/>
      <c r="Q1336" s="210"/>
      <c r="R1336" s="210"/>
      <c r="S1336" s="210"/>
      <c r="T1336" s="210"/>
      <c r="U1336" s="210"/>
      <c r="V1336" s="210"/>
      <c r="W1336" s="210"/>
      <c r="X1336" s="210"/>
      <c r="Y1336" s="210"/>
      <c r="Z1336" s="210"/>
    </row>
    <row r="1337" ht="21.75" customHeight="1">
      <c r="A1337" s="214"/>
      <c r="B1337" s="221"/>
      <c r="C1337" s="222">
        <v>5.0</v>
      </c>
      <c r="D1337" s="223" t="s">
        <v>507</v>
      </c>
      <c r="E1337" s="223" t="s">
        <v>508</v>
      </c>
      <c r="F1337" s="223" t="s">
        <v>509</v>
      </c>
      <c r="G1337" s="223" t="s">
        <v>510</v>
      </c>
      <c r="H1337" s="225" t="s">
        <v>1558</v>
      </c>
      <c r="I1337" s="208"/>
      <c r="J1337" s="210"/>
      <c r="K1337" s="210"/>
      <c r="L1337" s="210"/>
      <c r="M1337" s="210"/>
      <c r="N1337" s="210"/>
      <c r="O1337" s="210"/>
      <c r="P1337" s="210"/>
      <c r="Q1337" s="210"/>
      <c r="R1337" s="210"/>
      <c r="S1337" s="210"/>
      <c r="T1337" s="210"/>
      <c r="U1337" s="210"/>
      <c r="V1337" s="210"/>
      <c r="W1337" s="210"/>
      <c r="X1337" s="210"/>
      <c r="Y1337" s="210"/>
      <c r="Z1337" s="210"/>
    </row>
    <row r="1338" ht="21.75" customHeight="1">
      <c r="A1338" s="214"/>
      <c r="B1338" s="221"/>
      <c r="C1338" s="222">
        <v>105.0</v>
      </c>
      <c r="D1338" s="223" t="s">
        <v>1541</v>
      </c>
      <c r="E1338" s="223" t="s">
        <v>487</v>
      </c>
      <c r="F1338" s="223" t="s">
        <v>1542</v>
      </c>
      <c r="G1338" s="218" t="s">
        <v>490</v>
      </c>
      <c r="H1338" s="224" t="s">
        <v>490</v>
      </c>
      <c r="I1338" s="208"/>
      <c r="J1338" s="210"/>
      <c r="K1338" s="210"/>
      <c r="L1338" s="210"/>
      <c r="M1338" s="210"/>
      <c r="N1338" s="210"/>
      <c r="O1338" s="210"/>
      <c r="P1338" s="210"/>
      <c r="Q1338" s="210"/>
      <c r="R1338" s="210"/>
      <c r="S1338" s="210"/>
      <c r="T1338" s="210"/>
      <c r="U1338" s="210"/>
      <c r="V1338" s="210"/>
      <c r="W1338" s="210"/>
      <c r="X1338" s="210"/>
      <c r="Y1338" s="210"/>
      <c r="Z1338" s="210"/>
    </row>
    <row r="1339" ht="21.75" customHeight="1">
      <c r="A1339" s="214"/>
      <c r="B1339" s="221"/>
      <c r="C1339" s="222">
        <v>200.0</v>
      </c>
      <c r="D1339" s="223" t="s">
        <v>1543</v>
      </c>
      <c r="E1339" s="223" t="s">
        <v>487</v>
      </c>
      <c r="F1339" s="223" t="s">
        <v>512</v>
      </c>
      <c r="G1339" s="218" t="s">
        <v>490</v>
      </c>
      <c r="H1339" s="224" t="s">
        <v>490</v>
      </c>
      <c r="I1339" s="208"/>
      <c r="J1339" s="210"/>
      <c r="K1339" s="210"/>
      <c r="L1339" s="210"/>
      <c r="M1339" s="210"/>
      <c r="N1339" s="210"/>
      <c r="O1339" s="210"/>
      <c r="P1339" s="210"/>
      <c r="Q1339" s="210"/>
      <c r="R1339" s="210"/>
      <c r="S1339" s="210"/>
      <c r="T1339" s="210"/>
      <c r="U1339" s="210"/>
      <c r="V1339" s="210"/>
      <c r="W1339" s="210"/>
      <c r="X1339" s="210"/>
      <c r="Y1339" s="210"/>
      <c r="Z1339" s="210"/>
    </row>
    <row r="1340" ht="21.75" customHeight="1">
      <c r="A1340" s="214"/>
      <c r="B1340" s="221"/>
      <c r="C1340" s="222">
        <v>201.0</v>
      </c>
      <c r="D1340" s="223" t="s">
        <v>1544</v>
      </c>
      <c r="E1340" s="223" t="s">
        <v>487</v>
      </c>
      <c r="F1340" s="223" t="s">
        <v>532</v>
      </c>
      <c r="G1340" s="218" t="s">
        <v>490</v>
      </c>
      <c r="H1340" s="224" t="s">
        <v>490</v>
      </c>
      <c r="I1340" s="208"/>
      <c r="J1340" s="210"/>
      <c r="K1340" s="210"/>
      <c r="L1340" s="210"/>
      <c r="M1340" s="210"/>
      <c r="N1340" s="210"/>
      <c r="O1340" s="210"/>
      <c r="P1340" s="210"/>
      <c r="Q1340" s="210"/>
      <c r="R1340" s="210"/>
      <c r="S1340" s="210"/>
      <c r="T1340" s="210"/>
      <c r="U1340" s="210"/>
      <c r="V1340" s="210"/>
      <c r="W1340" s="210"/>
      <c r="X1340" s="210"/>
      <c r="Y1340" s="210"/>
      <c r="Z1340" s="210"/>
    </row>
    <row r="1341" ht="21.75" customHeight="1">
      <c r="A1341" s="214"/>
      <c r="B1341" s="221"/>
      <c r="C1341" s="222">
        <v>202.0</v>
      </c>
      <c r="D1341" s="223" t="s">
        <v>253</v>
      </c>
      <c r="E1341" s="223" t="s">
        <v>487</v>
      </c>
      <c r="F1341" s="223" t="s">
        <v>590</v>
      </c>
      <c r="G1341" s="218" t="s">
        <v>490</v>
      </c>
      <c r="H1341" s="224" t="s">
        <v>490</v>
      </c>
      <c r="I1341" s="208"/>
      <c r="J1341" s="210"/>
      <c r="K1341" s="210"/>
      <c r="L1341" s="210"/>
      <c r="M1341" s="210"/>
      <c r="N1341" s="210"/>
      <c r="O1341" s="210"/>
      <c r="P1341" s="210"/>
      <c r="Q1341" s="210"/>
      <c r="R1341" s="210"/>
      <c r="S1341" s="210"/>
      <c r="T1341" s="210"/>
      <c r="U1341" s="210"/>
      <c r="V1341" s="210"/>
      <c r="W1341" s="210"/>
      <c r="X1341" s="210"/>
      <c r="Y1341" s="210"/>
      <c r="Z1341" s="210"/>
    </row>
    <row r="1342" ht="21.75" customHeight="1">
      <c r="A1342" s="214"/>
      <c r="B1342" s="221"/>
      <c r="C1342" s="222">
        <v>203.0</v>
      </c>
      <c r="D1342" s="223" t="s">
        <v>1000</v>
      </c>
      <c r="E1342" s="223" t="s">
        <v>487</v>
      </c>
      <c r="F1342" s="223" t="s">
        <v>603</v>
      </c>
      <c r="G1342" s="218" t="s">
        <v>490</v>
      </c>
      <c r="H1342" s="224" t="s">
        <v>490</v>
      </c>
      <c r="I1342" s="208"/>
      <c r="J1342" s="210"/>
      <c r="K1342" s="210"/>
      <c r="L1342" s="210"/>
      <c r="M1342" s="210"/>
      <c r="N1342" s="210"/>
      <c r="O1342" s="210"/>
      <c r="P1342" s="210"/>
      <c r="Q1342" s="210"/>
      <c r="R1342" s="210"/>
      <c r="S1342" s="210"/>
      <c r="T1342" s="210"/>
      <c r="U1342" s="210"/>
      <c r="V1342" s="210"/>
      <c r="W1342" s="210"/>
      <c r="X1342" s="210"/>
      <c r="Y1342" s="210"/>
      <c r="Z1342" s="210"/>
    </row>
    <row r="1343" ht="21.75" customHeight="1">
      <c r="A1343" s="214"/>
      <c r="B1343" s="221"/>
      <c r="C1343" s="222">
        <v>204.0</v>
      </c>
      <c r="D1343" s="223" t="s">
        <v>1419</v>
      </c>
      <c r="E1343" s="223" t="s">
        <v>487</v>
      </c>
      <c r="F1343" s="223" t="s">
        <v>579</v>
      </c>
      <c r="G1343" s="218" t="s">
        <v>490</v>
      </c>
      <c r="H1343" s="224" t="s">
        <v>490</v>
      </c>
      <c r="I1343" s="208"/>
      <c r="J1343" s="210"/>
      <c r="K1343" s="210"/>
      <c r="L1343" s="210"/>
      <c r="M1343" s="210"/>
      <c r="N1343" s="210"/>
      <c r="O1343" s="210"/>
      <c r="P1343" s="210"/>
      <c r="Q1343" s="210"/>
      <c r="R1343" s="210"/>
      <c r="S1343" s="210"/>
      <c r="T1343" s="210"/>
      <c r="U1343" s="210"/>
      <c r="V1343" s="210"/>
      <c r="W1343" s="210"/>
      <c r="X1343" s="210"/>
      <c r="Y1343" s="210"/>
      <c r="Z1343" s="210"/>
    </row>
    <row r="1344" ht="21.75" customHeight="1">
      <c r="A1344" s="214"/>
      <c r="B1344" s="221"/>
      <c r="C1344" s="222">
        <v>205.0</v>
      </c>
      <c r="D1344" s="223" t="s">
        <v>1420</v>
      </c>
      <c r="E1344" s="223" t="s">
        <v>487</v>
      </c>
      <c r="F1344" s="223" t="s">
        <v>583</v>
      </c>
      <c r="G1344" s="218" t="s">
        <v>490</v>
      </c>
      <c r="H1344" s="224" t="s">
        <v>490</v>
      </c>
      <c r="I1344" s="208"/>
      <c r="J1344" s="210"/>
      <c r="K1344" s="210"/>
      <c r="L1344" s="210"/>
      <c r="M1344" s="210"/>
      <c r="N1344" s="210"/>
      <c r="O1344" s="210"/>
      <c r="P1344" s="210"/>
      <c r="Q1344" s="210"/>
      <c r="R1344" s="210"/>
      <c r="S1344" s="210"/>
      <c r="T1344" s="210"/>
      <c r="U1344" s="210"/>
      <c r="V1344" s="210"/>
      <c r="W1344" s="210"/>
      <c r="X1344" s="210"/>
      <c r="Y1344" s="210"/>
      <c r="Z1344" s="210"/>
    </row>
    <row r="1345" ht="21.75" customHeight="1">
      <c r="A1345" s="214"/>
      <c r="B1345" s="221"/>
      <c r="C1345" s="222">
        <v>206.0</v>
      </c>
      <c r="D1345" s="223" t="s">
        <v>1545</v>
      </c>
      <c r="E1345" s="223" t="s">
        <v>487</v>
      </c>
      <c r="F1345" s="223" t="s">
        <v>601</v>
      </c>
      <c r="G1345" s="218" t="s">
        <v>490</v>
      </c>
      <c r="H1345" s="224" t="s">
        <v>490</v>
      </c>
      <c r="I1345" s="208"/>
      <c r="J1345" s="210"/>
      <c r="K1345" s="210"/>
      <c r="L1345" s="210"/>
      <c r="M1345" s="210"/>
      <c r="N1345" s="210"/>
      <c r="O1345" s="210"/>
      <c r="P1345" s="210"/>
      <c r="Q1345" s="210"/>
      <c r="R1345" s="210"/>
      <c r="S1345" s="210"/>
      <c r="T1345" s="210"/>
      <c r="U1345" s="210"/>
      <c r="V1345" s="210"/>
      <c r="W1345" s="210"/>
      <c r="X1345" s="210"/>
      <c r="Y1345" s="210"/>
      <c r="Z1345" s="210"/>
    </row>
    <row r="1346" ht="21.75" customHeight="1">
      <c r="A1346" s="214"/>
      <c r="B1346" s="221"/>
      <c r="C1346" s="222">
        <v>207.0</v>
      </c>
      <c r="D1346" s="223" t="s">
        <v>1546</v>
      </c>
      <c r="E1346" s="223" t="s">
        <v>487</v>
      </c>
      <c r="F1346" s="223" t="s">
        <v>560</v>
      </c>
      <c r="G1346" s="218" t="s">
        <v>490</v>
      </c>
      <c r="H1346" s="224" t="s">
        <v>490</v>
      </c>
      <c r="I1346" s="208"/>
      <c r="J1346" s="210"/>
      <c r="K1346" s="210"/>
      <c r="L1346" s="210"/>
      <c r="M1346" s="210"/>
      <c r="N1346" s="210"/>
      <c r="O1346" s="210"/>
      <c r="P1346" s="210"/>
      <c r="Q1346" s="210"/>
      <c r="R1346" s="210"/>
      <c r="S1346" s="210"/>
      <c r="T1346" s="210"/>
      <c r="U1346" s="210"/>
      <c r="V1346" s="210"/>
      <c r="W1346" s="210"/>
      <c r="X1346" s="210"/>
      <c r="Y1346" s="210"/>
      <c r="Z1346" s="210"/>
    </row>
    <row r="1347" ht="21.75" customHeight="1">
      <c r="A1347" s="214"/>
      <c r="B1347" s="221"/>
      <c r="C1347" s="222">
        <v>208.0</v>
      </c>
      <c r="D1347" s="223" t="s">
        <v>1479</v>
      </c>
      <c r="E1347" s="223" t="s">
        <v>487</v>
      </c>
      <c r="F1347" s="223" t="s">
        <v>613</v>
      </c>
      <c r="G1347" s="218" t="s">
        <v>490</v>
      </c>
      <c r="H1347" s="224" t="s">
        <v>490</v>
      </c>
      <c r="I1347" s="208"/>
      <c r="J1347" s="210"/>
      <c r="K1347" s="210"/>
      <c r="L1347" s="210"/>
      <c r="M1347" s="210"/>
      <c r="N1347" s="210"/>
      <c r="O1347" s="210"/>
      <c r="P1347" s="210"/>
      <c r="Q1347" s="210"/>
      <c r="R1347" s="210"/>
      <c r="S1347" s="210"/>
      <c r="T1347" s="210"/>
      <c r="U1347" s="210"/>
      <c r="V1347" s="210"/>
      <c r="W1347" s="210"/>
      <c r="X1347" s="210"/>
      <c r="Y1347" s="210"/>
      <c r="Z1347" s="210"/>
    </row>
    <row r="1348" ht="21.75" customHeight="1">
      <c r="A1348" s="214"/>
      <c r="B1348" s="221"/>
      <c r="C1348" s="222">
        <v>209.0</v>
      </c>
      <c r="D1348" s="223" t="s">
        <v>1547</v>
      </c>
      <c r="E1348" s="223" t="s">
        <v>529</v>
      </c>
      <c r="F1348" s="223" t="s">
        <v>530</v>
      </c>
      <c r="G1348" s="218" t="s">
        <v>490</v>
      </c>
      <c r="H1348" s="224" t="s">
        <v>490</v>
      </c>
      <c r="I1348" s="208"/>
      <c r="J1348" s="210"/>
      <c r="K1348" s="210"/>
      <c r="L1348" s="210"/>
      <c r="M1348" s="210"/>
      <c r="N1348" s="210"/>
      <c r="O1348" s="210"/>
      <c r="P1348" s="210"/>
      <c r="Q1348" s="210"/>
      <c r="R1348" s="210"/>
      <c r="S1348" s="210"/>
      <c r="T1348" s="210"/>
      <c r="U1348" s="210"/>
      <c r="V1348" s="210"/>
      <c r="W1348" s="210"/>
      <c r="X1348" s="210"/>
      <c r="Y1348" s="210"/>
      <c r="Z1348" s="210"/>
    </row>
    <row r="1349" ht="21.75" customHeight="1">
      <c r="A1349" s="214"/>
      <c r="B1349" s="217"/>
      <c r="C1349" s="222">
        <v>300.0</v>
      </c>
      <c r="D1349" s="215" t="s">
        <v>696</v>
      </c>
      <c r="E1349" s="215" t="s">
        <v>673</v>
      </c>
      <c r="F1349" s="215" t="s">
        <v>696</v>
      </c>
      <c r="G1349" s="234" t="s">
        <v>490</v>
      </c>
      <c r="H1349" s="224" t="s">
        <v>490</v>
      </c>
      <c r="I1349" s="208"/>
      <c r="J1349" s="210"/>
      <c r="K1349" s="210"/>
      <c r="L1349" s="210"/>
      <c r="M1349" s="210"/>
      <c r="N1349" s="210"/>
      <c r="O1349" s="210"/>
      <c r="P1349" s="210"/>
      <c r="Q1349" s="210"/>
      <c r="R1349" s="210"/>
      <c r="S1349" s="210"/>
      <c r="T1349" s="210"/>
      <c r="U1349" s="210"/>
      <c r="V1349" s="210"/>
      <c r="W1349" s="210"/>
      <c r="X1349" s="210"/>
      <c r="Y1349" s="210"/>
      <c r="Z1349" s="210"/>
    </row>
    <row r="1350" ht="21.75" customHeight="1">
      <c r="A1350" s="214"/>
      <c r="B1350" s="218" t="s">
        <v>1582</v>
      </c>
      <c r="C1350" s="226">
        <v>70049.0</v>
      </c>
      <c r="D1350" s="220"/>
      <c r="E1350" s="220"/>
      <c r="F1350" s="220"/>
      <c r="G1350" s="220"/>
      <c r="H1350" s="221"/>
      <c r="I1350" s="208"/>
      <c r="J1350" s="210"/>
      <c r="K1350" s="210"/>
      <c r="L1350" s="210"/>
      <c r="M1350" s="210"/>
      <c r="N1350" s="210"/>
      <c r="O1350" s="210"/>
      <c r="P1350" s="210"/>
      <c r="Q1350" s="210"/>
      <c r="R1350" s="210"/>
      <c r="S1350" s="210"/>
      <c r="T1350" s="210"/>
      <c r="U1350" s="210"/>
      <c r="V1350" s="210"/>
      <c r="W1350" s="210"/>
      <c r="X1350" s="210"/>
      <c r="Y1350" s="210"/>
      <c r="Z1350" s="210"/>
    </row>
    <row r="1351" ht="21.75" customHeight="1">
      <c r="A1351" s="214"/>
      <c r="B1351" s="221"/>
      <c r="C1351" s="222">
        <v>1.0</v>
      </c>
      <c r="D1351" s="223" t="s">
        <v>486</v>
      </c>
      <c r="E1351" s="223" t="s">
        <v>487</v>
      </c>
      <c r="F1351" s="223" t="s">
        <v>488</v>
      </c>
      <c r="G1351" s="223" t="s">
        <v>489</v>
      </c>
      <c r="H1351" s="224" t="s">
        <v>490</v>
      </c>
      <c r="I1351" s="208"/>
      <c r="J1351" s="210"/>
      <c r="K1351" s="210"/>
      <c r="L1351" s="210"/>
      <c r="M1351" s="210"/>
      <c r="N1351" s="210"/>
      <c r="O1351" s="210"/>
      <c r="P1351" s="210"/>
      <c r="Q1351" s="210"/>
      <c r="R1351" s="210"/>
      <c r="S1351" s="210"/>
      <c r="T1351" s="210"/>
      <c r="U1351" s="210"/>
      <c r="V1351" s="210"/>
      <c r="W1351" s="210"/>
      <c r="X1351" s="210"/>
      <c r="Y1351" s="210"/>
      <c r="Z1351" s="210"/>
    </row>
    <row r="1352" ht="21.75" customHeight="1">
      <c r="A1352" s="214"/>
      <c r="B1352" s="221"/>
      <c r="C1352" s="222">
        <v>2.0</v>
      </c>
      <c r="D1352" s="223" t="s">
        <v>491</v>
      </c>
      <c r="E1352" s="223" t="s">
        <v>487</v>
      </c>
      <c r="F1352" s="223" t="s">
        <v>492</v>
      </c>
      <c r="G1352" s="223" t="s">
        <v>678</v>
      </c>
      <c r="H1352" s="225" t="s">
        <v>1583</v>
      </c>
      <c r="I1352" s="208"/>
      <c r="J1352" s="210"/>
      <c r="K1352" s="210"/>
      <c r="L1352" s="210"/>
      <c r="M1352" s="210"/>
      <c r="N1352" s="210"/>
      <c r="O1352" s="210"/>
      <c r="P1352" s="210"/>
      <c r="Q1352" s="210"/>
      <c r="R1352" s="210"/>
      <c r="S1352" s="210"/>
      <c r="T1352" s="210"/>
      <c r="U1352" s="210"/>
      <c r="V1352" s="210"/>
      <c r="W1352" s="210"/>
      <c r="X1352" s="210"/>
      <c r="Y1352" s="210"/>
      <c r="Z1352" s="210"/>
    </row>
    <row r="1353" ht="21.75" customHeight="1">
      <c r="A1353" s="214"/>
      <c r="B1353" s="221"/>
      <c r="C1353" s="222">
        <v>3.0</v>
      </c>
      <c r="D1353" s="223" t="s">
        <v>1537</v>
      </c>
      <c r="E1353" s="223" t="s">
        <v>487</v>
      </c>
      <c r="F1353" s="223" t="s">
        <v>496</v>
      </c>
      <c r="G1353" s="223" t="s">
        <v>501</v>
      </c>
      <c r="H1353" s="224" t="s">
        <v>490</v>
      </c>
      <c r="I1353" s="208"/>
      <c r="J1353" s="210"/>
      <c r="K1353" s="210"/>
      <c r="L1353" s="210"/>
      <c r="M1353" s="210"/>
      <c r="N1353" s="210"/>
      <c r="O1353" s="210"/>
      <c r="P1353" s="210"/>
      <c r="Q1353" s="210"/>
      <c r="R1353" s="210"/>
      <c r="S1353" s="210"/>
      <c r="T1353" s="210"/>
      <c r="U1353" s="210"/>
      <c r="V1353" s="210"/>
      <c r="W1353" s="210"/>
      <c r="X1353" s="210"/>
      <c r="Y1353" s="210"/>
      <c r="Z1353" s="210"/>
    </row>
    <row r="1354" ht="21.75" customHeight="1">
      <c r="A1354" s="214"/>
      <c r="B1354" s="221"/>
      <c r="C1354" s="222">
        <v>4.0</v>
      </c>
      <c r="D1354" s="223" t="s">
        <v>1538</v>
      </c>
      <c r="E1354" s="223" t="s">
        <v>487</v>
      </c>
      <c r="F1354" s="223" t="s">
        <v>500</v>
      </c>
      <c r="G1354" s="223" t="s">
        <v>497</v>
      </c>
      <c r="H1354" s="225" t="s">
        <v>1557</v>
      </c>
      <c r="I1354" s="208"/>
      <c r="J1354" s="210"/>
      <c r="K1354" s="210"/>
      <c r="L1354" s="210"/>
      <c r="M1354" s="210"/>
      <c r="N1354" s="210"/>
      <c r="O1354" s="210"/>
      <c r="P1354" s="210"/>
      <c r="Q1354" s="210"/>
      <c r="R1354" s="210"/>
      <c r="S1354" s="210"/>
      <c r="T1354" s="210"/>
      <c r="U1354" s="210"/>
      <c r="V1354" s="210"/>
      <c r="W1354" s="210"/>
      <c r="X1354" s="210"/>
      <c r="Y1354" s="210"/>
      <c r="Z1354" s="210"/>
    </row>
    <row r="1355" ht="21.75" customHeight="1">
      <c r="A1355" s="214"/>
      <c r="B1355" s="221"/>
      <c r="C1355" s="222">
        <v>5.0</v>
      </c>
      <c r="D1355" s="223" t="s">
        <v>507</v>
      </c>
      <c r="E1355" s="223" t="s">
        <v>508</v>
      </c>
      <c r="F1355" s="223" t="s">
        <v>509</v>
      </c>
      <c r="G1355" s="223" t="s">
        <v>510</v>
      </c>
      <c r="H1355" s="225" t="s">
        <v>1558</v>
      </c>
      <c r="I1355" s="208"/>
      <c r="J1355" s="210"/>
      <c r="K1355" s="210"/>
      <c r="L1355" s="210"/>
      <c r="M1355" s="210"/>
      <c r="N1355" s="210"/>
      <c r="O1355" s="210"/>
      <c r="P1355" s="210"/>
      <c r="Q1355" s="210"/>
      <c r="R1355" s="210"/>
      <c r="S1355" s="210"/>
      <c r="T1355" s="210"/>
      <c r="U1355" s="210"/>
      <c r="V1355" s="210"/>
      <c r="W1355" s="210"/>
      <c r="X1355" s="210"/>
      <c r="Y1355" s="210"/>
      <c r="Z1355" s="210"/>
    </row>
    <row r="1356" ht="21.75" customHeight="1">
      <c r="A1356" s="214"/>
      <c r="B1356" s="221"/>
      <c r="C1356" s="222">
        <v>105.0</v>
      </c>
      <c r="D1356" s="223" t="s">
        <v>1541</v>
      </c>
      <c r="E1356" s="223" t="s">
        <v>487</v>
      </c>
      <c r="F1356" s="223" t="s">
        <v>1542</v>
      </c>
      <c r="G1356" s="218" t="s">
        <v>490</v>
      </c>
      <c r="H1356" s="224" t="s">
        <v>490</v>
      </c>
      <c r="I1356" s="208"/>
      <c r="J1356" s="210"/>
      <c r="K1356" s="210"/>
      <c r="L1356" s="210"/>
      <c r="M1356" s="210"/>
      <c r="N1356" s="210"/>
      <c r="O1356" s="210"/>
      <c r="P1356" s="210"/>
      <c r="Q1356" s="210"/>
      <c r="R1356" s="210"/>
      <c r="S1356" s="210"/>
      <c r="T1356" s="210"/>
      <c r="U1356" s="210"/>
      <c r="V1356" s="210"/>
      <c r="W1356" s="210"/>
      <c r="X1356" s="210"/>
      <c r="Y1356" s="210"/>
      <c r="Z1356" s="210"/>
    </row>
    <row r="1357" ht="21.75" customHeight="1">
      <c r="A1357" s="214"/>
      <c r="B1357" s="221"/>
      <c r="C1357" s="222">
        <v>200.0</v>
      </c>
      <c r="D1357" s="223" t="s">
        <v>1543</v>
      </c>
      <c r="E1357" s="223" t="s">
        <v>487</v>
      </c>
      <c r="F1357" s="223" t="s">
        <v>512</v>
      </c>
      <c r="G1357" s="218" t="s">
        <v>490</v>
      </c>
      <c r="H1357" s="224" t="s">
        <v>490</v>
      </c>
      <c r="I1357" s="208"/>
      <c r="J1357" s="210"/>
      <c r="K1357" s="210"/>
      <c r="L1357" s="210"/>
      <c r="M1357" s="210"/>
      <c r="N1357" s="210"/>
      <c r="O1357" s="210"/>
      <c r="P1357" s="210"/>
      <c r="Q1357" s="210"/>
      <c r="R1357" s="210"/>
      <c r="S1357" s="210"/>
      <c r="T1357" s="210"/>
      <c r="U1357" s="210"/>
      <c r="V1357" s="210"/>
      <c r="W1357" s="210"/>
      <c r="X1357" s="210"/>
      <c r="Y1357" s="210"/>
      <c r="Z1357" s="210"/>
    </row>
    <row r="1358" ht="21.75" customHeight="1">
      <c r="A1358" s="214"/>
      <c r="B1358" s="221"/>
      <c r="C1358" s="222">
        <v>201.0</v>
      </c>
      <c r="D1358" s="223" t="s">
        <v>1544</v>
      </c>
      <c r="E1358" s="223" t="s">
        <v>487</v>
      </c>
      <c r="F1358" s="223" t="s">
        <v>532</v>
      </c>
      <c r="G1358" s="218" t="s">
        <v>490</v>
      </c>
      <c r="H1358" s="224" t="s">
        <v>490</v>
      </c>
      <c r="I1358" s="208"/>
      <c r="J1358" s="210"/>
      <c r="K1358" s="210"/>
      <c r="L1358" s="210"/>
      <c r="M1358" s="210"/>
      <c r="N1358" s="210"/>
      <c r="O1358" s="210"/>
      <c r="P1358" s="210"/>
      <c r="Q1358" s="210"/>
      <c r="R1358" s="210"/>
      <c r="S1358" s="210"/>
      <c r="T1358" s="210"/>
      <c r="U1358" s="210"/>
      <c r="V1358" s="210"/>
      <c r="W1358" s="210"/>
      <c r="X1358" s="210"/>
      <c r="Y1358" s="210"/>
      <c r="Z1358" s="210"/>
    </row>
    <row r="1359" ht="21.75" customHeight="1">
      <c r="A1359" s="214"/>
      <c r="B1359" s="221"/>
      <c r="C1359" s="222">
        <v>202.0</v>
      </c>
      <c r="D1359" s="223" t="s">
        <v>253</v>
      </c>
      <c r="E1359" s="223" t="s">
        <v>487</v>
      </c>
      <c r="F1359" s="223" t="s">
        <v>590</v>
      </c>
      <c r="G1359" s="218" t="s">
        <v>490</v>
      </c>
      <c r="H1359" s="224" t="s">
        <v>490</v>
      </c>
      <c r="I1359" s="208"/>
      <c r="J1359" s="210"/>
      <c r="K1359" s="210"/>
      <c r="L1359" s="210"/>
      <c r="M1359" s="210"/>
      <c r="N1359" s="210"/>
      <c r="O1359" s="210"/>
      <c r="P1359" s="210"/>
      <c r="Q1359" s="210"/>
      <c r="R1359" s="210"/>
      <c r="S1359" s="210"/>
      <c r="T1359" s="210"/>
      <c r="U1359" s="210"/>
      <c r="V1359" s="210"/>
      <c r="W1359" s="210"/>
      <c r="X1359" s="210"/>
      <c r="Y1359" s="210"/>
      <c r="Z1359" s="210"/>
    </row>
    <row r="1360" ht="21.75" customHeight="1">
      <c r="A1360" s="214"/>
      <c r="B1360" s="221"/>
      <c r="C1360" s="222">
        <v>203.0</v>
      </c>
      <c r="D1360" s="223" t="s">
        <v>1000</v>
      </c>
      <c r="E1360" s="223" t="s">
        <v>487</v>
      </c>
      <c r="F1360" s="223" t="s">
        <v>603</v>
      </c>
      <c r="G1360" s="218" t="s">
        <v>490</v>
      </c>
      <c r="H1360" s="224" t="s">
        <v>490</v>
      </c>
      <c r="I1360" s="208"/>
      <c r="J1360" s="210"/>
      <c r="K1360" s="210"/>
      <c r="L1360" s="210"/>
      <c r="M1360" s="210"/>
      <c r="N1360" s="210"/>
      <c r="O1360" s="210"/>
      <c r="P1360" s="210"/>
      <c r="Q1360" s="210"/>
      <c r="R1360" s="210"/>
      <c r="S1360" s="210"/>
      <c r="T1360" s="210"/>
      <c r="U1360" s="210"/>
      <c r="V1360" s="210"/>
      <c r="W1360" s="210"/>
      <c r="X1360" s="210"/>
      <c r="Y1360" s="210"/>
      <c r="Z1360" s="210"/>
    </row>
    <row r="1361" ht="21.75" customHeight="1">
      <c r="A1361" s="214"/>
      <c r="B1361" s="221"/>
      <c r="C1361" s="222">
        <v>204.0</v>
      </c>
      <c r="D1361" s="223" t="s">
        <v>1419</v>
      </c>
      <c r="E1361" s="223" t="s">
        <v>487</v>
      </c>
      <c r="F1361" s="223" t="s">
        <v>579</v>
      </c>
      <c r="G1361" s="218" t="s">
        <v>490</v>
      </c>
      <c r="H1361" s="224" t="s">
        <v>490</v>
      </c>
      <c r="I1361" s="208"/>
      <c r="J1361" s="210"/>
      <c r="K1361" s="210"/>
      <c r="L1361" s="210"/>
      <c r="M1361" s="210"/>
      <c r="N1361" s="210"/>
      <c r="O1361" s="210"/>
      <c r="P1361" s="210"/>
      <c r="Q1361" s="210"/>
      <c r="R1361" s="210"/>
      <c r="S1361" s="210"/>
      <c r="T1361" s="210"/>
      <c r="U1361" s="210"/>
      <c r="V1361" s="210"/>
      <c r="W1361" s="210"/>
      <c r="X1361" s="210"/>
      <c r="Y1361" s="210"/>
      <c r="Z1361" s="210"/>
    </row>
    <row r="1362" ht="21.75" customHeight="1">
      <c r="A1362" s="214"/>
      <c r="B1362" s="221"/>
      <c r="C1362" s="222">
        <v>205.0</v>
      </c>
      <c r="D1362" s="223" t="s">
        <v>1420</v>
      </c>
      <c r="E1362" s="223" t="s">
        <v>487</v>
      </c>
      <c r="F1362" s="223" t="s">
        <v>583</v>
      </c>
      <c r="G1362" s="218" t="s">
        <v>490</v>
      </c>
      <c r="H1362" s="224" t="s">
        <v>490</v>
      </c>
      <c r="I1362" s="208"/>
      <c r="J1362" s="210"/>
      <c r="K1362" s="210"/>
      <c r="L1362" s="210"/>
      <c r="M1362" s="210"/>
      <c r="N1362" s="210"/>
      <c r="O1362" s="210"/>
      <c r="P1362" s="210"/>
      <c r="Q1362" s="210"/>
      <c r="R1362" s="210"/>
      <c r="S1362" s="210"/>
      <c r="T1362" s="210"/>
      <c r="U1362" s="210"/>
      <c r="V1362" s="210"/>
      <c r="W1362" s="210"/>
      <c r="X1362" s="210"/>
      <c r="Y1362" s="210"/>
      <c r="Z1362" s="210"/>
    </row>
    <row r="1363" ht="21.75" customHeight="1">
      <c r="A1363" s="214"/>
      <c r="B1363" s="221"/>
      <c r="C1363" s="222">
        <v>206.0</v>
      </c>
      <c r="D1363" s="223" t="s">
        <v>1545</v>
      </c>
      <c r="E1363" s="223" t="s">
        <v>487</v>
      </c>
      <c r="F1363" s="223" t="s">
        <v>601</v>
      </c>
      <c r="G1363" s="218" t="s">
        <v>490</v>
      </c>
      <c r="H1363" s="224" t="s">
        <v>490</v>
      </c>
      <c r="I1363" s="208"/>
      <c r="J1363" s="210"/>
      <c r="K1363" s="210"/>
      <c r="L1363" s="210"/>
      <c r="M1363" s="210"/>
      <c r="N1363" s="210"/>
      <c r="O1363" s="210"/>
      <c r="P1363" s="210"/>
      <c r="Q1363" s="210"/>
      <c r="R1363" s="210"/>
      <c r="S1363" s="210"/>
      <c r="T1363" s="210"/>
      <c r="U1363" s="210"/>
      <c r="V1363" s="210"/>
      <c r="W1363" s="210"/>
      <c r="X1363" s="210"/>
      <c r="Y1363" s="210"/>
      <c r="Z1363" s="210"/>
    </row>
    <row r="1364" ht="21.75" customHeight="1">
      <c r="A1364" s="214"/>
      <c r="B1364" s="221"/>
      <c r="C1364" s="222">
        <v>207.0</v>
      </c>
      <c r="D1364" s="223" t="s">
        <v>1546</v>
      </c>
      <c r="E1364" s="223" t="s">
        <v>487</v>
      </c>
      <c r="F1364" s="223" t="s">
        <v>560</v>
      </c>
      <c r="G1364" s="218" t="s">
        <v>490</v>
      </c>
      <c r="H1364" s="224" t="s">
        <v>490</v>
      </c>
      <c r="I1364" s="208"/>
      <c r="J1364" s="210"/>
      <c r="K1364" s="210"/>
      <c r="L1364" s="210"/>
      <c r="M1364" s="210"/>
      <c r="N1364" s="210"/>
      <c r="O1364" s="210"/>
      <c r="P1364" s="210"/>
      <c r="Q1364" s="210"/>
      <c r="R1364" s="210"/>
      <c r="S1364" s="210"/>
      <c r="T1364" s="210"/>
      <c r="U1364" s="210"/>
      <c r="V1364" s="210"/>
      <c r="W1364" s="210"/>
      <c r="X1364" s="210"/>
      <c r="Y1364" s="210"/>
      <c r="Z1364" s="210"/>
    </row>
    <row r="1365" ht="21.75" customHeight="1">
      <c r="A1365" s="214"/>
      <c r="B1365" s="221"/>
      <c r="C1365" s="222">
        <v>208.0</v>
      </c>
      <c r="D1365" s="223" t="s">
        <v>1479</v>
      </c>
      <c r="E1365" s="223" t="s">
        <v>487</v>
      </c>
      <c r="F1365" s="223" t="s">
        <v>613</v>
      </c>
      <c r="G1365" s="218" t="s">
        <v>490</v>
      </c>
      <c r="H1365" s="224" t="s">
        <v>490</v>
      </c>
      <c r="I1365" s="208"/>
      <c r="J1365" s="210"/>
      <c r="K1365" s="210"/>
      <c r="L1365" s="210"/>
      <c r="M1365" s="210"/>
      <c r="N1365" s="210"/>
      <c r="O1365" s="210"/>
      <c r="P1365" s="210"/>
      <c r="Q1365" s="210"/>
      <c r="R1365" s="210"/>
      <c r="S1365" s="210"/>
      <c r="T1365" s="210"/>
      <c r="U1365" s="210"/>
      <c r="V1365" s="210"/>
      <c r="W1365" s="210"/>
      <c r="X1365" s="210"/>
      <c r="Y1365" s="210"/>
      <c r="Z1365" s="210"/>
    </row>
    <row r="1366" ht="21.75" customHeight="1">
      <c r="A1366" s="214"/>
      <c r="B1366" s="221"/>
      <c r="C1366" s="222">
        <v>209.0</v>
      </c>
      <c r="D1366" s="223" t="s">
        <v>1547</v>
      </c>
      <c r="E1366" s="223" t="s">
        <v>529</v>
      </c>
      <c r="F1366" s="223" t="s">
        <v>530</v>
      </c>
      <c r="G1366" s="218" t="s">
        <v>490</v>
      </c>
      <c r="H1366" s="224" t="s">
        <v>490</v>
      </c>
      <c r="I1366" s="208"/>
      <c r="J1366" s="210"/>
      <c r="K1366" s="210"/>
      <c r="L1366" s="210"/>
      <c r="M1366" s="210"/>
      <c r="N1366" s="210"/>
      <c r="O1366" s="210"/>
      <c r="P1366" s="210"/>
      <c r="Q1366" s="210"/>
      <c r="R1366" s="210"/>
      <c r="S1366" s="210"/>
      <c r="T1366" s="210"/>
      <c r="U1366" s="210"/>
      <c r="V1366" s="210"/>
      <c r="W1366" s="210"/>
      <c r="X1366" s="210"/>
      <c r="Y1366" s="210"/>
      <c r="Z1366" s="210"/>
    </row>
    <row r="1367" ht="21.75" customHeight="1">
      <c r="A1367" s="214"/>
      <c r="B1367" s="217"/>
      <c r="C1367" s="222">
        <v>300.0</v>
      </c>
      <c r="D1367" s="215" t="s">
        <v>696</v>
      </c>
      <c r="E1367" s="215" t="s">
        <v>673</v>
      </c>
      <c r="F1367" s="215" t="s">
        <v>696</v>
      </c>
      <c r="G1367" s="234" t="s">
        <v>490</v>
      </c>
      <c r="H1367" s="224" t="s">
        <v>490</v>
      </c>
      <c r="I1367" s="208"/>
      <c r="J1367" s="210"/>
      <c r="K1367" s="210"/>
      <c r="L1367" s="210"/>
      <c r="M1367" s="210"/>
      <c r="N1367" s="210"/>
      <c r="O1367" s="210"/>
      <c r="P1367" s="210"/>
      <c r="Q1367" s="210"/>
      <c r="R1367" s="210"/>
      <c r="S1367" s="210"/>
      <c r="T1367" s="210"/>
      <c r="U1367" s="210"/>
      <c r="V1367" s="210"/>
      <c r="W1367" s="210"/>
      <c r="X1367" s="210"/>
      <c r="Y1367" s="210"/>
      <c r="Z1367" s="210"/>
    </row>
    <row r="1368" ht="21.75" customHeight="1">
      <c r="A1368" s="214"/>
      <c r="B1368" s="218" t="s">
        <v>1584</v>
      </c>
      <c r="C1368" s="226">
        <v>70040.0</v>
      </c>
      <c r="D1368" s="220"/>
      <c r="E1368" s="220"/>
      <c r="F1368" s="220"/>
      <c r="G1368" s="220"/>
      <c r="H1368" s="221"/>
      <c r="I1368" s="208"/>
      <c r="J1368" s="210"/>
      <c r="K1368" s="210"/>
      <c r="L1368" s="210"/>
      <c r="M1368" s="210"/>
      <c r="N1368" s="210"/>
      <c r="O1368" s="210"/>
      <c r="P1368" s="210"/>
      <c r="Q1368" s="210"/>
      <c r="R1368" s="210"/>
      <c r="S1368" s="210"/>
      <c r="T1368" s="210"/>
      <c r="U1368" s="210"/>
      <c r="V1368" s="210"/>
      <c r="W1368" s="210"/>
      <c r="X1368" s="210"/>
      <c r="Y1368" s="210"/>
      <c r="Z1368" s="210"/>
    </row>
    <row r="1369" ht="21.75" customHeight="1">
      <c r="A1369" s="214"/>
      <c r="B1369" s="221"/>
      <c r="C1369" s="222">
        <v>100.0</v>
      </c>
      <c r="D1369" s="223" t="s">
        <v>486</v>
      </c>
      <c r="E1369" s="223" t="s">
        <v>487</v>
      </c>
      <c r="F1369" s="223" t="s">
        <v>488</v>
      </c>
      <c r="G1369" s="223" t="s">
        <v>489</v>
      </c>
      <c r="H1369" s="224" t="s">
        <v>490</v>
      </c>
      <c r="I1369" s="208"/>
      <c r="J1369" s="210"/>
      <c r="K1369" s="210"/>
      <c r="L1369" s="210"/>
      <c r="M1369" s="210"/>
      <c r="N1369" s="210"/>
      <c r="O1369" s="210"/>
      <c r="P1369" s="210"/>
      <c r="Q1369" s="210"/>
      <c r="R1369" s="210"/>
      <c r="S1369" s="210"/>
      <c r="T1369" s="210"/>
      <c r="U1369" s="210"/>
      <c r="V1369" s="210"/>
      <c r="W1369" s="210"/>
      <c r="X1369" s="210"/>
      <c r="Y1369" s="210"/>
      <c r="Z1369" s="210"/>
    </row>
    <row r="1370" ht="21.75" customHeight="1">
      <c r="A1370" s="214"/>
      <c r="B1370" s="221"/>
      <c r="C1370" s="222">
        <v>101.0</v>
      </c>
      <c r="D1370" s="223" t="s">
        <v>491</v>
      </c>
      <c r="E1370" s="223" t="s">
        <v>487</v>
      </c>
      <c r="F1370" s="223" t="s">
        <v>492</v>
      </c>
      <c r="G1370" s="223" t="s">
        <v>678</v>
      </c>
      <c r="H1370" s="225" t="s">
        <v>1585</v>
      </c>
      <c r="I1370" s="208"/>
      <c r="J1370" s="210"/>
      <c r="K1370" s="210"/>
      <c r="L1370" s="210"/>
      <c r="M1370" s="210"/>
      <c r="N1370" s="210"/>
      <c r="O1370" s="210"/>
      <c r="P1370" s="210"/>
      <c r="Q1370" s="210"/>
      <c r="R1370" s="210"/>
      <c r="S1370" s="210"/>
      <c r="T1370" s="210"/>
      <c r="U1370" s="210"/>
      <c r="V1370" s="210"/>
      <c r="W1370" s="210"/>
      <c r="X1370" s="210"/>
      <c r="Y1370" s="210"/>
      <c r="Z1370" s="210"/>
    </row>
    <row r="1371" ht="21.75" customHeight="1">
      <c r="A1371" s="214"/>
      <c r="B1371" s="221"/>
      <c r="C1371" s="222">
        <v>102.0</v>
      </c>
      <c r="D1371" s="223" t="s">
        <v>1537</v>
      </c>
      <c r="E1371" s="223" t="s">
        <v>487</v>
      </c>
      <c r="F1371" s="223" t="s">
        <v>496</v>
      </c>
      <c r="G1371" s="223" t="s">
        <v>501</v>
      </c>
      <c r="H1371" s="224" t="s">
        <v>490</v>
      </c>
      <c r="I1371" s="208"/>
      <c r="J1371" s="210"/>
      <c r="K1371" s="210"/>
      <c r="L1371" s="210"/>
      <c r="M1371" s="210"/>
      <c r="N1371" s="210"/>
      <c r="O1371" s="210"/>
      <c r="P1371" s="210"/>
      <c r="Q1371" s="210"/>
      <c r="R1371" s="210"/>
      <c r="S1371" s="210"/>
      <c r="T1371" s="210"/>
      <c r="U1371" s="210"/>
      <c r="V1371" s="210"/>
      <c r="W1371" s="210"/>
      <c r="X1371" s="210"/>
      <c r="Y1371" s="210"/>
      <c r="Z1371" s="210"/>
    </row>
    <row r="1372" ht="21.75" customHeight="1">
      <c r="A1372" s="214"/>
      <c r="B1372" s="221"/>
      <c r="C1372" s="222">
        <v>103.0</v>
      </c>
      <c r="D1372" s="223" t="s">
        <v>1538</v>
      </c>
      <c r="E1372" s="223" t="s">
        <v>487</v>
      </c>
      <c r="F1372" s="223" t="s">
        <v>500</v>
      </c>
      <c r="G1372" s="223" t="s">
        <v>497</v>
      </c>
      <c r="H1372" s="225" t="s">
        <v>1586</v>
      </c>
      <c r="I1372" s="208"/>
      <c r="J1372" s="210"/>
      <c r="K1372" s="210"/>
      <c r="L1372" s="210"/>
      <c r="M1372" s="210"/>
      <c r="N1372" s="210"/>
      <c r="O1372" s="210"/>
      <c r="P1372" s="210"/>
      <c r="Q1372" s="210"/>
      <c r="R1372" s="210"/>
      <c r="S1372" s="210"/>
      <c r="T1372" s="210"/>
      <c r="U1372" s="210"/>
      <c r="V1372" s="210"/>
      <c r="W1372" s="210"/>
      <c r="X1372" s="210"/>
      <c r="Y1372" s="210"/>
      <c r="Z1372" s="210"/>
    </row>
    <row r="1373" ht="21.75" customHeight="1">
      <c r="A1373" s="214"/>
      <c r="B1373" s="221"/>
      <c r="C1373" s="222">
        <v>104.0</v>
      </c>
      <c r="D1373" s="223" t="s">
        <v>507</v>
      </c>
      <c r="E1373" s="223" t="s">
        <v>508</v>
      </c>
      <c r="F1373" s="223" t="s">
        <v>509</v>
      </c>
      <c r="G1373" s="223" t="s">
        <v>510</v>
      </c>
      <c r="H1373" s="225" t="s">
        <v>1540</v>
      </c>
      <c r="I1373" s="208"/>
      <c r="J1373" s="210"/>
      <c r="K1373" s="210"/>
      <c r="L1373" s="210"/>
      <c r="M1373" s="210"/>
      <c r="N1373" s="210"/>
      <c r="O1373" s="210"/>
      <c r="P1373" s="210"/>
      <c r="Q1373" s="210"/>
      <c r="R1373" s="210"/>
      <c r="S1373" s="210"/>
      <c r="T1373" s="210"/>
      <c r="U1373" s="210"/>
      <c r="V1373" s="210"/>
      <c r="W1373" s="210"/>
      <c r="X1373" s="210"/>
      <c r="Y1373" s="210"/>
      <c r="Z1373" s="210"/>
    </row>
    <row r="1374" ht="21.75" customHeight="1">
      <c r="A1374" s="214"/>
      <c r="B1374" s="221"/>
      <c r="C1374" s="222">
        <v>105.0</v>
      </c>
      <c r="D1374" s="223" t="s">
        <v>1541</v>
      </c>
      <c r="E1374" s="223" t="s">
        <v>487</v>
      </c>
      <c r="F1374" s="223" t="s">
        <v>1542</v>
      </c>
      <c r="G1374" s="218" t="s">
        <v>490</v>
      </c>
      <c r="H1374" s="224" t="s">
        <v>490</v>
      </c>
      <c r="I1374" s="208"/>
      <c r="J1374" s="210"/>
      <c r="K1374" s="210"/>
      <c r="L1374" s="210"/>
      <c r="M1374" s="210"/>
      <c r="N1374" s="210"/>
      <c r="O1374" s="210"/>
      <c r="P1374" s="210"/>
      <c r="Q1374" s="210"/>
      <c r="R1374" s="210"/>
      <c r="S1374" s="210"/>
      <c r="T1374" s="210"/>
      <c r="U1374" s="210"/>
      <c r="V1374" s="210"/>
      <c r="W1374" s="210"/>
      <c r="X1374" s="210"/>
      <c r="Y1374" s="210"/>
      <c r="Z1374" s="210"/>
    </row>
    <row r="1375" ht="21.75" customHeight="1">
      <c r="A1375" s="214"/>
      <c r="B1375" s="221"/>
      <c r="C1375" s="222">
        <v>200.0</v>
      </c>
      <c r="D1375" s="223" t="s">
        <v>1543</v>
      </c>
      <c r="E1375" s="223" t="s">
        <v>487</v>
      </c>
      <c r="F1375" s="223" t="s">
        <v>512</v>
      </c>
      <c r="G1375" s="218" t="s">
        <v>490</v>
      </c>
      <c r="H1375" s="224" t="s">
        <v>490</v>
      </c>
      <c r="I1375" s="208"/>
      <c r="J1375" s="210"/>
      <c r="K1375" s="210"/>
      <c r="L1375" s="210"/>
      <c r="M1375" s="210"/>
      <c r="N1375" s="210"/>
      <c r="O1375" s="210"/>
      <c r="P1375" s="210"/>
      <c r="Q1375" s="210"/>
      <c r="R1375" s="210"/>
      <c r="S1375" s="210"/>
      <c r="T1375" s="210"/>
      <c r="U1375" s="210"/>
      <c r="V1375" s="210"/>
      <c r="W1375" s="210"/>
      <c r="X1375" s="210"/>
      <c r="Y1375" s="210"/>
      <c r="Z1375" s="210"/>
    </row>
    <row r="1376" ht="21.75" customHeight="1">
      <c r="A1376" s="214"/>
      <c r="B1376" s="221"/>
      <c r="C1376" s="222">
        <v>201.0</v>
      </c>
      <c r="D1376" s="223" t="s">
        <v>1544</v>
      </c>
      <c r="E1376" s="223" t="s">
        <v>487</v>
      </c>
      <c r="F1376" s="223" t="s">
        <v>532</v>
      </c>
      <c r="G1376" s="223" t="s">
        <v>594</v>
      </c>
      <c r="H1376" s="224" t="s">
        <v>490</v>
      </c>
      <c r="I1376" s="208"/>
      <c r="J1376" s="210"/>
      <c r="K1376" s="210"/>
      <c r="L1376" s="210"/>
      <c r="M1376" s="210"/>
      <c r="N1376" s="210"/>
      <c r="O1376" s="210"/>
      <c r="P1376" s="210"/>
      <c r="Q1376" s="210"/>
      <c r="R1376" s="210"/>
      <c r="S1376" s="210"/>
      <c r="T1376" s="210"/>
      <c r="U1376" s="210"/>
      <c r="V1376" s="210"/>
      <c r="W1376" s="210"/>
      <c r="X1376" s="210"/>
      <c r="Y1376" s="210"/>
      <c r="Z1376" s="210"/>
    </row>
    <row r="1377" ht="21.75" customHeight="1">
      <c r="A1377" s="214"/>
      <c r="B1377" s="221"/>
      <c r="C1377" s="222">
        <v>202.0</v>
      </c>
      <c r="D1377" s="223" t="s">
        <v>253</v>
      </c>
      <c r="E1377" s="223" t="s">
        <v>487</v>
      </c>
      <c r="F1377" s="223" t="s">
        <v>590</v>
      </c>
      <c r="G1377" s="218" t="s">
        <v>490</v>
      </c>
      <c r="H1377" s="224" t="s">
        <v>490</v>
      </c>
      <c r="I1377" s="208"/>
      <c r="J1377" s="210"/>
      <c r="K1377" s="210"/>
      <c r="L1377" s="210"/>
      <c r="M1377" s="210"/>
      <c r="N1377" s="210"/>
      <c r="O1377" s="210"/>
      <c r="P1377" s="210"/>
      <c r="Q1377" s="210"/>
      <c r="R1377" s="210"/>
      <c r="S1377" s="210"/>
      <c r="T1377" s="210"/>
      <c r="U1377" s="210"/>
      <c r="V1377" s="210"/>
      <c r="W1377" s="210"/>
      <c r="X1377" s="210"/>
      <c r="Y1377" s="210"/>
      <c r="Z1377" s="210"/>
    </row>
    <row r="1378" ht="21.75" customHeight="1">
      <c r="A1378" s="214"/>
      <c r="B1378" s="221"/>
      <c r="C1378" s="222">
        <v>203.0</v>
      </c>
      <c r="D1378" s="223" t="s">
        <v>1000</v>
      </c>
      <c r="E1378" s="223" t="s">
        <v>487</v>
      </c>
      <c r="F1378" s="223" t="s">
        <v>603</v>
      </c>
      <c r="G1378" s="218" t="s">
        <v>490</v>
      </c>
      <c r="H1378" s="224" t="s">
        <v>490</v>
      </c>
      <c r="I1378" s="208"/>
      <c r="J1378" s="210"/>
      <c r="K1378" s="210"/>
      <c r="L1378" s="210"/>
      <c r="M1378" s="210"/>
      <c r="N1378" s="210"/>
      <c r="O1378" s="210"/>
      <c r="P1378" s="210"/>
      <c r="Q1378" s="210"/>
      <c r="R1378" s="210"/>
      <c r="S1378" s="210"/>
      <c r="T1378" s="210"/>
      <c r="U1378" s="210"/>
      <c r="V1378" s="210"/>
      <c r="W1378" s="210"/>
      <c r="X1378" s="210"/>
      <c r="Y1378" s="210"/>
      <c r="Z1378" s="210"/>
    </row>
    <row r="1379" ht="21.75" customHeight="1">
      <c r="A1379" s="214"/>
      <c r="B1379" s="221"/>
      <c r="C1379" s="222">
        <v>204.0</v>
      </c>
      <c r="D1379" s="223" t="s">
        <v>1419</v>
      </c>
      <c r="E1379" s="223" t="s">
        <v>487</v>
      </c>
      <c r="F1379" s="223" t="s">
        <v>579</v>
      </c>
      <c r="G1379" s="218" t="s">
        <v>490</v>
      </c>
      <c r="H1379" s="224" t="s">
        <v>490</v>
      </c>
      <c r="I1379" s="208"/>
      <c r="J1379" s="210"/>
      <c r="K1379" s="210"/>
      <c r="L1379" s="210"/>
      <c r="M1379" s="210"/>
      <c r="N1379" s="210"/>
      <c r="O1379" s="210"/>
      <c r="P1379" s="210"/>
      <c r="Q1379" s="210"/>
      <c r="R1379" s="210"/>
      <c r="S1379" s="210"/>
      <c r="T1379" s="210"/>
      <c r="U1379" s="210"/>
      <c r="V1379" s="210"/>
      <c r="W1379" s="210"/>
      <c r="X1379" s="210"/>
      <c r="Y1379" s="210"/>
      <c r="Z1379" s="210"/>
    </row>
    <row r="1380" ht="21.75" customHeight="1">
      <c r="A1380" s="214"/>
      <c r="B1380" s="221"/>
      <c r="C1380" s="222">
        <v>205.0</v>
      </c>
      <c r="D1380" s="223" t="s">
        <v>1420</v>
      </c>
      <c r="E1380" s="223" t="s">
        <v>487</v>
      </c>
      <c r="F1380" s="223" t="s">
        <v>583</v>
      </c>
      <c r="G1380" s="218" t="s">
        <v>490</v>
      </c>
      <c r="H1380" s="224" t="s">
        <v>490</v>
      </c>
      <c r="I1380" s="208"/>
      <c r="J1380" s="210"/>
      <c r="K1380" s="210"/>
      <c r="L1380" s="210"/>
      <c r="M1380" s="210"/>
      <c r="N1380" s="210"/>
      <c r="O1380" s="210"/>
      <c r="P1380" s="210"/>
      <c r="Q1380" s="210"/>
      <c r="R1380" s="210"/>
      <c r="S1380" s="210"/>
      <c r="T1380" s="210"/>
      <c r="U1380" s="210"/>
      <c r="V1380" s="210"/>
      <c r="W1380" s="210"/>
      <c r="X1380" s="210"/>
      <c r="Y1380" s="210"/>
      <c r="Z1380" s="210"/>
    </row>
    <row r="1381" ht="21.75" customHeight="1">
      <c r="A1381" s="214"/>
      <c r="B1381" s="221"/>
      <c r="C1381" s="222">
        <v>206.0</v>
      </c>
      <c r="D1381" s="223" t="s">
        <v>1545</v>
      </c>
      <c r="E1381" s="223" t="s">
        <v>487</v>
      </c>
      <c r="F1381" s="223" t="s">
        <v>601</v>
      </c>
      <c r="G1381" s="223" t="s">
        <v>606</v>
      </c>
      <c r="H1381" s="224" t="s">
        <v>490</v>
      </c>
      <c r="I1381" s="208"/>
      <c r="J1381" s="210"/>
      <c r="K1381" s="210"/>
      <c r="L1381" s="210"/>
      <c r="M1381" s="210"/>
      <c r="N1381" s="210"/>
      <c r="O1381" s="210"/>
      <c r="P1381" s="210"/>
      <c r="Q1381" s="210"/>
      <c r="R1381" s="210"/>
      <c r="S1381" s="210"/>
      <c r="T1381" s="210"/>
      <c r="U1381" s="210"/>
      <c r="V1381" s="210"/>
      <c r="W1381" s="210"/>
      <c r="X1381" s="210"/>
      <c r="Y1381" s="210"/>
      <c r="Z1381" s="210"/>
    </row>
    <row r="1382" ht="21.75" customHeight="1">
      <c r="A1382" s="214"/>
      <c r="B1382" s="221"/>
      <c r="C1382" s="222">
        <v>207.0</v>
      </c>
      <c r="D1382" s="223" t="s">
        <v>1546</v>
      </c>
      <c r="E1382" s="223" t="s">
        <v>487</v>
      </c>
      <c r="F1382" s="223" t="s">
        <v>560</v>
      </c>
      <c r="G1382" s="223" t="s">
        <v>561</v>
      </c>
      <c r="H1382" s="224" t="s">
        <v>490</v>
      </c>
      <c r="I1382" s="208"/>
      <c r="J1382" s="210"/>
      <c r="K1382" s="210"/>
      <c r="L1382" s="210"/>
      <c r="M1382" s="210"/>
      <c r="N1382" s="210"/>
      <c r="O1382" s="210"/>
      <c r="P1382" s="210"/>
      <c r="Q1382" s="210"/>
      <c r="R1382" s="210"/>
      <c r="S1382" s="210"/>
      <c r="T1382" s="210"/>
      <c r="U1382" s="210"/>
      <c r="V1382" s="210"/>
      <c r="W1382" s="210"/>
      <c r="X1382" s="210"/>
      <c r="Y1382" s="210"/>
      <c r="Z1382" s="210"/>
    </row>
    <row r="1383" ht="21.75" customHeight="1">
      <c r="A1383" s="214"/>
      <c r="B1383" s="221"/>
      <c r="C1383" s="222">
        <v>208.0</v>
      </c>
      <c r="D1383" s="223" t="s">
        <v>1479</v>
      </c>
      <c r="E1383" s="223" t="s">
        <v>487</v>
      </c>
      <c r="F1383" s="223" t="s">
        <v>613</v>
      </c>
      <c r="G1383" s="218" t="s">
        <v>490</v>
      </c>
      <c r="H1383" s="224" t="s">
        <v>490</v>
      </c>
      <c r="I1383" s="208"/>
      <c r="J1383" s="210"/>
      <c r="K1383" s="210"/>
      <c r="L1383" s="210"/>
      <c r="M1383" s="210"/>
      <c r="N1383" s="210"/>
      <c r="O1383" s="210"/>
      <c r="P1383" s="210"/>
      <c r="Q1383" s="210"/>
      <c r="R1383" s="210"/>
      <c r="S1383" s="210"/>
      <c r="T1383" s="210"/>
      <c r="U1383" s="210"/>
      <c r="V1383" s="210"/>
      <c r="W1383" s="210"/>
      <c r="X1383" s="210"/>
      <c r="Y1383" s="210"/>
      <c r="Z1383" s="210"/>
    </row>
    <row r="1384" ht="21.75" customHeight="1">
      <c r="A1384" s="214"/>
      <c r="B1384" s="221"/>
      <c r="C1384" s="222">
        <v>209.0</v>
      </c>
      <c r="D1384" s="223" t="s">
        <v>1547</v>
      </c>
      <c r="E1384" s="223" t="s">
        <v>529</v>
      </c>
      <c r="F1384" s="223" t="s">
        <v>530</v>
      </c>
      <c r="G1384" s="223" t="s">
        <v>580</v>
      </c>
      <c r="H1384" s="224" t="s">
        <v>490</v>
      </c>
      <c r="I1384" s="208"/>
      <c r="J1384" s="210"/>
      <c r="K1384" s="210"/>
      <c r="L1384" s="210"/>
      <c r="M1384" s="210"/>
      <c r="N1384" s="210"/>
      <c r="O1384" s="210"/>
      <c r="P1384" s="210"/>
      <c r="Q1384" s="210"/>
      <c r="R1384" s="210"/>
      <c r="S1384" s="210"/>
      <c r="T1384" s="210"/>
      <c r="U1384" s="210"/>
      <c r="V1384" s="210"/>
      <c r="W1384" s="210"/>
      <c r="X1384" s="210"/>
      <c r="Y1384" s="210"/>
      <c r="Z1384" s="210"/>
    </row>
    <row r="1385" ht="21.75" customHeight="1">
      <c r="A1385" s="214"/>
      <c r="B1385" s="217"/>
      <c r="C1385" s="222">
        <v>300.0</v>
      </c>
      <c r="D1385" s="215" t="s">
        <v>696</v>
      </c>
      <c r="E1385" s="215" t="s">
        <v>673</v>
      </c>
      <c r="F1385" s="215" t="s">
        <v>696</v>
      </c>
      <c r="G1385" s="234" t="s">
        <v>490</v>
      </c>
      <c r="H1385" s="224" t="s">
        <v>490</v>
      </c>
      <c r="I1385" s="208"/>
      <c r="J1385" s="210"/>
      <c r="K1385" s="210"/>
      <c r="L1385" s="210"/>
      <c r="M1385" s="210"/>
      <c r="N1385" s="210"/>
      <c r="O1385" s="210"/>
      <c r="P1385" s="210"/>
      <c r="Q1385" s="210"/>
      <c r="R1385" s="210"/>
      <c r="S1385" s="210"/>
      <c r="T1385" s="210"/>
      <c r="U1385" s="210"/>
      <c r="V1385" s="210"/>
      <c r="W1385" s="210"/>
      <c r="X1385" s="210"/>
      <c r="Y1385" s="210"/>
      <c r="Z1385" s="210"/>
    </row>
    <row r="1386" ht="21.75" customHeight="1">
      <c r="A1386" s="214"/>
      <c r="B1386" s="218" t="s">
        <v>1587</v>
      </c>
      <c r="C1386" s="226">
        <v>70048.0</v>
      </c>
      <c r="D1386" s="220"/>
      <c r="E1386" s="220"/>
      <c r="F1386" s="220"/>
      <c r="G1386" s="220"/>
      <c r="H1386" s="221"/>
      <c r="I1386" s="208"/>
      <c r="J1386" s="210"/>
      <c r="K1386" s="210"/>
      <c r="L1386" s="210"/>
      <c r="M1386" s="210"/>
      <c r="N1386" s="210"/>
      <c r="O1386" s="210"/>
      <c r="P1386" s="210"/>
      <c r="Q1386" s="210"/>
      <c r="R1386" s="210"/>
      <c r="S1386" s="210"/>
      <c r="T1386" s="210"/>
      <c r="U1386" s="210"/>
      <c r="V1386" s="210"/>
      <c r="W1386" s="210"/>
      <c r="X1386" s="210"/>
      <c r="Y1386" s="210"/>
      <c r="Z1386" s="210"/>
    </row>
    <row r="1387" ht="21.75" customHeight="1">
      <c r="A1387" s="214"/>
      <c r="B1387" s="221"/>
      <c r="C1387" s="222">
        <v>1.0</v>
      </c>
      <c r="D1387" s="223" t="s">
        <v>486</v>
      </c>
      <c r="E1387" s="223" t="s">
        <v>487</v>
      </c>
      <c r="F1387" s="223" t="s">
        <v>488</v>
      </c>
      <c r="G1387" s="223" t="s">
        <v>489</v>
      </c>
      <c r="H1387" s="224" t="s">
        <v>490</v>
      </c>
      <c r="I1387" s="208"/>
      <c r="J1387" s="210"/>
      <c r="K1387" s="210"/>
      <c r="L1387" s="210"/>
      <c r="M1387" s="210"/>
      <c r="N1387" s="210"/>
      <c r="O1387" s="210"/>
      <c r="P1387" s="210"/>
      <c r="Q1387" s="210"/>
      <c r="R1387" s="210"/>
      <c r="S1387" s="210"/>
      <c r="T1387" s="210"/>
      <c r="U1387" s="210"/>
      <c r="V1387" s="210"/>
      <c r="W1387" s="210"/>
      <c r="X1387" s="210"/>
      <c r="Y1387" s="210"/>
      <c r="Z1387" s="210"/>
    </row>
    <row r="1388" ht="21.75" customHeight="1">
      <c r="A1388" s="214"/>
      <c r="B1388" s="221"/>
      <c r="C1388" s="222">
        <v>2.0</v>
      </c>
      <c r="D1388" s="223" t="s">
        <v>491</v>
      </c>
      <c r="E1388" s="223" t="s">
        <v>487</v>
      </c>
      <c r="F1388" s="223" t="s">
        <v>492</v>
      </c>
      <c r="G1388" s="223" t="s">
        <v>678</v>
      </c>
      <c r="H1388" s="225" t="s">
        <v>1588</v>
      </c>
      <c r="I1388" s="208"/>
      <c r="J1388" s="210"/>
      <c r="K1388" s="210"/>
      <c r="L1388" s="210"/>
      <c r="M1388" s="210"/>
      <c r="N1388" s="210"/>
      <c r="O1388" s="210"/>
      <c r="P1388" s="210"/>
      <c r="Q1388" s="210"/>
      <c r="R1388" s="210"/>
      <c r="S1388" s="210"/>
      <c r="T1388" s="210"/>
      <c r="U1388" s="210"/>
      <c r="V1388" s="210"/>
      <c r="W1388" s="210"/>
      <c r="X1388" s="210"/>
      <c r="Y1388" s="210"/>
      <c r="Z1388" s="210"/>
    </row>
    <row r="1389" ht="21.75" customHeight="1">
      <c r="A1389" s="214"/>
      <c r="B1389" s="221"/>
      <c r="C1389" s="222">
        <v>3.0</v>
      </c>
      <c r="D1389" s="223" t="s">
        <v>1537</v>
      </c>
      <c r="E1389" s="223" t="s">
        <v>487</v>
      </c>
      <c r="F1389" s="223" t="s">
        <v>496</v>
      </c>
      <c r="G1389" s="223" t="s">
        <v>501</v>
      </c>
      <c r="H1389" s="224" t="s">
        <v>490</v>
      </c>
      <c r="I1389" s="208"/>
      <c r="J1389" s="210"/>
      <c r="K1389" s="210"/>
      <c r="L1389" s="210"/>
      <c r="M1389" s="210"/>
      <c r="N1389" s="210"/>
      <c r="O1389" s="210"/>
      <c r="P1389" s="210"/>
      <c r="Q1389" s="210"/>
      <c r="R1389" s="210"/>
      <c r="S1389" s="210"/>
      <c r="T1389" s="210"/>
      <c r="U1389" s="210"/>
      <c r="V1389" s="210"/>
      <c r="W1389" s="210"/>
      <c r="X1389" s="210"/>
      <c r="Y1389" s="210"/>
      <c r="Z1389" s="210"/>
    </row>
    <row r="1390" ht="21.75" customHeight="1">
      <c r="A1390" s="214"/>
      <c r="B1390" s="221"/>
      <c r="C1390" s="222">
        <v>4.0</v>
      </c>
      <c r="D1390" s="223" t="s">
        <v>1538</v>
      </c>
      <c r="E1390" s="223" t="s">
        <v>487</v>
      </c>
      <c r="F1390" s="223" t="s">
        <v>500</v>
      </c>
      <c r="G1390" s="223" t="s">
        <v>497</v>
      </c>
      <c r="H1390" s="225" t="s">
        <v>1589</v>
      </c>
      <c r="I1390" s="208"/>
      <c r="J1390" s="210"/>
      <c r="K1390" s="210"/>
      <c r="L1390" s="210"/>
      <c r="M1390" s="210"/>
      <c r="N1390" s="210"/>
      <c r="O1390" s="210"/>
      <c r="P1390" s="210"/>
      <c r="Q1390" s="210"/>
      <c r="R1390" s="210"/>
      <c r="S1390" s="210"/>
      <c r="T1390" s="210"/>
      <c r="U1390" s="210"/>
      <c r="V1390" s="210"/>
      <c r="W1390" s="210"/>
      <c r="X1390" s="210"/>
      <c r="Y1390" s="210"/>
      <c r="Z1390" s="210"/>
    </row>
    <row r="1391" ht="21.75" customHeight="1">
      <c r="A1391" s="214"/>
      <c r="B1391" s="221"/>
      <c r="C1391" s="222">
        <v>5.0</v>
      </c>
      <c r="D1391" s="223" t="s">
        <v>507</v>
      </c>
      <c r="E1391" s="223" t="s">
        <v>508</v>
      </c>
      <c r="F1391" s="223" t="s">
        <v>509</v>
      </c>
      <c r="G1391" s="223" t="s">
        <v>510</v>
      </c>
      <c r="H1391" s="225" t="s">
        <v>1590</v>
      </c>
      <c r="I1391" s="208"/>
      <c r="J1391" s="210"/>
      <c r="K1391" s="210"/>
      <c r="L1391" s="210"/>
      <c r="M1391" s="210"/>
      <c r="N1391" s="210"/>
      <c r="O1391" s="210"/>
      <c r="P1391" s="210"/>
      <c r="Q1391" s="210"/>
      <c r="R1391" s="210"/>
      <c r="S1391" s="210"/>
      <c r="T1391" s="210"/>
      <c r="U1391" s="210"/>
      <c r="V1391" s="210"/>
      <c r="W1391" s="210"/>
      <c r="X1391" s="210"/>
      <c r="Y1391" s="210"/>
      <c r="Z1391" s="210"/>
    </row>
    <row r="1392" ht="21.75" customHeight="1">
      <c r="A1392" s="214"/>
      <c r="B1392" s="221"/>
      <c r="C1392" s="222">
        <v>105.0</v>
      </c>
      <c r="D1392" s="223" t="s">
        <v>1541</v>
      </c>
      <c r="E1392" s="223" t="s">
        <v>487</v>
      </c>
      <c r="F1392" s="223" t="s">
        <v>1542</v>
      </c>
      <c r="G1392" s="218" t="s">
        <v>490</v>
      </c>
      <c r="H1392" s="224" t="s">
        <v>490</v>
      </c>
      <c r="I1392" s="208"/>
      <c r="J1392" s="210"/>
      <c r="K1392" s="210"/>
      <c r="L1392" s="210"/>
      <c r="M1392" s="210"/>
      <c r="N1392" s="210"/>
      <c r="O1392" s="210"/>
      <c r="P1392" s="210"/>
      <c r="Q1392" s="210"/>
      <c r="R1392" s="210"/>
      <c r="S1392" s="210"/>
      <c r="T1392" s="210"/>
      <c r="U1392" s="210"/>
      <c r="V1392" s="210"/>
      <c r="W1392" s="210"/>
      <c r="X1392" s="210"/>
      <c r="Y1392" s="210"/>
      <c r="Z1392" s="210"/>
    </row>
    <row r="1393" ht="21.75" customHeight="1">
      <c r="A1393" s="214"/>
      <c r="B1393" s="221"/>
      <c r="C1393" s="222">
        <v>200.0</v>
      </c>
      <c r="D1393" s="223" t="s">
        <v>1543</v>
      </c>
      <c r="E1393" s="223" t="s">
        <v>487</v>
      </c>
      <c r="F1393" s="223" t="s">
        <v>512</v>
      </c>
      <c r="G1393" s="218" t="s">
        <v>490</v>
      </c>
      <c r="H1393" s="224" t="s">
        <v>490</v>
      </c>
      <c r="I1393" s="208"/>
      <c r="J1393" s="210"/>
      <c r="K1393" s="210"/>
      <c r="L1393" s="210"/>
      <c r="M1393" s="210"/>
      <c r="N1393" s="210"/>
      <c r="O1393" s="210"/>
      <c r="P1393" s="210"/>
      <c r="Q1393" s="210"/>
      <c r="R1393" s="210"/>
      <c r="S1393" s="210"/>
      <c r="T1393" s="210"/>
      <c r="U1393" s="210"/>
      <c r="V1393" s="210"/>
      <c r="W1393" s="210"/>
      <c r="X1393" s="210"/>
      <c r="Y1393" s="210"/>
      <c r="Z1393" s="210"/>
    </row>
    <row r="1394" ht="21.75" customHeight="1">
      <c r="A1394" s="214"/>
      <c r="B1394" s="221"/>
      <c r="C1394" s="222">
        <v>201.0</v>
      </c>
      <c r="D1394" s="223" t="s">
        <v>1544</v>
      </c>
      <c r="E1394" s="223" t="s">
        <v>487</v>
      </c>
      <c r="F1394" s="223" t="s">
        <v>532</v>
      </c>
      <c r="G1394" s="218" t="s">
        <v>490</v>
      </c>
      <c r="H1394" s="224" t="s">
        <v>490</v>
      </c>
      <c r="I1394" s="208"/>
      <c r="J1394" s="210"/>
      <c r="K1394" s="210"/>
      <c r="L1394" s="210"/>
      <c r="M1394" s="210"/>
      <c r="N1394" s="210"/>
      <c r="O1394" s="210"/>
      <c r="P1394" s="210"/>
      <c r="Q1394" s="210"/>
      <c r="R1394" s="210"/>
      <c r="S1394" s="210"/>
      <c r="T1394" s="210"/>
      <c r="U1394" s="210"/>
      <c r="V1394" s="210"/>
      <c r="W1394" s="210"/>
      <c r="X1394" s="210"/>
      <c r="Y1394" s="210"/>
      <c r="Z1394" s="210"/>
    </row>
    <row r="1395" ht="21.75" customHeight="1">
      <c r="A1395" s="214"/>
      <c r="B1395" s="221"/>
      <c r="C1395" s="222">
        <v>202.0</v>
      </c>
      <c r="D1395" s="223" t="s">
        <v>253</v>
      </c>
      <c r="E1395" s="223" t="s">
        <v>487</v>
      </c>
      <c r="F1395" s="223" t="s">
        <v>590</v>
      </c>
      <c r="G1395" s="218" t="s">
        <v>490</v>
      </c>
      <c r="H1395" s="224" t="s">
        <v>490</v>
      </c>
      <c r="I1395" s="208"/>
      <c r="J1395" s="210"/>
      <c r="K1395" s="210"/>
      <c r="L1395" s="210"/>
      <c r="M1395" s="210"/>
      <c r="N1395" s="210"/>
      <c r="O1395" s="210"/>
      <c r="P1395" s="210"/>
      <c r="Q1395" s="210"/>
      <c r="R1395" s="210"/>
      <c r="S1395" s="210"/>
      <c r="T1395" s="210"/>
      <c r="U1395" s="210"/>
      <c r="V1395" s="210"/>
      <c r="W1395" s="210"/>
      <c r="X1395" s="210"/>
      <c r="Y1395" s="210"/>
      <c r="Z1395" s="210"/>
    </row>
    <row r="1396" ht="21.75" customHeight="1">
      <c r="A1396" s="214"/>
      <c r="B1396" s="221"/>
      <c r="C1396" s="222">
        <v>203.0</v>
      </c>
      <c r="D1396" s="223" t="s">
        <v>1000</v>
      </c>
      <c r="E1396" s="223" t="s">
        <v>487</v>
      </c>
      <c r="F1396" s="223" t="s">
        <v>603</v>
      </c>
      <c r="G1396" s="218" t="s">
        <v>490</v>
      </c>
      <c r="H1396" s="224" t="s">
        <v>490</v>
      </c>
      <c r="I1396" s="208"/>
      <c r="J1396" s="210"/>
      <c r="K1396" s="210"/>
      <c r="L1396" s="210"/>
      <c r="M1396" s="210"/>
      <c r="N1396" s="210"/>
      <c r="O1396" s="210"/>
      <c r="P1396" s="210"/>
      <c r="Q1396" s="210"/>
      <c r="R1396" s="210"/>
      <c r="S1396" s="210"/>
      <c r="T1396" s="210"/>
      <c r="U1396" s="210"/>
      <c r="V1396" s="210"/>
      <c r="W1396" s="210"/>
      <c r="X1396" s="210"/>
      <c r="Y1396" s="210"/>
      <c r="Z1396" s="210"/>
    </row>
    <row r="1397" ht="21.75" customHeight="1">
      <c r="A1397" s="214"/>
      <c r="B1397" s="221"/>
      <c r="C1397" s="222">
        <v>204.0</v>
      </c>
      <c r="D1397" s="223" t="s">
        <v>1419</v>
      </c>
      <c r="E1397" s="223" t="s">
        <v>487</v>
      </c>
      <c r="F1397" s="223" t="s">
        <v>579</v>
      </c>
      <c r="G1397" s="218" t="s">
        <v>490</v>
      </c>
      <c r="H1397" s="224" t="s">
        <v>490</v>
      </c>
      <c r="I1397" s="208"/>
      <c r="J1397" s="210"/>
      <c r="K1397" s="210"/>
      <c r="L1397" s="210"/>
      <c r="M1397" s="210"/>
      <c r="N1397" s="210"/>
      <c r="O1397" s="210"/>
      <c r="P1397" s="210"/>
      <c r="Q1397" s="210"/>
      <c r="R1397" s="210"/>
      <c r="S1397" s="210"/>
      <c r="T1397" s="210"/>
      <c r="U1397" s="210"/>
      <c r="V1397" s="210"/>
      <c r="W1397" s="210"/>
      <c r="X1397" s="210"/>
      <c r="Y1397" s="210"/>
      <c r="Z1397" s="210"/>
    </row>
    <row r="1398" ht="21.75" customHeight="1">
      <c r="A1398" s="214"/>
      <c r="B1398" s="221"/>
      <c r="C1398" s="222">
        <v>205.0</v>
      </c>
      <c r="D1398" s="223" t="s">
        <v>1420</v>
      </c>
      <c r="E1398" s="223" t="s">
        <v>487</v>
      </c>
      <c r="F1398" s="223" t="s">
        <v>583</v>
      </c>
      <c r="G1398" s="218" t="s">
        <v>490</v>
      </c>
      <c r="H1398" s="224" t="s">
        <v>490</v>
      </c>
      <c r="I1398" s="208"/>
      <c r="J1398" s="210"/>
      <c r="K1398" s="210"/>
      <c r="L1398" s="210"/>
      <c r="M1398" s="210"/>
      <c r="N1398" s="210"/>
      <c r="O1398" s="210"/>
      <c r="P1398" s="210"/>
      <c r="Q1398" s="210"/>
      <c r="R1398" s="210"/>
      <c r="S1398" s="210"/>
      <c r="T1398" s="210"/>
      <c r="U1398" s="210"/>
      <c r="V1398" s="210"/>
      <c r="W1398" s="210"/>
      <c r="X1398" s="210"/>
      <c r="Y1398" s="210"/>
      <c r="Z1398" s="210"/>
    </row>
    <row r="1399" ht="21.75" customHeight="1">
      <c r="A1399" s="214"/>
      <c r="B1399" s="221"/>
      <c r="C1399" s="222">
        <v>206.0</v>
      </c>
      <c r="D1399" s="223" t="s">
        <v>1545</v>
      </c>
      <c r="E1399" s="223" t="s">
        <v>487</v>
      </c>
      <c r="F1399" s="223" t="s">
        <v>601</v>
      </c>
      <c r="G1399" s="218" t="s">
        <v>490</v>
      </c>
      <c r="H1399" s="224" t="s">
        <v>490</v>
      </c>
      <c r="I1399" s="208"/>
      <c r="J1399" s="210"/>
      <c r="K1399" s="210"/>
      <c r="L1399" s="210"/>
      <c r="M1399" s="210"/>
      <c r="N1399" s="210"/>
      <c r="O1399" s="210"/>
      <c r="P1399" s="210"/>
      <c r="Q1399" s="210"/>
      <c r="R1399" s="210"/>
      <c r="S1399" s="210"/>
      <c r="T1399" s="210"/>
      <c r="U1399" s="210"/>
      <c r="V1399" s="210"/>
      <c r="W1399" s="210"/>
      <c r="X1399" s="210"/>
      <c r="Y1399" s="210"/>
      <c r="Z1399" s="210"/>
    </row>
    <row r="1400" ht="21.75" customHeight="1">
      <c r="A1400" s="214"/>
      <c r="B1400" s="221"/>
      <c r="C1400" s="222">
        <v>207.0</v>
      </c>
      <c r="D1400" s="223" t="s">
        <v>1546</v>
      </c>
      <c r="E1400" s="223" t="s">
        <v>487</v>
      </c>
      <c r="F1400" s="223" t="s">
        <v>560</v>
      </c>
      <c r="G1400" s="218" t="s">
        <v>490</v>
      </c>
      <c r="H1400" s="224" t="s">
        <v>490</v>
      </c>
      <c r="I1400" s="208"/>
      <c r="J1400" s="210"/>
      <c r="K1400" s="210"/>
      <c r="L1400" s="210"/>
      <c r="M1400" s="210"/>
      <c r="N1400" s="210"/>
      <c r="O1400" s="210"/>
      <c r="P1400" s="210"/>
      <c r="Q1400" s="210"/>
      <c r="R1400" s="210"/>
      <c r="S1400" s="210"/>
      <c r="T1400" s="210"/>
      <c r="U1400" s="210"/>
      <c r="V1400" s="210"/>
      <c r="W1400" s="210"/>
      <c r="X1400" s="210"/>
      <c r="Y1400" s="210"/>
      <c r="Z1400" s="210"/>
    </row>
    <row r="1401" ht="21.75" customHeight="1">
      <c r="A1401" s="214"/>
      <c r="B1401" s="221"/>
      <c r="C1401" s="222">
        <v>208.0</v>
      </c>
      <c r="D1401" s="223" t="s">
        <v>1479</v>
      </c>
      <c r="E1401" s="223" t="s">
        <v>487</v>
      </c>
      <c r="F1401" s="223" t="s">
        <v>613</v>
      </c>
      <c r="G1401" s="218" t="s">
        <v>490</v>
      </c>
      <c r="H1401" s="224" t="s">
        <v>490</v>
      </c>
      <c r="I1401" s="208"/>
      <c r="J1401" s="210"/>
      <c r="K1401" s="210"/>
      <c r="L1401" s="210"/>
      <c r="M1401" s="210"/>
      <c r="N1401" s="210"/>
      <c r="O1401" s="210"/>
      <c r="P1401" s="210"/>
      <c r="Q1401" s="210"/>
      <c r="R1401" s="210"/>
      <c r="S1401" s="210"/>
      <c r="T1401" s="210"/>
      <c r="U1401" s="210"/>
      <c r="V1401" s="210"/>
      <c r="W1401" s="210"/>
      <c r="X1401" s="210"/>
      <c r="Y1401" s="210"/>
      <c r="Z1401" s="210"/>
    </row>
    <row r="1402" ht="21.75" customHeight="1">
      <c r="A1402" s="214"/>
      <c r="B1402" s="221"/>
      <c r="C1402" s="222">
        <v>209.0</v>
      </c>
      <c r="D1402" s="223" t="s">
        <v>1547</v>
      </c>
      <c r="E1402" s="223" t="s">
        <v>529</v>
      </c>
      <c r="F1402" s="223" t="s">
        <v>530</v>
      </c>
      <c r="G1402" s="218" t="s">
        <v>490</v>
      </c>
      <c r="H1402" s="224" t="s">
        <v>490</v>
      </c>
      <c r="I1402" s="208"/>
      <c r="J1402" s="210"/>
      <c r="K1402" s="210"/>
      <c r="L1402" s="210"/>
      <c r="M1402" s="210"/>
      <c r="N1402" s="210"/>
      <c r="O1402" s="210"/>
      <c r="P1402" s="210"/>
      <c r="Q1402" s="210"/>
      <c r="R1402" s="210"/>
      <c r="S1402" s="210"/>
      <c r="T1402" s="210"/>
      <c r="U1402" s="210"/>
      <c r="V1402" s="210"/>
      <c r="W1402" s="210"/>
      <c r="X1402" s="210"/>
      <c r="Y1402" s="210"/>
      <c r="Z1402" s="210"/>
    </row>
    <row r="1403" ht="21.75" customHeight="1">
      <c r="A1403" s="214"/>
      <c r="B1403" s="217"/>
      <c r="C1403" s="222">
        <v>300.0</v>
      </c>
      <c r="D1403" s="215" t="s">
        <v>696</v>
      </c>
      <c r="E1403" s="215" t="s">
        <v>673</v>
      </c>
      <c r="F1403" s="215" t="s">
        <v>696</v>
      </c>
      <c r="G1403" s="234" t="s">
        <v>490</v>
      </c>
      <c r="H1403" s="224" t="s">
        <v>490</v>
      </c>
      <c r="I1403" s="208"/>
      <c r="J1403" s="210"/>
      <c r="K1403" s="210"/>
      <c r="L1403" s="210"/>
      <c r="M1403" s="210"/>
      <c r="N1403" s="210"/>
      <c r="O1403" s="210"/>
      <c r="P1403" s="210"/>
      <c r="Q1403" s="210"/>
      <c r="R1403" s="210"/>
      <c r="S1403" s="210"/>
      <c r="T1403" s="210"/>
      <c r="U1403" s="210"/>
      <c r="V1403" s="210"/>
      <c r="W1403" s="210"/>
      <c r="X1403" s="210"/>
      <c r="Y1403" s="210"/>
      <c r="Z1403" s="210"/>
    </row>
    <row r="1404" ht="21.75" customHeight="1">
      <c r="A1404" s="214"/>
      <c r="B1404" s="218" t="s">
        <v>1591</v>
      </c>
      <c r="C1404" s="226">
        <v>70045.0</v>
      </c>
      <c r="D1404" s="220"/>
      <c r="E1404" s="220"/>
      <c r="F1404" s="220"/>
      <c r="G1404" s="220"/>
      <c r="H1404" s="221"/>
      <c r="I1404" s="208"/>
      <c r="J1404" s="210"/>
      <c r="K1404" s="210"/>
      <c r="L1404" s="210"/>
      <c r="M1404" s="210"/>
      <c r="N1404" s="210"/>
      <c r="O1404" s="210"/>
      <c r="P1404" s="210"/>
      <c r="Q1404" s="210"/>
      <c r="R1404" s="210"/>
      <c r="S1404" s="210"/>
      <c r="T1404" s="210"/>
      <c r="U1404" s="210"/>
      <c r="V1404" s="210"/>
      <c r="W1404" s="210"/>
      <c r="X1404" s="210"/>
      <c r="Y1404" s="210"/>
      <c r="Z1404" s="210"/>
    </row>
    <row r="1405" ht="21.75" customHeight="1">
      <c r="A1405" s="214"/>
      <c r="B1405" s="221"/>
      <c r="C1405" s="222">
        <v>100.0</v>
      </c>
      <c r="D1405" s="223" t="s">
        <v>486</v>
      </c>
      <c r="E1405" s="223" t="s">
        <v>487</v>
      </c>
      <c r="F1405" s="223" t="s">
        <v>488</v>
      </c>
      <c r="G1405" s="223" t="s">
        <v>489</v>
      </c>
      <c r="H1405" s="224" t="s">
        <v>490</v>
      </c>
      <c r="I1405" s="208"/>
      <c r="J1405" s="210"/>
      <c r="K1405" s="210"/>
      <c r="L1405" s="210"/>
      <c r="M1405" s="210"/>
      <c r="N1405" s="210"/>
      <c r="O1405" s="210"/>
      <c r="P1405" s="210"/>
      <c r="Q1405" s="210"/>
      <c r="R1405" s="210"/>
      <c r="S1405" s="210"/>
      <c r="T1405" s="210"/>
      <c r="U1405" s="210"/>
      <c r="V1405" s="210"/>
      <c r="W1405" s="210"/>
      <c r="X1405" s="210"/>
      <c r="Y1405" s="210"/>
      <c r="Z1405" s="210"/>
    </row>
    <row r="1406" ht="21.75" customHeight="1">
      <c r="A1406" s="214"/>
      <c r="B1406" s="221"/>
      <c r="C1406" s="222">
        <v>101.0</v>
      </c>
      <c r="D1406" s="223" t="s">
        <v>491</v>
      </c>
      <c r="E1406" s="223" t="s">
        <v>487</v>
      </c>
      <c r="F1406" s="223" t="s">
        <v>492</v>
      </c>
      <c r="G1406" s="223" t="s">
        <v>678</v>
      </c>
      <c r="H1406" s="225" t="s">
        <v>1592</v>
      </c>
      <c r="I1406" s="208"/>
      <c r="J1406" s="210"/>
      <c r="K1406" s="210"/>
      <c r="L1406" s="210"/>
      <c r="M1406" s="210"/>
      <c r="N1406" s="210"/>
      <c r="O1406" s="210"/>
      <c r="P1406" s="210"/>
      <c r="Q1406" s="210"/>
      <c r="R1406" s="210"/>
      <c r="S1406" s="210"/>
      <c r="T1406" s="210"/>
      <c r="U1406" s="210"/>
      <c r="V1406" s="210"/>
      <c r="W1406" s="210"/>
      <c r="X1406" s="210"/>
      <c r="Y1406" s="210"/>
      <c r="Z1406" s="210"/>
    </row>
    <row r="1407" ht="21.75" customHeight="1">
      <c r="A1407" s="214"/>
      <c r="B1407" s="221"/>
      <c r="C1407" s="222">
        <v>102.0</v>
      </c>
      <c r="D1407" s="223" t="s">
        <v>1537</v>
      </c>
      <c r="E1407" s="223" t="s">
        <v>487</v>
      </c>
      <c r="F1407" s="223" t="s">
        <v>496</v>
      </c>
      <c r="G1407" s="223" t="s">
        <v>501</v>
      </c>
      <c r="H1407" s="224" t="s">
        <v>490</v>
      </c>
      <c r="I1407" s="208"/>
      <c r="J1407" s="210"/>
      <c r="K1407" s="210"/>
      <c r="L1407" s="210"/>
      <c r="M1407" s="210"/>
      <c r="N1407" s="210"/>
      <c r="O1407" s="210"/>
      <c r="P1407" s="210"/>
      <c r="Q1407" s="210"/>
      <c r="R1407" s="210"/>
      <c r="S1407" s="210"/>
      <c r="T1407" s="210"/>
      <c r="U1407" s="210"/>
      <c r="V1407" s="210"/>
      <c r="W1407" s="210"/>
      <c r="X1407" s="210"/>
      <c r="Y1407" s="210"/>
      <c r="Z1407" s="210"/>
    </row>
    <row r="1408" ht="21.75" customHeight="1">
      <c r="A1408" s="214"/>
      <c r="B1408" s="221"/>
      <c r="C1408" s="222">
        <v>103.0</v>
      </c>
      <c r="D1408" s="223" t="s">
        <v>1538</v>
      </c>
      <c r="E1408" s="223" t="s">
        <v>487</v>
      </c>
      <c r="F1408" s="223" t="s">
        <v>500</v>
      </c>
      <c r="G1408" s="223" t="s">
        <v>497</v>
      </c>
      <c r="H1408" s="225" t="s">
        <v>1593</v>
      </c>
      <c r="I1408" s="208"/>
      <c r="J1408" s="210"/>
      <c r="K1408" s="210"/>
      <c r="L1408" s="210"/>
      <c r="M1408" s="210"/>
      <c r="N1408" s="210"/>
      <c r="O1408" s="210"/>
      <c r="P1408" s="210"/>
      <c r="Q1408" s="210"/>
      <c r="R1408" s="210"/>
      <c r="S1408" s="210"/>
      <c r="T1408" s="210"/>
      <c r="U1408" s="210"/>
      <c r="V1408" s="210"/>
      <c r="W1408" s="210"/>
      <c r="X1408" s="210"/>
      <c r="Y1408" s="210"/>
      <c r="Z1408" s="210"/>
    </row>
    <row r="1409" ht="21.75" customHeight="1">
      <c r="A1409" s="214"/>
      <c r="B1409" s="221"/>
      <c r="C1409" s="222">
        <v>104.0</v>
      </c>
      <c r="D1409" s="223" t="s">
        <v>507</v>
      </c>
      <c r="E1409" s="223" t="s">
        <v>508</v>
      </c>
      <c r="F1409" s="223" t="s">
        <v>509</v>
      </c>
      <c r="G1409" s="223" t="s">
        <v>510</v>
      </c>
      <c r="H1409" s="225" t="s">
        <v>1594</v>
      </c>
      <c r="I1409" s="208"/>
      <c r="J1409" s="210"/>
      <c r="K1409" s="210"/>
      <c r="L1409" s="210"/>
      <c r="M1409" s="210"/>
      <c r="N1409" s="210"/>
      <c r="O1409" s="210"/>
      <c r="P1409" s="210"/>
      <c r="Q1409" s="210"/>
      <c r="R1409" s="210"/>
      <c r="S1409" s="210"/>
      <c r="T1409" s="210"/>
      <c r="U1409" s="210"/>
      <c r="V1409" s="210"/>
      <c r="W1409" s="210"/>
      <c r="X1409" s="210"/>
      <c r="Y1409" s="210"/>
      <c r="Z1409" s="210"/>
    </row>
    <row r="1410" ht="21.75" customHeight="1">
      <c r="A1410" s="214"/>
      <c r="B1410" s="221"/>
      <c r="C1410" s="222">
        <v>105.0</v>
      </c>
      <c r="D1410" s="223" t="s">
        <v>1541</v>
      </c>
      <c r="E1410" s="223" t="s">
        <v>487</v>
      </c>
      <c r="F1410" s="223" t="s">
        <v>1542</v>
      </c>
      <c r="G1410" s="218" t="s">
        <v>490</v>
      </c>
      <c r="H1410" s="224" t="s">
        <v>490</v>
      </c>
      <c r="I1410" s="208"/>
      <c r="J1410" s="210"/>
      <c r="K1410" s="210"/>
      <c r="L1410" s="210"/>
      <c r="M1410" s="210"/>
      <c r="N1410" s="210"/>
      <c r="O1410" s="210"/>
      <c r="P1410" s="210"/>
      <c r="Q1410" s="210"/>
      <c r="R1410" s="210"/>
      <c r="S1410" s="210"/>
      <c r="T1410" s="210"/>
      <c r="U1410" s="210"/>
      <c r="V1410" s="210"/>
      <c r="W1410" s="210"/>
      <c r="X1410" s="210"/>
      <c r="Y1410" s="210"/>
      <c r="Z1410" s="210"/>
    </row>
    <row r="1411" ht="21.75" customHeight="1">
      <c r="A1411" s="214"/>
      <c r="B1411" s="221"/>
      <c r="C1411" s="222">
        <v>200.0</v>
      </c>
      <c r="D1411" s="223" t="s">
        <v>1543</v>
      </c>
      <c r="E1411" s="223" t="s">
        <v>487</v>
      </c>
      <c r="F1411" s="223" t="s">
        <v>512</v>
      </c>
      <c r="G1411" s="218" t="s">
        <v>490</v>
      </c>
      <c r="H1411" s="224" t="s">
        <v>490</v>
      </c>
      <c r="I1411" s="208"/>
      <c r="J1411" s="210"/>
      <c r="K1411" s="210"/>
      <c r="L1411" s="210"/>
      <c r="M1411" s="210"/>
      <c r="N1411" s="210"/>
      <c r="O1411" s="210"/>
      <c r="P1411" s="210"/>
      <c r="Q1411" s="210"/>
      <c r="R1411" s="210"/>
      <c r="S1411" s="210"/>
      <c r="T1411" s="210"/>
      <c r="U1411" s="210"/>
      <c r="V1411" s="210"/>
      <c r="W1411" s="210"/>
      <c r="X1411" s="210"/>
      <c r="Y1411" s="210"/>
      <c r="Z1411" s="210"/>
    </row>
    <row r="1412" ht="21.75" customHeight="1">
      <c r="A1412" s="214"/>
      <c r="B1412" s="221"/>
      <c r="C1412" s="222">
        <v>201.0</v>
      </c>
      <c r="D1412" s="223" t="s">
        <v>1544</v>
      </c>
      <c r="E1412" s="223" t="s">
        <v>487</v>
      </c>
      <c r="F1412" s="223" t="s">
        <v>532</v>
      </c>
      <c r="G1412" s="223" t="s">
        <v>594</v>
      </c>
      <c r="H1412" s="224" t="s">
        <v>490</v>
      </c>
      <c r="I1412" s="208"/>
      <c r="J1412" s="210"/>
      <c r="K1412" s="210"/>
      <c r="L1412" s="210"/>
      <c r="M1412" s="210"/>
      <c r="N1412" s="210"/>
      <c r="O1412" s="210"/>
      <c r="P1412" s="210"/>
      <c r="Q1412" s="210"/>
      <c r="R1412" s="210"/>
      <c r="S1412" s="210"/>
      <c r="T1412" s="210"/>
      <c r="U1412" s="210"/>
      <c r="V1412" s="210"/>
      <c r="W1412" s="210"/>
      <c r="X1412" s="210"/>
      <c r="Y1412" s="210"/>
      <c r="Z1412" s="210"/>
    </row>
    <row r="1413" ht="21.75" customHeight="1">
      <c r="A1413" s="214"/>
      <c r="B1413" s="221"/>
      <c r="C1413" s="222">
        <v>202.0</v>
      </c>
      <c r="D1413" s="223" t="s">
        <v>253</v>
      </c>
      <c r="E1413" s="223" t="s">
        <v>487</v>
      </c>
      <c r="F1413" s="223" t="s">
        <v>590</v>
      </c>
      <c r="G1413" s="218" t="s">
        <v>490</v>
      </c>
      <c r="H1413" s="224" t="s">
        <v>490</v>
      </c>
      <c r="I1413" s="208"/>
      <c r="J1413" s="210"/>
      <c r="K1413" s="210"/>
      <c r="L1413" s="210"/>
      <c r="M1413" s="210"/>
      <c r="N1413" s="210"/>
      <c r="O1413" s="210"/>
      <c r="P1413" s="210"/>
      <c r="Q1413" s="210"/>
      <c r="R1413" s="210"/>
      <c r="S1413" s="210"/>
      <c r="T1413" s="210"/>
      <c r="U1413" s="210"/>
      <c r="V1413" s="210"/>
      <c r="W1413" s="210"/>
      <c r="X1413" s="210"/>
      <c r="Y1413" s="210"/>
      <c r="Z1413" s="210"/>
    </row>
    <row r="1414" ht="21.75" customHeight="1">
      <c r="A1414" s="214"/>
      <c r="B1414" s="221"/>
      <c r="C1414" s="222">
        <v>203.0</v>
      </c>
      <c r="D1414" s="223" t="s">
        <v>1000</v>
      </c>
      <c r="E1414" s="223" t="s">
        <v>487</v>
      </c>
      <c r="F1414" s="223" t="s">
        <v>603</v>
      </c>
      <c r="G1414" s="218" t="s">
        <v>490</v>
      </c>
      <c r="H1414" s="224" t="s">
        <v>490</v>
      </c>
      <c r="I1414" s="208"/>
      <c r="J1414" s="210"/>
      <c r="K1414" s="210"/>
      <c r="L1414" s="210"/>
      <c r="M1414" s="210"/>
      <c r="N1414" s="210"/>
      <c r="O1414" s="210"/>
      <c r="P1414" s="210"/>
      <c r="Q1414" s="210"/>
      <c r="R1414" s="210"/>
      <c r="S1414" s="210"/>
      <c r="T1414" s="210"/>
      <c r="U1414" s="210"/>
      <c r="V1414" s="210"/>
      <c r="W1414" s="210"/>
      <c r="X1414" s="210"/>
      <c r="Y1414" s="210"/>
      <c r="Z1414" s="210"/>
    </row>
    <row r="1415" ht="21.75" customHeight="1">
      <c r="A1415" s="214"/>
      <c r="B1415" s="221"/>
      <c r="C1415" s="222">
        <v>204.0</v>
      </c>
      <c r="D1415" s="223" t="s">
        <v>1419</v>
      </c>
      <c r="E1415" s="223" t="s">
        <v>487</v>
      </c>
      <c r="F1415" s="223" t="s">
        <v>579</v>
      </c>
      <c r="G1415" s="218" t="s">
        <v>490</v>
      </c>
      <c r="H1415" s="224" t="s">
        <v>490</v>
      </c>
      <c r="I1415" s="208"/>
      <c r="J1415" s="210"/>
      <c r="K1415" s="210"/>
      <c r="L1415" s="210"/>
      <c r="M1415" s="210"/>
      <c r="N1415" s="210"/>
      <c r="O1415" s="210"/>
      <c r="P1415" s="210"/>
      <c r="Q1415" s="210"/>
      <c r="R1415" s="210"/>
      <c r="S1415" s="210"/>
      <c r="T1415" s="210"/>
      <c r="U1415" s="210"/>
      <c r="V1415" s="210"/>
      <c r="W1415" s="210"/>
      <c r="X1415" s="210"/>
      <c r="Y1415" s="210"/>
      <c r="Z1415" s="210"/>
    </row>
    <row r="1416" ht="21.75" customHeight="1">
      <c r="A1416" s="214"/>
      <c r="B1416" s="221"/>
      <c r="C1416" s="222">
        <v>205.0</v>
      </c>
      <c r="D1416" s="223" t="s">
        <v>1420</v>
      </c>
      <c r="E1416" s="223" t="s">
        <v>487</v>
      </c>
      <c r="F1416" s="223" t="s">
        <v>583</v>
      </c>
      <c r="G1416" s="218" t="s">
        <v>490</v>
      </c>
      <c r="H1416" s="224" t="s">
        <v>490</v>
      </c>
      <c r="I1416" s="208"/>
      <c r="J1416" s="210"/>
      <c r="K1416" s="210"/>
      <c r="L1416" s="210"/>
      <c r="M1416" s="210"/>
      <c r="N1416" s="210"/>
      <c r="O1416" s="210"/>
      <c r="P1416" s="210"/>
      <c r="Q1416" s="210"/>
      <c r="R1416" s="210"/>
      <c r="S1416" s="210"/>
      <c r="T1416" s="210"/>
      <c r="U1416" s="210"/>
      <c r="V1416" s="210"/>
      <c r="W1416" s="210"/>
      <c r="X1416" s="210"/>
      <c r="Y1416" s="210"/>
      <c r="Z1416" s="210"/>
    </row>
    <row r="1417" ht="21.75" customHeight="1">
      <c r="A1417" s="214"/>
      <c r="B1417" s="221"/>
      <c r="C1417" s="222">
        <v>206.0</v>
      </c>
      <c r="D1417" s="223" t="s">
        <v>1545</v>
      </c>
      <c r="E1417" s="223" t="s">
        <v>487</v>
      </c>
      <c r="F1417" s="223" t="s">
        <v>601</v>
      </c>
      <c r="G1417" s="223" t="s">
        <v>606</v>
      </c>
      <c r="H1417" s="224" t="s">
        <v>490</v>
      </c>
      <c r="I1417" s="208"/>
      <c r="J1417" s="210"/>
      <c r="K1417" s="210"/>
      <c r="L1417" s="210"/>
      <c r="M1417" s="210"/>
      <c r="N1417" s="210"/>
      <c r="O1417" s="210"/>
      <c r="P1417" s="210"/>
      <c r="Q1417" s="210"/>
      <c r="R1417" s="210"/>
      <c r="S1417" s="210"/>
      <c r="T1417" s="210"/>
      <c r="U1417" s="210"/>
      <c r="V1417" s="210"/>
      <c r="W1417" s="210"/>
      <c r="X1417" s="210"/>
      <c r="Y1417" s="210"/>
      <c r="Z1417" s="210"/>
    </row>
    <row r="1418" ht="21.75" customHeight="1">
      <c r="A1418" s="214"/>
      <c r="B1418" s="221"/>
      <c r="C1418" s="222">
        <v>207.0</v>
      </c>
      <c r="D1418" s="223" t="s">
        <v>1546</v>
      </c>
      <c r="E1418" s="223" t="s">
        <v>487</v>
      </c>
      <c r="F1418" s="223" t="s">
        <v>560</v>
      </c>
      <c r="G1418" s="223" t="s">
        <v>561</v>
      </c>
      <c r="H1418" s="224" t="s">
        <v>490</v>
      </c>
      <c r="I1418" s="208"/>
      <c r="J1418" s="210"/>
      <c r="K1418" s="210"/>
      <c r="L1418" s="210"/>
      <c r="M1418" s="210"/>
      <c r="N1418" s="210"/>
      <c r="O1418" s="210"/>
      <c r="P1418" s="210"/>
      <c r="Q1418" s="210"/>
      <c r="R1418" s="210"/>
      <c r="S1418" s="210"/>
      <c r="T1418" s="210"/>
      <c r="U1418" s="210"/>
      <c r="V1418" s="210"/>
      <c r="W1418" s="210"/>
      <c r="X1418" s="210"/>
      <c r="Y1418" s="210"/>
      <c r="Z1418" s="210"/>
    </row>
    <row r="1419" ht="21.75" customHeight="1">
      <c r="A1419" s="214"/>
      <c r="B1419" s="221"/>
      <c r="C1419" s="222">
        <v>208.0</v>
      </c>
      <c r="D1419" s="223" t="s">
        <v>1479</v>
      </c>
      <c r="E1419" s="223" t="s">
        <v>487</v>
      </c>
      <c r="F1419" s="223" t="s">
        <v>613</v>
      </c>
      <c r="G1419" s="218" t="s">
        <v>490</v>
      </c>
      <c r="H1419" s="224" t="s">
        <v>490</v>
      </c>
      <c r="I1419" s="208"/>
      <c r="J1419" s="210"/>
      <c r="K1419" s="210"/>
      <c r="L1419" s="210"/>
      <c r="M1419" s="210"/>
      <c r="N1419" s="210"/>
      <c r="O1419" s="210"/>
      <c r="P1419" s="210"/>
      <c r="Q1419" s="210"/>
      <c r="R1419" s="210"/>
      <c r="S1419" s="210"/>
      <c r="T1419" s="210"/>
      <c r="U1419" s="210"/>
      <c r="V1419" s="210"/>
      <c r="W1419" s="210"/>
      <c r="X1419" s="210"/>
      <c r="Y1419" s="210"/>
      <c r="Z1419" s="210"/>
    </row>
    <row r="1420" ht="21.75" customHeight="1">
      <c r="A1420" s="214"/>
      <c r="B1420" s="221"/>
      <c r="C1420" s="222">
        <v>209.0</v>
      </c>
      <c r="D1420" s="223" t="s">
        <v>1547</v>
      </c>
      <c r="E1420" s="223" t="s">
        <v>529</v>
      </c>
      <c r="F1420" s="223" t="s">
        <v>530</v>
      </c>
      <c r="G1420" s="223" t="s">
        <v>580</v>
      </c>
      <c r="H1420" s="224" t="s">
        <v>490</v>
      </c>
      <c r="I1420" s="208"/>
      <c r="J1420" s="210"/>
      <c r="K1420" s="210"/>
      <c r="L1420" s="210"/>
      <c r="M1420" s="210"/>
      <c r="N1420" s="210"/>
      <c r="O1420" s="210"/>
      <c r="P1420" s="210"/>
      <c r="Q1420" s="210"/>
      <c r="R1420" s="210"/>
      <c r="S1420" s="210"/>
      <c r="T1420" s="210"/>
      <c r="U1420" s="210"/>
      <c r="V1420" s="210"/>
      <c r="W1420" s="210"/>
      <c r="X1420" s="210"/>
      <c r="Y1420" s="210"/>
      <c r="Z1420" s="210"/>
    </row>
    <row r="1421" ht="21.75" customHeight="1">
      <c r="A1421" s="214"/>
      <c r="B1421" s="217"/>
      <c r="C1421" s="222">
        <v>300.0</v>
      </c>
      <c r="D1421" s="215" t="s">
        <v>696</v>
      </c>
      <c r="E1421" s="215" t="s">
        <v>673</v>
      </c>
      <c r="F1421" s="215" t="s">
        <v>696</v>
      </c>
      <c r="G1421" s="234" t="s">
        <v>490</v>
      </c>
      <c r="H1421" s="224" t="s">
        <v>490</v>
      </c>
      <c r="I1421" s="208"/>
      <c r="J1421" s="210"/>
      <c r="K1421" s="210"/>
      <c r="L1421" s="210"/>
      <c r="M1421" s="210"/>
      <c r="N1421" s="210"/>
      <c r="O1421" s="210"/>
      <c r="P1421" s="210"/>
      <c r="Q1421" s="210"/>
      <c r="R1421" s="210"/>
      <c r="S1421" s="210"/>
      <c r="T1421" s="210"/>
      <c r="U1421" s="210"/>
      <c r="V1421" s="210"/>
      <c r="W1421" s="210"/>
      <c r="X1421" s="210"/>
      <c r="Y1421" s="210"/>
      <c r="Z1421" s="210"/>
    </row>
    <row r="1422" ht="21.75" customHeight="1">
      <c r="A1422" s="214"/>
      <c r="B1422" s="218" t="s">
        <v>1595</v>
      </c>
      <c r="C1422" s="226">
        <v>70046.0</v>
      </c>
      <c r="D1422" s="220"/>
      <c r="E1422" s="220"/>
      <c r="F1422" s="220"/>
      <c r="G1422" s="220"/>
      <c r="H1422" s="221"/>
      <c r="I1422" s="208"/>
      <c r="J1422" s="210"/>
      <c r="K1422" s="210"/>
      <c r="L1422" s="210"/>
      <c r="M1422" s="210"/>
      <c r="N1422" s="210"/>
      <c r="O1422" s="210"/>
      <c r="P1422" s="210"/>
      <c r="Q1422" s="210"/>
      <c r="R1422" s="210"/>
      <c r="S1422" s="210"/>
      <c r="T1422" s="210"/>
      <c r="U1422" s="210"/>
      <c r="V1422" s="210"/>
      <c r="W1422" s="210"/>
      <c r="X1422" s="210"/>
      <c r="Y1422" s="210"/>
      <c r="Z1422" s="210"/>
    </row>
    <row r="1423" ht="21.75" customHeight="1">
      <c r="A1423" s="214"/>
      <c r="B1423" s="221"/>
      <c r="C1423" s="222">
        <v>100.0</v>
      </c>
      <c r="D1423" s="223" t="s">
        <v>486</v>
      </c>
      <c r="E1423" s="223" t="s">
        <v>487</v>
      </c>
      <c r="F1423" s="223" t="s">
        <v>488</v>
      </c>
      <c r="G1423" s="223" t="s">
        <v>489</v>
      </c>
      <c r="H1423" s="224" t="s">
        <v>490</v>
      </c>
      <c r="I1423" s="208"/>
      <c r="J1423" s="210"/>
      <c r="K1423" s="210"/>
      <c r="L1423" s="210"/>
      <c r="M1423" s="210"/>
      <c r="N1423" s="210"/>
      <c r="O1423" s="210"/>
      <c r="P1423" s="210"/>
      <c r="Q1423" s="210"/>
      <c r="R1423" s="210"/>
      <c r="S1423" s="210"/>
      <c r="T1423" s="210"/>
      <c r="U1423" s="210"/>
      <c r="V1423" s="210"/>
      <c r="W1423" s="210"/>
      <c r="X1423" s="210"/>
      <c r="Y1423" s="210"/>
      <c r="Z1423" s="210"/>
    </row>
    <row r="1424" ht="21.75" customHeight="1">
      <c r="A1424" s="214"/>
      <c r="B1424" s="221"/>
      <c r="C1424" s="222">
        <v>101.0</v>
      </c>
      <c r="D1424" s="223" t="s">
        <v>491</v>
      </c>
      <c r="E1424" s="223" t="s">
        <v>487</v>
      </c>
      <c r="F1424" s="223" t="s">
        <v>492</v>
      </c>
      <c r="G1424" s="223" t="s">
        <v>678</v>
      </c>
      <c r="H1424" s="225" t="s">
        <v>1596</v>
      </c>
      <c r="I1424" s="208"/>
      <c r="J1424" s="210"/>
      <c r="K1424" s="210"/>
      <c r="L1424" s="210"/>
      <c r="M1424" s="210"/>
      <c r="N1424" s="210"/>
      <c r="O1424" s="210"/>
      <c r="P1424" s="210"/>
      <c r="Q1424" s="210"/>
      <c r="R1424" s="210"/>
      <c r="S1424" s="210"/>
      <c r="T1424" s="210"/>
      <c r="U1424" s="210"/>
      <c r="V1424" s="210"/>
      <c r="W1424" s="210"/>
      <c r="X1424" s="210"/>
      <c r="Y1424" s="210"/>
      <c r="Z1424" s="210"/>
    </row>
    <row r="1425" ht="21.75" customHeight="1">
      <c r="A1425" s="214"/>
      <c r="B1425" s="221"/>
      <c r="C1425" s="222">
        <v>102.0</v>
      </c>
      <c r="D1425" s="223" t="s">
        <v>1537</v>
      </c>
      <c r="E1425" s="223" t="s">
        <v>487</v>
      </c>
      <c r="F1425" s="223" t="s">
        <v>496</v>
      </c>
      <c r="G1425" s="223" t="s">
        <v>501</v>
      </c>
      <c r="H1425" s="224" t="s">
        <v>490</v>
      </c>
      <c r="I1425" s="208"/>
      <c r="J1425" s="210"/>
      <c r="K1425" s="210"/>
      <c r="L1425" s="210"/>
      <c r="M1425" s="210"/>
      <c r="N1425" s="210"/>
      <c r="O1425" s="210"/>
      <c r="P1425" s="210"/>
      <c r="Q1425" s="210"/>
      <c r="R1425" s="210"/>
      <c r="S1425" s="210"/>
      <c r="T1425" s="210"/>
      <c r="U1425" s="210"/>
      <c r="V1425" s="210"/>
      <c r="W1425" s="210"/>
      <c r="X1425" s="210"/>
      <c r="Y1425" s="210"/>
      <c r="Z1425" s="210"/>
    </row>
    <row r="1426" ht="21.75" customHeight="1">
      <c r="A1426" s="214"/>
      <c r="B1426" s="221"/>
      <c r="C1426" s="222">
        <v>103.0</v>
      </c>
      <c r="D1426" s="223" t="s">
        <v>1538</v>
      </c>
      <c r="E1426" s="223" t="s">
        <v>487</v>
      </c>
      <c r="F1426" s="223" t="s">
        <v>500</v>
      </c>
      <c r="G1426" s="223" t="s">
        <v>497</v>
      </c>
      <c r="H1426" s="225" t="s">
        <v>1597</v>
      </c>
      <c r="I1426" s="208"/>
      <c r="J1426" s="210"/>
      <c r="K1426" s="210"/>
      <c r="L1426" s="210"/>
      <c r="M1426" s="210"/>
      <c r="N1426" s="210"/>
      <c r="O1426" s="210"/>
      <c r="P1426" s="210"/>
      <c r="Q1426" s="210"/>
      <c r="R1426" s="210"/>
      <c r="S1426" s="210"/>
      <c r="T1426" s="210"/>
      <c r="U1426" s="210"/>
      <c r="V1426" s="210"/>
      <c r="W1426" s="210"/>
      <c r="X1426" s="210"/>
      <c r="Y1426" s="210"/>
      <c r="Z1426" s="210"/>
    </row>
    <row r="1427" ht="21.75" customHeight="1">
      <c r="A1427" s="214"/>
      <c r="B1427" s="221"/>
      <c r="C1427" s="222">
        <v>104.0</v>
      </c>
      <c r="D1427" s="223" t="s">
        <v>507</v>
      </c>
      <c r="E1427" s="223" t="s">
        <v>508</v>
      </c>
      <c r="F1427" s="223" t="s">
        <v>509</v>
      </c>
      <c r="G1427" s="223" t="s">
        <v>510</v>
      </c>
      <c r="H1427" s="225" t="s">
        <v>1598</v>
      </c>
      <c r="I1427" s="208"/>
      <c r="J1427" s="210"/>
      <c r="K1427" s="210"/>
      <c r="L1427" s="210"/>
      <c r="M1427" s="210"/>
      <c r="N1427" s="210"/>
      <c r="O1427" s="210"/>
      <c r="P1427" s="210"/>
      <c r="Q1427" s="210"/>
      <c r="R1427" s="210"/>
      <c r="S1427" s="210"/>
      <c r="T1427" s="210"/>
      <c r="U1427" s="210"/>
      <c r="V1427" s="210"/>
      <c r="W1427" s="210"/>
      <c r="X1427" s="210"/>
      <c r="Y1427" s="210"/>
      <c r="Z1427" s="210"/>
    </row>
    <row r="1428" ht="21.75" customHeight="1">
      <c r="A1428" s="214"/>
      <c r="B1428" s="221"/>
      <c r="C1428" s="222">
        <v>105.0</v>
      </c>
      <c r="D1428" s="223" t="s">
        <v>1541</v>
      </c>
      <c r="E1428" s="223" t="s">
        <v>487</v>
      </c>
      <c r="F1428" s="223" t="s">
        <v>1542</v>
      </c>
      <c r="G1428" s="218" t="s">
        <v>490</v>
      </c>
      <c r="H1428" s="224" t="s">
        <v>490</v>
      </c>
      <c r="I1428" s="208"/>
      <c r="J1428" s="210"/>
      <c r="K1428" s="210"/>
      <c r="L1428" s="210"/>
      <c r="M1428" s="210"/>
      <c r="N1428" s="210"/>
      <c r="O1428" s="210"/>
      <c r="P1428" s="210"/>
      <c r="Q1428" s="210"/>
      <c r="R1428" s="210"/>
      <c r="S1428" s="210"/>
      <c r="T1428" s="210"/>
      <c r="U1428" s="210"/>
      <c r="V1428" s="210"/>
      <c r="W1428" s="210"/>
      <c r="X1428" s="210"/>
      <c r="Y1428" s="210"/>
      <c r="Z1428" s="210"/>
    </row>
    <row r="1429" ht="21.75" customHeight="1">
      <c r="A1429" s="214"/>
      <c r="B1429" s="221"/>
      <c r="C1429" s="222">
        <v>200.0</v>
      </c>
      <c r="D1429" s="223" t="s">
        <v>1543</v>
      </c>
      <c r="E1429" s="223" t="s">
        <v>487</v>
      </c>
      <c r="F1429" s="223" t="s">
        <v>512</v>
      </c>
      <c r="G1429" s="218" t="s">
        <v>490</v>
      </c>
      <c r="H1429" s="224" t="s">
        <v>490</v>
      </c>
      <c r="I1429" s="208"/>
      <c r="J1429" s="210"/>
      <c r="K1429" s="210"/>
      <c r="L1429" s="210"/>
      <c r="M1429" s="210"/>
      <c r="N1429" s="210"/>
      <c r="O1429" s="210"/>
      <c r="P1429" s="210"/>
      <c r="Q1429" s="210"/>
      <c r="R1429" s="210"/>
      <c r="S1429" s="210"/>
      <c r="T1429" s="210"/>
      <c r="U1429" s="210"/>
      <c r="V1429" s="210"/>
      <c r="W1429" s="210"/>
      <c r="X1429" s="210"/>
      <c r="Y1429" s="210"/>
      <c r="Z1429" s="210"/>
    </row>
    <row r="1430" ht="21.75" customHeight="1">
      <c r="A1430" s="214"/>
      <c r="B1430" s="221"/>
      <c r="C1430" s="222">
        <v>201.0</v>
      </c>
      <c r="D1430" s="223" t="s">
        <v>1544</v>
      </c>
      <c r="E1430" s="223" t="s">
        <v>487</v>
      </c>
      <c r="F1430" s="223" t="s">
        <v>532</v>
      </c>
      <c r="G1430" s="223" t="s">
        <v>594</v>
      </c>
      <c r="H1430" s="224" t="s">
        <v>490</v>
      </c>
      <c r="I1430" s="208"/>
      <c r="J1430" s="210"/>
      <c r="K1430" s="210"/>
      <c r="L1430" s="210"/>
      <c r="M1430" s="210"/>
      <c r="N1430" s="210"/>
      <c r="O1430" s="210"/>
      <c r="P1430" s="210"/>
      <c r="Q1430" s="210"/>
      <c r="R1430" s="210"/>
      <c r="S1430" s="210"/>
      <c r="T1430" s="210"/>
      <c r="U1430" s="210"/>
      <c r="V1430" s="210"/>
      <c r="W1430" s="210"/>
      <c r="X1430" s="210"/>
      <c r="Y1430" s="210"/>
      <c r="Z1430" s="210"/>
    </row>
    <row r="1431" ht="21.75" customHeight="1">
      <c r="A1431" s="214"/>
      <c r="B1431" s="221"/>
      <c r="C1431" s="222">
        <v>202.0</v>
      </c>
      <c r="D1431" s="223" t="s">
        <v>253</v>
      </c>
      <c r="E1431" s="223" t="s">
        <v>487</v>
      </c>
      <c r="F1431" s="223" t="s">
        <v>590</v>
      </c>
      <c r="G1431" s="218" t="s">
        <v>490</v>
      </c>
      <c r="H1431" s="224" t="s">
        <v>490</v>
      </c>
      <c r="I1431" s="208"/>
      <c r="J1431" s="210"/>
      <c r="K1431" s="210"/>
      <c r="L1431" s="210"/>
      <c r="M1431" s="210"/>
      <c r="N1431" s="210"/>
      <c r="O1431" s="210"/>
      <c r="P1431" s="210"/>
      <c r="Q1431" s="210"/>
      <c r="R1431" s="210"/>
      <c r="S1431" s="210"/>
      <c r="T1431" s="210"/>
      <c r="U1431" s="210"/>
      <c r="V1431" s="210"/>
      <c r="W1431" s="210"/>
      <c r="X1431" s="210"/>
      <c r="Y1431" s="210"/>
      <c r="Z1431" s="210"/>
    </row>
    <row r="1432" ht="21.75" customHeight="1">
      <c r="A1432" s="214"/>
      <c r="B1432" s="221"/>
      <c r="C1432" s="222">
        <v>203.0</v>
      </c>
      <c r="D1432" s="223" t="s">
        <v>1000</v>
      </c>
      <c r="E1432" s="223" t="s">
        <v>487</v>
      </c>
      <c r="F1432" s="223" t="s">
        <v>603</v>
      </c>
      <c r="G1432" s="218" t="s">
        <v>490</v>
      </c>
      <c r="H1432" s="224" t="s">
        <v>490</v>
      </c>
      <c r="I1432" s="208"/>
      <c r="J1432" s="210"/>
      <c r="K1432" s="210"/>
      <c r="L1432" s="210"/>
      <c r="M1432" s="210"/>
      <c r="N1432" s="210"/>
      <c r="O1432" s="210"/>
      <c r="P1432" s="210"/>
      <c r="Q1432" s="210"/>
      <c r="R1432" s="210"/>
      <c r="S1432" s="210"/>
      <c r="T1432" s="210"/>
      <c r="U1432" s="210"/>
      <c r="V1432" s="210"/>
      <c r="W1432" s="210"/>
      <c r="X1432" s="210"/>
      <c r="Y1432" s="210"/>
      <c r="Z1432" s="210"/>
    </row>
    <row r="1433" ht="21.75" customHeight="1">
      <c r="A1433" s="214"/>
      <c r="B1433" s="221"/>
      <c r="C1433" s="222">
        <v>204.0</v>
      </c>
      <c r="D1433" s="223" t="s">
        <v>1419</v>
      </c>
      <c r="E1433" s="223" t="s">
        <v>487</v>
      </c>
      <c r="F1433" s="223" t="s">
        <v>579</v>
      </c>
      <c r="G1433" s="218" t="s">
        <v>490</v>
      </c>
      <c r="H1433" s="224" t="s">
        <v>490</v>
      </c>
      <c r="I1433" s="208"/>
      <c r="J1433" s="210"/>
      <c r="K1433" s="210"/>
      <c r="L1433" s="210"/>
      <c r="M1433" s="210"/>
      <c r="N1433" s="210"/>
      <c r="O1433" s="210"/>
      <c r="P1433" s="210"/>
      <c r="Q1433" s="210"/>
      <c r="R1433" s="210"/>
      <c r="S1433" s="210"/>
      <c r="T1433" s="210"/>
      <c r="U1433" s="210"/>
      <c r="V1433" s="210"/>
      <c r="W1433" s="210"/>
      <c r="X1433" s="210"/>
      <c r="Y1433" s="210"/>
      <c r="Z1433" s="210"/>
    </row>
    <row r="1434" ht="21.75" customHeight="1">
      <c r="A1434" s="214"/>
      <c r="B1434" s="221"/>
      <c r="C1434" s="222">
        <v>205.0</v>
      </c>
      <c r="D1434" s="223" t="s">
        <v>1420</v>
      </c>
      <c r="E1434" s="223" t="s">
        <v>487</v>
      </c>
      <c r="F1434" s="223" t="s">
        <v>583</v>
      </c>
      <c r="G1434" s="218" t="s">
        <v>490</v>
      </c>
      <c r="H1434" s="224" t="s">
        <v>490</v>
      </c>
      <c r="I1434" s="208"/>
      <c r="J1434" s="210"/>
      <c r="K1434" s="210"/>
      <c r="L1434" s="210"/>
      <c r="M1434" s="210"/>
      <c r="N1434" s="210"/>
      <c r="O1434" s="210"/>
      <c r="P1434" s="210"/>
      <c r="Q1434" s="210"/>
      <c r="R1434" s="210"/>
      <c r="S1434" s="210"/>
      <c r="T1434" s="210"/>
      <c r="U1434" s="210"/>
      <c r="V1434" s="210"/>
      <c r="W1434" s="210"/>
      <c r="X1434" s="210"/>
      <c r="Y1434" s="210"/>
      <c r="Z1434" s="210"/>
    </row>
    <row r="1435" ht="21.75" customHeight="1">
      <c r="A1435" s="214"/>
      <c r="B1435" s="221"/>
      <c r="C1435" s="222">
        <v>206.0</v>
      </c>
      <c r="D1435" s="223" t="s">
        <v>1545</v>
      </c>
      <c r="E1435" s="223" t="s">
        <v>487</v>
      </c>
      <c r="F1435" s="223" t="s">
        <v>601</v>
      </c>
      <c r="G1435" s="223" t="s">
        <v>606</v>
      </c>
      <c r="H1435" s="224" t="s">
        <v>490</v>
      </c>
      <c r="I1435" s="208"/>
      <c r="J1435" s="210"/>
      <c r="K1435" s="210"/>
      <c r="L1435" s="210"/>
      <c r="M1435" s="210"/>
      <c r="N1435" s="210"/>
      <c r="O1435" s="210"/>
      <c r="P1435" s="210"/>
      <c r="Q1435" s="210"/>
      <c r="R1435" s="210"/>
      <c r="S1435" s="210"/>
      <c r="T1435" s="210"/>
      <c r="U1435" s="210"/>
      <c r="V1435" s="210"/>
      <c r="W1435" s="210"/>
      <c r="X1435" s="210"/>
      <c r="Y1435" s="210"/>
      <c r="Z1435" s="210"/>
    </row>
    <row r="1436" ht="21.75" customHeight="1">
      <c r="A1436" s="214"/>
      <c r="B1436" s="221"/>
      <c r="C1436" s="222">
        <v>207.0</v>
      </c>
      <c r="D1436" s="223" t="s">
        <v>1546</v>
      </c>
      <c r="E1436" s="223" t="s">
        <v>487</v>
      </c>
      <c r="F1436" s="223" t="s">
        <v>560</v>
      </c>
      <c r="G1436" s="223" t="s">
        <v>561</v>
      </c>
      <c r="H1436" s="224" t="s">
        <v>490</v>
      </c>
      <c r="I1436" s="208"/>
      <c r="J1436" s="210"/>
      <c r="K1436" s="210"/>
      <c r="L1436" s="210"/>
      <c r="M1436" s="210"/>
      <c r="N1436" s="210"/>
      <c r="O1436" s="210"/>
      <c r="P1436" s="210"/>
      <c r="Q1436" s="210"/>
      <c r="R1436" s="210"/>
      <c r="S1436" s="210"/>
      <c r="T1436" s="210"/>
      <c r="U1436" s="210"/>
      <c r="V1436" s="210"/>
      <c r="W1436" s="210"/>
      <c r="X1436" s="210"/>
      <c r="Y1436" s="210"/>
      <c r="Z1436" s="210"/>
    </row>
    <row r="1437" ht="21.75" customHeight="1">
      <c r="A1437" s="214"/>
      <c r="B1437" s="221"/>
      <c r="C1437" s="222">
        <v>208.0</v>
      </c>
      <c r="D1437" s="223" t="s">
        <v>1479</v>
      </c>
      <c r="E1437" s="223" t="s">
        <v>487</v>
      </c>
      <c r="F1437" s="223" t="s">
        <v>613</v>
      </c>
      <c r="G1437" s="218" t="s">
        <v>490</v>
      </c>
      <c r="H1437" s="224" t="s">
        <v>490</v>
      </c>
      <c r="I1437" s="208"/>
      <c r="J1437" s="210"/>
      <c r="K1437" s="210"/>
      <c r="L1437" s="210"/>
      <c r="M1437" s="210"/>
      <c r="N1437" s="210"/>
      <c r="O1437" s="210"/>
      <c r="P1437" s="210"/>
      <c r="Q1437" s="210"/>
      <c r="R1437" s="210"/>
      <c r="S1437" s="210"/>
      <c r="T1437" s="210"/>
      <c r="U1437" s="210"/>
      <c r="V1437" s="210"/>
      <c r="W1437" s="210"/>
      <c r="X1437" s="210"/>
      <c r="Y1437" s="210"/>
      <c r="Z1437" s="210"/>
    </row>
    <row r="1438" ht="21.75" customHeight="1">
      <c r="A1438" s="214"/>
      <c r="B1438" s="221"/>
      <c r="C1438" s="222">
        <v>209.0</v>
      </c>
      <c r="D1438" s="223" t="s">
        <v>1547</v>
      </c>
      <c r="E1438" s="223" t="s">
        <v>529</v>
      </c>
      <c r="F1438" s="223" t="s">
        <v>530</v>
      </c>
      <c r="G1438" s="223" t="s">
        <v>580</v>
      </c>
      <c r="H1438" s="224" t="s">
        <v>490</v>
      </c>
      <c r="I1438" s="208"/>
      <c r="J1438" s="210"/>
      <c r="K1438" s="210"/>
      <c r="L1438" s="210"/>
      <c r="M1438" s="210"/>
      <c r="N1438" s="210"/>
      <c r="O1438" s="210"/>
      <c r="P1438" s="210"/>
      <c r="Q1438" s="210"/>
      <c r="R1438" s="210"/>
      <c r="S1438" s="210"/>
      <c r="T1438" s="210"/>
      <c r="U1438" s="210"/>
      <c r="V1438" s="210"/>
      <c r="W1438" s="210"/>
      <c r="X1438" s="210"/>
      <c r="Y1438" s="210"/>
      <c r="Z1438" s="210"/>
    </row>
    <row r="1439" ht="21.75" customHeight="1">
      <c r="A1439" s="214"/>
      <c r="B1439" s="217"/>
      <c r="C1439" s="222">
        <v>300.0</v>
      </c>
      <c r="D1439" s="215" t="s">
        <v>696</v>
      </c>
      <c r="E1439" s="215" t="s">
        <v>673</v>
      </c>
      <c r="F1439" s="215" t="s">
        <v>696</v>
      </c>
      <c r="G1439" s="234" t="s">
        <v>490</v>
      </c>
      <c r="H1439" s="224" t="s">
        <v>490</v>
      </c>
      <c r="I1439" s="208"/>
      <c r="J1439" s="210"/>
      <c r="K1439" s="210"/>
      <c r="L1439" s="210"/>
      <c r="M1439" s="210"/>
      <c r="N1439" s="210"/>
      <c r="O1439" s="210"/>
      <c r="P1439" s="210"/>
      <c r="Q1439" s="210"/>
      <c r="R1439" s="210"/>
      <c r="S1439" s="210"/>
      <c r="T1439" s="210"/>
      <c r="U1439" s="210"/>
      <c r="V1439" s="210"/>
      <c r="W1439" s="210"/>
      <c r="X1439" s="210"/>
      <c r="Y1439" s="210"/>
      <c r="Z1439" s="210"/>
    </row>
    <row r="1440" ht="21.75" customHeight="1">
      <c r="A1440" s="214"/>
      <c r="B1440" s="218" t="s">
        <v>1599</v>
      </c>
      <c r="C1440" s="226">
        <v>70044.0</v>
      </c>
      <c r="D1440" s="220"/>
      <c r="E1440" s="220"/>
      <c r="F1440" s="220"/>
      <c r="G1440" s="220"/>
      <c r="H1440" s="221"/>
      <c r="I1440" s="208"/>
      <c r="J1440" s="210"/>
      <c r="K1440" s="210"/>
      <c r="L1440" s="210"/>
      <c r="M1440" s="210"/>
      <c r="N1440" s="210"/>
      <c r="O1440" s="210"/>
      <c r="P1440" s="210"/>
      <c r="Q1440" s="210"/>
      <c r="R1440" s="210"/>
      <c r="S1440" s="210"/>
      <c r="T1440" s="210"/>
      <c r="U1440" s="210"/>
      <c r="V1440" s="210"/>
      <c r="W1440" s="210"/>
      <c r="X1440" s="210"/>
      <c r="Y1440" s="210"/>
      <c r="Z1440" s="210"/>
    </row>
    <row r="1441" ht="21.75" customHeight="1">
      <c r="A1441" s="214"/>
      <c r="B1441" s="221"/>
      <c r="C1441" s="222">
        <v>100.0</v>
      </c>
      <c r="D1441" s="223" t="s">
        <v>486</v>
      </c>
      <c r="E1441" s="223" t="s">
        <v>487</v>
      </c>
      <c r="F1441" s="223" t="s">
        <v>488</v>
      </c>
      <c r="G1441" s="223" t="s">
        <v>489</v>
      </c>
      <c r="H1441" s="224" t="s">
        <v>490</v>
      </c>
      <c r="I1441" s="208"/>
      <c r="J1441" s="210"/>
      <c r="K1441" s="210"/>
      <c r="L1441" s="210"/>
      <c r="M1441" s="210"/>
      <c r="N1441" s="210"/>
      <c r="O1441" s="210"/>
      <c r="P1441" s="210"/>
      <c r="Q1441" s="210"/>
      <c r="R1441" s="210"/>
      <c r="S1441" s="210"/>
      <c r="T1441" s="210"/>
      <c r="U1441" s="210"/>
      <c r="V1441" s="210"/>
      <c r="W1441" s="210"/>
      <c r="X1441" s="210"/>
      <c r="Y1441" s="210"/>
      <c r="Z1441" s="210"/>
    </row>
    <row r="1442" ht="21.75" customHeight="1">
      <c r="A1442" s="214"/>
      <c r="B1442" s="221"/>
      <c r="C1442" s="222">
        <v>101.0</v>
      </c>
      <c r="D1442" s="223" t="s">
        <v>491</v>
      </c>
      <c r="E1442" s="223" t="s">
        <v>487</v>
      </c>
      <c r="F1442" s="223" t="s">
        <v>492</v>
      </c>
      <c r="G1442" s="223" t="s">
        <v>678</v>
      </c>
      <c r="H1442" s="225" t="s">
        <v>1600</v>
      </c>
      <c r="I1442" s="208"/>
      <c r="J1442" s="210"/>
      <c r="K1442" s="210"/>
      <c r="L1442" s="210"/>
      <c r="M1442" s="210"/>
      <c r="N1442" s="210"/>
      <c r="O1442" s="210"/>
      <c r="P1442" s="210"/>
      <c r="Q1442" s="210"/>
      <c r="R1442" s="210"/>
      <c r="S1442" s="210"/>
      <c r="T1442" s="210"/>
      <c r="U1442" s="210"/>
      <c r="V1442" s="210"/>
      <c r="W1442" s="210"/>
      <c r="X1442" s="210"/>
      <c r="Y1442" s="210"/>
      <c r="Z1442" s="210"/>
    </row>
    <row r="1443" ht="21.75" customHeight="1">
      <c r="A1443" s="214"/>
      <c r="B1443" s="221"/>
      <c r="C1443" s="222">
        <v>102.0</v>
      </c>
      <c r="D1443" s="223" t="s">
        <v>1537</v>
      </c>
      <c r="E1443" s="223" t="s">
        <v>487</v>
      </c>
      <c r="F1443" s="223" t="s">
        <v>496</v>
      </c>
      <c r="G1443" s="223" t="s">
        <v>501</v>
      </c>
      <c r="H1443" s="224" t="s">
        <v>490</v>
      </c>
      <c r="I1443" s="208"/>
      <c r="J1443" s="210"/>
      <c r="K1443" s="210"/>
      <c r="L1443" s="210"/>
      <c r="M1443" s="210"/>
      <c r="N1443" s="210"/>
      <c r="O1443" s="210"/>
      <c r="P1443" s="210"/>
      <c r="Q1443" s="210"/>
      <c r="R1443" s="210"/>
      <c r="S1443" s="210"/>
      <c r="T1443" s="210"/>
      <c r="U1443" s="210"/>
      <c r="V1443" s="210"/>
      <c r="W1443" s="210"/>
      <c r="X1443" s="210"/>
      <c r="Y1443" s="210"/>
      <c r="Z1443" s="210"/>
    </row>
    <row r="1444" ht="21.75" customHeight="1">
      <c r="A1444" s="214"/>
      <c r="B1444" s="221"/>
      <c r="C1444" s="222">
        <v>103.0</v>
      </c>
      <c r="D1444" s="223" t="s">
        <v>1538</v>
      </c>
      <c r="E1444" s="223" t="s">
        <v>487</v>
      </c>
      <c r="F1444" s="223" t="s">
        <v>500</v>
      </c>
      <c r="G1444" s="223" t="s">
        <v>497</v>
      </c>
      <c r="H1444" s="225" t="s">
        <v>1601</v>
      </c>
      <c r="I1444" s="208"/>
      <c r="J1444" s="210"/>
      <c r="K1444" s="210"/>
      <c r="L1444" s="210"/>
      <c r="M1444" s="210"/>
      <c r="N1444" s="210"/>
      <c r="O1444" s="210"/>
      <c r="P1444" s="210"/>
      <c r="Q1444" s="210"/>
      <c r="R1444" s="210"/>
      <c r="S1444" s="210"/>
      <c r="T1444" s="210"/>
      <c r="U1444" s="210"/>
      <c r="V1444" s="210"/>
      <c r="W1444" s="210"/>
      <c r="X1444" s="210"/>
      <c r="Y1444" s="210"/>
      <c r="Z1444" s="210"/>
    </row>
    <row r="1445" ht="21.75" customHeight="1">
      <c r="A1445" s="214"/>
      <c r="B1445" s="221"/>
      <c r="C1445" s="222">
        <v>104.0</v>
      </c>
      <c r="D1445" s="223" t="s">
        <v>507</v>
      </c>
      <c r="E1445" s="223" t="s">
        <v>508</v>
      </c>
      <c r="F1445" s="223" t="s">
        <v>509</v>
      </c>
      <c r="G1445" s="223" t="s">
        <v>510</v>
      </c>
      <c r="H1445" s="225" t="s">
        <v>1602</v>
      </c>
      <c r="I1445" s="208"/>
      <c r="J1445" s="210"/>
      <c r="K1445" s="210"/>
      <c r="L1445" s="210"/>
      <c r="M1445" s="210"/>
      <c r="N1445" s="210"/>
      <c r="O1445" s="210"/>
      <c r="P1445" s="210"/>
      <c r="Q1445" s="210"/>
      <c r="R1445" s="210"/>
      <c r="S1445" s="210"/>
      <c r="T1445" s="210"/>
      <c r="U1445" s="210"/>
      <c r="V1445" s="210"/>
      <c r="W1445" s="210"/>
      <c r="X1445" s="210"/>
      <c r="Y1445" s="210"/>
      <c r="Z1445" s="210"/>
    </row>
    <row r="1446" ht="21.75" customHeight="1">
      <c r="A1446" s="214"/>
      <c r="B1446" s="221"/>
      <c r="C1446" s="222">
        <v>105.0</v>
      </c>
      <c r="D1446" s="223" t="s">
        <v>1541</v>
      </c>
      <c r="E1446" s="223" t="s">
        <v>487</v>
      </c>
      <c r="F1446" s="223" t="s">
        <v>1542</v>
      </c>
      <c r="G1446" s="218" t="s">
        <v>490</v>
      </c>
      <c r="H1446" s="224" t="s">
        <v>490</v>
      </c>
      <c r="I1446" s="208"/>
      <c r="J1446" s="210"/>
      <c r="K1446" s="210"/>
      <c r="L1446" s="210"/>
      <c r="M1446" s="210"/>
      <c r="N1446" s="210"/>
      <c r="O1446" s="210"/>
      <c r="P1446" s="210"/>
      <c r="Q1446" s="210"/>
      <c r="R1446" s="210"/>
      <c r="S1446" s="210"/>
      <c r="T1446" s="210"/>
      <c r="U1446" s="210"/>
      <c r="V1446" s="210"/>
      <c r="W1446" s="210"/>
      <c r="X1446" s="210"/>
      <c r="Y1446" s="210"/>
      <c r="Z1446" s="210"/>
    </row>
    <row r="1447" ht="21.75" customHeight="1">
      <c r="A1447" s="214"/>
      <c r="B1447" s="221"/>
      <c r="C1447" s="222">
        <v>200.0</v>
      </c>
      <c r="D1447" s="223" t="s">
        <v>1543</v>
      </c>
      <c r="E1447" s="223" t="s">
        <v>487</v>
      </c>
      <c r="F1447" s="223" t="s">
        <v>512</v>
      </c>
      <c r="G1447" s="218" t="s">
        <v>490</v>
      </c>
      <c r="H1447" s="224" t="s">
        <v>490</v>
      </c>
      <c r="I1447" s="208"/>
      <c r="J1447" s="210"/>
      <c r="K1447" s="210"/>
      <c r="L1447" s="210"/>
      <c r="M1447" s="210"/>
      <c r="N1447" s="210"/>
      <c r="O1447" s="210"/>
      <c r="P1447" s="210"/>
      <c r="Q1447" s="210"/>
      <c r="R1447" s="210"/>
      <c r="S1447" s="210"/>
      <c r="T1447" s="210"/>
      <c r="U1447" s="210"/>
      <c r="V1447" s="210"/>
      <c r="W1447" s="210"/>
      <c r="X1447" s="210"/>
      <c r="Y1447" s="210"/>
      <c r="Z1447" s="210"/>
    </row>
    <row r="1448" ht="21.75" customHeight="1">
      <c r="A1448" s="214"/>
      <c r="B1448" s="221"/>
      <c r="C1448" s="222">
        <v>201.0</v>
      </c>
      <c r="D1448" s="223" t="s">
        <v>1544</v>
      </c>
      <c r="E1448" s="223" t="s">
        <v>487</v>
      </c>
      <c r="F1448" s="223" t="s">
        <v>532</v>
      </c>
      <c r="G1448" s="218" t="s">
        <v>490</v>
      </c>
      <c r="H1448" s="224" t="s">
        <v>490</v>
      </c>
      <c r="I1448" s="208"/>
      <c r="J1448" s="210"/>
      <c r="K1448" s="210"/>
      <c r="L1448" s="210"/>
      <c r="M1448" s="210"/>
      <c r="N1448" s="210"/>
      <c r="O1448" s="210"/>
      <c r="P1448" s="210"/>
      <c r="Q1448" s="210"/>
      <c r="R1448" s="210"/>
      <c r="S1448" s="210"/>
      <c r="T1448" s="210"/>
      <c r="U1448" s="210"/>
      <c r="V1448" s="210"/>
      <c r="W1448" s="210"/>
      <c r="X1448" s="210"/>
      <c r="Y1448" s="210"/>
      <c r="Z1448" s="210"/>
    </row>
    <row r="1449" ht="21.75" customHeight="1">
      <c r="A1449" s="214"/>
      <c r="B1449" s="221"/>
      <c r="C1449" s="222">
        <v>202.0</v>
      </c>
      <c r="D1449" s="223" t="s">
        <v>253</v>
      </c>
      <c r="E1449" s="223" t="s">
        <v>487</v>
      </c>
      <c r="F1449" s="223" t="s">
        <v>590</v>
      </c>
      <c r="G1449" s="218" t="s">
        <v>490</v>
      </c>
      <c r="H1449" s="224" t="s">
        <v>490</v>
      </c>
      <c r="I1449" s="208"/>
      <c r="J1449" s="210"/>
      <c r="K1449" s="210"/>
      <c r="L1449" s="210"/>
      <c r="M1449" s="210"/>
      <c r="N1449" s="210"/>
      <c r="O1449" s="210"/>
      <c r="P1449" s="210"/>
      <c r="Q1449" s="210"/>
      <c r="R1449" s="210"/>
      <c r="S1449" s="210"/>
      <c r="T1449" s="210"/>
      <c r="U1449" s="210"/>
      <c r="V1449" s="210"/>
      <c r="W1449" s="210"/>
      <c r="X1449" s="210"/>
      <c r="Y1449" s="210"/>
      <c r="Z1449" s="210"/>
    </row>
    <row r="1450" ht="21.75" customHeight="1">
      <c r="A1450" s="214"/>
      <c r="B1450" s="221"/>
      <c r="C1450" s="222">
        <v>203.0</v>
      </c>
      <c r="D1450" s="223" t="s">
        <v>1000</v>
      </c>
      <c r="E1450" s="223" t="s">
        <v>487</v>
      </c>
      <c r="F1450" s="223" t="s">
        <v>603</v>
      </c>
      <c r="G1450" s="218" t="s">
        <v>490</v>
      </c>
      <c r="H1450" s="224" t="s">
        <v>490</v>
      </c>
      <c r="I1450" s="208"/>
      <c r="J1450" s="210"/>
      <c r="K1450" s="210"/>
      <c r="L1450" s="210"/>
      <c r="M1450" s="210"/>
      <c r="N1450" s="210"/>
      <c r="O1450" s="210"/>
      <c r="P1450" s="210"/>
      <c r="Q1450" s="210"/>
      <c r="R1450" s="210"/>
      <c r="S1450" s="210"/>
      <c r="T1450" s="210"/>
      <c r="U1450" s="210"/>
      <c r="V1450" s="210"/>
      <c r="W1450" s="210"/>
      <c r="X1450" s="210"/>
      <c r="Y1450" s="210"/>
      <c r="Z1450" s="210"/>
    </row>
    <row r="1451" ht="21.75" customHeight="1">
      <c r="A1451" s="214"/>
      <c r="B1451" s="221"/>
      <c r="C1451" s="222">
        <v>204.0</v>
      </c>
      <c r="D1451" s="223" t="s">
        <v>1419</v>
      </c>
      <c r="E1451" s="223" t="s">
        <v>487</v>
      </c>
      <c r="F1451" s="223" t="s">
        <v>579</v>
      </c>
      <c r="G1451" s="218" t="s">
        <v>490</v>
      </c>
      <c r="H1451" s="224" t="s">
        <v>490</v>
      </c>
      <c r="I1451" s="208"/>
      <c r="J1451" s="210"/>
      <c r="K1451" s="210"/>
      <c r="L1451" s="210"/>
      <c r="M1451" s="210"/>
      <c r="N1451" s="210"/>
      <c r="O1451" s="210"/>
      <c r="P1451" s="210"/>
      <c r="Q1451" s="210"/>
      <c r="R1451" s="210"/>
      <c r="S1451" s="210"/>
      <c r="T1451" s="210"/>
      <c r="U1451" s="210"/>
      <c r="V1451" s="210"/>
      <c r="W1451" s="210"/>
      <c r="X1451" s="210"/>
      <c r="Y1451" s="210"/>
      <c r="Z1451" s="210"/>
    </row>
    <row r="1452" ht="21.75" customHeight="1">
      <c r="A1452" s="214"/>
      <c r="B1452" s="221"/>
      <c r="C1452" s="222">
        <v>205.0</v>
      </c>
      <c r="D1452" s="223" t="s">
        <v>1420</v>
      </c>
      <c r="E1452" s="223" t="s">
        <v>487</v>
      </c>
      <c r="F1452" s="223" t="s">
        <v>583</v>
      </c>
      <c r="G1452" s="218" t="s">
        <v>490</v>
      </c>
      <c r="H1452" s="224" t="s">
        <v>490</v>
      </c>
      <c r="I1452" s="208"/>
      <c r="J1452" s="210"/>
      <c r="K1452" s="210"/>
      <c r="L1452" s="210"/>
      <c r="M1452" s="210"/>
      <c r="N1452" s="210"/>
      <c r="O1452" s="210"/>
      <c r="P1452" s="210"/>
      <c r="Q1452" s="210"/>
      <c r="R1452" s="210"/>
      <c r="S1452" s="210"/>
      <c r="T1452" s="210"/>
      <c r="U1452" s="210"/>
      <c r="V1452" s="210"/>
      <c r="W1452" s="210"/>
      <c r="X1452" s="210"/>
      <c r="Y1452" s="210"/>
      <c r="Z1452" s="210"/>
    </row>
    <row r="1453" ht="21.75" customHeight="1">
      <c r="A1453" s="214"/>
      <c r="B1453" s="221"/>
      <c r="C1453" s="222">
        <v>206.0</v>
      </c>
      <c r="D1453" s="223" t="s">
        <v>1545</v>
      </c>
      <c r="E1453" s="223" t="s">
        <v>487</v>
      </c>
      <c r="F1453" s="223" t="s">
        <v>601</v>
      </c>
      <c r="G1453" s="218" t="s">
        <v>490</v>
      </c>
      <c r="H1453" s="224" t="s">
        <v>490</v>
      </c>
      <c r="I1453" s="208"/>
      <c r="J1453" s="210"/>
      <c r="K1453" s="210"/>
      <c r="L1453" s="210"/>
      <c r="M1453" s="210"/>
      <c r="N1453" s="210"/>
      <c r="O1453" s="210"/>
      <c r="P1453" s="210"/>
      <c r="Q1453" s="210"/>
      <c r="R1453" s="210"/>
      <c r="S1453" s="210"/>
      <c r="T1453" s="210"/>
      <c r="U1453" s="210"/>
      <c r="V1453" s="210"/>
      <c r="W1453" s="210"/>
      <c r="X1453" s="210"/>
      <c r="Y1453" s="210"/>
      <c r="Z1453" s="210"/>
    </row>
    <row r="1454" ht="21.75" customHeight="1">
      <c r="A1454" s="214"/>
      <c r="B1454" s="221"/>
      <c r="C1454" s="222">
        <v>207.0</v>
      </c>
      <c r="D1454" s="223" t="s">
        <v>1546</v>
      </c>
      <c r="E1454" s="223" t="s">
        <v>487</v>
      </c>
      <c r="F1454" s="223" t="s">
        <v>560</v>
      </c>
      <c r="G1454" s="218" t="s">
        <v>490</v>
      </c>
      <c r="H1454" s="224" t="s">
        <v>490</v>
      </c>
      <c r="I1454" s="208"/>
      <c r="J1454" s="210"/>
      <c r="K1454" s="210"/>
      <c r="L1454" s="210"/>
      <c r="M1454" s="210"/>
      <c r="N1454" s="210"/>
      <c r="O1454" s="210"/>
      <c r="P1454" s="210"/>
      <c r="Q1454" s="210"/>
      <c r="R1454" s="210"/>
      <c r="S1454" s="210"/>
      <c r="T1454" s="210"/>
      <c r="U1454" s="210"/>
      <c r="V1454" s="210"/>
      <c r="W1454" s="210"/>
      <c r="X1454" s="210"/>
      <c r="Y1454" s="210"/>
      <c r="Z1454" s="210"/>
    </row>
    <row r="1455" ht="21.75" customHeight="1">
      <c r="A1455" s="214"/>
      <c r="B1455" s="221"/>
      <c r="C1455" s="222">
        <v>208.0</v>
      </c>
      <c r="D1455" s="223" t="s">
        <v>1479</v>
      </c>
      <c r="E1455" s="223" t="s">
        <v>487</v>
      </c>
      <c r="F1455" s="223" t="s">
        <v>613</v>
      </c>
      <c r="G1455" s="218" t="s">
        <v>490</v>
      </c>
      <c r="H1455" s="224" t="s">
        <v>490</v>
      </c>
      <c r="I1455" s="208"/>
      <c r="J1455" s="210"/>
      <c r="K1455" s="210"/>
      <c r="L1455" s="210"/>
      <c r="M1455" s="210"/>
      <c r="N1455" s="210"/>
      <c r="O1455" s="210"/>
      <c r="P1455" s="210"/>
      <c r="Q1455" s="210"/>
      <c r="R1455" s="210"/>
      <c r="S1455" s="210"/>
      <c r="T1455" s="210"/>
      <c r="U1455" s="210"/>
      <c r="V1455" s="210"/>
      <c r="W1455" s="210"/>
      <c r="X1455" s="210"/>
      <c r="Y1455" s="210"/>
      <c r="Z1455" s="210"/>
    </row>
    <row r="1456" ht="21.75" customHeight="1">
      <c r="A1456" s="214"/>
      <c r="B1456" s="221"/>
      <c r="C1456" s="222">
        <v>209.0</v>
      </c>
      <c r="D1456" s="223" t="s">
        <v>1547</v>
      </c>
      <c r="E1456" s="223" t="s">
        <v>529</v>
      </c>
      <c r="F1456" s="223" t="s">
        <v>530</v>
      </c>
      <c r="G1456" s="218" t="s">
        <v>490</v>
      </c>
      <c r="H1456" s="224" t="s">
        <v>490</v>
      </c>
      <c r="I1456" s="208"/>
      <c r="J1456" s="210"/>
      <c r="K1456" s="210"/>
      <c r="L1456" s="210"/>
      <c r="M1456" s="210"/>
      <c r="N1456" s="210"/>
      <c r="O1456" s="210"/>
      <c r="P1456" s="210"/>
      <c r="Q1456" s="210"/>
      <c r="R1456" s="210"/>
      <c r="S1456" s="210"/>
      <c r="T1456" s="210"/>
      <c r="U1456" s="210"/>
      <c r="V1456" s="210"/>
      <c r="W1456" s="210"/>
      <c r="X1456" s="210"/>
      <c r="Y1456" s="210"/>
      <c r="Z1456" s="210"/>
    </row>
    <row r="1457" ht="21.75" customHeight="1">
      <c r="A1457" s="214"/>
      <c r="B1457" s="217"/>
      <c r="C1457" s="222">
        <v>300.0</v>
      </c>
      <c r="D1457" s="215" t="s">
        <v>696</v>
      </c>
      <c r="E1457" s="215" t="s">
        <v>673</v>
      </c>
      <c r="F1457" s="215" t="s">
        <v>696</v>
      </c>
      <c r="G1457" s="234" t="s">
        <v>490</v>
      </c>
      <c r="H1457" s="224" t="s">
        <v>490</v>
      </c>
      <c r="I1457" s="208"/>
      <c r="J1457" s="210"/>
      <c r="K1457" s="210"/>
      <c r="L1457" s="210"/>
      <c r="M1457" s="210"/>
      <c r="N1457" s="210"/>
      <c r="O1457" s="210"/>
      <c r="P1457" s="210"/>
      <c r="Q1457" s="210"/>
      <c r="R1457" s="210"/>
      <c r="S1457" s="210"/>
      <c r="T1457" s="210"/>
      <c r="U1457" s="210"/>
      <c r="V1457" s="210"/>
      <c r="W1457" s="210"/>
      <c r="X1457" s="210"/>
      <c r="Y1457" s="210"/>
      <c r="Z1457" s="210"/>
    </row>
    <row r="1458" ht="21.75" customHeight="1">
      <c r="A1458" s="214"/>
      <c r="B1458" s="218" t="s">
        <v>1603</v>
      </c>
      <c r="C1458" s="226">
        <v>70031.0</v>
      </c>
      <c r="D1458" s="220"/>
      <c r="E1458" s="220"/>
      <c r="F1458" s="220"/>
      <c r="G1458" s="220"/>
      <c r="H1458" s="221"/>
      <c r="I1458" s="208"/>
      <c r="J1458" s="210"/>
      <c r="K1458" s="210"/>
      <c r="L1458" s="210"/>
      <c r="M1458" s="210"/>
      <c r="N1458" s="210"/>
      <c r="O1458" s="210"/>
      <c r="P1458" s="210"/>
      <c r="Q1458" s="210"/>
      <c r="R1458" s="210"/>
      <c r="S1458" s="210"/>
      <c r="T1458" s="210"/>
      <c r="U1458" s="210"/>
      <c r="V1458" s="210"/>
      <c r="W1458" s="210"/>
      <c r="X1458" s="210"/>
      <c r="Y1458" s="210"/>
      <c r="Z1458" s="210"/>
    </row>
    <row r="1459" ht="21.75" customHeight="1">
      <c r="A1459" s="214"/>
      <c r="B1459" s="221"/>
      <c r="C1459" s="222">
        <v>100.0</v>
      </c>
      <c r="D1459" s="223" t="s">
        <v>486</v>
      </c>
      <c r="E1459" s="223" t="s">
        <v>487</v>
      </c>
      <c r="F1459" s="223" t="s">
        <v>488</v>
      </c>
      <c r="G1459" s="223" t="s">
        <v>489</v>
      </c>
      <c r="H1459" s="224" t="s">
        <v>490</v>
      </c>
      <c r="I1459" s="208"/>
      <c r="J1459" s="210"/>
      <c r="K1459" s="210"/>
      <c r="L1459" s="210"/>
      <c r="M1459" s="210"/>
      <c r="N1459" s="210"/>
      <c r="O1459" s="210"/>
      <c r="P1459" s="210"/>
      <c r="Q1459" s="210"/>
      <c r="R1459" s="210"/>
      <c r="S1459" s="210"/>
      <c r="T1459" s="210"/>
      <c r="U1459" s="210"/>
      <c r="V1459" s="210"/>
      <c r="W1459" s="210"/>
      <c r="X1459" s="210"/>
      <c r="Y1459" s="210"/>
      <c r="Z1459" s="210"/>
    </row>
    <row r="1460" ht="21.75" customHeight="1">
      <c r="A1460" s="214"/>
      <c r="B1460" s="221"/>
      <c r="C1460" s="222">
        <v>101.0</v>
      </c>
      <c r="D1460" s="223" t="s">
        <v>491</v>
      </c>
      <c r="E1460" s="223" t="s">
        <v>487</v>
      </c>
      <c r="F1460" s="223" t="s">
        <v>492</v>
      </c>
      <c r="G1460" s="223" t="s">
        <v>678</v>
      </c>
      <c r="H1460" s="225" t="s">
        <v>1604</v>
      </c>
      <c r="I1460" s="208"/>
      <c r="J1460" s="210"/>
      <c r="K1460" s="210"/>
      <c r="L1460" s="210"/>
      <c r="M1460" s="210"/>
      <c r="N1460" s="210"/>
      <c r="O1460" s="210"/>
      <c r="P1460" s="210"/>
      <c r="Q1460" s="210"/>
      <c r="R1460" s="210"/>
      <c r="S1460" s="210"/>
      <c r="T1460" s="210"/>
      <c r="U1460" s="210"/>
      <c r="V1460" s="210"/>
      <c r="W1460" s="210"/>
      <c r="X1460" s="210"/>
      <c r="Y1460" s="210"/>
      <c r="Z1460" s="210"/>
    </row>
    <row r="1461" ht="21.75" customHeight="1">
      <c r="A1461" s="214"/>
      <c r="B1461" s="221"/>
      <c r="C1461" s="222">
        <v>102.0</v>
      </c>
      <c r="D1461" s="223" t="s">
        <v>1537</v>
      </c>
      <c r="E1461" s="223" t="s">
        <v>487</v>
      </c>
      <c r="F1461" s="223" t="s">
        <v>496</v>
      </c>
      <c r="G1461" s="223" t="s">
        <v>501</v>
      </c>
      <c r="H1461" s="224" t="s">
        <v>490</v>
      </c>
      <c r="I1461" s="208"/>
      <c r="J1461" s="210"/>
      <c r="K1461" s="210"/>
      <c r="L1461" s="210"/>
      <c r="M1461" s="210"/>
      <c r="N1461" s="210"/>
      <c r="O1461" s="210"/>
      <c r="P1461" s="210"/>
      <c r="Q1461" s="210"/>
      <c r="R1461" s="210"/>
      <c r="S1461" s="210"/>
      <c r="T1461" s="210"/>
      <c r="U1461" s="210"/>
      <c r="V1461" s="210"/>
      <c r="W1461" s="210"/>
      <c r="X1461" s="210"/>
      <c r="Y1461" s="210"/>
      <c r="Z1461" s="210"/>
    </row>
    <row r="1462" ht="21.75" customHeight="1">
      <c r="A1462" s="214"/>
      <c r="B1462" s="221"/>
      <c r="C1462" s="222">
        <v>103.0</v>
      </c>
      <c r="D1462" s="223" t="s">
        <v>1538</v>
      </c>
      <c r="E1462" s="223" t="s">
        <v>487</v>
      </c>
      <c r="F1462" s="223" t="s">
        <v>500</v>
      </c>
      <c r="G1462" s="223" t="s">
        <v>497</v>
      </c>
      <c r="H1462" s="225" t="s">
        <v>1605</v>
      </c>
      <c r="I1462" s="208"/>
      <c r="J1462" s="210"/>
      <c r="K1462" s="210"/>
      <c r="L1462" s="210"/>
      <c r="M1462" s="210"/>
      <c r="N1462" s="210"/>
      <c r="O1462" s="210"/>
      <c r="P1462" s="210"/>
      <c r="Q1462" s="210"/>
      <c r="R1462" s="210"/>
      <c r="S1462" s="210"/>
      <c r="T1462" s="210"/>
      <c r="U1462" s="210"/>
      <c r="V1462" s="210"/>
      <c r="W1462" s="210"/>
      <c r="X1462" s="210"/>
      <c r="Y1462" s="210"/>
      <c r="Z1462" s="210"/>
    </row>
    <row r="1463" ht="21.75" customHeight="1">
      <c r="A1463" s="214"/>
      <c r="B1463" s="221"/>
      <c r="C1463" s="222">
        <v>104.0</v>
      </c>
      <c r="D1463" s="223" t="s">
        <v>507</v>
      </c>
      <c r="E1463" s="223" t="s">
        <v>508</v>
      </c>
      <c r="F1463" s="223" t="s">
        <v>509</v>
      </c>
      <c r="G1463" s="223" t="s">
        <v>510</v>
      </c>
      <c r="H1463" s="225" t="s">
        <v>1540</v>
      </c>
      <c r="I1463" s="208"/>
      <c r="J1463" s="210"/>
      <c r="K1463" s="210"/>
      <c r="L1463" s="210"/>
      <c r="M1463" s="210"/>
      <c r="N1463" s="210"/>
      <c r="O1463" s="210"/>
      <c r="P1463" s="210"/>
      <c r="Q1463" s="210"/>
      <c r="R1463" s="210"/>
      <c r="S1463" s="210"/>
      <c r="T1463" s="210"/>
      <c r="U1463" s="210"/>
      <c r="V1463" s="210"/>
      <c r="W1463" s="210"/>
      <c r="X1463" s="210"/>
      <c r="Y1463" s="210"/>
      <c r="Z1463" s="210"/>
    </row>
    <row r="1464" ht="21.75" customHeight="1">
      <c r="A1464" s="214"/>
      <c r="B1464" s="221"/>
      <c r="C1464" s="222">
        <v>105.0</v>
      </c>
      <c r="D1464" s="223" t="s">
        <v>1541</v>
      </c>
      <c r="E1464" s="223" t="s">
        <v>487</v>
      </c>
      <c r="F1464" s="223" t="s">
        <v>1542</v>
      </c>
      <c r="G1464" s="218" t="s">
        <v>490</v>
      </c>
      <c r="H1464" s="224" t="s">
        <v>490</v>
      </c>
      <c r="I1464" s="208"/>
      <c r="J1464" s="210"/>
      <c r="K1464" s="210"/>
      <c r="L1464" s="210"/>
      <c r="M1464" s="210"/>
      <c r="N1464" s="210"/>
      <c r="O1464" s="210"/>
      <c r="P1464" s="210"/>
      <c r="Q1464" s="210"/>
      <c r="R1464" s="210"/>
      <c r="S1464" s="210"/>
      <c r="T1464" s="210"/>
      <c r="U1464" s="210"/>
      <c r="V1464" s="210"/>
      <c r="W1464" s="210"/>
      <c r="X1464" s="210"/>
      <c r="Y1464" s="210"/>
      <c r="Z1464" s="210"/>
    </row>
    <row r="1465" ht="21.75" customHeight="1">
      <c r="A1465" s="214"/>
      <c r="B1465" s="221"/>
      <c r="C1465" s="222">
        <v>200.0</v>
      </c>
      <c r="D1465" s="223" t="s">
        <v>1543</v>
      </c>
      <c r="E1465" s="223" t="s">
        <v>487</v>
      </c>
      <c r="F1465" s="223" t="s">
        <v>512</v>
      </c>
      <c r="G1465" s="218" t="s">
        <v>490</v>
      </c>
      <c r="H1465" s="224" t="s">
        <v>490</v>
      </c>
      <c r="I1465" s="208"/>
      <c r="J1465" s="210"/>
      <c r="K1465" s="210"/>
      <c r="L1465" s="210"/>
      <c r="M1465" s="210"/>
      <c r="N1465" s="210"/>
      <c r="O1465" s="210"/>
      <c r="P1465" s="210"/>
      <c r="Q1465" s="210"/>
      <c r="R1465" s="210"/>
      <c r="S1465" s="210"/>
      <c r="T1465" s="210"/>
      <c r="U1465" s="210"/>
      <c r="V1465" s="210"/>
      <c r="W1465" s="210"/>
      <c r="X1465" s="210"/>
      <c r="Y1465" s="210"/>
      <c r="Z1465" s="210"/>
    </row>
    <row r="1466" ht="21.75" customHeight="1">
      <c r="A1466" s="214"/>
      <c r="B1466" s="221"/>
      <c r="C1466" s="222">
        <v>201.0</v>
      </c>
      <c r="D1466" s="223" t="s">
        <v>1544</v>
      </c>
      <c r="E1466" s="223" t="s">
        <v>487</v>
      </c>
      <c r="F1466" s="223" t="s">
        <v>532</v>
      </c>
      <c r="G1466" s="218" t="s">
        <v>490</v>
      </c>
      <c r="H1466" s="224" t="s">
        <v>490</v>
      </c>
      <c r="I1466" s="208"/>
      <c r="J1466" s="210"/>
      <c r="K1466" s="210"/>
      <c r="L1466" s="210"/>
      <c r="M1466" s="210"/>
      <c r="N1466" s="210"/>
      <c r="O1466" s="210"/>
      <c r="P1466" s="210"/>
      <c r="Q1466" s="210"/>
      <c r="R1466" s="210"/>
      <c r="S1466" s="210"/>
      <c r="T1466" s="210"/>
      <c r="U1466" s="210"/>
      <c r="V1466" s="210"/>
      <c r="W1466" s="210"/>
      <c r="X1466" s="210"/>
      <c r="Y1466" s="210"/>
      <c r="Z1466" s="210"/>
    </row>
    <row r="1467" ht="21.75" customHeight="1">
      <c r="A1467" s="214"/>
      <c r="B1467" s="221"/>
      <c r="C1467" s="222">
        <v>202.0</v>
      </c>
      <c r="D1467" s="223" t="s">
        <v>253</v>
      </c>
      <c r="E1467" s="223" t="s">
        <v>487</v>
      </c>
      <c r="F1467" s="223" t="s">
        <v>590</v>
      </c>
      <c r="G1467" s="218" t="s">
        <v>490</v>
      </c>
      <c r="H1467" s="224" t="s">
        <v>490</v>
      </c>
      <c r="I1467" s="208"/>
      <c r="J1467" s="210"/>
      <c r="K1467" s="210"/>
      <c r="L1467" s="210"/>
      <c r="M1467" s="210"/>
      <c r="N1467" s="210"/>
      <c r="O1467" s="210"/>
      <c r="P1467" s="210"/>
      <c r="Q1467" s="210"/>
      <c r="R1467" s="210"/>
      <c r="S1467" s="210"/>
      <c r="T1467" s="210"/>
      <c r="U1467" s="210"/>
      <c r="V1467" s="210"/>
      <c r="W1467" s="210"/>
      <c r="X1467" s="210"/>
      <c r="Y1467" s="210"/>
      <c r="Z1467" s="210"/>
    </row>
    <row r="1468" ht="21.75" customHeight="1">
      <c r="A1468" s="214"/>
      <c r="B1468" s="221"/>
      <c r="C1468" s="222">
        <v>203.0</v>
      </c>
      <c r="D1468" s="223" t="s">
        <v>1000</v>
      </c>
      <c r="E1468" s="223" t="s">
        <v>487</v>
      </c>
      <c r="F1468" s="223" t="s">
        <v>603</v>
      </c>
      <c r="G1468" s="218" t="s">
        <v>490</v>
      </c>
      <c r="H1468" s="224" t="s">
        <v>490</v>
      </c>
      <c r="I1468" s="208"/>
      <c r="J1468" s="210"/>
      <c r="K1468" s="210"/>
      <c r="L1468" s="210"/>
      <c r="M1468" s="210"/>
      <c r="N1468" s="210"/>
      <c r="O1468" s="210"/>
      <c r="P1468" s="210"/>
      <c r="Q1468" s="210"/>
      <c r="R1468" s="210"/>
      <c r="S1468" s="210"/>
      <c r="T1468" s="210"/>
      <c r="U1468" s="210"/>
      <c r="V1468" s="210"/>
      <c r="W1468" s="210"/>
      <c r="X1468" s="210"/>
      <c r="Y1468" s="210"/>
      <c r="Z1468" s="210"/>
    </row>
    <row r="1469" ht="21.75" customHeight="1">
      <c r="A1469" s="214"/>
      <c r="B1469" s="221"/>
      <c r="C1469" s="222">
        <v>204.0</v>
      </c>
      <c r="D1469" s="223" t="s">
        <v>1419</v>
      </c>
      <c r="E1469" s="223" t="s">
        <v>487</v>
      </c>
      <c r="F1469" s="223" t="s">
        <v>579</v>
      </c>
      <c r="G1469" s="218" t="s">
        <v>490</v>
      </c>
      <c r="H1469" s="224" t="s">
        <v>490</v>
      </c>
      <c r="I1469" s="208"/>
      <c r="J1469" s="210"/>
      <c r="K1469" s="210"/>
      <c r="L1469" s="210"/>
      <c r="M1469" s="210"/>
      <c r="N1469" s="210"/>
      <c r="O1469" s="210"/>
      <c r="P1469" s="210"/>
      <c r="Q1469" s="210"/>
      <c r="R1469" s="210"/>
      <c r="S1469" s="210"/>
      <c r="T1469" s="210"/>
      <c r="U1469" s="210"/>
      <c r="V1469" s="210"/>
      <c r="W1469" s="210"/>
      <c r="X1469" s="210"/>
      <c r="Y1469" s="210"/>
      <c r="Z1469" s="210"/>
    </row>
    <row r="1470" ht="21.75" customHeight="1">
      <c r="A1470" s="214"/>
      <c r="B1470" s="221"/>
      <c r="C1470" s="222">
        <v>205.0</v>
      </c>
      <c r="D1470" s="223" t="s">
        <v>1420</v>
      </c>
      <c r="E1470" s="223" t="s">
        <v>487</v>
      </c>
      <c r="F1470" s="223" t="s">
        <v>583</v>
      </c>
      <c r="G1470" s="218" t="s">
        <v>490</v>
      </c>
      <c r="H1470" s="224" t="s">
        <v>490</v>
      </c>
      <c r="I1470" s="208"/>
      <c r="J1470" s="210"/>
      <c r="K1470" s="210"/>
      <c r="L1470" s="210"/>
      <c r="M1470" s="210"/>
      <c r="N1470" s="210"/>
      <c r="O1470" s="210"/>
      <c r="P1470" s="210"/>
      <c r="Q1470" s="210"/>
      <c r="R1470" s="210"/>
      <c r="S1470" s="210"/>
      <c r="T1470" s="210"/>
      <c r="U1470" s="210"/>
      <c r="V1470" s="210"/>
      <c r="W1470" s="210"/>
      <c r="X1470" s="210"/>
      <c r="Y1470" s="210"/>
      <c r="Z1470" s="210"/>
    </row>
    <row r="1471" ht="21.75" customHeight="1">
      <c r="A1471" s="214"/>
      <c r="B1471" s="221"/>
      <c r="C1471" s="222">
        <v>206.0</v>
      </c>
      <c r="D1471" s="223" t="s">
        <v>1545</v>
      </c>
      <c r="E1471" s="223" t="s">
        <v>487</v>
      </c>
      <c r="F1471" s="223" t="s">
        <v>601</v>
      </c>
      <c r="G1471" s="218" t="s">
        <v>490</v>
      </c>
      <c r="H1471" s="224" t="s">
        <v>490</v>
      </c>
      <c r="I1471" s="208"/>
      <c r="J1471" s="210"/>
      <c r="K1471" s="210"/>
      <c r="L1471" s="210"/>
      <c r="M1471" s="210"/>
      <c r="N1471" s="210"/>
      <c r="O1471" s="210"/>
      <c r="P1471" s="210"/>
      <c r="Q1471" s="210"/>
      <c r="R1471" s="210"/>
      <c r="S1471" s="210"/>
      <c r="T1471" s="210"/>
      <c r="U1471" s="210"/>
      <c r="V1471" s="210"/>
      <c r="W1471" s="210"/>
      <c r="X1471" s="210"/>
      <c r="Y1471" s="210"/>
      <c r="Z1471" s="210"/>
    </row>
    <row r="1472" ht="21.75" customHeight="1">
      <c r="A1472" s="214"/>
      <c r="B1472" s="221"/>
      <c r="C1472" s="222">
        <v>207.0</v>
      </c>
      <c r="D1472" s="223" t="s">
        <v>1546</v>
      </c>
      <c r="E1472" s="223" t="s">
        <v>487</v>
      </c>
      <c r="F1472" s="223" t="s">
        <v>560</v>
      </c>
      <c r="G1472" s="218" t="s">
        <v>490</v>
      </c>
      <c r="H1472" s="224" t="s">
        <v>490</v>
      </c>
      <c r="I1472" s="208"/>
      <c r="J1472" s="210"/>
      <c r="K1472" s="210"/>
      <c r="L1472" s="210"/>
      <c r="M1472" s="210"/>
      <c r="N1472" s="210"/>
      <c r="O1472" s="210"/>
      <c r="P1472" s="210"/>
      <c r="Q1472" s="210"/>
      <c r="R1472" s="210"/>
      <c r="S1472" s="210"/>
      <c r="T1472" s="210"/>
      <c r="U1472" s="210"/>
      <c r="V1472" s="210"/>
      <c r="W1472" s="210"/>
      <c r="X1472" s="210"/>
      <c r="Y1472" s="210"/>
      <c r="Z1472" s="210"/>
    </row>
    <row r="1473" ht="21.75" customHeight="1">
      <c r="A1473" s="214"/>
      <c r="B1473" s="221"/>
      <c r="C1473" s="222">
        <v>208.0</v>
      </c>
      <c r="D1473" s="223" t="s">
        <v>1479</v>
      </c>
      <c r="E1473" s="223" t="s">
        <v>487</v>
      </c>
      <c r="F1473" s="223" t="s">
        <v>613</v>
      </c>
      <c r="G1473" s="218" t="s">
        <v>490</v>
      </c>
      <c r="H1473" s="224" t="s">
        <v>490</v>
      </c>
      <c r="I1473" s="208"/>
      <c r="J1473" s="210"/>
      <c r="K1473" s="210"/>
      <c r="L1473" s="210"/>
      <c r="M1473" s="210"/>
      <c r="N1473" s="210"/>
      <c r="O1473" s="210"/>
      <c r="P1473" s="210"/>
      <c r="Q1473" s="210"/>
      <c r="R1473" s="210"/>
      <c r="S1473" s="210"/>
      <c r="T1473" s="210"/>
      <c r="U1473" s="210"/>
      <c r="V1473" s="210"/>
      <c r="W1473" s="210"/>
      <c r="X1473" s="210"/>
      <c r="Y1473" s="210"/>
      <c r="Z1473" s="210"/>
    </row>
    <row r="1474" ht="21.75" customHeight="1">
      <c r="A1474" s="214"/>
      <c r="B1474" s="221"/>
      <c r="C1474" s="222">
        <v>209.0</v>
      </c>
      <c r="D1474" s="223" t="s">
        <v>1547</v>
      </c>
      <c r="E1474" s="223" t="s">
        <v>529</v>
      </c>
      <c r="F1474" s="223" t="s">
        <v>530</v>
      </c>
      <c r="G1474" s="218" t="s">
        <v>490</v>
      </c>
      <c r="H1474" s="224" t="s">
        <v>490</v>
      </c>
      <c r="I1474" s="208"/>
      <c r="J1474" s="210"/>
      <c r="K1474" s="210"/>
      <c r="L1474" s="210"/>
      <c r="M1474" s="210"/>
      <c r="N1474" s="210"/>
      <c r="O1474" s="210"/>
      <c r="P1474" s="210"/>
      <c r="Q1474" s="210"/>
      <c r="R1474" s="210"/>
      <c r="S1474" s="210"/>
      <c r="T1474" s="210"/>
      <c r="U1474" s="210"/>
      <c r="V1474" s="210"/>
      <c r="W1474" s="210"/>
      <c r="X1474" s="210"/>
      <c r="Y1474" s="210"/>
      <c r="Z1474" s="210"/>
    </row>
    <row r="1475" ht="21.75" customHeight="1">
      <c r="A1475" s="214"/>
      <c r="B1475" s="217"/>
      <c r="C1475" s="222">
        <v>300.0</v>
      </c>
      <c r="D1475" s="215" t="s">
        <v>696</v>
      </c>
      <c r="E1475" s="215" t="s">
        <v>673</v>
      </c>
      <c r="F1475" s="215" t="s">
        <v>696</v>
      </c>
      <c r="G1475" s="234" t="s">
        <v>490</v>
      </c>
      <c r="H1475" s="224" t="s">
        <v>490</v>
      </c>
      <c r="I1475" s="208"/>
      <c r="J1475" s="210"/>
      <c r="K1475" s="210"/>
      <c r="L1475" s="210"/>
      <c r="M1475" s="210"/>
      <c r="N1475" s="210"/>
      <c r="O1475" s="210"/>
      <c r="P1475" s="210"/>
      <c r="Q1475" s="210"/>
      <c r="R1475" s="210"/>
      <c r="S1475" s="210"/>
      <c r="T1475" s="210"/>
      <c r="U1475" s="210"/>
      <c r="V1475" s="210"/>
      <c r="W1475" s="210"/>
      <c r="X1475" s="210"/>
      <c r="Y1475" s="210"/>
      <c r="Z1475" s="210"/>
    </row>
    <row r="1476" ht="21.75" customHeight="1">
      <c r="A1476" s="214"/>
      <c r="B1476" s="218" t="s">
        <v>1606</v>
      </c>
      <c r="C1476" s="226">
        <v>70036.0</v>
      </c>
      <c r="D1476" s="220"/>
      <c r="E1476" s="220"/>
      <c r="F1476" s="220"/>
      <c r="G1476" s="220"/>
      <c r="H1476" s="221"/>
      <c r="I1476" s="208"/>
      <c r="J1476" s="210"/>
      <c r="K1476" s="210"/>
      <c r="L1476" s="210"/>
      <c r="M1476" s="210"/>
      <c r="N1476" s="210"/>
      <c r="O1476" s="210"/>
      <c r="P1476" s="210"/>
      <c r="Q1476" s="210"/>
      <c r="R1476" s="210"/>
      <c r="S1476" s="210"/>
      <c r="T1476" s="210"/>
      <c r="U1476" s="210"/>
      <c r="V1476" s="210"/>
      <c r="W1476" s="210"/>
      <c r="X1476" s="210"/>
      <c r="Y1476" s="210"/>
      <c r="Z1476" s="210"/>
    </row>
    <row r="1477" ht="21.75" customHeight="1">
      <c r="A1477" s="214"/>
      <c r="B1477" s="221"/>
      <c r="C1477" s="222">
        <v>100.0</v>
      </c>
      <c r="D1477" s="223" t="s">
        <v>486</v>
      </c>
      <c r="E1477" s="223" t="s">
        <v>487</v>
      </c>
      <c r="F1477" s="223" t="s">
        <v>488</v>
      </c>
      <c r="G1477" s="223" t="s">
        <v>489</v>
      </c>
      <c r="H1477" s="224" t="s">
        <v>490</v>
      </c>
      <c r="I1477" s="208"/>
      <c r="J1477" s="210"/>
      <c r="K1477" s="210"/>
      <c r="L1477" s="210"/>
      <c r="M1477" s="210"/>
      <c r="N1477" s="210"/>
      <c r="O1477" s="210"/>
      <c r="P1477" s="210"/>
      <c r="Q1477" s="210"/>
      <c r="R1477" s="210"/>
      <c r="S1477" s="210"/>
      <c r="T1477" s="210"/>
      <c r="U1477" s="210"/>
      <c r="V1477" s="210"/>
      <c r="W1477" s="210"/>
      <c r="X1477" s="210"/>
      <c r="Y1477" s="210"/>
      <c r="Z1477" s="210"/>
    </row>
    <row r="1478" ht="21.75" customHeight="1">
      <c r="A1478" s="214"/>
      <c r="B1478" s="221"/>
      <c r="C1478" s="222">
        <v>101.0</v>
      </c>
      <c r="D1478" s="223" t="s">
        <v>491</v>
      </c>
      <c r="E1478" s="223" t="s">
        <v>487</v>
      </c>
      <c r="F1478" s="223" t="s">
        <v>492</v>
      </c>
      <c r="G1478" s="223" t="s">
        <v>678</v>
      </c>
      <c r="H1478" s="225" t="s">
        <v>1607</v>
      </c>
      <c r="I1478" s="208"/>
      <c r="J1478" s="210"/>
      <c r="K1478" s="210"/>
      <c r="L1478" s="210"/>
      <c r="M1478" s="210"/>
      <c r="N1478" s="210"/>
      <c r="O1478" s="210"/>
      <c r="P1478" s="210"/>
      <c r="Q1478" s="210"/>
      <c r="R1478" s="210"/>
      <c r="S1478" s="210"/>
      <c r="T1478" s="210"/>
      <c r="U1478" s="210"/>
      <c r="V1478" s="210"/>
      <c r="W1478" s="210"/>
      <c r="X1478" s="210"/>
      <c r="Y1478" s="210"/>
      <c r="Z1478" s="210"/>
    </row>
    <row r="1479" ht="21.75" customHeight="1">
      <c r="A1479" s="214"/>
      <c r="B1479" s="221"/>
      <c r="C1479" s="222">
        <v>102.0</v>
      </c>
      <c r="D1479" s="223" t="s">
        <v>1537</v>
      </c>
      <c r="E1479" s="223" t="s">
        <v>487</v>
      </c>
      <c r="F1479" s="223" t="s">
        <v>496</v>
      </c>
      <c r="G1479" s="223" t="s">
        <v>501</v>
      </c>
      <c r="H1479" s="224" t="s">
        <v>490</v>
      </c>
      <c r="I1479" s="208"/>
      <c r="J1479" s="210"/>
      <c r="K1479" s="210"/>
      <c r="L1479" s="210"/>
      <c r="M1479" s="210"/>
      <c r="N1479" s="210"/>
      <c r="O1479" s="210"/>
      <c r="P1479" s="210"/>
      <c r="Q1479" s="210"/>
      <c r="R1479" s="210"/>
      <c r="S1479" s="210"/>
      <c r="T1479" s="210"/>
      <c r="U1479" s="210"/>
      <c r="V1479" s="210"/>
      <c r="W1479" s="210"/>
      <c r="X1479" s="210"/>
      <c r="Y1479" s="210"/>
      <c r="Z1479" s="210"/>
    </row>
    <row r="1480" ht="21.75" customHeight="1">
      <c r="A1480" s="214"/>
      <c r="B1480" s="221"/>
      <c r="C1480" s="222">
        <v>103.0</v>
      </c>
      <c r="D1480" s="223" t="s">
        <v>1538</v>
      </c>
      <c r="E1480" s="223" t="s">
        <v>487</v>
      </c>
      <c r="F1480" s="223" t="s">
        <v>500</v>
      </c>
      <c r="G1480" s="223" t="s">
        <v>497</v>
      </c>
      <c r="H1480" s="225" t="s">
        <v>1608</v>
      </c>
      <c r="I1480" s="208"/>
      <c r="J1480" s="210"/>
      <c r="K1480" s="210"/>
      <c r="L1480" s="210"/>
      <c r="M1480" s="210"/>
      <c r="N1480" s="210"/>
      <c r="O1480" s="210"/>
      <c r="P1480" s="210"/>
      <c r="Q1480" s="210"/>
      <c r="R1480" s="210"/>
      <c r="S1480" s="210"/>
      <c r="T1480" s="210"/>
      <c r="U1480" s="210"/>
      <c r="V1480" s="210"/>
      <c r="W1480" s="210"/>
      <c r="X1480" s="210"/>
      <c r="Y1480" s="210"/>
      <c r="Z1480" s="210"/>
    </row>
    <row r="1481" ht="21.75" customHeight="1">
      <c r="A1481" s="214"/>
      <c r="B1481" s="221"/>
      <c r="C1481" s="222">
        <v>104.0</v>
      </c>
      <c r="D1481" s="223" t="s">
        <v>507</v>
      </c>
      <c r="E1481" s="223" t="s">
        <v>508</v>
      </c>
      <c r="F1481" s="223" t="s">
        <v>509</v>
      </c>
      <c r="G1481" s="223" t="s">
        <v>510</v>
      </c>
      <c r="H1481" s="225" t="s">
        <v>1540</v>
      </c>
      <c r="I1481" s="208"/>
      <c r="J1481" s="210"/>
      <c r="K1481" s="210"/>
      <c r="L1481" s="210"/>
      <c r="M1481" s="210"/>
      <c r="N1481" s="210"/>
      <c r="O1481" s="210"/>
      <c r="P1481" s="210"/>
      <c r="Q1481" s="210"/>
      <c r="R1481" s="210"/>
      <c r="S1481" s="210"/>
      <c r="T1481" s="210"/>
      <c r="U1481" s="210"/>
      <c r="V1481" s="210"/>
      <c r="W1481" s="210"/>
      <c r="X1481" s="210"/>
      <c r="Y1481" s="210"/>
      <c r="Z1481" s="210"/>
    </row>
    <row r="1482" ht="21.75" customHeight="1">
      <c r="A1482" s="214"/>
      <c r="B1482" s="221"/>
      <c r="C1482" s="222">
        <v>105.0</v>
      </c>
      <c r="D1482" s="223" t="s">
        <v>1541</v>
      </c>
      <c r="E1482" s="223" t="s">
        <v>487</v>
      </c>
      <c r="F1482" s="223" t="s">
        <v>1542</v>
      </c>
      <c r="G1482" s="218" t="s">
        <v>490</v>
      </c>
      <c r="H1482" s="224" t="s">
        <v>490</v>
      </c>
      <c r="I1482" s="208"/>
      <c r="J1482" s="210"/>
      <c r="K1482" s="210"/>
      <c r="L1482" s="210"/>
      <c r="M1482" s="210"/>
      <c r="N1482" s="210"/>
      <c r="O1482" s="210"/>
      <c r="P1482" s="210"/>
      <c r="Q1482" s="210"/>
      <c r="R1482" s="210"/>
      <c r="S1482" s="210"/>
      <c r="T1482" s="210"/>
      <c r="U1482" s="210"/>
      <c r="V1482" s="210"/>
      <c r="W1482" s="210"/>
      <c r="X1482" s="210"/>
      <c r="Y1482" s="210"/>
      <c r="Z1482" s="210"/>
    </row>
    <row r="1483" ht="21.75" customHeight="1">
      <c r="A1483" s="214"/>
      <c r="B1483" s="221"/>
      <c r="C1483" s="222">
        <v>200.0</v>
      </c>
      <c r="D1483" s="223" t="s">
        <v>1543</v>
      </c>
      <c r="E1483" s="223" t="s">
        <v>487</v>
      </c>
      <c r="F1483" s="223" t="s">
        <v>512</v>
      </c>
      <c r="G1483" s="218" t="s">
        <v>490</v>
      </c>
      <c r="H1483" s="224" t="s">
        <v>490</v>
      </c>
      <c r="I1483" s="208"/>
      <c r="J1483" s="210"/>
      <c r="K1483" s="210"/>
      <c r="L1483" s="210"/>
      <c r="M1483" s="210"/>
      <c r="N1483" s="210"/>
      <c r="O1483" s="210"/>
      <c r="P1483" s="210"/>
      <c r="Q1483" s="210"/>
      <c r="R1483" s="210"/>
      <c r="S1483" s="210"/>
      <c r="T1483" s="210"/>
      <c r="U1483" s="210"/>
      <c r="V1483" s="210"/>
      <c r="W1483" s="210"/>
      <c r="X1483" s="210"/>
      <c r="Y1483" s="210"/>
      <c r="Z1483" s="210"/>
    </row>
    <row r="1484" ht="21.75" customHeight="1">
      <c r="A1484" s="214"/>
      <c r="B1484" s="221"/>
      <c r="C1484" s="222">
        <v>201.0</v>
      </c>
      <c r="D1484" s="223" t="s">
        <v>1544</v>
      </c>
      <c r="E1484" s="223" t="s">
        <v>487</v>
      </c>
      <c r="F1484" s="223" t="s">
        <v>532</v>
      </c>
      <c r="G1484" s="218" t="s">
        <v>490</v>
      </c>
      <c r="H1484" s="224" t="s">
        <v>490</v>
      </c>
      <c r="I1484" s="208"/>
      <c r="J1484" s="210"/>
      <c r="K1484" s="210"/>
      <c r="L1484" s="210"/>
      <c r="M1484" s="210"/>
      <c r="N1484" s="210"/>
      <c r="O1484" s="210"/>
      <c r="P1484" s="210"/>
      <c r="Q1484" s="210"/>
      <c r="R1484" s="210"/>
      <c r="S1484" s="210"/>
      <c r="T1484" s="210"/>
      <c r="U1484" s="210"/>
      <c r="V1484" s="210"/>
      <c r="W1484" s="210"/>
      <c r="X1484" s="210"/>
      <c r="Y1484" s="210"/>
      <c r="Z1484" s="210"/>
    </row>
    <row r="1485" ht="21.75" customHeight="1">
      <c r="A1485" s="214"/>
      <c r="B1485" s="221"/>
      <c r="C1485" s="222">
        <v>202.0</v>
      </c>
      <c r="D1485" s="223" t="s">
        <v>253</v>
      </c>
      <c r="E1485" s="223" t="s">
        <v>487</v>
      </c>
      <c r="F1485" s="223" t="s">
        <v>590</v>
      </c>
      <c r="G1485" s="218" t="s">
        <v>490</v>
      </c>
      <c r="H1485" s="224" t="s">
        <v>490</v>
      </c>
      <c r="I1485" s="208"/>
      <c r="J1485" s="210"/>
      <c r="K1485" s="210"/>
      <c r="L1485" s="210"/>
      <c r="M1485" s="210"/>
      <c r="N1485" s="210"/>
      <c r="O1485" s="210"/>
      <c r="P1485" s="210"/>
      <c r="Q1485" s="210"/>
      <c r="R1485" s="210"/>
      <c r="S1485" s="210"/>
      <c r="T1485" s="210"/>
      <c r="U1485" s="210"/>
      <c r="V1485" s="210"/>
      <c r="W1485" s="210"/>
      <c r="X1485" s="210"/>
      <c r="Y1485" s="210"/>
      <c r="Z1485" s="210"/>
    </row>
    <row r="1486" ht="21.75" customHeight="1">
      <c r="A1486" s="214"/>
      <c r="B1486" s="221"/>
      <c r="C1486" s="222">
        <v>203.0</v>
      </c>
      <c r="D1486" s="223" t="s">
        <v>1000</v>
      </c>
      <c r="E1486" s="223" t="s">
        <v>487</v>
      </c>
      <c r="F1486" s="223" t="s">
        <v>603</v>
      </c>
      <c r="G1486" s="218" t="s">
        <v>490</v>
      </c>
      <c r="H1486" s="224" t="s">
        <v>490</v>
      </c>
      <c r="I1486" s="208"/>
      <c r="J1486" s="210"/>
      <c r="K1486" s="210"/>
      <c r="L1486" s="210"/>
      <c r="M1486" s="210"/>
      <c r="N1486" s="210"/>
      <c r="O1486" s="210"/>
      <c r="P1486" s="210"/>
      <c r="Q1486" s="210"/>
      <c r="R1486" s="210"/>
      <c r="S1486" s="210"/>
      <c r="T1486" s="210"/>
      <c r="U1486" s="210"/>
      <c r="V1486" s="210"/>
      <c r="W1486" s="210"/>
      <c r="X1486" s="210"/>
      <c r="Y1486" s="210"/>
      <c r="Z1486" s="210"/>
    </row>
    <row r="1487" ht="21.75" customHeight="1">
      <c r="A1487" s="214"/>
      <c r="B1487" s="221"/>
      <c r="C1487" s="222">
        <v>204.0</v>
      </c>
      <c r="D1487" s="223" t="s">
        <v>1419</v>
      </c>
      <c r="E1487" s="223" t="s">
        <v>487</v>
      </c>
      <c r="F1487" s="223" t="s">
        <v>579</v>
      </c>
      <c r="G1487" s="218" t="s">
        <v>490</v>
      </c>
      <c r="H1487" s="224" t="s">
        <v>490</v>
      </c>
      <c r="I1487" s="208"/>
      <c r="J1487" s="210"/>
      <c r="K1487" s="210"/>
      <c r="L1487" s="210"/>
      <c r="M1487" s="210"/>
      <c r="N1487" s="210"/>
      <c r="O1487" s="210"/>
      <c r="P1487" s="210"/>
      <c r="Q1487" s="210"/>
      <c r="R1487" s="210"/>
      <c r="S1487" s="210"/>
      <c r="T1487" s="210"/>
      <c r="U1487" s="210"/>
      <c r="V1487" s="210"/>
      <c r="W1487" s="210"/>
      <c r="X1487" s="210"/>
      <c r="Y1487" s="210"/>
      <c r="Z1487" s="210"/>
    </row>
    <row r="1488" ht="21.75" customHeight="1">
      <c r="A1488" s="214"/>
      <c r="B1488" s="221"/>
      <c r="C1488" s="222">
        <v>205.0</v>
      </c>
      <c r="D1488" s="223" t="s">
        <v>1420</v>
      </c>
      <c r="E1488" s="223" t="s">
        <v>487</v>
      </c>
      <c r="F1488" s="223" t="s">
        <v>583</v>
      </c>
      <c r="G1488" s="218" t="s">
        <v>490</v>
      </c>
      <c r="H1488" s="224" t="s">
        <v>490</v>
      </c>
      <c r="I1488" s="208"/>
      <c r="J1488" s="210"/>
      <c r="K1488" s="210"/>
      <c r="L1488" s="210"/>
      <c r="M1488" s="210"/>
      <c r="N1488" s="210"/>
      <c r="O1488" s="210"/>
      <c r="P1488" s="210"/>
      <c r="Q1488" s="210"/>
      <c r="R1488" s="210"/>
      <c r="S1488" s="210"/>
      <c r="T1488" s="210"/>
      <c r="U1488" s="210"/>
      <c r="V1488" s="210"/>
      <c r="W1488" s="210"/>
      <c r="X1488" s="210"/>
      <c r="Y1488" s="210"/>
      <c r="Z1488" s="210"/>
    </row>
    <row r="1489" ht="21.75" customHeight="1">
      <c r="A1489" s="214"/>
      <c r="B1489" s="221"/>
      <c r="C1489" s="222">
        <v>206.0</v>
      </c>
      <c r="D1489" s="223" t="s">
        <v>1545</v>
      </c>
      <c r="E1489" s="223" t="s">
        <v>487</v>
      </c>
      <c r="F1489" s="223" t="s">
        <v>601</v>
      </c>
      <c r="G1489" s="218" t="s">
        <v>490</v>
      </c>
      <c r="H1489" s="224" t="s">
        <v>490</v>
      </c>
      <c r="I1489" s="208"/>
      <c r="J1489" s="210"/>
      <c r="K1489" s="210"/>
      <c r="L1489" s="210"/>
      <c r="M1489" s="210"/>
      <c r="N1489" s="210"/>
      <c r="O1489" s="210"/>
      <c r="P1489" s="210"/>
      <c r="Q1489" s="210"/>
      <c r="R1489" s="210"/>
      <c r="S1489" s="210"/>
      <c r="T1489" s="210"/>
      <c r="U1489" s="210"/>
      <c r="V1489" s="210"/>
      <c r="W1489" s="210"/>
      <c r="X1489" s="210"/>
      <c r="Y1489" s="210"/>
      <c r="Z1489" s="210"/>
    </row>
    <row r="1490" ht="21.75" customHeight="1">
      <c r="A1490" s="214"/>
      <c r="B1490" s="221"/>
      <c r="C1490" s="222">
        <v>207.0</v>
      </c>
      <c r="D1490" s="223" t="s">
        <v>1546</v>
      </c>
      <c r="E1490" s="223" t="s">
        <v>487</v>
      </c>
      <c r="F1490" s="223" t="s">
        <v>560</v>
      </c>
      <c r="G1490" s="218" t="s">
        <v>490</v>
      </c>
      <c r="H1490" s="224" t="s">
        <v>490</v>
      </c>
      <c r="I1490" s="208"/>
      <c r="J1490" s="210"/>
      <c r="K1490" s="210"/>
      <c r="L1490" s="210"/>
      <c r="M1490" s="210"/>
      <c r="N1490" s="210"/>
      <c r="O1490" s="210"/>
      <c r="P1490" s="210"/>
      <c r="Q1490" s="210"/>
      <c r="R1490" s="210"/>
      <c r="S1490" s="210"/>
      <c r="T1490" s="210"/>
      <c r="U1490" s="210"/>
      <c r="V1490" s="210"/>
      <c r="W1490" s="210"/>
      <c r="X1490" s="210"/>
      <c r="Y1490" s="210"/>
      <c r="Z1490" s="210"/>
    </row>
    <row r="1491" ht="21.75" customHeight="1">
      <c r="A1491" s="214"/>
      <c r="B1491" s="221"/>
      <c r="C1491" s="222">
        <v>208.0</v>
      </c>
      <c r="D1491" s="223" t="s">
        <v>1479</v>
      </c>
      <c r="E1491" s="223" t="s">
        <v>487</v>
      </c>
      <c r="F1491" s="223" t="s">
        <v>613</v>
      </c>
      <c r="G1491" s="218" t="s">
        <v>490</v>
      </c>
      <c r="H1491" s="224" t="s">
        <v>490</v>
      </c>
      <c r="I1491" s="208"/>
      <c r="J1491" s="210"/>
      <c r="K1491" s="210"/>
      <c r="L1491" s="210"/>
      <c r="M1491" s="210"/>
      <c r="N1491" s="210"/>
      <c r="O1491" s="210"/>
      <c r="P1491" s="210"/>
      <c r="Q1491" s="210"/>
      <c r="R1491" s="210"/>
      <c r="S1491" s="210"/>
      <c r="T1491" s="210"/>
      <c r="U1491" s="210"/>
      <c r="V1491" s="210"/>
      <c r="W1491" s="210"/>
      <c r="X1491" s="210"/>
      <c r="Y1491" s="210"/>
      <c r="Z1491" s="210"/>
    </row>
    <row r="1492" ht="21.75" customHeight="1">
      <c r="A1492" s="214"/>
      <c r="B1492" s="221"/>
      <c r="C1492" s="222">
        <v>209.0</v>
      </c>
      <c r="D1492" s="223" t="s">
        <v>1547</v>
      </c>
      <c r="E1492" s="223" t="s">
        <v>529</v>
      </c>
      <c r="F1492" s="223" t="s">
        <v>530</v>
      </c>
      <c r="G1492" s="218" t="s">
        <v>490</v>
      </c>
      <c r="H1492" s="224" t="s">
        <v>490</v>
      </c>
      <c r="I1492" s="208"/>
      <c r="J1492" s="210"/>
      <c r="K1492" s="210"/>
      <c r="L1492" s="210"/>
      <c r="M1492" s="210"/>
      <c r="N1492" s="210"/>
      <c r="O1492" s="210"/>
      <c r="P1492" s="210"/>
      <c r="Q1492" s="210"/>
      <c r="R1492" s="210"/>
      <c r="S1492" s="210"/>
      <c r="T1492" s="210"/>
      <c r="U1492" s="210"/>
      <c r="V1492" s="210"/>
      <c r="W1492" s="210"/>
      <c r="X1492" s="210"/>
      <c r="Y1492" s="210"/>
      <c r="Z1492" s="210"/>
    </row>
    <row r="1493" ht="21.75" customHeight="1">
      <c r="A1493" s="214"/>
      <c r="B1493" s="217"/>
      <c r="C1493" s="222">
        <v>300.0</v>
      </c>
      <c r="D1493" s="215" t="s">
        <v>696</v>
      </c>
      <c r="E1493" s="215" t="s">
        <v>673</v>
      </c>
      <c r="F1493" s="215" t="s">
        <v>696</v>
      </c>
      <c r="G1493" s="234" t="s">
        <v>490</v>
      </c>
      <c r="H1493" s="224" t="s">
        <v>490</v>
      </c>
      <c r="I1493" s="208"/>
      <c r="J1493" s="210"/>
      <c r="K1493" s="210"/>
      <c r="L1493" s="210"/>
      <c r="M1493" s="210"/>
      <c r="N1493" s="210"/>
      <c r="O1493" s="210"/>
      <c r="P1493" s="210"/>
      <c r="Q1493" s="210"/>
      <c r="R1493" s="210"/>
      <c r="S1493" s="210"/>
      <c r="T1493" s="210"/>
      <c r="U1493" s="210"/>
      <c r="V1493" s="210"/>
      <c r="W1493" s="210"/>
      <c r="X1493" s="210"/>
      <c r="Y1493" s="210"/>
      <c r="Z1493" s="210"/>
    </row>
    <row r="1494" ht="21.75" customHeight="1">
      <c r="A1494" s="214"/>
      <c r="B1494" s="218" t="s">
        <v>1609</v>
      </c>
      <c r="C1494" s="226">
        <v>70030.0</v>
      </c>
      <c r="D1494" s="220"/>
      <c r="E1494" s="220"/>
      <c r="F1494" s="220"/>
      <c r="G1494" s="220"/>
      <c r="H1494" s="221"/>
      <c r="I1494" s="208"/>
      <c r="J1494" s="210"/>
      <c r="K1494" s="210"/>
      <c r="L1494" s="210"/>
      <c r="M1494" s="210"/>
      <c r="N1494" s="210"/>
      <c r="O1494" s="210"/>
      <c r="P1494" s="210"/>
      <c r="Q1494" s="210"/>
      <c r="R1494" s="210"/>
      <c r="S1494" s="210"/>
      <c r="T1494" s="210"/>
      <c r="U1494" s="210"/>
      <c r="V1494" s="210"/>
      <c r="W1494" s="210"/>
      <c r="X1494" s="210"/>
      <c r="Y1494" s="210"/>
      <c r="Z1494" s="210"/>
    </row>
    <row r="1495" ht="21.75" customHeight="1">
      <c r="A1495" s="214"/>
      <c r="B1495" s="221"/>
      <c r="C1495" s="222">
        <v>100.0</v>
      </c>
      <c r="D1495" s="223" t="s">
        <v>486</v>
      </c>
      <c r="E1495" s="223" t="s">
        <v>487</v>
      </c>
      <c r="F1495" s="223" t="s">
        <v>488</v>
      </c>
      <c r="G1495" s="223" t="s">
        <v>489</v>
      </c>
      <c r="H1495" s="224" t="s">
        <v>490</v>
      </c>
      <c r="I1495" s="208"/>
      <c r="J1495" s="210"/>
      <c r="K1495" s="210"/>
      <c r="L1495" s="210"/>
      <c r="M1495" s="210"/>
      <c r="N1495" s="210"/>
      <c r="O1495" s="210"/>
      <c r="P1495" s="210"/>
      <c r="Q1495" s="210"/>
      <c r="R1495" s="210"/>
      <c r="S1495" s="210"/>
      <c r="T1495" s="210"/>
      <c r="U1495" s="210"/>
      <c r="V1495" s="210"/>
      <c r="W1495" s="210"/>
      <c r="X1495" s="210"/>
      <c r="Y1495" s="210"/>
      <c r="Z1495" s="210"/>
    </row>
    <row r="1496" ht="21.75" customHeight="1">
      <c r="A1496" s="214"/>
      <c r="B1496" s="221"/>
      <c r="C1496" s="222">
        <v>101.0</v>
      </c>
      <c r="D1496" s="223" t="s">
        <v>491</v>
      </c>
      <c r="E1496" s="223" t="s">
        <v>487</v>
      </c>
      <c r="F1496" s="223" t="s">
        <v>492</v>
      </c>
      <c r="G1496" s="223" t="s">
        <v>678</v>
      </c>
      <c r="H1496" s="225" t="s">
        <v>1610</v>
      </c>
      <c r="I1496" s="208"/>
      <c r="J1496" s="210"/>
      <c r="K1496" s="210"/>
      <c r="L1496" s="210"/>
      <c r="M1496" s="210"/>
      <c r="N1496" s="210"/>
      <c r="O1496" s="210"/>
      <c r="P1496" s="210"/>
      <c r="Q1496" s="210"/>
      <c r="R1496" s="210"/>
      <c r="S1496" s="210"/>
      <c r="T1496" s="210"/>
      <c r="U1496" s="210"/>
      <c r="V1496" s="210"/>
      <c r="W1496" s="210"/>
      <c r="X1496" s="210"/>
      <c r="Y1496" s="210"/>
      <c r="Z1496" s="210"/>
    </row>
    <row r="1497" ht="21.75" customHeight="1">
      <c r="A1497" s="214"/>
      <c r="B1497" s="221"/>
      <c r="C1497" s="222">
        <v>102.0</v>
      </c>
      <c r="D1497" s="223" t="s">
        <v>1537</v>
      </c>
      <c r="E1497" s="223" t="s">
        <v>487</v>
      </c>
      <c r="F1497" s="223" t="s">
        <v>496</v>
      </c>
      <c r="G1497" s="223" t="s">
        <v>501</v>
      </c>
      <c r="H1497" s="224" t="s">
        <v>490</v>
      </c>
      <c r="I1497" s="208"/>
      <c r="J1497" s="210"/>
      <c r="K1497" s="210"/>
      <c r="L1497" s="210"/>
      <c r="M1497" s="210"/>
      <c r="N1497" s="210"/>
      <c r="O1497" s="210"/>
      <c r="P1497" s="210"/>
      <c r="Q1497" s="210"/>
      <c r="R1497" s="210"/>
      <c r="S1497" s="210"/>
      <c r="T1497" s="210"/>
      <c r="U1497" s="210"/>
      <c r="V1497" s="210"/>
      <c r="W1497" s="210"/>
      <c r="X1497" s="210"/>
      <c r="Y1497" s="210"/>
      <c r="Z1497" s="210"/>
    </row>
    <row r="1498" ht="21.75" customHeight="1">
      <c r="A1498" s="214"/>
      <c r="B1498" s="221"/>
      <c r="C1498" s="222">
        <v>103.0</v>
      </c>
      <c r="D1498" s="223" t="s">
        <v>1538</v>
      </c>
      <c r="E1498" s="223" t="s">
        <v>487</v>
      </c>
      <c r="F1498" s="223" t="s">
        <v>500</v>
      </c>
      <c r="G1498" s="223" t="s">
        <v>497</v>
      </c>
      <c r="H1498" s="225" t="s">
        <v>1611</v>
      </c>
      <c r="I1498" s="208"/>
      <c r="J1498" s="210"/>
      <c r="K1498" s="210"/>
      <c r="L1498" s="210"/>
      <c r="M1498" s="210"/>
      <c r="N1498" s="210"/>
      <c r="O1498" s="210"/>
      <c r="P1498" s="210"/>
      <c r="Q1498" s="210"/>
      <c r="R1498" s="210"/>
      <c r="S1498" s="210"/>
      <c r="T1498" s="210"/>
      <c r="U1498" s="210"/>
      <c r="V1498" s="210"/>
      <c r="W1498" s="210"/>
      <c r="X1498" s="210"/>
      <c r="Y1498" s="210"/>
      <c r="Z1498" s="210"/>
    </row>
    <row r="1499" ht="21.75" customHeight="1">
      <c r="A1499" s="214"/>
      <c r="B1499" s="221"/>
      <c r="C1499" s="222">
        <v>104.0</v>
      </c>
      <c r="D1499" s="223" t="s">
        <v>507</v>
      </c>
      <c r="E1499" s="223" t="s">
        <v>508</v>
      </c>
      <c r="F1499" s="223" t="s">
        <v>509</v>
      </c>
      <c r="G1499" s="223" t="s">
        <v>510</v>
      </c>
      <c r="H1499" s="225" t="s">
        <v>1540</v>
      </c>
      <c r="I1499" s="208"/>
      <c r="J1499" s="210"/>
      <c r="K1499" s="210"/>
      <c r="L1499" s="210"/>
      <c r="M1499" s="210"/>
      <c r="N1499" s="210"/>
      <c r="O1499" s="210"/>
      <c r="P1499" s="210"/>
      <c r="Q1499" s="210"/>
      <c r="R1499" s="210"/>
      <c r="S1499" s="210"/>
      <c r="T1499" s="210"/>
      <c r="U1499" s="210"/>
      <c r="V1499" s="210"/>
      <c r="W1499" s="210"/>
      <c r="X1499" s="210"/>
      <c r="Y1499" s="210"/>
      <c r="Z1499" s="210"/>
    </row>
    <row r="1500" ht="21.75" customHeight="1">
      <c r="A1500" s="214"/>
      <c r="B1500" s="221"/>
      <c r="C1500" s="222">
        <v>105.0</v>
      </c>
      <c r="D1500" s="223" t="s">
        <v>1541</v>
      </c>
      <c r="E1500" s="223" t="s">
        <v>487</v>
      </c>
      <c r="F1500" s="223" t="s">
        <v>1542</v>
      </c>
      <c r="G1500" s="218" t="s">
        <v>490</v>
      </c>
      <c r="H1500" s="224" t="s">
        <v>490</v>
      </c>
      <c r="I1500" s="208"/>
      <c r="J1500" s="210"/>
      <c r="K1500" s="210"/>
      <c r="L1500" s="210"/>
      <c r="M1500" s="210"/>
      <c r="N1500" s="210"/>
      <c r="O1500" s="210"/>
      <c r="P1500" s="210"/>
      <c r="Q1500" s="210"/>
      <c r="R1500" s="210"/>
      <c r="S1500" s="210"/>
      <c r="T1500" s="210"/>
      <c r="U1500" s="210"/>
      <c r="V1500" s="210"/>
      <c r="W1500" s="210"/>
      <c r="X1500" s="210"/>
      <c r="Y1500" s="210"/>
      <c r="Z1500" s="210"/>
    </row>
    <row r="1501" ht="21.75" customHeight="1">
      <c r="A1501" s="214"/>
      <c r="B1501" s="221"/>
      <c r="C1501" s="222">
        <v>200.0</v>
      </c>
      <c r="D1501" s="223" t="s">
        <v>1543</v>
      </c>
      <c r="E1501" s="223" t="s">
        <v>487</v>
      </c>
      <c r="F1501" s="223" t="s">
        <v>512</v>
      </c>
      <c r="G1501" s="218" t="s">
        <v>490</v>
      </c>
      <c r="H1501" s="224" t="s">
        <v>490</v>
      </c>
      <c r="I1501" s="208"/>
      <c r="J1501" s="210"/>
      <c r="K1501" s="210"/>
      <c r="L1501" s="210"/>
      <c r="M1501" s="210"/>
      <c r="N1501" s="210"/>
      <c r="O1501" s="210"/>
      <c r="P1501" s="210"/>
      <c r="Q1501" s="210"/>
      <c r="R1501" s="210"/>
      <c r="S1501" s="210"/>
      <c r="T1501" s="210"/>
      <c r="U1501" s="210"/>
      <c r="V1501" s="210"/>
      <c r="W1501" s="210"/>
      <c r="X1501" s="210"/>
      <c r="Y1501" s="210"/>
      <c r="Z1501" s="210"/>
    </row>
    <row r="1502" ht="21.75" customHeight="1">
      <c r="A1502" s="214"/>
      <c r="B1502" s="221"/>
      <c r="C1502" s="222">
        <v>201.0</v>
      </c>
      <c r="D1502" s="223" t="s">
        <v>1544</v>
      </c>
      <c r="E1502" s="223" t="s">
        <v>487</v>
      </c>
      <c r="F1502" s="223" t="s">
        <v>532</v>
      </c>
      <c r="G1502" s="218" t="s">
        <v>490</v>
      </c>
      <c r="H1502" s="224" t="s">
        <v>490</v>
      </c>
      <c r="I1502" s="208"/>
      <c r="J1502" s="210"/>
      <c r="K1502" s="210"/>
      <c r="L1502" s="210"/>
      <c r="M1502" s="210"/>
      <c r="N1502" s="210"/>
      <c r="O1502" s="210"/>
      <c r="P1502" s="210"/>
      <c r="Q1502" s="210"/>
      <c r="R1502" s="210"/>
      <c r="S1502" s="210"/>
      <c r="T1502" s="210"/>
      <c r="U1502" s="210"/>
      <c r="V1502" s="210"/>
      <c r="W1502" s="210"/>
      <c r="X1502" s="210"/>
      <c r="Y1502" s="210"/>
      <c r="Z1502" s="210"/>
    </row>
    <row r="1503" ht="21.75" customHeight="1">
      <c r="A1503" s="214"/>
      <c r="B1503" s="221"/>
      <c r="C1503" s="222">
        <v>202.0</v>
      </c>
      <c r="D1503" s="223" t="s">
        <v>253</v>
      </c>
      <c r="E1503" s="223" t="s">
        <v>487</v>
      </c>
      <c r="F1503" s="223" t="s">
        <v>590</v>
      </c>
      <c r="G1503" s="218" t="s">
        <v>490</v>
      </c>
      <c r="H1503" s="224" t="s">
        <v>490</v>
      </c>
      <c r="I1503" s="208"/>
      <c r="J1503" s="210"/>
      <c r="K1503" s="210"/>
      <c r="L1503" s="210"/>
      <c r="M1503" s="210"/>
      <c r="N1503" s="210"/>
      <c r="O1503" s="210"/>
      <c r="P1503" s="210"/>
      <c r="Q1503" s="210"/>
      <c r="R1503" s="210"/>
      <c r="S1503" s="210"/>
      <c r="T1503" s="210"/>
      <c r="U1503" s="210"/>
      <c r="V1503" s="210"/>
      <c r="W1503" s="210"/>
      <c r="X1503" s="210"/>
      <c r="Y1503" s="210"/>
      <c r="Z1503" s="210"/>
    </row>
    <row r="1504" ht="21.75" customHeight="1">
      <c r="A1504" s="214"/>
      <c r="B1504" s="221"/>
      <c r="C1504" s="222">
        <v>203.0</v>
      </c>
      <c r="D1504" s="223" t="s">
        <v>1000</v>
      </c>
      <c r="E1504" s="223" t="s">
        <v>487</v>
      </c>
      <c r="F1504" s="223" t="s">
        <v>603</v>
      </c>
      <c r="G1504" s="218" t="s">
        <v>490</v>
      </c>
      <c r="H1504" s="224" t="s">
        <v>490</v>
      </c>
      <c r="I1504" s="208"/>
      <c r="J1504" s="210"/>
      <c r="K1504" s="210"/>
      <c r="L1504" s="210"/>
      <c r="M1504" s="210"/>
      <c r="N1504" s="210"/>
      <c r="O1504" s="210"/>
      <c r="P1504" s="210"/>
      <c r="Q1504" s="210"/>
      <c r="R1504" s="210"/>
      <c r="S1504" s="210"/>
      <c r="T1504" s="210"/>
      <c r="U1504" s="210"/>
      <c r="V1504" s="210"/>
      <c r="W1504" s="210"/>
      <c r="X1504" s="210"/>
      <c r="Y1504" s="210"/>
      <c r="Z1504" s="210"/>
    </row>
    <row r="1505" ht="21.75" customHeight="1">
      <c r="A1505" s="214"/>
      <c r="B1505" s="221"/>
      <c r="C1505" s="222">
        <v>204.0</v>
      </c>
      <c r="D1505" s="223" t="s">
        <v>1419</v>
      </c>
      <c r="E1505" s="223" t="s">
        <v>487</v>
      </c>
      <c r="F1505" s="223" t="s">
        <v>579</v>
      </c>
      <c r="G1505" s="218" t="s">
        <v>490</v>
      </c>
      <c r="H1505" s="224" t="s">
        <v>490</v>
      </c>
      <c r="I1505" s="208"/>
      <c r="J1505" s="210"/>
      <c r="K1505" s="210"/>
      <c r="L1505" s="210"/>
      <c r="M1505" s="210"/>
      <c r="N1505" s="210"/>
      <c r="O1505" s="210"/>
      <c r="P1505" s="210"/>
      <c r="Q1505" s="210"/>
      <c r="R1505" s="210"/>
      <c r="S1505" s="210"/>
      <c r="T1505" s="210"/>
      <c r="U1505" s="210"/>
      <c r="V1505" s="210"/>
      <c r="W1505" s="210"/>
      <c r="X1505" s="210"/>
      <c r="Y1505" s="210"/>
      <c r="Z1505" s="210"/>
    </row>
    <row r="1506" ht="21.75" customHeight="1">
      <c r="A1506" s="214"/>
      <c r="B1506" s="221"/>
      <c r="C1506" s="222">
        <v>205.0</v>
      </c>
      <c r="D1506" s="223" t="s">
        <v>1420</v>
      </c>
      <c r="E1506" s="223" t="s">
        <v>487</v>
      </c>
      <c r="F1506" s="223" t="s">
        <v>583</v>
      </c>
      <c r="G1506" s="218" t="s">
        <v>490</v>
      </c>
      <c r="H1506" s="224" t="s">
        <v>490</v>
      </c>
      <c r="I1506" s="208"/>
      <c r="J1506" s="210"/>
      <c r="K1506" s="210"/>
      <c r="L1506" s="210"/>
      <c r="M1506" s="210"/>
      <c r="N1506" s="210"/>
      <c r="O1506" s="210"/>
      <c r="P1506" s="210"/>
      <c r="Q1506" s="210"/>
      <c r="R1506" s="210"/>
      <c r="S1506" s="210"/>
      <c r="T1506" s="210"/>
      <c r="U1506" s="210"/>
      <c r="V1506" s="210"/>
      <c r="W1506" s="210"/>
      <c r="X1506" s="210"/>
      <c r="Y1506" s="210"/>
      <c r="Z1506" s="210"/>
    </row>
    <row r="1507" ht="21.75" customHeight="1">
      <c r="A1507" s="214"/>
      <c r="B1507" s="221"/>
      <c r="C1507" s="222">
        <v>206.0</v>
      </c>
      <c r="D1507" s="223" t="s">
        <v>1545</v>
      </c>
      <c r="E1507" s="223" t="s">
        <v>487</v>
      </c>
      <c r="F1507" s="223" t="s">
        <v>601</v>
      </c>
      <c r="G1507" s="218" t="s">
        <v>490</v>
      </c>
      <c r="H1507" s="224" t="s">
        <v>490</v>
      </c>
      <c r="I1507" s="208"/>
      <c r="J1507" s="210"/>
      <c r="K1507" s="210"/>
      <c r="L1507" s="210"/>
      <c r="M1507" s="210"/>
      <c r="N1507" s="210"/>
      <c r="O1507" s="210"/>
      <c r="P1507" s="210"/>
      <c r="Q1507" s="210"/>
      <c r="R1507" s="210"/>
      <c r="S1507" s="210"/>
      <c r="T1507" s="210"/>
      <c r="U1507" s="210"/>
      <c r="V1507" s="210"/>
      <c r="W1507" s="210"/>
      <c r="X1507" s="210"/>
      <c r="Y1507" s="210"/>
      <c r="Z1507" s="210"/>
    </row>
    <row r="1508" ht="21.75" customHeight="1">
      <c r="A1508" s="214"/>
      <c r="B1508" s="221"/>
      <c r="C1508" s="222">
        <v>207.0</v>
      </c>
      <c r="D1508" s="223" t="s">
        <v>1546</v>
      </c>
      <c r="E1508" s="223" t="s">
        <v>487</v>
      </c>
      <c r="F1508" s="223" t="s">
        <v>560</v>
      </c>
      <c r="G1508" s="218" t="s">
        <v>490</v>
      </c>
      <c r="H1508" s="224" t="s">
        <v>490</v>
      </c>
      <c r="I1508" s="208"/>
      <c r="J1508" s="210"/>
      <c r="K1508" s="210"/>
      <c r="L1508" s="210"/>
      <c r="M1508" s="210"/>
      <c r="N1508" s="210"/>
      <c r="O1508" s="210"/>
      <c r="P1508" s="210"/>
      <c r="Q1508" s="210"/>
      <c r="R1508" s="210"/>
      <c r="S1508" s="210"/>
      <c r="T1508" s="210"/>
      <c r="U1508" s="210"/>
      <c r="V1508" s="210"/>
      <c r="W1508" s="210"/>
      <c r="X1508" s="210"/>
      <c r="Y1508" s="210"/>
      <c r="Z1508" s="210"/>
    </row>
    <row r="1509" ht="21.75" customHeight="1">
      <c r="A1509" s="214"/>
      <c r="B1509" s="221"/>
      <c r="C1509" s="222">
        <v>208.0</v>
      </c>
      <c r="D1509" s="223" t="s">
        <v>1479</v>
      </c>
      <c r="E1509" s="223" t="s">
        <v>487</v>
      </c>
      <c r="F1509" s="223" t="s">
        <v>613</v>
      </c>
      <c r="G1509" s="218" t="s">
        <v>490</v>
      </c>
      <c r="H1509" s="224" t="s">
        <v>490</v>
      </c>
      <c r="I1509" s="208"/>
      <c r="J1509" s="210"/>
      <c r="K1509" s="210"/>
      <c r="L1509" s="210"/>
      <c r="M1509" s="210"/>
      <c r="N1509" s="210"/>
      <c r="O1509" s="210"/>
      <c r="P1509" s="210"/>
      <c r="Q1509" s="210"/>
      <c r="R1509" s="210"/>
      <c r="S1509" s="210"/>
      <c r="T1509" s="210"/>
      <c r="U1509" s="210"/>
      <c r="V1509" s="210"/>
      <c r="W1509" s="210"/>
      <c r="X1509" s="210"/>
      <c r="Y1509" s="210"/>
      <c r="Z1509" s="210"/>
    </row>
    <row r="1510" ht="21.75" customHeight="1">
      <c r="A1510" s="214"/>
      <c r="B1510" s="221"/>
      <c r="C1510" s="222">
        <v>209.0</v>
      </c>
      <c r="D1510" s="223" t="s">
        <v>1547</v>
      </c>
      <c r="E1510" s="223" t="s">
        <v>529</v>
      </c>
      <c r="F1510" s="223" t="s">
        <v>530</v>
      </c>
      <c r="G1510" s="218" t="s">
        <v>490</v>
      </c>
      <c r="H1510" s="224" t="s">
        <v>490</v>
      </c>
      <c r="I1510" s="208"/>
      <c r="J1510" s="210"/>
      <c r="K1510" s="210"/>
      <c r="L1510" s="210"/>
      <c r="M1510" s="210"/>
      <c r="N1510" s="210"/>
      <c r="O1510" s="210"/>
      <c r="P1510" s="210"/>
      <c r="Q1510" s="210"/>
      <c r="R1510" s="210"/>
      <c r="S1510" s="210"/>
      <c r="T1510" s="210"/>
      <c r="U1510" s="210"/>
      <c r="V1510" s="210"/>
      <c r="W1510" s="210"/>
      <c r="X1510" s="210"/>
      <c r="Y1510" s="210"/>
      <c r="Z1510" s="210"/>
    </row>
    <row r="1511" ht="21.75" customHeight="1">
      <c r="A1511" s="228"/>
      <c r="B1511" s="221"/>
      <c r="C1511" s="222">
        <v>300.0</v>
      </c>
      <c r="D1511" s="223" t="s">
        <v>696</v>
      </c>
      <c r="E1511" s="223" t="s">
        <v>673</v>
      </c>
      <c r="F1511" s="223" t="s">
        <v>696</v>
      </c>
      <c r="G1511" s="218" t="s">
        <v>490</v>
      </c>
      <c r="H1511" s="224" t="s">
        <v>490</v>
      </c>
      <c r="I1511" s="208"/>
      <c r="J1511" s="210"/>
      <c r="K1511" s="210"/>
      <c r="L1511" s="210"/>
      <c r="M1511" s="210"/>
      <c r="N1511" s="210"/>
      <c r="O1511" s="210"/>
      <c r="P1511" s="210"/>
      <c r="Q1511" s="210"/>
      <c r="R1511" s="210"/>
      <c r="S1511" s="210"/>
      <c r="T1511" s="210"/>
      <c r="U1511" s="210"/>
      <c r="V1511" s="210"/>
      <c r="W1511" s="210"/>
      <c r="X1511" s="210"/>
      <c r="Y1511" s="210"/>
      <c r="Z1511" s="210"/>
    </row>
    <row r="1512" ht="21.75" customHeight="1">
      <c r="A1512" s="214">
        <v>252.0</v>
      </c>
      <c r="B1512" s="215" t="s">
        <v>1612</v>
      </c>
      <c r="C1512" s="216"/>
      <c r="D1512" s="217"/>
      <c r="E1512" s="217"/>
      <c r="F1512" s="217"/>
      <c r="G1512" s="217"/>
      <c r="H1512" s="217"/>
      <c r="I1512" s="208"/>
      <c r="J1512" s="210"/>
      <c r="K1512" s="210"/>
      <c r="L1512" s="210"/>
      <c r="M1512" s="210"/>
      <c r="N1512" s="210"/>
      <c r="O1512" s="210"/>
      <c r="P1512" s="210"/>
      <c r="Q1512" s="210"/>
      <c r="R1512" s="210"/>
      <c r="S1512" s="210"/>
      <c r="T1512" s="210"/>
      <c r="U1512" s="210"/>
      <c r="V1512" s="210"/>
      <c r="W1512" s="210"/>
      <c r="X1512" s="210"/>
      <c r="Y1512" s="210"/>
      <c r="Z1512" s="210"/>
    </row>
    <row r="1513" ht="21.75" customHeight="1">
      <c r="A1513" s="214"/>
      <c r="B1513" s="218" t="s">
        <v>1613</v>
      </c>
      <c r="C1513" s="219">
        <v>50757.0</v>
      </c>
      <c r="D1513" s="220"/>
      <c r="E1513" s="220"/>
      <c r="F1513" s="220"/>
      <c r="G1513" s="220"/>
      <c r="H1513" s="220"/>
      <c r="I1513" s="208"/>
      <c r="J1513" s="210"/>
      <c r="K1513" s="210"/>
      <c r="L1513" s="210"/>
      <c r="M1513" s="210"/>
      <c r="N1513" s="210"/>
      <c r="O1513" s="210"/>
      <c r="P1513" s="210"/>
      <c r="Q1513" s="210"/>
      <c r="R1513" s="210"/>
      <c r="S1513" s="210"/>
      <c r="T1513" s="210"/>
      <c r="U1513" s="210"/>
      <c r="V1513" s="210"/>
      <c r="W1513" s="210"/>
      <c r="X1513" s="210"/>
      <c r="Y1513" s="210"/>
      <c r="Z1513" s="210"/>
    </row>
    <row r="1514" ht="21.75" customHeight="1">
      <c r="A1514" s="214"/>
      <c r="B1514" s="221"/>
      <c r="C1514" s="222">
        <v>100.0</v>
      </c>
      <c r="D1514" s="223" t="s">
        <v>486</v>
      </c>
      <c r="E1514" s="223" t="s">
        <v>487</v>
      </c>
      <c r="F1514" s="223" t="s">
        <v>488</v>
      </c>
      <c r="G1514" s="223" t="s">
        <v>489</v>
      </c>
      <c r="H1514" s="224" t="s">
        <v>490</v>
      </c>
      <c r="I1514" s="208"/>
      <c r="J1514" s="210"/>
      <c r="K1514" s="210"/>
      <c r="L1514" s="210"/>
      <c r="M1514" s="210"/>
      <c r="N1514" s="210"/>
      <c r="O1514" s="210"/>
      <c r="P1514" s="210"/>
      <c r="Q1514" s="210"/>
      <c r="R1514" s="210"/>
      <c r="S1514" s="210"/>
      <c r="T1514" s="210"/>
      <c r="U1514" s="210"/>
      <c r="V1514" s="210"/>
      <c r="W1514" s="210"/>
      <c r="X1514" s="210"/>
      <c r="Y1514" s="210"/>
      <c r="Z1514" s="210"/>
    </row>
    <row r="1515" ht="21.75" customHeight="1">
      <c r="A1515" s="214"/>
      <c r="B1515" s="221"/>
      <c r="C1515" s="222">
        <v>101.0</v>
      </c>
      <c r="D1515" s="223" t="s">
        <v>837</v>
      </c>
      <c r="E1515" s="223" t="s">
        <v>529</v>
      </c>
      <c r="F1515" s="223" t="s">
        <v>530</v>
      </c>
      <c r="G1515" s="218" t="s">
        <v>490</v>
      </c>
      <c r="H1515" s="225" t="s">
        <v>1614</v>
      </c>
      <c r="I1515" s="208"/>
      <c r="J1515" s="210"/>
      <c r="K1515" s="210"/>
      <c r="L1515" s="210"/>
      <c r="M1515" s="210"/>
      <c r="N1515" s="210"/>
      <c r="O1515" s="210"/>
      <c r="P1515" s="210"/>
      <c r="Q1515" s="210"/>
      <c r="R1515" s="210"/>
      <c r="S1515" s="210"/>
      <c r="T1515" s="210"/>
      <c r="U1515" s="210"/>
      <c r="V1515" s="210"/>
      <c r="W1515" s="210"/>
      <c r="X1515" s="210"/>
      <c r="Y1515" s="210"/>
      <c r="Z1515" s="210"/>
    </row>
    <row r="1516" ht="21.75" customHeight="1">
      <c r="A1516" s="214"/>
      <c r="B1516" s="221"/>
      <c r="C1516" s="222">
        <v>102.0</v>
      </c>
      <c r="D1516" s="223" t="s">
        <v>516</v>
      </c>
      <c r="E1516" s="223" t="s">
        <v>487</v>
      </c>
      <c r="F1516" s="223" t="s">
        <v>496</v>
      </c>
      <c r="G1516" s="223" t="s">
        <v>501</v>
      </c>
      <c r="H1516" s="225" t="s">
        <v>1615</v>
      </c>
      <c r="I1516" s="208"/>
      <c r="J1516" s="210"/>
      <c r="K1516" s="210"/>
      <c r="L1516" s="210"/>
      <c r="M1516" s="210"/>
      <c r="N1516" s="210"/>
      <c r="O1516" s="210"/>
      <c r="P1516" s="210"/>
      <c r="Q1516" s="210"/>
      <c r="R1516" s="210"/>
      <c r="S1516" s="210"/>
      <c r="T1516" s="210"/>
      <c r="U1516" s="210"/>
      <c r="V1516" s="210"/>
      <c r="W1516" s="210"/>
      <c r="X1516" s="210"/>
      <c r="Y1516" s="210"/>
      <c r="Z1516" s="210"/>
    </row>
    <row r="1517" ht="21.75" customHeight="1">
      <c r="A1517" s="214"/>
      <c r="B1517" s="221"/>
      <c r="C1517" s="222">
        <v>103.0</v>
      </c>
      <c r="D1517" s="223" t="s">
        <v>1485</v>
      </c>
      <c r="E1517" s="223" t="s">
        <v>487</v>
      </c>
      <c r="F1517" s="223" t="s">
        <v>500</v>
      </c>
      <c r="G1517" s="223" t="s">
        <v>497</v>
      </c>
      <c r="H1517" s="225" t="s">
        <v>1616</v>
      </c>
      <c r="I1517" s="208"/>
      <c r="J1517" s="210"/>
      <c r="K1517" s="210"/>
      <c r="L1517" s="210"/>
      <c r="M1517" s="210"/>
      <c r="N1517" s="210"/>
      <c r="O1517" s="210"/>
      <c r="P1517" s="210"/>
      <c r="Q1517" s="210"/>
      <c r="R1517" s="210"/>
      <c r="S1517" s="210"/>
      <c r="T1517" s="210"/>
      <c r="U1517" s="210"/>
      <c r="V1517" s="210"/>
      <c r="W1517" s="210"/>
      <c r="X1517" s="210"/>
      <c r="Y1517" s="210"/>
      <c r="Z1517" s="210"/>
    </row>
    <row r="1518" ht="21.75" customHeight="1">
      <c r="A1518" s="214"/>
      <c r="B1518" s="221"/>
      <c r="C1518" s="222">
        <v>104.0</v>
      </c>
      <c r="D1518" s="223" t="s">
        <v>1617</v>
      </c>
      <c r="E1518" s="223" t="s">
        <v>487</v>
      </c>
      <c r="F1518" s="223" t="s">
        <v>512</v>
      </c>
      <c r="G1518" s="223" t="s">
        <v>513</v>
      </c>
      <c r="H1518" s="224" t="s">
        <v>490</v>
      </c>
      <c r="I1518" s="208"/>
      <c r="J1518" s="210"/>
      <c r="K1518" s="210"/>
      <c r="L1518" s="210"/>
      <c r="M1518" s="210"/>
      <c r="N1518" s="210"/>
      <c r="O1518" s="210"/>
      <c r="P1518" s="210"/>
      <c r="Q1518" s="210"/>
      <c r="R1518" s="210"/>
      <c r="S1518" s="210"/>
      <c r="T1518" s="210"/>
      <c r="U1518" s="210"/>
      <c r="V1518" s="210"/>
      <c r="W1518" s="210"/>
      <c r="X1518" s="210"/>
      <c r="Y1518" s="210"/>
      <c r="Z1518" s="210"/>
    </row>
    <row r="1519" ht="21.75" customHeight="1">
      <c r="A1519" s="214"/>
      <c r="B1519" s="221"/>
      <c r="C1519" s="222">
        <v>105.0</v>
      </c>
      <c r="D1519" s="223" t="s">
        <v>618</v>
      </c>
      <c r="E1519" s="223" t="s">
        <v>504</v>
      </c>
      <c r="F1519" s="223" t="s">
        <v>1173</v>
      </c>
      <c r="G1519" s="218" t="s">
        <v>490</v>
      </c>
      <c r="H1519" s="225" t="s">
        <v>1618</v>
      </c>
      <c r="I1519" s="208"/>
      <c r="J1519" s="210"/>
      <c r="K1519" s="210"/>
      <c r="L1519" s="210"/>
      <c r="M1519" s="210"/>
      <c r="N1519" s="210"/>
      <c r="O1519" s="210"/>
      <c r="P1519" s="210"/>
      <c r="Q1519" s="210"/>
      <c r="R1519" s="210"/>
      <c r="S1519" s="210"/>
      <c r="T1519" s="210"/>
      <c r="U1519" s="210"/>
      <c r="V1519" s="210"/>
      <c r="W1519" s="210"/>
      <c r="X1519" s="210"/>
      <c r="Y1519" s="210"/>
      <c r="Z1519" s="210"/>
    </row>
    <row r="1520" ht="21.75" customHeight="1">
      <c r="A1520" s="214"/>
      <c r="B1520" s="221"/>
      <c r="C1520" s="222">
        <v>106.0</v>
      </c>
      <c r="D1520" s="223" t="s">
        <v>618</v>
      </c>
      <c r="E1520" s="223" t="s">
        <v>487</v>
      </c>
      <c r="F1520" s="223" t="s">
        <v>492</v>
      </c>
      <c r="G1520" s="223" t="s">
        <v>493</v>
      </c>
      <c r="H1520" s="225" t="s">
        <v>1619</v>
      </c>
      <c r="I1520" s="208"/>
      <c r="J1520" s="210"/>
      <c r="K1520" s="210"/>
      <c r="L1520" s="210"/>
      <c r="M1520" s="210"/>
      <c r="N1520" s="210"/>
      <c r="O1520" s="210"/>
      <c r="P1520" s="210"/>
      <c r="Q1520" s="210"/>
      <c r="R1520" s="210"/>
      <c r="S1520" s="210"/>
      <c r="T1520" s="210"/>
      <c r="U1520" s="210"/>
      <c r="V1520" s="210"/>
      <c r="W1520" s="210"/>
      <c r="X1520" s="210"/>
      <c r="Y1520" s="210"/>
      <c r="Z1520" s="210"/>
    </row>
    <row r="1521" ht="21.75" customHeight="1">
      <c r="A1521" s="214"/>
      <c r="B1521" s="221"/>
      <c r="C1521" s="222">
        <v>107.0</v>
      </c>
      <c r="D1521" s="223" t="s">
        <v>541</v>
      </c>
      <c r="E1521" s="223" t="s">
        <v>508</v>
      </c>
      <c r="F1521" s="223" t="s">
        <v>509</v>
      </c>
      <c r="G1521" s="223" t="s">
        <v>510</v>
      </c>
      <c r="H1521" s="225" t="s">
        <v>1620</v>
      </c>
      <c r="I1521" s="208"/>
      <c r="J1521" s="210"/>
      <c r="K1521" s="210"/>
      <c r="L1521" s="210"/>
      <c r="M1521" s="210"/>
      <c r="N1521" s="210"/>
      <c r="O1521" s="210"/>
      <c r="P1521" s="210"/>
      <c r="Q1521" s="210"/>
      <c r="R1521" s="210"/>
      <c r="S1521" s="210"/>
      <c r="T1521" s="210"/>
      <c r="U1521" s="210"/>
      <c r="V1521" s="210"/>
      <c r="W1521" s="210"/>
      <c r="X1521" s="210"/>
      <c r="Y1521" s="210"/>
      <c r="Z1521" s="210"/>
    </row>
    <row r="1522" ht="21.75" customHeight="1">
      <c r="A1522" s="228"/>
      <c r="B1522" s="221"/>
      <c r="C1522" s="222">
        <v>108.0</v>
      </c>
      <c r="D1522" s="223" t="s">
        <v>837</v>
      </c>
      <c r="E1522" s="223" t="s">
        <v>487</v>
      </c>
      <c r="F1522" s="223" t="s">
        <v>826</v>
      </c>
      <c r="G1522" s="223" t="s">
        <v>526</v>
      </c>
      <c r="H1522" s="224" t="s">
        <v>490</v>
      </c>
      <c r="I1522" s="208"/>
      <c r="J1522" s="210"/>
      <c r="K1522" s="210"/>
      <c r="L1522" s="210"/>
      <c r="M1522" s="210"/>
      <c r="N1522" s="210"/>
      <c r="O1522" s="210"/>
      <c r="P1522" s="210"/>
      <c r="Q1522" s="210"/>
      <c r="R1522" s="210"/>
      <c r="S1522" s="210"/>
      <c r="T1522" s="210"/>
      <c r="U1522" s="210"/>
      <c r="V1522" s="210"/>
      <c r="W1522" s="210"/>
      <c r="X1522" s="210"/>
      <c r="Y1522" s="210"/>
      <c r="Z1522" s="210"/>
    </row>
    <row r="1523" ht="21.75" customHeight="1">
      <c r="A1523" s="214">
        <v>253.0</v>
      </c>
      <c r="B1523" s="215" t="s">
        <v>1621</v>
      </c>
      <c r="C1523" s="216"/>
      <c r="D1523" s="217"/>
      <c r="E1523" s="217"/>
      <c r="F1523" s="217"/>
      <c r="G1523" s="217"/>
      <c r="H1523" s="217"/>
      <c r="I1523" s="208"/>
      <c r="J1523" s="210"/>
      <c r="K1523" s="210"/>
      <c r="L1523" s="210"/>
      <c r="M1523" s="210"/>
      <c r="N1523" s="210"/>
      <c r="O1523" s="210"/>
      <c r="P1523" s="210"/>
      <c r="Q1523" s="210"/>
      <c r="R1523" s="210"/>
      <c r="S1523" s="210"/>
      <c r="T1523" s="210"/>
      <c r="U1523" s="210"/>
      <c r="V1523" s="210"/>
      <c r="W1523" s="210"/>
      <c r="X1523" s="210"/>
      <c r="Y1523" s="210"/>
      <c r="Z1523" s="210"/>
    </row>
    <row r="1524" ht="21.75" customHeight="1">
      <c r="A1524" s="214"/>
      <c r="B1524" s="218" t="s">
        <v>1622</v>
      </c>
      <c r="C1524" s="219">
        <v>50759.0</v>
      </c>
      <c r="D1524" s="220"/>
      <c r="E1524" s="220"/>
      <c r="F1524" s="220"/>
      <c r="G1524" s="220"/>
      <c r="H1524" s="220"/>
      <c r="I1524" s="208"/>
      <c r="J1524" s="210"/>
      <c r="K1524" s="210"/>
      <c r="L1524" s="210"/>
      <c r="M1524" s="210"/>
      <c r="N1524" s="210"/>
      <c r="O1524" s="210"/>
      <c r="P1524" s="210"/>
      <c r="Q1524" s="210"/>
      <c r="R1524" s="210"/>
      <c r="S1524" s="210"/>
      <c r="T1524" s="210"/>
      <c r="U1524" s="210"/>
      <c r="V1524" s="210"/>
      <c r="W1524" s="210"/>
      <c r="X1524" s="210"/>
      <c r="Y1524" s="210"/>
      <c r="Z1524" s="210"/>
    </row>
    <row r="1525" ht="21.75" customHeight="1">
      <c r="A1525" s="214"/>
      <c r="B1525" s="221"/>
      <c r="C1525" s="222">
        <v>100.0</v>
      </c>
      <c r="D1525" s="223" t="s">
        <v>486</v>
      </c>
      <c r="E1525" s="223" t="s">
        <v>487</v>
      </c>
      <c r="F1525" s="223" t="s">
        <v>488</v>
      </c>
      <c r="G1525" s="223" t="s">
        <v>489</v>
      </c>
      <c r="H1525" s="224" t="s">
        <v>490</v>
      </c>
      <c r="I1525" s="208"/>
      <c r="J1525" s="210"/>
      <c r="K1525" s="210"/>
      <c r="L1525" s="210"/>
      <c r="M1525" s="210"/>
      <c r="N1525" s="210"/>
      <c r="O1525" s="210"/>
      <c r="P1525" s="210"/>
      <c r="Q1525" s="210"/>
      <c r="R1525" s="210"/>
      <c r="S1525" s="210"/>
      <c r="T1525" s="210"/>
      <c r="U1525" s="210"/>
      <c r="V1525" s="210"/>
      <c r="W1525" s="210"/>
      <c r="X1525" s="210"/>
      <c r="Y1525" s="210"/>
      <c r="Z1525" s="210"/>
    </row>
    <row r="1526" ht="21.75" customHeight="1">
      <c r="A1526" s="214"/>
      <c r="B1526" s="221"/>
      <c r="C1526" s="222">
        <v>101.0</v>
      </c>
      <c r="D1526" s="223" t="s">
        <v>837</v>
      </c>
      <c r="E1526" s="223" t="s">
        <v>529</v>
      </c>
      <c r="F1526" s="223" t="s">
        <v>530</v>
      </c>
      <c r="G1526" s="218" t="s">
        <v>490</v>
      </c>
      <c r="H1526" s="225" t="s">
        <v>1623</v>
      </c>
      <c r="I1526" s="208"/>
      <c r="J1526" s="210"/>
      <c r="K1526" s="210"/>
      <c r="L1526" s="210"/>
      <c r="M1526" s="210"/>
      <c r="N1526" s="210"/>
      <c r="O1526" s="210"/>
      <c r="P1526" s="210"/>
      <c r="Q1526" s="210"/>
      <c r="R1526" s="210"/>
      <c r="S1526" s="210"/>
      <c r="T1526" s="210"/>
      <c r="U1526" s="210"/>
      <c r="V1526" s="210"/>
      <c r="W1526" s="210"/>
      <c r="X1526" s="210"/>
      <c r="Y1526" s="210"/>
      <c r="Z1526" s="210"/>
    </row>
    <row r="1527" ht="21.75" customHeight="1">
      <c r="A1527" s="214"/>
      <c r="B1527" s="221"/>
      <c r="C1527" s="222">
        <v>102.0</v>
      </c>
      <c r="D1527" s="223" t="s">
        <v>516</v>
      </c>
      <c r="E1527" s="223" t="s">
        <v>487</v>
      </c>
      <c r="F1527" s="223" t="s">
        <v>496</v>
      </c>
      <c r="G1527" s="223" t="s">
        <v>501</v>
      </c>
      <c r="H1527" s="225" t="s">
        <v>1624</v>
      </c>
      <c r="I1527" s="208"/>
      <c r="J1527" s="210"/>
      <c r="K1527" s="210"/>
      <c r="L1527" s="210"/>
      <c r="M1527" s="210"/>
      <c r="N1527" s="210"/>
      <c r="O1527" s="210"/>
      <c r="P1527" s="210"/>
      <c r="Q1527" s="210"/>
      <c r="R1527" s="210"/>
      <c r="S1527" s="210"/>
      <c r="T1527" s="210"/>
      <c r="U1527" s="210"/>
      <c r="V1527" s="210"/>
      <c r="W1527" s="210"/>
      <c r="X1527" s="210"/>
      <c r="Y1527" s="210"/>
      <c r="Z1527" s="210"/>
    </row>
    <row r="1528" ht="21.75" customHeight="1">
      <c r="A1528" s="214"/>
      <c r="B1528" s="221"/>
      <c r="C1528" s="222">
        <v>103.0</v>
      </c>
      <c r="D1528" s="223" t="s">
        <v>1485</v>
      </c>
      <c r="E1528" s="223" t="s">
        <v>487</v>
      </c>
      <c r="F1528" s="223" t="s">
        <v>500</v>
      </c>
      <c r="G1528" s="223" t="s">
        <v>497</v>
      </c>
      <c r="H1528" s="225" t="s">
        <v>1625</v>
      </c>
      <c r="I1528" s="208"/>
      <c r="J1528" s="210"/>
      <c r="K1528" s="210"/>
      <c r="L1528" s="210"/>
      <c r="M1528" s="210"/>
      <c r="N1528" s="210"/>
      <c r="O1528" s="210"/>
      <c r="P1528" s="210"/>
      <c r="Q1528" s="210"/>
      <c r="R1528" s="210"/>
      <c r="S1528" s="210"/>
      <c r="T1528" s="210"/>
      <c r="U1528" s="210"/>
      <c r="V1528" s="210"/>
      <c r="W1528" s="210"/>
      <c r="X1528" s="210"/>
      <c r="Y1528" s="210"/>
      <c r="Z1528" s="210"/>
    </row>
    <row r="1529" ht="21.75" customHeight="1">
      <c r="A1529" s="214"/>
      <c r="B1529" s="221"/>
      <c r="C1529" s="222">
        <v>104.0</v>
      </c>
      <c r="D1529" s="223" t="s">
        <v>618</v>
      </c>
      <c r="E1529" s="223" t="s">
        <v>504</v>
      </c>
      <c r="F1529" s="223" t="s">
        <v>761</v>
      </c>
      <c r="G1529" s="218" t="s">
        <v>490</v>
      </c>
      <c r="H1529" s="225" t="s">
        <v>1626</v>
      </c>
      <c r="I1529" s="208"/>
      <c r="J1529" s="210"/>
      <c r="K1529" s="210"/>
      <c r="L1529" s="210"/>
      <c r="M1529" s="210"/>
      <c r="N1529" s="210"/>
      <c r="O1529" s="210"/>
      <c r="P1529" s="210"/>
      <c r="Q1529" s="210"/>
      <c r="R1529" s="210"/>
      <c r="S1529" s="210"/>
      <c r="T1529" s="210"/>
      <c r="U1529" s="210"/>
      <c r="V1529" s="210"/>
      <c r="W1529" s="210"/>
      <c r="X1529" s="210"/>
      <c r="Y1529" s="210"/>
      <c r="Z1529" s="210"/>
    </row>
    <row r="1530" ht="21.75" customHeight="1">
      <c r="A1530" s="214"/>
      <c r="B1530" s="221"/>
      <c r="C1530" s="222">
        <v>105.0</v>
      </c>
      <c r="D1530" s="223" t="s">
        <v>618</v>
      </c>
      <c r="E1530" s="223" t="s">
        <v>487</v>
      </c>
      <c r="F1530" s="223" t="s">
        <v>492</v>
      </c>
      <c r="G1530" s="223" t="s">
        <v>493</v>
      </c>
      <c r="H1530" s="225" t="s">
        <v>1627</v>
      </c>
      <c r="I1530" s="208"/>
      <c r="J1530" s="210"/>
      <c r="K1530" s="210"/>
      <c r="L1530" s="210"/>
      <c r="M1530" s="210"/>
      <c r="N1530" s="210"/>
      <c r="O1530" s="210"/>
      <c r="P1530" s="210"/>
      <c r="Q1530" s="210"/>
      <c r="R1530" s="210"/>
      <c r="S1530" s="210"/>
      <c r="T1530" s="210"/>
      <c r="U1530" s="210"/>
      <c r="V1530" s="210"/>
      <c r="W1530" s="210"/>
      <c r="X1530" s="210"/>
      <c r="Y1530" s="210"/>
      <c r="Z1530" s="210"/>
    </row>
    <row r="1531" ht="21.75" customHeight="1">
      <c r="A1531" s="214"/>
      <c r="B1531" s="221"/>
      <c r="C1531" s="222">
        <v>106.0</v>
      </c>
      <c r="D1531" s="223" t="s">
        <v>541</v>
      </c>
      <c r="E1531" s="223" t="s">
        <v>508</v>
      </c>
      <c r="F1531" s="223" t="s">
        <v>509</v>
      </c>
      <c r="G1531" s="223" t="s">
        <v>510</v>
      </c>
      <c r="H1531" s="225" t="s">
        <v>1628</v>
      </c>
      <c r="I1531" s="208"/>
      <c r="J1531" s="210"/>
      <c r="K1531" s="210"/>
      <c r="L1531" s="210"/>
      <c r="M1531" s="210"/>
      <c r="N1531" s="210"/>
      <c r="O1531" s="210"/>
      <c r="P1531" s="210"/>
      <c r="Q1531" s="210"/>
      <c r="R1531" s="210"/>
      <c r="S1531" s="210"/>
      <c r="T1531" s="210"/>
      <c r="U1531" s="210"/>
      <c r="V1531" s="210"/>
      <c r="W1531" s="210"/>
      <c r="X1531" s="210"/>
      <c r="Y1531" s="210"/>
      <c r="Z1531" s="210"/>
    </row>
    <row r="1532" ht="21.75" customHeight="1">
      <c r="A1532" s="228"/>
      <c r="B1532" s="221"/>
      <c r="C1532" s="222">
        <v>107.0</v>
      </c>
      <c r="D1532" s="223" t="s">
        <v>837</v>
      </c>
      <c r="E1532" s="223" t="s">
        <v>487</v>
      </c>
      <c r="F1532" s="223" t="s">
        <v>826</v>
      </c>
      <c r="G1532" s="223" t="s">
        <v>526</v>
      </c>
      <c r="H1532" s="224" t="s">
        <v>490</v>
      </c>
      <c r="I1532" s="208"/>
      <c r="J1532" s="210"/>
      <c r="K1532" s="210"/>
      <c r="L1532" s="210"/>
      <c r="M1532" s="210"/>
      <c r="N1532" s="210"/>
      <c r="O1532" s="210"/>
      <c r="P1532" s="210"/>
      <c r="Q1532" s="210"/>
      <c r="R1532" s="210"/>
      <c r="S1532" s="210"/>
      <c r="T1532" s="210"/>
      <c r="U1532" s="210"/>
      <c r="V1532" s="210"/>
      <c r="W1532" s="210"/>
      <c r="X1532" s="210"/>
      <c r="Y1532" s="210"/>
      <c r="Z1532" s="210"/>
    </row>
    <row r="1533" ht="21.75" customHeight="1">
      <c r="A1533" s="214">
        <v>254.0</v>
      </c>
      <c r="B1533" s="215" t="s">
        <v>1629</v>
      </c>
      <c r="C1533" s="216"/>
      <c r="D1533" s="217"/>
      <c r="E1533" s="217"/>
      <c r="F1533" s="217"/>
      <c r="G1533" s="217"/>
      <c r="H1533" s="217"/>
      <c r="I1533" s="208"/>
      <c r="J1533" s="210"/>
      <c r="K1533" s="210"/>
      <c r="L1533" s="210"/>
      <c r="M1533" s="210"/>
      <c r="N1533" s="210"/>
      <c r="O1533" s="210"/>
      <c r="P1533" s="210"/>
      <c r="Q1533" s="210"/>
      <c r="R1533" s="210"/>
      <c r="S1533" s="210"/>
      <c r="T1533" s="210"/>
      <c r="U1533" s="210"/>
      <c r="V1533" s="210"/>
      <c r="W1533" s="210"/>
      <c r="X1533" s="210"/>
      <c r="Y1533" s="210"/>
      <c r="Z1533" s="210"/>
    </row>
    <row r="1534" ht="21.75" customHeight="1">
      <c r="A1534" s="214"/>
      <c r="B1534" s="218" t="s">
        <v>1630</v>
      </c>
      <c r="C1534" s="219">
        <v>50761.0</v>
      </c>
      <c r="D1534" s="220"/>
      <c r="E1534" s="220"/>
      <c r="F1534" s="220"/>
      <c r="G1534" s="220"/>
      <c r="H1534" s="220"/>
      <c r="I1534" s="208"/>
      <c r="J1534" s="210"/>
      <c r="K1534" s="210"/>
      <c r="L1534" s="210"/>
      <c r="M1534" s="210"/>
      <c r="N1534" s="210"/>
      <c r="O1534" s="210"/>
      <c r="P1534" s="210"/>
      <c r="Q1534" s="210"/>
      <c r="R1534" s="210"/>
      <c r="S1534" s="210"/>
      <c r="T1534" s="210"/>
      <c r="U1534" s="210"/>
      <c r="V1534" s="210"/>
      <c r="W1534" s="210"/>
      <c r="X1534" s="210"/>
      <c r="Y1534" s="210"/>
      <c r="Z1534" s="210"/>
    </row>
    <row r="1535" ht="21.75" customHeight="1">
      <c r="A1535" s="214"/>
      <c r="B1535" s="221"/>
      <c r="C1535" s="222">
        <v>100.0</v>
      </c>
      <c r="D1535" s="223" t="s">
        <v>486</v>
      </c>
      <c r="E1535" s="223" t="s">
        <v>487</v>
      </c>
      <c r="F1535" s="223" t="s">
        <v>488</v>
      </c>
      <c r="G1535" s="223" t="s">
        <v>489</v>
      </c>
      <c r="H1535" s="224" t="s">
        <v>490</v>
      </c>
      <c r="I1535" s="208"/>
      <c r="J1535" s="210"/>
      <c r="K1535" s="210"/>
      <c r="L1535" s="210"/>
      <c r="M1535" s="210"/>
      <c r="N1535" s="210"/>
      <c r="O1535" s="210"/>
      <c r="P1535" s="210"/>
      <c r="Q1535" s="210"/>
      <c r="R1535" s="210"/>
      <c r="S1535" s="210"/>
      <c r="T1535" s="210"/>
      <c r="U1535" s="210"/>
      <c r="V1535" s="210"/>
      <c r="W1535" s="210"/>
      <c r="X1535" s="210"/>
      <c r="Y1535" s="210"/>
      <c r="Z1535" s="210"/>
    </row>
    <row r="1536" ht="21.75" customHeight="1">
      <c r="A1536" s="214"/>
      <c r="B1536" s="221"/>
      <c r="C1536" s="222">
        <v>101.0</v>
      </c>
      <c r="D1536" s="223" t="s">
        <v>837</v>
      </c>
      <c r="E1536" s="223" t="s">
        <v>529</v>
      </c>
      <c r="F1536" s="223" t="s">
        <v>530</v>
      </c>
      <c r="G1536" s="218" t="s">
        <v>490</v>
      </c>
      <c r="H1536" s="225" t="s">
        <v>1631</v>
      </c>
      <c r="I1536" s="208"/>
      <c r="J1536" s="210"/>
      <c r="K1536" s="210"/>
      <c r="L1536" s="210"/>
      <c r="M1536" s="210"/>
      <c r="N1536" s="210"/>
      <c r="O1536" s="210"/>
      <c r="P1536" s="210"/>
      <c r="Q1536" s="210"/>
      <c r="R1536" s="210"/>
      <c r="S1536" s="210"/>
      <c r="T1536" s="210"/>
      <c r="U1536" s="210"/>
      <c r="V1536" s="210"/>
      <c r="W1536" s="210"/>
      <c r="X1536" s="210"/>
      <c r="Y1536" s="210"/>
      <c r="Z1536" s="210"/>
    </row>
    <row r="1537" ht="21.75" customHeight="1">
      <c r="A1537" s="214"/>
      <c r="B1537" s="221"/>
      <c r="C1537" s="222">
        <v>102.0</v>
      </c>
      <c r="D1537" s="223" t="s">
        <v>516</v>
      </c>
      <c r="E1537" s="223" t="s">
        <v>487</v>
      </c>
      <c r="F1537" s="223" t="s">
        <v>496</v>
      </c>
      <c r="G1537" s="223" t="s">
        <v>501</v>
      </c>
      <c r="H1537" s="225" t="s">
        <v>1632</v>
      </c>
      <c r="I1537" s="208"/>
      <c r="J1537" s="210"/>
      <c r="K1537" s="210"/>
      <c r="L1537" s="210"/>
      <c r="M1537" s="210"/>
      <c r="N1537" s="210"/>
      <c r="O1537" s="210"/>
      <c r="P1537" s="210"/>
      <c r="Q1537" s="210"/>
      <c r="R1537" s="210"/>
      <c r="S1537" s="210"/>
      <c r="T1537" s="210"/>
      <c r="U1537" s="210"/>
      <c r="V1537" s="210"/>
      <c r="W1537" s="210"/>
      <c r="X1537" s="210"/>
      <c r="Y1537" s="210"/>
      <c r="Z1537" s="210"/>
    </row>
    <row r="1538" ht="21.75" customHeight="1">
      <c r="A1538" s="214"/>
      <c r="B1538" s="221"/>
      <c r="C1538" s="222">
        <v>103.0</v>
      </c>
      <c r="D1538" s="223" t="s">
        <v>1485</v>
      </c>
      <c r="E1538" s="223" t="s">
        <v>487</v>
      </c>
      <c r="F1538" s="223" t="s">
        <v>500</v>
      </c>
      <c r="G1538" s="223" t="s">
        <v>497</v>
      </c>
      <c r="H1538" s="225" t="s">
        <v>1633</v>
      </c>
      <c r="I1538" s="208"/>
      <c r="J1538" s="210"/>
      <c r="K1538" s="210"/>
      <c r="L1538" s="210"/>
      <c r="M1538" s="210"/>
      <c r="N1538" s="210"/>
      <c r="O1538" s="210"/>
      <c r="P1538" s="210"/>
      <c r="Q1538" s="210"/>
      <c r="R1538" s="210"/>
      <c r="S1538" s="210"/>
      <c r="T1538" s="210"/>
      <c r="U1538" s="210"/>
      <c r="V1538" s="210"/>
      <c r="W1538" s="210"/>
      <c r="X1538" s="210"/>
      <c r="Y1538" s="210"/>
      <c r="Z1538" s="210"/>
    </row>
    <row r="1539" ht="21.75" customHeight="1">
      <c r="A1539" s="214"/>
      <c r="B1539" s="221"/>
      <c r="C1539" s="222">
        <v>104.0</v>
      </c>
      <c r="D1539" s="223" t="s">
        <v>1617</v>
      </c>
      <c r="E1539" s="223" t="s">
        <v>487</v>
      </c>
      <c r="F1539" s="223" t="s">
        <v>512</v>
      </c>
      <c r="G1539" s="223" t="s">
        <v>513</v>
      </c>
      <c r="H1539" s="225" t="s">
        <v>1634</v>
      </c>
      <c r="I1539" s="208"/>
      <c r="J1539" s="210"/>
      <c r="K1539" s="210"/>
      <c r="L1539" s="210"/>
      <c r="M1539" s="210"/>
      <c r="N1539" s="210"/>
      <c r="O1539" s="210"/>
      <c r="P1539" s="210"/>
      <c r="Q1539" s="210"/>
      <c r="R1539" s="210"/>
      <c r="S1539" s="210"/>
      <c r="T1539" s="210"/>
      <c r="U1539" s="210"/>
      <c r="V1539" s="210"/>
      <c r="W1539" s="210"/>
      <c r="X1539" s="210"/>
      <c r="Y1539" s="210"/>
      <c r="Z1539" s="210"/>
    </row>
    <row r="1540" ht="21.75" customHeight="1">
      <c r="A1540" s="214"/>
      <c r="B1540" s="221"/>
      <c r="C1540" s="222">
        <v>105.0</v>
      </c>
      <c r="D1540" s="223" t="s">
        <v>618</v>
      </c>
      <c r="E1540" s="223" t="s">
        <v>504</v>
      </c>
      <c r="F1540" s="223" t="s">
        <v>1173</v>
      </c>
      <c r="G1540" s="218" t="s">
        <v>490</v>
      </c>
      <c r="H1540" s="225" t="s">
        <v>1635</v>
      </c>
      <c r="I1540" s="208"/>
      <c r="J1540" s="210"/>
      <c r="K1540" s="210"/>
      <c r="L1540" s="210"/>
      <c r="M1540" s="210"/>
      <c r="N1540" s="210"/>
      <c r="O1540" s="210"/>
      <c r="P1540" s="210"/>
      <c r="Q1540" s="210"/>
      <c r="R1540" s="210"/>
      <c r="S1540" s="210"/>
      <c r="T1540" s="210"/>
      <c r="U1540" s="210"/>
      <c r="V1540" s="210"/>
      <c r="W1540" s="210"/>
      <c r="X1540" s="210"/>
      <c r="Y1540" s="210"/>
      <c r="Z1540" s="210"/>
    </row>
    <row r="1541" ht="21.75" customHeight="1">
      <c r="A1541" s="214"/>
      <c r="B1541" s="221"/>
      <c r="C1541" s="222">
        <v>106.0</v>
      </c>
      <c r="D1541" s="223" t="s">
        <v>618</v>
      </c>
      <c r="E1541" s="223" t="s">
        <v>487</v>
      </c>
      <c r="F1541" s="223" t="s">
        <v>492</v>
      </c>
      <c r="G1541" s="223" t="s">
        <v>493</v>
      </c>
      <c r="H1541" s="225" t="s">
        <v>1636</v>
      </c>
      <c r="I1541" s="208"/>
      <c r="J1541" s="210"/>
      <c r="K1541" s="210"/>
      <c r="L1541" s="210"/>
      <c r="M1541" s="210"/>
      <c r="N1541" s="210"/>
      <c r="O1541" s="210"/>
      <c r="P1541" s="210"/>
      <c r="Q1541" s="210"/>
      <c r="R1541" s="210"/>
      <c r="S1541" s="210"/>
      <c r="T1541" s="210"/>
      <c r="U1541" s="210"/>
      <c r="V1541" s="210"/>
      <c r="W1541" s="210"/>
      <c r="X1541" s="210"/>
      <c r="Y1541" s="210"/>
      <c r="Z1541" s="210"/>
    </row>
    <row r="1542" ht="21.75" customHeight="1">
      <c r="A1542" s="214"/>
      <c r="B1542" s="221"/>
      <c r="C1542" s="222">
        <v>107.0</v>
      </c>
      <c r="D1542" s="223" t="s">
        <v>541</v>
      </c>
      <c r="E1542" s="223" t="s">
        <v>508</v>
      </c>
      <c r="F1542" s="223" t="s">
        <v>509</v>
      </c>
      <c r="G1542" s="223" t="s">
        <v>510</v>
      </c>
      <c r="H1542" s="225" t="s">
        <v>879</v>
      </c>
      <c r="I1542" s="208"/>
      <c r="J1542" s="210"/>
      <c r="K1542" s="210"/>
      <c r="L1542" s="210"/>
      <c r="M1542" s="210"/>
      <c r="N1542" s="210"/>
      <c r="O1542" s="210"/>
      <c r="P1542" s="210"/>
      <c r="Q1542" s="210"/>
      <c r="R1542" s="210"/>
      <c r="S1542" s="210"/>
      <c r="T1542" s="210"/>
      <c r="U1542" s="210"/>
      <c r="V1542" s="210"/>
      <c r="W1542" s="210"/>
      <c r="X1542" s="210"/>
      <c r="Y1542" s="210"/>
      <c r="Z1542" s="210"/>
    </row>
    <row r="1543" ht="21.75" customHeight="1">
      <c r="A1543" s="228"/>
      <c r="B1543" s="221"/>
      <c r="C1543" s="222">
        <v>108.0</v>
      </c>
      <c r="D1543" s="223" t="s">
        <v>837</v>
      </c>
      <c r="E1543" s="223" t="s">
        <v>487</v>
      </c>
      <c r="F1543" s="223" t="s">
        <v>826</v>
      </c>
      <c r="G1543" s="223" t="s">
        <v>526</v>
      </c>
      <c r="H1543" s="224" t="s">
        <v>490</v>
      </c>
      <c r="I1543" s="208"/>
      <c r="J1543" s="210"/>
      <c r="K1543" s="210"/>
      <c r="L1543" s="210"/>
      <c r="M1543" s="210"/>
      <c r="N1543" s="210"/>
      <c r="O1543" s="210"/>
      <c r="P1543" s="210"/>
      <c r="Q1543" s="210"/>
      <c r="R1543" s="210"/>
      <c r="S1543" s="210"/>
      <c r="T1543" s="210"/>
      <c r="U1543" s="210"/>
      <c r="V1543" s="210"/>
      <c r="W1543" s="210"/>
      <c r="X1543" s="210"/>
      <c r="Y1543" s="210"/>
      <c r="Z1543" s="210"/>
    </row>
    <row r="1544" ht="21.75" customHeight="1">
      <c r="A1544" s="214">
        <v>255.0</v>
      </c>
      <c r="B1544" s="215" t="s">
        <v>1637</v>
      </c>
      <c r="C1544" s="216"/>
      <c r="D1544" s="217"/>
      <c r="E1544" s="217"/>
      <c r="F1544" s="217"/>
      <c r="G1544" s="217"/>
      <c r="H1544" s="217"/>
      <c r="I1544" s="208"/>
      <c r="J1544" s="210"/>
      <c r="K1544" s="210"/>
      <c r="L1544" s="210"/>
      <c r="M1544" s="210"/>
      <c r="N1544" s="210"/>
      <c r="O1544" s="210"/>
      <c r="P1544" s="210"/>
      <c r="Q1544" s="210"/>
      <c r="R1544" s="210"/>
      <c r="S1544" s="210"/>
      <c r="T1544" s="210"/>
      <c r="U1544" s="210"/>
      <c r="V1544" s="210"/>
      <c r="W1544" s="210"/>
      <c r="X1544" s="210"/>
      <c r="Y1544" s="210"/>
      <c r="Z1544" s="210"/>
    </row>
    <row r="1545" ht="21.75" customHeight="1">
      <c r="A1545" s="214"/>
      <c r="B1545" s="218" t="s">
        <v>1638</v>
      </c>
      <c r="C1545" s="219">
        <v>50763.0</v>
      </c>
      <c r="D1545" s="220"/>
      <c r="E1545" s="220"/>
      <c r="F1545" s="220"/>
      <c r="G1545" s="220"/>
      <c r="H1545" s="220"/>
      <c r="I1545" s="208"/>
      <c r="J1545" s="210"/>
      <c r="K1545" s="210"/>
      <c r="L1545" s="210"/>
      <c r="M1545" s="210"/>
      <c r="N1545" s="210"/>
      <c r="O1545" s="210"/>
      <c r="P1545" s="210"/>
      <c r="Q1545" s="210"/>
      <c r="R1545" s="210"/>
      <c r="S1545" s="210"/>
      <c r="T1545" s="210"/>
      <c r="U1545" s="210"/>
      <c r="V1545" s="210"/>
      <c r="W1545" s="210"/>
      <c r="X1545" s="210"/>
      <c r="Y1545" s="210"/>
      <c r="Z1545" s="210"/>
    </row>
    <row r="1546" ht="21.75" customHeight="1">
      <c r="A1546" s="214"/>
      <c r="B1546" s="221"/>
      <c r="C1546" s="222">
        <v>101.0</v>
      </c>
      <c r="D1546" s="223" t="s">
        <v>486</v>
      </c>
      <c r="E1546" s="223" t="s">
        <v>487</v>
      </c>
      <c r="F1546" s="223" t="s">
        <v>488</v>
      </c>
      <c r="G1546" s="223" t="s">
        <v>489</v>
      </c>
      <c r="H1546" s="224" t="s">
        <v>490</v>
      </c>
      <c r="I1546" s="208"/>
      <c r="J1546" s="210"/>
      <c r="K1546" s="210"/>
      <c r="L1546" s="210"/>
      <c r="M1546" s="210"/>
      <c r="N1546" s="210"/>
      <c r="O1546" s="210"/>
      <c r="P1546" s="210"/>
      <c r="Q1546" s="210"/>
      <c r="R1546" s="210"/>
      <c r="S1546" s="210"/>
      <c r="T1546" s="210"/>
      <c r="U1546" s="210"/>
      <c r="V1546" s="210"/>
      <c r="W1546" s="210"/>
      <c r="X1546" s="210"/>
      <c r="Y1546" s="210"/>
      <c r="Z1546" s="210"/>
    </row>
    <row r="1547" ht="21.75" customHeight="1">
      <c r="A1547" s="214"/>
      <c r="B1547" s="221"/>
      <c r="C1547" s="222">
        <v>103.0</v>
      </c>
      <c r="D1547" s="223" t="s">
        <v>491</v>
      </c>
      <c r="E1547" s="223" t="s">
        <v>487</v>
      </c>
      <c r="F1547" s="223" t="s">
        <v>492</v>
      </c>
      <c r="G1547" s="223" t="s">
        <v>678</v>
      </c>
      <c r="H1547" s="225" t="s">
        <v>1639</v>
      </c>
      <c r="I1547" s="208"/>
      <c r="J1547" s="210"/>
      <c r="K1547" s="210"/>
      <c r="L1547" s="210"/>
      <c r="M1547" s="210"/>
      <c r="N1547" s="210"/>
      <c r="O1547" s="210"/>
      <c r="P1547" s="210"/>
      <c r="Q1547" s="210"/>
      <c r="R1547" s="210"/>
      <c r="S1547" s="210"/>
      <c r="T1547" s="210"/>
      <c r="U1547" s="210"/>
      <c r="V1547" s="210"/>
      <c r="W1547" s="210"/>
      <c r="X1547" s="210"/>
      <c r="Y1547" s="210"/>
      <c r="Z1547" s="210"/>
    </row>
    <row r="1548" ht="21.75" customHeight="1">
      <c r="A1548" s="214"/>
      <c r="B1548" s="221"/>
      <c r="C1548" s="222">
        <v>105.0</v>
      </c>
      <c r="D1548" s="223" t="s">
        <v>837</v>
      </c>
      <c r="E1548" s="223" t="s">
        <v>529</v>
      </c>
      <c r="F1548" s="223" t="s">
        <v>530</v>
      </c>
      <c r="G1548" s="218" t="s">
        <v>490</v>
      </c>
      <c r="H1548" s="225" t="s">
        <v>1640</v>
      </c>
      <c r="I1548" s="208"/>
      <c r="J1548" s="210"/>
      <c r="K1548" s="210"/>
      <c r="L1548" s="210"/>
      <c r="M1548" s="210"/>
      <c r="N1548" s="210"/>
      <c r="O1548" s="210"/>
      <c r="P1548" s="210"/>
      <c r="Q1548" s="210"/>
      <c r="R1548" s="210"/>
      <c r="S1548" s="210"/>
      <c r="T1548" s="210"/>
      <c r="U1548" s="210"/>
      <c r="V1548" s="210"/>
      <c r="W1548" s="210"/>
      <c r="X1548" s="210"/>
      <c r="Y1548" s="210"/>
      <c r="Z1548" s="210"/>
    </row>
    <row r="1549" ht="21.75" customHeight="1">
      <c r="A1549" s="214"/>
      <c r="B1549" s="221"/>
      <c r="C1549" s="222">
        <v>107.0</v>
      </c>
      <c r="D1549" s="223" t="s">
        <v>663</v>
      </c>
      <c r="E1549" s="223" t="s">
        <v>504</v>
      </c>
      <c r="F1549" s="223" t="s">
        <v>505</v>
      </c>
      <c r="G1549" s="218" t="s">
        <v>490</v>
      </c>
      <c r="H1549" s="225" t="s">
        <v>1641</v>
      </c>
      <c r="I1549" s="208"/>
      <c r="J1549" s="210"/>
      <c r="K1549" s="210"/>
      <c r="L1549" s="210"/>
      <c r="M1549" s="210"/>
      <c r="N1549" s="210"/>
      <c r="O1549" s="210"/>
      <c r="P1549" s="210"/>
      <c r="Q1549" s="210"/>
      <c r="R1549" s="210"/>
      <c r="S1549" s="210"/>
      <c r="T1549" s="210"/>
      <c r="U1549" s="210"/>
      <c r="V1549" s="210"/>
      <c r="W1549" s="210"/>
      <c r="X1549" s="210"/>
      <c r="Y1549" s="210"/>
      <c r="Z1549" s="210"/>
    </row>
    <row r="1550" ht="21.75" customHeight="1">
      <c r="A1550" s="214"/>
      <c r="B1550" s="221"/>
      <c r="C1550" s="222">
        <v>109.0</v>
      </c>
      <c r="D1550" s="223" t="s">
        <v>1257</v>
      </c>
      <c r="E1550" s="223" t="s">
        <v>487</v>
      </c>
      <c r="F1550" s="223" t="s">
        <v>674</v>
      </c>
      <c r="G1550" s="223" t="s">
        <v>513</v>
      </c>
      <c r="H1550" s="224" t="s">
        <v>490</v>
      </c>
      <c r="I1550" s="208"/>
      <c r="J1550" s="210"/>
      <c r="K1550" s="210"/>
      <c r="L1550" s="210"/>
      <c r="M1550" s="210"/>
      <c r="N1550" s="210"/>
      <c r="O1550" s="210"/>
      <c r="P1550" s="210"/>
      <c r="Q1550" s="210"/>
      <c r="R1550" s="210"/>
      <c r="S1550" s="210"/>
      <c r="T1550" s="210"/>
      <c r="U1550" s="210"/>
      <c r="V1550" s="210"/>
      <c r="W1550" s="210"/>
      <c r="X1550" s="210"/>
      <c r="Y1550" s="210"/>
      <c r="Z1550" s="210"/>
    </row>
    <row r="1551" ht="21.75" customHeight="1">
      <c r="A1551" s="214"/>
      <c r="B1551" s="221"/>
      <c r="C1551" s="222">
        <v>111.0</v>
      </c>
      <c r="D1551" s="223" t="s">
        <v>516</v>
      </c>
      <c r="E1551" s="223" t="s">
        <v>487</v>
      </c>
      <c r="F1551" s="223" t="s">
        <v>512</v>
      </c>
      <c r="G1551" s="223" t="s">
        <v>493</v>
      </c>
      <c r="H1551" s="225" t="s">
        <v>1642</v>
      </c>
      <c r="I1551" s="208"/>
      <c r="J1551" s="210"/>
      <c r="K1551" s="210"/>
      <c r="L1551" s="210"/>
      <c r="M1551" s="210"/>
      <c r="N1551" s="210"/>
      <c r="O1551" s="210"/>
      <c r="P1551" s="210"/>
      <c r="Q1551" s="210"/>
      <c r="R1551" s="210"/>
      <c r="S1551" s="210"/>
      <c r="T1551" s="210"/>
      <c r="U1551" s="210"/>
      <c r="V1551" s="210"/>
      <c r="W1551" s="210"/>
      <c r="X1551" s="210"/>
      <c r="Y1551" s="210"/>
      <c r="Z1551" s="210"/>
    </row>
    <row r="1552" ht="21.75" customHeight="1">
      <c r="A1552" s="214"/>
      <c r="B1552" s="221"/>
      <c r="C1552" s="222">
        <v>113.0</v>
      </c>
      <c r="D1552" s="223" t="s">
        <v>1485</v>
      </c>
      <c r="E1552" s="223" t="s">
        <v>487</v>
      </c>
      <c r="F1552" s="223" t="s">
        <v>532</v>
      </c>
      <c r="G1552" s="223" t="s">
        <v>497</v>
      </c>
      <c r="H1552" s="224" t="s">
        <v>490</v>
      </c>
      <c r="I1552" s="208"/>
      <c r="J1552" s="210"/>
      <c r="K1552" s="210"/>
      <c r="L1552" s="210"/>
      <c r="M1552" s="210"/>
      <c r="N1552" s="210"/>
      <c r="O1552" s="210"/>
      <c r="P1552" s="210"/>
      <c r="Q1552" s="210"/>
      <c r="R1552" s="210"/>
      <c r="S1552" s="210"/>
      <c r="T1552" s="210"/>
      <c r="U1552" s="210"/>
      <c r="V1552" s="210"/>
      <c r="W1552" s="210"/>
      <c r="X1552" s="210"/>
      <c r="Y1552" s="210"/>
      <c r="Z1552" s="210"/>
    </row>
    <row r="1553" ht="21.75" customHeight="1">
      <c r="A1553" s="214"/>
      <c r="B1553" s="221"/>
      <c r="C1553" s="222">
        <v>115.0</v>
      </c>
      <c r="D1553" s="223" t="s">
        <v>779</v>
      </c>
      <c r="E1553" s="223" t="s">
        <v>487</v>
      </c>
      <c r="F1553" s="223" t="s">
        <v>590</v>
      </c>
      <c r="G1553" s="223" t="s">
        <v>501</v>
      </c>
      <c r="H1553" s="224" t="s">
        <v>490</v>
      </c>
      <c r="I1553" s="208"/>
      <c r="J1553" s="210"/>
      <c r="K1553" s="210"/>
      <c r="L1553" s="210"/>
      <c r="M1553" s="210"/>
      <c r="N1553" s="210"/>
      <c r="O1553" s="210"/>
      <c r="P1553" s="210"/>
      <c r="Q1553" s="210"/>
      <c r="R1553" s="210"/>
      <c r="S1553" s="210"/>
      <c r="T1553" s="210"/>
      <c r="U1553" s="210"/>
      <c r="V1553" s="210"/>
      <c r="W1553" s="210"/>
      <c r="X1553" s="210"/>
      <c r="Y1553" s="210"/>
      <c r="Z1553" s="210"/>
    </row>
    <row r="1554" ht="21.75" customHeight="1">
      <c r="A1554" s="214"/>
      <c r="B1554" s="221"/>
      <c r="C1554" s="222">
        <v>117.0</v>
      </c>
      <c r="D1554" s="223" t="s">
        <v>541</v>
      </c>
      <c r="E1554" s="223" t="s">
        <v>508</v>
      </c>
      <c r="F1554" s="223" t="s">
        <v>509</v>
      </c>
      <c r="G1554" s="223" t="s">
        <v>510</v>
      </c>
      <c r="H1554" s="225" t="s">
        <v>1643</v>
      </c>
      <c r="I1554" s="208"/>
      <c r="J1554" s="210"/>
      <c r="K1554" s="210"/>
      <c r="L1554" s="210"/>
      <c r="M1554" s="210"/>
      <c r="N1554" s="210"/>
      <c r="O1554" s="210"/>
      <c r="P1554" s="210"/>
      <c r="Q1554" s="210"/>
      <c r="R1554" s="210"/>
      <c r="S1554" s="210"/>
      <c r="T1554" s="210"/>
      <c r="U1554" s="210"/>
      <c r="V1554" s="210"/>
      <c r="W1554" s="210"/>
      <c r="X1554" s="210"/>
      <c r="Y1554" s="210"/>
      <c r="Z1554" s="210"/>
    </row>
    <row r="1555" ht="21.75" customHeight="1">
      <c r="A1555" s="214"/>
      <c r="B1555" s="221"/>
      <c r="C1555" s="222">
        <v>119.0</v>
      </c>
      <c r="D1555" s="223" t="s">
        <v>837</v>
      </c>
      <c r="E1555" s="223" t="s">
        <v>487</v>
      </c>
      <c r="F1555" s="223" t="s">
        <v>826</v>
      </c>
      <c r="G1555" s="223" t="s">
        <v>526</v>
      </c>
      <c r="H1555" s="224" t="s">
        <v>490</v>
      </c>
      <c r="I1555" s="208"/>
      <c r="J1555" s="210"/>
      <c r="K1555" s="210"/>
      <c r="L1555" s="210"/>
      <c r="M1555" s="210"/>
      <c r="N1555" s="210"/>
      <c r="O1555" s="210"/>
      <c r="P1555" s="210"/>
      <c r="Q1555" s="210"/>
      <c r="R1555" s="210"/>
      <c r="S1555" s="210"/>
      <c r="T1555" s="210"/>
      <c r="U1555" s="210"/>
      <c r="V1555" s="210"/>
      <c r="W1555" s="210"/>
      <c r="X1555" s="210"/>
      <c r="Y1555" s="210"/>
      <c r="Z1555" s="210"/>
    </row>
    <row r="1556" ht="21.75" customHeight="1">
      <c r="A1556" s="228"/>
      <c r="B1556" s="221"/>
      <c r="C1556" s="222">
        <v>121.0</v>
      </c>
      <c r="D1556" s="223" t="s">
        <v>663</v>
      </c>
      <c r="E1556" s="223" t="s">
        <v>487</v>
      </c>
      <c r="F1556" s="223" t="s">
        <v>500</v>
      </c>
      <c r="G1556" s="223" t="s">
        <v>513</v>
      </c>
      <c r="H1556" s="224" t="s">
        <v>490</v>
      </c>
      <c r="I1556" s="208"/>
      <c r="J1556" s="210"/>
      <c r="K1556" s="210"/>
      <c r="L1556" s="210"/>
      <c r="M1556" s="210"/>
      <c r="N1556" s="210"/>
      <c r="O1556" s="210"/>
      <c r="P1556" s="210"/>
      <c r="Q1556" s="210"/>
      <c r="R1556" s="210"/>
      <c r="S1556" s="210"/>
      <c r="T1556" s="210"/>
      <c r="U1556" s="210"/>
      <c r="V1556" s="210"/>
      <c r="W1556" s="210"/>
      <c r="X1556" s="210"/>
      <c r="Y1556" s="210"/>
      <c r="Z1556" s="210"/>
    </row>
    <row r="1557" ht="21.75" customHeight="1">
      <c r="A1557" s="214">
        <v>262.0</v>
      </c>
      <c r="B1557" s="215" t="s">
        <v>1644</v>
      </c>
      <c r="C1557" s="216"/>
      <c r="D1557" s="217"/>
      <c r="E1557" s="217"/>
      <c r="F1557" s="217"/>
      <c r="G1557" s="217"/>
      <c r="H1557" s="217"/>
      <c r="I1557" s="208"/>
      <c r="J1557" s="210"/>
      <c r="K1557" s="210"/>
      <c r="L1557" s="210"/>
      <c r="M1557" s="210"/>
      <c r="N1557" s="210"/>
      <c r="O1557" s="210"/>
      <c r="P1557" s="210"/>
      <c r="Q1557" s="210"/>
      <c r="R1557" s="210"/>
      <c r="S1557" s="210"/>
      <c r="T1557" s="210"/>
      <c r="U1557" s="210"/>
      <c r="V1557" s="210"/>
      <c r="W1557" s="210"/>
      <c r="X1557" s="210"/>
      <c r="Y1557" s="210"/>
      <c r="Z1557" s="210"/>
    </row>
    <row r="1558" ht="21.75" customHeight="1">
      <c r="A1558" s="214"/>
      <c r="B1558" s="218" t="s">
        <v>1645</v>
      </c>
      <c r="C1558" s="219">
        <v>50823.0</v>
      </c>
      <c r="D1558" s="220"/>
      <c r="E1558" s="220"/>
      <c r="F1558" s="220"/>
      <c r="G1558" s="220"/>
      <c r="H1558" s="220"/>
      <c r="I1558" s="208"/>
      <c r="J1558" s="210"/>
      <c r="K1558" s="210"/>
      <c r="L1558" s="210"/>
      <c r="M1558" s="210"/>
      <c r="N1558" s="210"/>
      <c r="O1558" s="210"/>
      <c r="P1558" s="210"/>
      <c r="Q1558" s="210"/>
      <c r="R1558" s="210"/>
      <c r="S1558" s="210"/>
      <c r="T1558" s="210"/>
      <c r="U1558" s="210"/>
      <c r="V1558" s="210"/>
      <c r="W1558" s="210"/>
      <c r="X1558" s="210"/>
      <c r="Y1558" s="210"/>
      <c r="Z1558" s="210"/>
    </row>
    <row r="1559" ht="21.75" customHeight="1">
      <c r="A1559" s="214"/>
      <c r="B1559" s="221"/>
      <c r="C1559" s="222">
        <v>100.0</v>
      </c>
      <c r="D1559" s="223" t="s">
        <v>486</v>
      </c>
      <c r="E1559" s="223" t="s">
        <v>487</v>
      </c>
      <c r="F1559" s="223" t="s">
        <v>488</v>
      </c>
      <c r="G1559" s="223" t="s">
        <v>489</v>
      </c>
      <c r="H1559" s="224" t="s">
        <v>490</v>
      </c>
      <c r="I1559" s="208"/>
      <c r="J1559" s="210"/>
      <c r="K1559" s="210"/>
      <c r="L1559" s="210"/>
      <c r="M1559" s="210"/>
      <c r="N1559" s="210"/>
      <c r="O1559" s="210"/>
      <c r="P1559" s="210"/>
      <c r="Q1559" s="210"/>
      <c r="R1559" s="210"/>
      <c r="S1559" s="210"/>
      <c r="T1559" s="210"/>
      <c r="U1559" s="210"/>
      <c r="V1559" s="210"/>
      <c r="W1559" s="210"/>
      <c r="X1559" s="210"/>
      <c r="Y1559" s="210"/>
      <c r="Z1559" s="210"/>
    </row>
    <row r="1560" ht="21.75" customHeight="1">
      <c r="A1560" s="214"/>
      <c r="B1560" s="221"/>
      <c r="C1560" s="222">
        <v>101.0</v>
      </c>
      <c r="D1560" s="223" t="s">
        <v>491</v>
      </c>
      <c r="E1560" s="223" t="s">
        <v>487</v>
      </c>
      <c r="F1560" s="223" t="s">
        <v>579</v>
      </c>
      <c r="G1560" s="223" t="s">
        <v>678</v>
      </c>
      <c r="H1560" s="225" t="s">
        <v>1646</v>
      </c>
      <c r="I1560" s="208"/>
      <c r="J1560" s="210"/>
      <c r="K1560" s="210"/>
      <c r="L1560" s="210"/>
      <c r="M1560" s="210"/>
      <c r="N1560" s="210"/>
      <c r="O1560" s="210"/>
      <c r="P1560" s="210"/>
      <c r="Q1560" s="210"/>
      <c r="R1560" s="210"/>
      <c r="S1560" s="210"/>
      <c r="T1560" s="210"/>
      <c r="U1560" s="210"/>
      <c r="V1560" s="210"/>
      <c r="W1560" s="210"/>
      <c r="X1560" s="210"/>
      <c r="Y1560" s="210"/>
      <c r="Z1560" s="210"/>
    </row>
    <row r="1561" ht="21.75" customHeight="1">
      <c r="A1561" s="214"/>
      <c r="B1561" s="221"/>
      <c r="C1561" s="222">
        <v>102.0</v>
      </c>
      <c r="D1561" s="223" t="s">
        <v>1350</v>
      </c>
      <c r="E1561" s="223" t="s">
        <v>487</v>
      </c>
      <c r="F1561" s="223" t="s">
        <v>492</v>
      </c>
      <c r="G1561" s="223" t="s">
        <v>497</v>
      </c>
      <c r="H1561" s="224" t="s">
        <v>490</v>
      </c>
      <c r="I1561" s="208"/>
      <c r="J1561" s="210"/>
      <c r="K1561" s="210"/>
      <c r="L1561" s="210"/>
      <c r="M1561" s="210"/>
      <c r="N1561" s="210"/>
      <c r="O1561" s="210"/>
      <c r="P1561" s="210"/>
      <c r="Q1561" s="210"/>
      <c r="R1561" s="210"/>
      <c r="S1561" s="210"/>
      <c r="T1561" s="210"/>
      <c r="U1561" s="210"/>
      <c r="V1561" s="210"/>
      <c r="W1561" s="210"/>
      <c r="X1561" s="210"/>
      <c r="Y1561" s="210"/>
      <c r="Z1561" s="210"/>
    </row>
    <row r="1562" ht="21.75" customHeight="1">
      <c r="A1562" s="214"/>
      <c r="B1562" s="221"/>
      <c r="C1562" s="222">
        <v>103.0</v>
      </c>
      <c r="D1562" s="223" t="s">
        <v>519</v>
      </c>
      <c r="E1562" s="223" t="s">
        <v>508</v>
      </c>
      <c r="F1562" s="223" t="s">
        <v>509</v>
      </c>
      <c r="G1562" s="223" t="s">
        <v>510</v>
      </c>
      <c r="H1562" s="225" t="s">
        <v>1647</v>
      </c>
      <c r="I1562" s="208"/>
      <c r="J1562" s="210"/>
      <c r="K1562" s="210"/>
      <c r="L1562" s="210"/>
      <c r="M1562" s="210"/>
      <c r="N1562" s="210"/>
      <c r="O1562" s="210"/>
      <c r="P1562" s="210"/>
      <c r="Q1562" s="210"/>
      <c r="R1562" s="210"/>
      <c r="S1562" s="210"/>
      <c r="T1562" s="210"/>
      <c r="U1562" s="210"/>
      <c r="V1562" s="210"/>
      <c r="W1562" s="210"/>
      <c r="X1562" s="210"/>
      <c r="Y1562" s="210"/>
      <c r="Z1562" s="210"/>
    </row>
    <row r="1563" ht="21.75" customHeight="1">
      <c r="A1563" s="214"/>
      <c r="B1563" s="221"/>
      <c r="C1563" s="222">
        <v>200.0</v>
      </c>
      <c r="D1563" s="223" t="s">
        <v>1648</v>
      </c>
      <c r="E1563" s="223" t="s">
        <v>487</v>
      </c>
      <c r="F1563" s="223" t="s">
        <v>496</v>
      </c>
      <c r="G1563" s="218" t="s">
        <v>490</v>
      </c>
      <c r="H1563" s="224" t="s">
        <v>490</v>
      </c>
      <c r="I1563" s="208"/>
      <c r="J1563" s="210"/>
      <c r="K1563" s="210"/>
      <c r="L1563" s="210"/>
      <c r="M1563" s="210"/>
      <c r="N1563" s="210"/>
      <c r="O1563" s="210"/>
      <c r="P1563" s="210"/>
      <c r="Q1563" s="210"/>
      <c r="R1563" s="210"/>
      <c r="S1563" s="210"/>
      <c r="T1563" s="210"/>
      <c r="U1563" s="210"/>
      <c r="V1563" s="210"/>
      <c r="W1563" s="210"/>
      <c r="X1563" s="210"/>
      <c r="Y1563" s="210"/>
      <c r="Z1563" s="210"/>
    </row>
    <row r="1564" ht="21.75" customHeight="1">
      <c r="A1564" s="214"/>
      <c r="B1564" s="221"/>
      <c r="C1564" s="222">
        <v>201.0</v>
      </c>
      <c r="D1564" s="223" t="s">
        <v>1649</v>
      </c>
      <c r="E1564" s="223" t="s">
        <v>487</v>
      </c>
      <c r="F1564" s="223" t="s">
        <v>500</v>
      </c>
      <c r="G1564" s="218" t="s">
        <v>490</v>
      </c>
      <c r="H1564" s="224" t="s">
        <v>490</v>
      </c>
      <c r="I1564" s="208"/>
      <c r="J1564" s="210"/>
      <c r="K1564" s="210"/>
      <c r="L1564" s="210"/>
      <c r="M1564" s="210"/>
      <c r="N1564" s="210"/>
      <c r="O1564" s="210"/>
      <c r="P1564" s="210"/>
      <c r="Q1564" s="210"/>
      <c r="R1564" s="210"/>
      <c r="S1564" s="210"/>
      <c r="T1564" s="210"/>
      <c r="U1564" s="210"/>
      <c r="V1564" s="210"/>
      <c r="W1564" s="210"/>
      <c r="X1564" s="210"/>
      <c r="Y1564" s="210"/>
      <c r="Z1564" s="210"/>
    </row>
    <row r="1565" ht="21.75" customHeight="1">
      <c r="A1565" s="214"/>
      <c r="B1565" s="221"/>
      <c r="C1565" s="222">
        <v>202.0</v>
      </c>
      <c r="D1565" s="223" t="s">
        <v>1650</v>
      </c>
      <c r="E1565" s="223" t="s">
        <v>487</v>
      </c>
      <c r="F1565" s="223" t="s">
        <v>512</v>
      </c>
      <c r="G1565" s="218" t="s">
        <v>490</v>
      </c>
      <c r="H1565" s="224" t="s">
        <v>490</v>
      </c>
      <c r="I1565" s="208"/>
      <c r="J1565" s="210"/>
      <c r="K1565" s="210"/>
      <c r="L1565" s="210"/>
      <c r="M1565" s="210"/>
      <c r="N1565" s="210"/>
      <c r="O1565" s="210"/>
      <c r="P1565" s="210"/>
      <c r="Q1565" s="210"/>
      <c r="R1565" s="210"/>
      <c r="S1565" s="210"/>
      <c r="T1565" s="210"/>
      <c r="U1565" s="210"/>
      <c r="V1565" s="210"/>
      <c r="W1565" s="210"/>
      <c r="X1565" s="210"/>
      <c r="Y1565" s="210"/>
      <c r="Z1565" s="210"/>
    </row>
    <row r="1566" ht="21.75" customHeight="1">
      <c r="A1566" s="214"/>
      <c r="B1566" s="221"/>
      <c r="C1566" s="222">
        <v>203.0</v>
      </c>
      <c r="D1566" s="223" t="s">
        <v>1479</v>
      </c>
      <c r="E1566" s="223" t="s">
        <v>487</v>
      </c>
      <c r="F1566" s="223" t="s">
        <v>532</v>
      </c>
      <c r="G1566" s="218" t="s">
        <v>490</v>
      </c>
      <c r="H1566" s="224" t="s">
        <v>490</v>
      </c>
      <c r="I1566" s="208"/>
      <c r="J1566" s="210"/>
      <c r="K1566" s="210"/>
      <c r="L1566" s="210"/>
      <c r="M1566" s="210"/>
      <c r="N1566" s="210"/>
      <c r="O1566" s="210"/>
      <c r="P1566" s="210"/>
      <c r="Q1566" s="210"/>
      <c r="R1566" s="210"/>
      <c r="S1566" s="210"/>
      <c r="T1566" s="210"/>
      <c r="U1566" s="210"/>
      <c r="V1566" s="210"/>
      <c r="W1566" s="210"/>
      <c r="X1566" s="210"/>
      <c r="Y1566" s="210"/>
      <c r="Z1566" s="210"/>
    </row>
    <row r="1567" ht="21.75" customHeight="1">
      <c r="A1567" s="214"/>
      <c r="B1567" s="221"/>
      <c r="C1567" s="222">
        <v>204.0</v>
      </c>
      <c r="D1567" s="223" t="s">
        <v>1651</v>
      </c>
      <c r="E1567" s="223" t="s">
        <v>487</v>
      </c>
      <c r="F1567" s="223" t="s">
        <v>590</v>
      </c>
      <c r="G1567" s="218" t="s">
        <v>490</v>
      </c>
      <c r="H1567" s="224" t="s">
        <v>490</v>
      </c>
      <c r="I1567" s="208"/>
      <c r="J1567" s="210"/>
      <c r="K1567" s="210"/>
      <c r="L1567" s="210"/>
      <c r="M1567" s="210"/>
      <c r="N1567" s="210"/>
      <c r="O1567" s="210"/>
      <c r="P1567" s="210"/>
      <c r="Q1567" s="210"/>
      <c r="R1567" s="210"/>
      <c r="S1567" s="210"/>
      <c r="T1567" s="210"/>
      <c r="U1567" s="210"/>
      <c r="V1567" s="210"/>
      <c r="W1567" s="210"/>
      <c r="X1567" s="210"/>
      <c r="Y1567" s="210"/>
      <c r="Z1567" s="210"/>
    </row>
    <row r="1568" ht="21.75" customHeight="1">
      <c r="A1568" s="214"/>
      <c r="B1568" s="221"/>
      <c r="C1568" s="222">
        <v>205.0</v>
      </c>
      <c r="D1568" s="223" t="s">
        <v>1652</v>
      </c>
      <c r="E1568" s="223" t="s">
        <v>487</v>
      </c>
      <c r="F1568" s="223" t="s">
        <v>603</v>
      </c>
      <c r="G1568" s="218" t="s">
        <v>490</v>
      </c>
      <c r="H1568" s="224" t="s">
        <v>490</v>
      </c>
      <c r="I1568" s="208"/>
      <c r="J1568" s="210"/>
      <c r="K1568" s="210"/>
      <c r="L1568" s="210"/>
      <c r="M1568" s="210"/>
      <c r="N1568" s="210"/>
      <c r="O1568" s="210"/>
      <c r="P1568" s="210"/>
      <c r="Q1568" s="210"/>
      <c r="R1568" s="210"/>
      <c r="S1568" s="210"/>
      <c r="T1568" s="210"/>
      <c r="U1568" s="210"/>
      <c r="V1568" s="210"/>
      <c r="W1568" s="210"/>
      <c r="X1568" s="210"/>
      <c r="Y1568" s="210"/>
      <c r="Z1568" s="210"/>
    </row>
    <row r="1569" ht="21.75" customHeight="1">
      <c r="A1569" s="214"/>
      <c r="B1569" s="221"/>
      <c r="C1569" s="222">
        <v>206.0</v>
      </c>
      <c r="D1569" s="223" t="s">
        <v>1653</v>
      </c>
      <c r="E1569" s="223" t="s">
        <v>529</v>
      </c>
      <c r="F1569" s="223" t="s">
        <v>530</v>
      </c>
      <c r="G1569" s="218" t="s">
        <v>490</v>
      </c>
      <c r="H1569" s="224" t="s">
        <v>490</v>
      </c>
      <c r="I1569" s="208"/>
      <c r="J1569" s="210"/>
      <c r="K1569" s="210"/>
      <c r="L1569" s="210"/>
      <c r="M1569" s="210"/>
      <c r="N1569" s="210"/>
      <c r="O1569" s="210"/>
      <c r="P1569" s="210"/>
      <c r="Q1569" s="210"/>
      <c r="R1569" s="210"/>
      <c r="S1569" s="210"/>
      <c r="T1569" s="210"/>
      <c r="U1569" s="210"/>
      <c r="V1569" s="210"/>
      <c r="W1569" s="210"/>
      <c r="X1569" s="210"/>
      <c r="Y1569" s="210"/>
      <c r="Z1569" s="210"/>
    </row>
    <row r="1570" ht="21.75" customHeight="1">
      <c r="A1570" s="214"/>
      <c r="B1570" s="217"/>
      <c r="C1570" s="222">
        <v>300.0</v>
      </c>
      <c r="D1570" s="215" t="s">
        <v>696</v>
      </c>
      <c r="E1570" s="215" t="s">
        <v>673</v>
      </c>
      <c r="F1570" s="215" t="s">
        <v>696</v>
      </c>
      <c r="G1570" s="234" t="s">
        <v>490</v>
      </c>
      <c r="H1570" s="224" t="s">
        <v>490</v>
      </c>
      <c r="I1570" s="208"/>
      <c r="J1570" s="210"/>
      <c r="K1570" s="210"/>
      <c r="L1570" s="210"/>
      <c r="M1570" s="210"/>
      <c r="N1570" s="210"/>
      <c r="O1570" s="210"/>
      <c r="P1570" s="210"/>
      <c r="Q1570" s="210"/>
      <c r="R1570" s="210"/>
      <c r="S1570" s="210"/>
      <c r="T1570" s="210"/>
      <c r="U1570" s="210"/>
      <c r="V1570" s="210"/>
      <c r="W1570" s="210"/>
      <c r="X1570" s="210"/>
      <c r="Y1570" s="210"/>
      <c r="Z1570" s="210"/>
    </row>
    <row r="1571" ht="21.75" customHeight="1">
      <c r="A1571" s="214"/>
      <c r="B1571" s="218" t="s">
        <v>1654</v>
      </c>
      <c r="C1571" s="226">
        <v>50825.0</v>
      </c>
      <c r="D1571" s="220"/>
      <c r="E1571" s="220"/>
      <c r="F1571" s="220"/>
      <c r="G1571" s="220"/>
      <c r="H1571" s="221"/>
      <c r="I1571" s="208"/>
      <c r="J1571" s="210"/>
      <c r="K1571" s="210"/>
      <c r="L1571" s="210"/>
      <c r="M1571" s="210"/>
      <c r="N1571" s="210"/>
      <c r="O1571" s="210"/>
      <c r="P1571" s="210"/>
      <c r="Q1571" s="210"/>
      <c r="R1571" s="210"/>
      <c r="S1571" s="210"/>
      <c r="T1571" s="210"/>
      <c r="U1571" s="210"/>
      <c r="V1571" s="210"/>
      <c r="W1571" s="210"/>
      <c r="X1571" s="210"/>
      <c r="Y1571" s="210"/>
      <c r="Z1571" s="210"/>
    </row>
    <row r="1572" ht="21.75" customHeight="1">
      <c r="A1572" s="214"/>
      <c r="B1572" s="221"/>
      <c r="C1572" s="222">
        <v>100.0</v>
      </c>
      <c r="D1572" s="223" t="s">
        <v>486</v>
      </c>
      <c r="E1572" s="223" t="s">
        <v>487</v>
      </c>
      <c r="F1572" s="223" t="s">
        <v>488</v>
      </c>
      <c r="G1572" s="223" t="s">
        <v>489</v>
      </c>
      <c r="H1572" s="224" t="s">
        <v>490</v>
      </c>
      <c r="I1572" s="208"/>
      <c r="J1572" s="210"/>
      <c r="K1572" s="210"/>
      <c r="L1572" s="210"/>
      <c r="M1572" s="210"/>
      <c r="N1572" s="210"/>
      <c r="O1572" s="210"/>
      <c r="P1572" s="210"/>
      <c r="Q1572" s="210"/>
      <c r="R1572" s="210"/>
      <c r="S1572" s="210"/>
      <c r="T1572" s="210"/>
      <c r="U1572" s="210"/>
      <c r="V1572" s="210"/>
      <c r="W1572" s="210"/>
      <c r="X1572" s="210"/>
      <c r="Y1572" s="210"/>
      <c r="Z1572" s="210"/>
    </row>
    <row r="1573" ht="21.75" customHeight="1">
      <c r="A1573" s="214"/>
      <c r="B1573" s="221"/>
      <c r="C1573" s="222">
        <v>101.0</v>
      </c>
      <c r="D1573" s="223" t="s">
        <v>876</v>
      </c>
      <c r="E1573" s="223" t="s">
        <v>487</v>
      </c>
      <c r="F1573" s="223" t="s">
        <v>492</v>
      </c>
      <c r="G1573" s="223" t="s">
        <v>497</v>
      </c>
      <c r="H1573" s="225" t="s">
        <v>1655</v>
      </c>
      <c r="I1573" s="208"/>
      <c r="J1573" s="210"/>
      <c r="K1573" s="210"/>
      <c r="L1573" s="210"/>
      <c r="M1573" s="210"/>
      <c r="N1573" s="210"/>
      <c r="O1573" s="210"/>
      <c r="P1573" s="210"/>
      <c r="Q1573" s="210"/>
      <c r="R1573" s="210"/>
      <c r="S1573" s="210"/>
      <c r="T1573" s="210"/>
      <c r="U1573" s="210"/>
      <c r="V1573" s="210"/>
      <c r="W1573" s="210"/>
      <c r="X1573" s="210"/>
      <c r="Y1573" s="210"/>
      <c r="Z1573" s="210"/>
    </row>
    <row r="1574" ht="21.75" customHeight="1">
      <c r="A1574" s="214"/>
      <c r="B1574" s="221"/>
      <c r="C1574" s="222">
        <v>102.0</v>
      </c>
      <c r="D1574" s="223" t="s">
        <v>519</v>
      </c>
      <c r="E1574" s="223" t="s">
        <v>508</v>
      </c>
      <c r="F1574" s="223" t="s">
        <v>509</v>
      </c>
      <c r="G1574" s="223" t="s">
        <v>510</v>
      </c>
      <c r="H1574" s="225" t="s">
        <v>1656</v>
      </c>
      <c r="I1574" s="208"/>
      <c r="J1574" s="210"/>
      <c r="K1574" s="210"/>
      <c r="L1574" s="210"/>
      <c r="M1574" s="210"/>
      <c r="N1574" s="210"/>
      <c r="O1574" s="210"/>
      <c r="P1574" s="210"/>
      <c r="Q1574" s="210"/>
      <c r="R1574" s="210"/>
      <c r="S1574" s="210"/>
      <c r="T1574" s="210"/>
      <c r="U1574" s="210"/>
      <c r="V1574" s="210"/>
      <c r="W1574" s="210"/>
      <c r="X1574" s="210"/>
      <c r="Y1574" s="210"/>
      <c r="Z1574" s="210"/>
    </row>
    <row r="1575" ht="21.75" customHeight="1">
      <c r="A1575" s="214"/>
      <c r="B1575" s="221"/>
      <c r="C1575" s="222">
        <v>200.0</v>
      </c>
      <c r="D1575" s="223" t="s">
        <v>1648</v>
      </c>
      <c r="E1575" s="223" t="s">
        <v>487</v>
      </c>
      <c r="F1575" s="223" t="s">
        <v>496</v>
      </c>
      <c r="G1575" s="218" t="s">
        <v>490</v>
      </c>
      <c r="H1575" s="224" t="s">
        <v>490</v>
      </c>
      <c r="I1575" s="208"/>
      <c r="J1575" s="210"/>
      <c r="K1575" s="210"/>
      <c r="L1575" s="210"/>
      <c r="M1575" s="210"/>
      <c r="N1575" s="210"/>
      <c r="O1575" s="210"/>
      <c r="P1575" s="210"/>
      <c r="Q1575" s="210"/>
      <c r="R1575" s="210"/>
      <c r="S1575" s="210"/>
      <c r="T1575" s="210"/>
      <c r="U1575" s="210"/>
      <c r="V1575" s="210"/>
      <c r="W1575" s="210"/>
      <c r="X1575" s="210"/>
      <c r="Y1575" s="210"/>
      <c r="Z1575" s="210"/>
    </row>
    <row r="1576" ht="21.75" customHeight="1">
      <c r="A1576" s="214"/>
      <c r="B1576" s="221"/>
      <c r="C1576" s="222">
        <v>201.0</v>
      </c>
      <c r="D1576" s="223" t="s">
        <v>1649</v>
      </c>
      <c r="E1576" s="223" t="s">
        <v>487</v>
      </c>
      <c r="F1576" s="223" t="s">
        <v>500</v>
      </c>
      <c r="G1576" s="218" t="s">
        <v>490</v>
      </c>
      <c r="H1576" s="224" t="s">
        <v>490</v>
      </c>
      <c r="I1576" s="208"/>
      <c r="J1576" s="210"/>
      <c r="K1576" s="210"/>
      <c r="L1576" s="210"/>
      <c r="M1576" s="210"/>
      <c r="N1576" s="210"/>
      <c r="O1576" s="210"/>
      <c r="P1576" s="210"/>
      <c r="Q1576" s="210"/>
      <c r="R1576" s="210"/>
      <c r="S1576" s="210"/>
      <c r="T1576" s="210"/>
      <c r="U1576" s="210"/>
      <c r="V1576" s="210"/>
      <c r="W1576" s="210"/>
      <c r="X1576" s="210"/>
      <c r="Y1576" s="210"/>
      <c r="Z1576" s="210"/>
    </row>
    <row r="1577" ht="21.75" customHeight="1">
      <c r="A1577" s="214"/>
      <c r="B1577" s="221"/>
      <c r="C1577" s="222">
        <v>202.0</v>
      </c>
      <c r="D1577" s="223" t="s">
        <v>1650</v>
      </c>
      <c r="E1577" s="223" t="s">
        <v>487</v>
      </c>
      <c r="F1577" s="223" t="s">
        <v>512</v>
      </c>
      <c r="G1577" s="218" t="s">
        <v>490</v>
      </c>
      <c r="H1577" s="224" t="s">
        <v>490</v>
      </c>
      <c r="I1577" s="208"/>
      <c r="J1577" s="210"/>
      <c r="K1577" s="210"/>
      <c r="L1577" s="210"/>
      <c r="M1577" s="210"/>
      <c r="N1577" s="210"/>
      <c r="O1577" s="210"/>
      <c r="P1577" s="210"/>
      <c r="Q1577" s="210"/>
      <c r="R1577" s="210"/>
      <c r="S1577" s="210"/>
      <c r="T1577" s="210"/>
      <c r="U1577" s="210"/>
      <c r="V1577" s="210"/>
      <c r="W1577" s="210"/>
      <c r="X1577" s="210"/>
      <c r="Y1577" s="210"/>
      <c r="Z1577" s="210"/>
    </row>
    <row r="1578" ht="21.75" customHeight="1">
      <c r="A1578" s="214"/>
      <c r="B1578" s="221"/>
      <c r="C1578" s="222">
        <v>203.0</v>
      </c>
      <c r="D1578" s="223" t="s">
        <v>1479</v>
      </c>
      <c r="E1578" s="223" t="s">
        <v>487</v>
      </c>
      <c r="F1578" s="223" t="s">
        <v>532</v>
      </c>
      <c r="G1578" s="218" t="s">
        <v>490</v>
      </c>
      <c r="H1578" s="224" t="s">
        <v>490</v>
      </c>
      <c r="I1578" s="208"/>
      <c r="J1578" s="210"/>
      <c r="K1578" s="210"/>
      <c r="L1578" s="210"/>
      <c r="M1578" s="210"/>
      <c r="N1578" s="210"/>
      <c r="O1578" s="210"/>
      <c r="P1578" s="210"/>
      <c r="Q1578" s="210"/>
      <c r="R1578" s="210"/>
      <c r="S1578" s="210"/>
      <c r="T1578" s="210"/>
      <c r="U1578" s="210"/>
      <c r="V1578" s="210"/>
      <c r="W1578" s="210"/>
      <c r="X1578" s="210"/>
      <c r="Y1578" s="210"/>
      <c r="Z1578" s="210"/>
    </row>
    <row r="1579" ht="21.75" customHeight="1">
      <c r="A1579" s="214"/>
      <c r="B1579" s="221"/>
      <c r="C1579" s="222">
        <v>204.0</v>
      </c>
      <c r="D1579" s="223" t="s">
        <v>1651</v>
      </c>
      <c r="E1579" s="223" t="s">
        <v>487</v>
      </c>
      <c r="F1579" s="223" t="s">
        <v>590</v>
      </c>
      <c r="G1579" s="218" t="s">
        <v>490</v>
      </c>
      <c r="H1579" s="224" t="s">
        <v>490</v>
      </c>
      <c r="I1579" s="208"/>
      <c r="J1579" s="210"/>
      <c r="K1579" s="210"/>
      <c r="L1579" s="210"/>
      <c r="M1579" s="210"/>
      <c r="N1579" s="210"/>
      <c r="O1579" s="210"/>
      <c r="P1579" s="210"/>
      <c r="Q1579" s="210"/>
      <c r="R1579" s="210"/>
      <c r="S1579" s="210"/>
      <c r="T1579" s="210"/>
      <c r="U1579" s="210"/>
      <c r="V1579" s="210"/>
      <c r="W1579" s="210"/>
      <c r="X1579" s="210"/>
      <c r="Y1579" s="210"/>
      <c r="Z1579" s="210"/>
    </row>
    <row r="1580" ht="21.75" customHeight="1">
      <c r="A1580" s="214"/>
      <c r="B1580" s="221"/>
      <c r="C1580" s="222">
        <v>205.0</v>
      </c>
      <c r="D1580" s="223" t="s">
        <v>1652</v>
      </c>
      <c r="E1580" s="223" t="s">
        <v>487</v>
      </c>
      <c r="F1580" s="223" t="s">
        <v>603</v>
      </c>
      <c r="G1580" s="218" t="s">
        <v>490</v>
      </c>
      <c r="H1580" s="224" t="s">
        <v>490</v>
      </c>
      <c r="I1580" s="208"/>
      <c r="J1580" s="210"/>
      <c r="K1580" s="210"/>
      <c r="L1580" s="210"/>
      <c r="M1580" s="210"/>
      <c r="N1580" s="210"/>
      <c r="O1580" s="210"/>
      <c r="P1580" s="210"/>
      <c r="Q1580" s="210"/>
      <c r="R1580" s="210"/>
      <c r="S1580" s="210"/>
      <c r="T1580" s="210"/>
      <c r="U1580" s="210"/>
      <c r="V1580" s="210"/>
      <c r="W1580" s="210"/>
      <c r="X1580" s="210"/>
      <c r="Y1580" s="210"/>
      <c r="Z1580" s="210"/>
    </row>
    <row r="1581" ht="21.75" customHeight="1">
      <c r="A1581" s="214"/>
      <c r="B1581" s="221"/>
      <c r="C1581" s="222">
        <v>206.0</v>
      </c>
      <c r="D1581" s="223" t="s">
        <v>1653</v>
      </c>
      <c r="E1581" s="223" t="s">
        <v>529</v>
      </c>
      <c r="F1581" s="223" t="s">
        <v>530</v>
      </c>
      <c r="G1581" s="218" t="s">
        <v>490</v>
      </c>
      <c r="H1581" s="224" t="s">
        <v>490</v>
      </c>
      <c r="I1581" s="208"/>
      <c r="J1581" s="210"/>
      <c r="K1581" s="210"/>
      <c r="L1581" s="210"/>
      <c r="M1581" s="210"/>
      <c r="N1581" s="210"/>
      <c r="O1581" s="210"/>
      <c r="P1581" s="210"/>
      <c r="Q1581" s="210"/>
      <c r="R1581" s="210"/>
      <c r="S1581" s="210"/>
      <c r="T1581" s="210"/>
      <c r="U1581" s="210"/>
      <c r="V1581" s="210"/>
      <c r="W1581" s="210"/>
      <c r="X1581" s="210"/>
      <c r="Y1581" s="210"/>
      <c r="Z1581" s="210"/>
    </row>
    <row r="1582" ht="21.75" customHeight="1">
      <c r="A1582" s="214"/>
      <c r="B1582" s="221"/>
      <c r="C1582" s="222">
        <v>207.0</v>
      </c>
      <c r="D1582" s="223" t="s">
        <v>240</v>
      </c>
      <c r="E1582" s="223" t="s">
        <v>487</v>
      </c>
      <c r="F1582" s="223" t="s">
        <v>579</v>
      </c>
      <c r="G1582" s="218" t="s">
        <v>490</v>
      </c>
      <c r="H1582" s="224" t="s">
        <v>490</v>
      </c>
      <c r="I1582" s="208"/>
      <c r="J1582" s="210"/>
      <c r="K1582" s="210"/>
      <c r="L1582" s="210"/>
      <c r="M1582" s="210"/>
      <c r="N1582" s="210"/>
      <c r="O1582" s="210"/>
      <c r="P1582" s="210"/>
      <c r="Q1582" s="210"/>
      <c r="R1582" s="210"/>
      <c r="S1582" s="210"/>
      <c r="T1582" s="210"/>
      <c r="U1582" s="210"/>
      <c r="V1582" s="210"/>
      <c r="W1582" s="210"/>
      <c r="X1582" s="210"/>
      <c r="Y1582" s="210"/>
      <c r="Z1582" s="210"/>
    </row>
    <row r="1583" ht="21.75" customHeight="1">
      <c r="A1583" s="228"/>
      <c r="B1583" s="221"/>
      <c r="C1583" s="222">
        <v>300.0</v>
      </c>
      <c r="D1583" s="223" t="s">
        <v>696</v>
      </c>
      <c r="E1583" s="223" t="s">
        <v>673</v>
      </c>
      <c r="F1583" s="223" t="s">
        <v>696</v>
      </c>
      <c r="G1583" s="218" t="s">
        <v>490</v>
      </c>
      <c r="H1583" s="224" t="s">
        <v>490</v>
      </c>
      <c r="I1583" s="208"/>
      <c r="J1583" s="210"/>
      <c r="K1583" s="210"/>
      <c r="L1583" s="210"/>
      <c r="M1583" s="210"/>
      <c r="N1583" s="210"/>
      <c r="O1583" s="210"/>
      <c r="P1583" s="210"/>
      <c r="Q1583" s="210"/>
      <c r="R1583" s="210"/>
      <c r="S1583" s="210"/>
      <c r="T1583" s="210"/>
      <c r="U1583" s="210"/>
      <c r="V1583" s="210"/>
      <c r="W1583" s="210"/>
      <c r="X1583" s="210"/>
      <c r="Y1583" s="210"/>
      <c r="Z1583" s="210"/>
    </row>
    <row r="1584" ht="21.75" customHeight="1">
      <c r="A1584" s="214">
        <v>266.0</v>
      </c>
      <c r="B1584" s="215" t="s">
        <v>1657</v>
      </c>
      <c r="C1584" s="216"/>
      <c r="D1584" s="217"/>
      <c r="E1584" s="217"/>
      <c r="F1584" s="217"/>
      <c r="G1584" s="217"/>
      <c r="H1584" s="217"/>
      <c r="I1584" s="208"/>
      <c r="J1584" s="210"/>
      <c r="K1584" s="210"/>
      <c r="L1584" s="210"/>
      <c r="M1584" s="210"/>
      <c r="N1584" s="210"/>
      <c r="O1584" s="210"/>
      <c r="P1584" s="210"/>
      <c r="Q1584" s="210"/>
      <c r="R1584" s="210"/>
      <c r="S1584" s="210"/>
      <c r="T1584" s="210"/>
      <c r="U1584" s="210"/>
      <c r="V1584" s="210"/>
      <c r="W1584" s="210"/>
      <c r="X1584" s="210"/>
      <c r="Y1584" s="210"/>
      <c r="Z1584" s="210"/>
    </row>
    <row r="1585" ht="21.75" customHeight="1">
      <c r="A1585" s="214"/>
      <c r="B1585" s="218" t="s">
        <v>1658</v>
      </c>
      <c r="C1585" s="219">
        <v>50831.0</v>
      </c>
      <c r="D1585" s="220"/>
      <c r="E1585" s="220"/>
      <c r="F1585" s="220"/>
      <c r="G1585" s="220"/>
      <c r="H1585" s="220"/>
      <c r="I1585" s="208"/>
      <c r="J1585" s="210"/>
      <c r="K1585" s="210"/>
      <c r="L1585" s="210"/>
      <c r="M1585" s="210"/>
      <c r="N1585" s="210"/>
      <c r="O1585" s="210"/>
      <c r="P1585" s="210"/>
      <c r="Q1585" s="210"/>
      <c r="R1585" s="210"/>
      <c r="S1585" s="210"/>
      <c r="T1585" s="210"/>
      <c r="U1585" s="210"/>
      <c r="V1585" s="210"/>
      <c r="W1585" s="210"/>
      <c r="X1585" s="210"/>
      <c r="Y1585" s="210"/>
      <c r="Z1585" s="210"/>
    </row>
    <row r="1586" ht="21.75" customHeight="1">
      <c r="A1586" s="214"/>
      <c r="B1586" s="221"/>
      <c r="C1586" s="222">
        <v>100.0</v>
      </c>
      <c r="D1586" s="223" t="s">
        <v>486</v>
      </c>
      <c r="E1586" s="223" t="s">
        <v>487</v>
      </c>
      <c r="F1586" s="223" t="s">
        <v>488</v>
      </c>
      <c r="G1586" s="223" t="s">
        <v>489</v>
      </c>
      <c r="H1586" s="224" t="s">
        <v>490</v>
      </c>
      <c r="I1586" s="208"/>
      <c r="J1586" s="210"/>
      <c r="K1586" s="210"/>
      <c r="L1586" s="210"/>
      <c r="M1586" s="210"/>
      <c r="N1586" s="210"/>
      <c r="O1586" s="210"/>
      <c r="P1586" s="210"/>
      <c r="Q1586" s="210"/>
      <c r="R1586" s="210"/>
      <c r="S1586" s="210"/>
      <c r="T1586" s="210"/>
      <c r="U1586" s="210"/>
      <c r="V1586" s="210"/>
      <c r="W1586" s="210"/>
      <c r="X1586" s="210"/>
      <c r="Y1586" s="210"/>
      <c r="Z1586" s="210"/>
    </row>
    <row r="1587" ht="21.75" customHeight="1">
      <c r="A1587" s="214"/>
      <c r="B1587" s="221"/>
      <c r="C1587" s="222">
        <v>101.0</v>
      </c>
      <c r="D1587" s="223" t="s">
        <v>837</v>
      </c>
      <c r="E1587" s="223" t="s">
        <v>529</v>
      </c>
      <c r="F1587" s="223" t="s">
        <v>530</v>
      </c>
      <c r="G1587" s="218" t="s">
        <v>490</v>
      </c>
      <c r="H1587" s="225" t="s">
        <v>1659</v>
      </c>
      <c r="I1587" s="208"/>
      <c r="J1587" s="210"/>
      <c r="K1587" s="210"/>
      <c r="L1587" s="210"/>
      <c r="M1587" s="210"/>
      <c r="N1587" s="210"/>
      <c r="O1587" s="210"/>
      <c r="P1587" s="210"/>
      <c r="Q1587" s="210"/>
      <c r="R1587" s="210"/>
      <c r="S1587" s="210"/>
      <c r="T1587" s="210"/>
      <c r="U1587" s="210"/>
      <c r="V1587" s="210"/>
      <c r="W1587" s="210"/>
      <c r="X1587" s="210"/>
      <c r="Y1587" s="210"/>
      <c r="Z1587" s="210"/>
    </row>
    <row r="1588" ht="21.75" customHeight="1">
      <c r="A1588" s="214"/>
      <c r="B1588" s="221"/>
      <c r="C1588" s="222">
        <v>102.0</v>
      </c>
      <c r="D1588" s="223" t="s">
        <v>516</v>
      </c>
      <c r="E1588" s="223" t="s">
        <v>487</v>
      </c>
      <c r="F1588" s="223" t="s">
        <v>496</v>
      </c>
      <c r="G1588" s="223" t="s">
        <v>493</v>
      </c>
      <c r="H1588" s="225" t="s">
        <v>1660</v>
      </c>
      <c r="I1588" s="208"/>
      <c r="J1588" s="210"/>
      <c r="K1588" s="210"/>
      <c r="L1588" s="210"/>
      <c r="M1588" s="210"/>
      <c r="N1588" s="210"/>
      <c r="O1588" s="210"/>
      <c r="P1588" s="210"/>
      <c r="Q1588" s="210"/>
      <c r="R1588" s="210"/>
      <c r="S1588" s="210"/>
      <c r="T1588" s="210"/>
      <c r="U1588" s="210"/>
      <c r="V1588" s="210"/>
      <c r="W1588" s="210"/>
      <c r="X1588" s="210"/>
      <c r="Y1588" s="210"/>
      <c r="Z1588" s="210"/>
    </row>
    <row r="1589" ht="21.75" customHeight="1">
      <c r="A1589" s="214"/>
      <c r="B1589" s="221"/>
      <c r="C1589" s="222">
        <v>103.0</v>
      </c>
      <c r="D1589" s="223" t="s">
        <v>1433</v>
      </c>
      <c r="E1589" s="223" t="s">
        <v>487</v>
      </c>
      <c r="F1589" s="223" t="s">
        <v>500</v>
      </c>
      <c r="G1589" s="223" t="s">
        <v>497</v>
      </c>
      <c r="H1589" s="225" t="s">
        <v>1661</v>
      </c>
      <c r="I1589" s="208"/>
      <c r="J1589" s="210"/>
      <c r="K1589" s="210"/>
      <c r="L1589" s="210"/>
      <c r="M1589" s="210"/>
      <c r="N1589" s="210"/>
      <c r="O1589" s="210"/>
      <c r="P1589" s="210"/>
      <c r="Q1589" s="210"/>
      <c r="R1589" s="210"/>
      <c r="S1589" s="210"/>
      <c r="T1589" s="210"/>
      <c r="U1589" s="210"/>
      <c r="V1589" s="210"/>
      <c r="W1589" s="210"/>
      <c r="X1589" s="210"/>
      <c r="Y1589" s="210"/>
      <c r="Z1589" s="210"/>
    </row>
    <row r="1590" ht="21.75" customHeight="1">
      <c r="A1590" s="214"/>
      <c r="B1590" s="221"/>
      <c r="C1590" s="222">
        <v>104.0</v>
      </c>
      <c r="D1590" s="223" t="s">
        <v>847</v>
      </c>
      <c r="E1590" s="223" t="s">
        <v>487</v>
      </c>
      <c r="F1590" s="223" t="s">
        <v>512</v>
      </c>
      <c r="G1590" s="223" t="s">
        <v>501</v>
      </c>
      <c r="H1590" s="225" t="s">
        <v>1662</v>
      </c>
      <c r="I1590" s="208"/>
      <c r="J1590" s="210"/>
      <c r="K1590" s="210"/>
      <c r="L1590" s="210"/>
      <c r="M1590" s="210"/>
      <c r="N1590" s="210"/>
      <c r="O1590" s="210"/>
      <c r="P1590" s="210"/>
      <c r="Q1590" s="210"/>
      <c r="R1590" s="210"/>
      <c r="S1590" s="210"/>
      <c r="T1590" s="210"/>
      <c r="U1590" s="210"/>
      <c r="V1590" s="210"/>
      <c r="W1590" s="210"/>
      <c r="X1590" s="210"/>
      <c r="Y1590" s="210"/>
      <c r="Z1590" s="210"/>
    </row>
    <row r="1591" ht="21.75" customHeight="1">
      <c r="A1591" s="214"/>
      <c r="B1591" s="221"/>
      <c r="C1591" s="222">
        <v>105.0</v>
      </c>
      <c r="D1591" s="223" t="s">
        <v>519</v>
      </c>
      <c r="E1591" s="223" t="s">
        <v>508</v>
      </c>
      <c r="F1591" s="223" t="s">
        <v>509</v>
      </c>
      <c r="G1591" s="223" t="s">
        <v>510</v>
      </c>
      <c r="H1591" s="225" t="s">
        <v>1663</v>
      </c>
      <c r="I1591" s="208"/>
      <c r="J1591" s="210"/>
      <c r="K1591" s="210"/>
      <c r="L1591" s="210"/>
      <c r="M1591" s="210"/>
      <c r="N1591" s="210"/>
      <c r="O1591" s="210"/>
      <c r="P1591" s="210"/>
      <c r="Q1591" s="210"/>
      <c r="R1591" s="210"/>
      <c r="S1591" s="210"/>
      <c r="T1591" s="210"/>
      <c r="U1591" s="210"/>
      <c r="V1591" s="210"/>
      <c r="W1591" s="210"/>
      <c r="X1591" s="210"/>
      <c r="Y1591" s="210"/>
      <c r="Z1591" s="210"/>
    </row>
    <row r="1592" ht="21.75" customHeight="1">
      <c r="A1592" s="228"/>
      <c r="B1592" s="221"/>
      <c r="C1592" s="222">
        <v>106.0</v>
      </c>
      <c r="D1592" s="223" t="s">
        <v>837</v>
      </c>
      <c r="E1592" s="223" t="s">
        <v>487</v>
      </c>
      <c r="F1592" s="223" t="s">
        <v>826</v>
      </c>
      <c r="G1592" s="223" t="s">
        <v>526</v>
      </c>
      <c r="H1592" s="224" t="s">
        <v>490</v>
      </c>
      <c r="I1592" s="208"/>
      <c r="J1592" s="210"/>
      <c r="K1592" s="210"/>
      <c r="L1592" s="210"/>
      <c r="M1592" s="210"/>
      <c r="N1592" s="210"/>
      <c r="O1592" s="210"/>
      <c r="P1592" s="210"/>
      <c r="Q1592" s="210"/>
      <c r="R1592" s="210"/>
      <c r="S1592" s="210"/>
      <c r="T1592" s="210"/>
      <c r="U1592" s="210"/>
      <c r="V1592" s="210"/>
      <c r="W1592" s="210"/>
      <c r="X1592" s="210"/>
      <c r="Y1592" s="210"/>
      <c r="Z1592" s="210"/>
    </row>
    <row r="1593" ht="21.75" customHeight="1">
      <c r="A1593" s="214">
        <v>267.0</v>
      </c>
      <c r="B1593" s="215" t="s">
        <v>1664</v>
      </c>
      <c r="C1593" s="216"/>
      <c r="D1593" s="217"/>
      <c r="E1593" s="217"/>
      <c r="F1593" s="217"/>
      <c r="G1593" s="217"/>
      <c r="H1593" s="217"/>
      <c r="I1593" s="208"/>
      <c r="J1593" s="210"/>
      <c r="K1593" s="210"/>
      <c r="L1593" s="210"/>
      <c r="M1593" s="210"/>
      <c r="N1593" s="210"/>
      <c r="O1593" s="210"/>
      <c r="P1593" s="210"/>
      <c r="Q1593" s="210"/>
      <c r="R1593" s="210"/>
      <c r="S1593" s="210"/>
      <c r="T1593" s="210"/>
      <c r="U1593" s="210"/>
      <c r="V1593" s="210"/>
      <c r="W1593" s="210"/>
      <c r="X1593" s="210"/>
      <c r="Y1593" s="210"/>
      <c r="Z1593" s="210"/>
    </row>
    <row r="1594" ht="21.75" customHeight="1">
      <c r="A1594" s="214"/>
      <c r="B1594" s="218" t="s">
        <v>1665</v>
      </c>
      <c r="C1594" s="219">
        <v>50834.0</v>
      </c>
      <c r="D1594" s="220"/>
      <c r="E1594" s="220"/>
      <c r="F1594" s="220"/>
      <c r="G1594" s="220"/>
      <c r="H1594" s="220"/>
      <c r="I1594" s="208"/>
      <c r="J1594" s="210"/>
      <c r="K1594" s="210"/>
      <c r="L1594" s="210"/>
      <c r="M1594" s="210"/>
      <c r="N1594" s="210"/>
      <c r="O1594" s="210"/>
      <c r="P1594" s="210"/>
      <c r="Q1594" s="210"/>
      <c r="R1594" s="210"/>
      <c r="S1594" s="210"/>
      <c r="T1594" s="210"/>
      <c r="U1594" s="210"/>
      <c r="V1594" s="210"/>
      <c r="W1594" s="210"/>
      <c r="X1594" s="210"/>
      <c r="Y1594" s="210"/>
      <c r="Z1594" s="210"/>
    </row>
    <row r="1595" ht="21.75" customHeight="1">
      <c r="A1595" s="214"/>
      <c r="B1595" s="221"/>
      <c r="C1595" s="222">
        <v>100.0</v>
      </c>
      <c r="D1595" s="223" t="s">
        <v>486</v>
      </c>
      <c r="E1595" s="223" t="s">
        <v>487</v>
      </c>
      <c r="F1595" s="223" t="s">
        <v>488</v>
      </c>
      <c r="G1595" s="223" t="s">
        <v>489</v>
      </c>
      <c r="H1595" s="224" t="s">
        <v>490</v>
      </c>
      <c r="I1595" s="208"/>
      <c r="J1595" s="210"/>
      <c r="K1595" s="210"/>
      <c r="L1595" s="210"/>
      <c r="M1595" s="210"/>
      <c r="N1595" s="210"/>
      <c r="O1595" s="210"/>
      <c r="P1595" s="210"/>
      <c r="Q1595" s="210"/>
      <c r="R1595" s="210"/>
      <c r="S1595" s="210"/>
      <c r="T1595" s="210"/>
      <c r="U1595" s="210"/>
      <c r="V1595" s="210"/>
      <c r="W1595" s="210"/>
      <c r="X1595" s="210"/>
      <c r="Y1595" s="210"/>
      <c r="Z1595" s="210"/>
    </row>
    <row r="1596" ht="21.75" customHeight="1">
      <c r="A1596" s="214"/>
      <c r="B1596" s="221"/>
      <c r="C1596" s="222">
        <v>101.0</v>
      </c>
      <c r="D1596" s="223" t="s">
        <v>491</v>
      </c>
      <c r="E1596" s="223" t="s">
        <v>487</v>
      </c>
      <c r="F1596" s="223" t="s">
        <v>492</v>
      </c>
      <c r="G1596" s="223" t="s">
        <v>678</v>
      </c>
      <c r="H1596" s="225" t="s">
        <v>1666</v>
      </c>
      <c r="I1596" s="208"/>
      <c r="J1596" s="210"/>
      <c r="K1596" s="210"/>
      <c r="L1596" s="210"/>
      <c r="M1596" s="210"/>
      <c r="N1596" s="210"/>
      <c r="O1596" s="210"/>
      <c r="P1596" s="210"/>
      <c r="Q1596" s="210"/>
      <c r="R1596" s="210"/>
      <c r="S1596" s="210"/>
      <c r="T1596" s="210"/>
      <c r="U1596" s="210"/>
      <c r="V1596" s="210"/>
      <c r="W1596" s="210"/>
      <c r="X1596" s="210"/>
      <c r="Y1596" s="210"/>
      <c r="Z1596" s="210"/>
    </row>
    <row r="1597" ht="21.75" customHeight="1">
      <c r="A1597" s="214"/>
      <c r="B1597" s="221"/>
      <c r="C1597" s="222">
        <v>102.0</v>
      </c>
      <c r="D1597" s="223" t="s">
        <v>837</v>
      </c>
      <c r="E1597" s="223" t="s">
        <v>529</v>
      </c>
      <c r="F1597" s="223" t="s">
        <v>530</v>
      </c>
      <c r="G1597" s="218" t="s">
        <v>490</v>
      </c>
      <c r="H1597" s="225" t="s">
        <v>1667</v>
      </c>
      <c r="I1597" s="208"/>
      <c r="J1597" s="210"/>
      <c r="K1597" s="210"/>
      <c r="L1597" s="210"/>
      <c r="M1597" s="210"/>
      <c r="N1597" s="210"/>
      <c r="O1597" s="210"/>
      <c r="P1597" s="210"/>
      <c r="Q1597" s="210"/>
      <c r="R1597" s="210"/>
      <c r="S1597" s="210"/>
      <c r="T1597" s="210"/>
      <c r="U1597" s="210"/>
      <c r="V1597" s="210"/>
      <c r="W1597" s="210"/>
      <c r="X1597" s="210"/>
      <c r="Y1597" s="210"/>
      <c r="Z1597" s="210"/>
    </row>
    <row r="1598" ht="21.75" customHeight="1">
      <c r="A1598" s="214"/>
      <c r="B1598" s="221"/>
      <c r="C1598" s="222">
        <v>103.0</v>
      </c>
      <c r="D1598" s="223" t="s">
        <v>516</v>
      </c>
      <c r="E1598" s="223" t="s">
        <v>487</v>
      </c>
      <c r="F1598" s="223" t="s">
        <v>500</v>
      </c>
      <c r="G1598" s="223" t="s">
        <v>493</v>
      </c>
      <c r="H1598" s="225" t="s">
        <v>1668</v>
      </c>
      <c r="I1598" s="208"/>
      <c r="J1598" s="210"/>
      <c r="K1598" s="210"/>
      <c r="L1598" s="210"/>
      <c r="M1598" s="210"/>
      <c r="N1598" s="210"/>
      <c r="O1598" s="210"/>
      <c r="P1598" s="210"/>
      <c r="Q1598" s="210"/>
      <c r="R1598" s="210"/>
      <c r="S1598" s="210"/>
      <c r="T1598" s="210"/>
      <c r="U1598" s="210"/>
      <c r="V1598" s="210"/>
      <c r="W1598" s="210"/>
      <c r="X1598" s="210"/>
      <c r="Y1598" s="210"/>
      <c r="Z1598" s="210"/>
    </row>
    <row r="1599" ht="21.75" customHeight="1">
      <c r="A1599" s="214"/>
      <c r="B1599" s="221"/>
      <c r="C1599" s="222">
        <v>104.0</v>
      </c>
      <c r="D1599" s="223" t="s">
        <v>1433</v>
      </c>
      <c r="E1599" s="223" t="s">
        <v>487</v>
      </c>
      <c r="F1599" s="223" t="s">
        <v>512</v>
      </c>
      <c r="G1599" s="223" t="s">
        <v>497</v>
      </c>
      <c r="H1599" s="225" t="s">
        <v>1669</v>
      </c>
      <c r="I1599" s="208"/>
      <c r="J1599" s="210"/>
      <c r="K1599" s="210"/>
      <c r="L1599" s="210"/>
      <c r="M1599" s="210"/>
      <c r="N1599" s="210"/>
      <c r="O1599" s="210"/>
      <c r="P1599" s="210"/>
      <c r="Q1599" s="210"/>
      <c r="R1599" s="210"/>
      <c r="S1599" s="210"/>
      <c r="T1599" s="210"/>
      <c r="U1599" s="210"/>
      <c r="V1599" s="210"/>
      <c r="W1599" s="210"/>
      <c r="X1599" s="210"/>
      <c r="Y1599" s="210"/>
      <c r="Z1599" s="210"/>
    </row>
    <row r="1600" ht="21.75" customHeight="1">
      <c r="A1600" s="214"/>
      <c r="B1600" s="221"/>
      <c r="C1600" s="222">
        <v>105.0</v>
      </c>
      <c r="D1600" s="223" t="s">
        <v>847</v>
      </c>
      <c r="E1600" s="223" t="s">
        <v>487</v>
      </c>
      <c r="F1600" s="223" t="s">
        <v>532</v>
      </c>
      <c r="G1600" s="223" t="s">
        <v>501</v>
      </c>
      <c r="H1600" s="225" t="s">
        <v>1670</v>
      </c>
      <c r="I1600" s="208"/>
      <c r="J1600" s="210"/>
      <c r="K1600" s="210"/>
      <c r="L1600" s="210"/>
      <c r="M1600" s="210"/>
      <c r="N1600" s="210"/>
      <c r="O1600" s="210"/>
      <c r="P1600" s="210"/>
      <c r="Q1600" s="210"/>
      <c r="R1600" s="210"/>
      <c r="S1600" s="210"/>
      <c r="T1600" s="210"/>
      <c r="U1600" s="210"/>
      <c r="V1600" s="210"/>
      <c r="W1600" s="210"/>
      <c r="X1600" s="210"/>
      <c r="Y1600" s="210"/>
      <c r="Z1600" s="210"/>
    </row>
    <row r="1601" ht="21.75" customHeight="1">
      <c r="A1601" s="214"/>
      <c r="B1601" s="221"/>
      <c r="C1601" s="222">
        <v>106.0</v>
      </c>
      <c r="D1601" s="223" t="s">
        <v>519</v>
      </c>
      <c r="E1601" s="223" t="s">
        <v>508</v>
      </c>
      <c r="F1601" s="223" t="s">
        <v>509</v>
      </c>
      <c r="G1601" s="223" t="s">
        <v>510</v>
      </c>
      <c r="H1601" s="224" t="s">
        <v>490</v>
      </c>
      <c r="I1601" s="208"/>
      <c r="J1601" s="210"/>
      <c r="K1601" s="210"/>
      <c r="L1601" s="210"/>
      <c r="M1601" s="210"/>
      <c r="N1601" s="210"/>
      <c r="O1601" s="210"/>
      <c r="P1601" s="210"/>
      <c r="Q1601" s="210"/>
      <c r="R1601" s="210"/>
      <c r="S1601" s="210"/>
      <c r="T1601" s="210"/>
      <c r="U1601" s="210"/>
      <c r="V1601" s="210"/>
      <c r="W1601" s="210"/>
      <c r="X1601" s="210"/>
      <c r="Y1601" s="210"/>
      <c r="Z1601" s="210"/>
    </row>
    <row r="1602" ht="21.75" customHeight="1">
      <c r="A1602" s="228"/>
      <c r="B1602" s="221"/>
      <c r="C1602" s="222">
        <v>107.0</v>
      </c>
      <c r="D1602" s="223" t="s">
        <v>837</v>
      </c>
      <c r="E1602" s="223" t="s">
        <v>487</v>
      </c>
      <c r="F1602" s="223" t="s">
        <v>826</v>
      </c>
      <c r="G1602" s="223" t="s">
        <v>526</v>
      </c>
      <c r="H1602" s="224" t="s">
        <v>490</v>
      </c>
      <c r="I1602" s="208"/>
      <c r="J1602" s="210"/>
      <c r="K1602" s="210"/>
      <c r="L1602" s="210"/>
      <c r="M1602" s="210"/>
      <c r="N1602" s="210"/>
      <c r="O1602" s="210"/>
      <c r="P1602" s="210"/>
      <c r="Q1602" s="210"/>
      <c r="R1602" s="210"/>
      <c r="S1602" s="210"/>
      <c r="T1602" s="210"/>
      <c r="U1602" s="210"/>
      <c r="V1602" s="210"/>
      <c r="W1602" s="210"/>
      <c r="X1602" s="210"/>
      <c r="Y1602" s="210"/>
      <c r="Z1602" s="210"/>
    </row>
    <row r="1603" ht="21.75" customHeight="1">
      <c r="A1603" s="214">
        <v>268.0</v>
      </c>
      <c r="B1603" s="215" t="s">
        <v>1671</v>
      </c>
      <c r="C1603" s="216"/>
      <c r="D1603" s="217"/>
      <c r="E1603" s="217"/>
      <c r="F1603" s="217"/>
      <c r="G1603" s="217"/>
      <c r="H1603" s="217"/>
      <c r="I1603" s="208"/>
      <c r="J1603" s="210"/>
      <c r="K1603" s="210"/>
      <c r="L1603" s="210"/>
      <c r="M1603" s="210"/>
      <c r="N1603" s="210"/>
      <c r="O1603" s="210"/>
      <c r="P1603" s="210"/>
      <c r="Q1603" s="210"/>
      <c r="R1603" s="210"/>
      <c r="S1603" s="210"/>
      <c r="T1603" s="210"/>
      <c r="U1603" s="210"/>
      <c r="V1603" s="210"/>
      <c r="W1603" s="210"/>
      <c r="X1603" s="210"/>
      <c r="Y1603" s="210"/>
      <c r="Z1603" s="210"/>
    </row>
    <row r="1604" ht="21.75" customHeight="1">
      <c r="A1604" s="214"/>
      <c r="B1604" s="218" t="s">
        <v>1672</v>
      </c>
      <c r="C1604" s="219">
        <v>50836.0</v>
      </c>
      <c r="D1604" s="220"/>
      <c r="E1604" s="220"/>
      <c r="F1604" s="220"/>
      <c r="G1604" s="220"/>
      <c r="H1604" s="220"/>
      <c r="I1604" s="208"/>
      <c r="J1604" s="210"/>
      <c r="K1604" s="210"/>
      <c r="L1604" s="210"/>
      <c r="M1604" s="210"/>
      <c r="N1604" s="210"/>
      <c r="O1604" s="210"/>
      <c r="P1604" s="210"/>
      <c r="Q1604" s="210"/>
      <c r="R1604" s="210"/>
      <c r="S1604" s="210"/>
      <c r="T1604" s="210"/>
      <c r="U1604" s="210"/>
      <c r="V1604" s="210"/>
      <c r="W1604" s="210"/>
      <c r="X1604" s="210"/>
      <c r="Y1604" s="210"/>
      <c r="Z1604" s="210"/>
    </row>
    <row r="1605" ht="21.75" customHeight="1">
      <c r="A1605" s="214"/>
      <c r="B1605" s="221"/>
      <c r="C1605" s="222">
        <v>100.0</v>
      </c>
      <c r="D1605" s="223" t="s">
        <v>486</v>
      </c>
      <c r="E1605" s="223" t="s">
        <v>487</v>
      </c>
      <c r="F1605" s="223" t="s">
        <v>488</v>
      </c>
      <c r="G1605" s="223" t="s">
        <v>489</v>
      </c>
      <c r="H1605" s="224" t="s">
        <v>490</v>
      </c>
      <c r="I1605" s="208"/>
      <c r="J1605" s="210"/>
      <c r="K1605" s="210"/>
      <c r="L1605" s="210"/>
      <c r="M1605" s="210"/>
      <c r="N1605" s="210"/>
      <c r="O1605" s="210"/>
      <c r="P1605" s="210"/>
      <c r="Q1605" s="210"/>
      <c r="R1605" s="210"/>
      <c r="S1605" s="210"/>
      <c r="T1605" s="210"/>
      <c r="U1605" s="210"/>
      <c r="V1605" s="210"/>
      <c r="W1605" s="210"/>
      <c r="X1605" s="210"/>
      <c r="Y1605" s="210"/>
      <c r="Z1605" s="210"/>
    </row>
    <row r="1606" ht="21.75" customHeight="1">
      <c r="A1606" s="214"/>
      <c r="B1606" s="221"/>
      <c r="C1606" s="222">
        <v>101.0</v>
      </c>
      <c r="D1606" s="223" t="s">
        <v>491</v>
      </c>
      <c r="E1606" s="223" t="s">
        <v>487</v>
      </c>
      <c r="F1606" s="223" t="s">
        <v>492</v>
      </c>
      <c r="G1606" s="223" t="s">
        <v>678</v>
      </c>
      <c r="H1606" s="225" t="s">
        <v>1673</v>
      </c>
      <c r="I1606" s="208"/>
      <c r="J1606" s="210"/>
      <c r="K1606" s="210"/>
      <c r="L1606" s="210"/>
      <c r="M1606" s="210"/>
      <c r="N1606" s="210"/>
      <c r="O1606" s="210"/>
      <c r="P1606" s="210"/>
      <c r="Q1606" s="210"/>
      <c r="R1606" s="210"/>
      <c r="S1606" s="210"/>
      <c r="T1606" s="210"/>
      <c r="U1606" s="210"/>
      <c r="V1606" s="210"/>
      <c r="W1606" s="210"/>
      <c r="X1606" s="210"/>
      <c r="Y1606" s="210"/>
      <c r="Z1606" s="210"/>
    </row>
    <row r="1607" ht="21.75" customHeight="1">
      <c r="A1607" s="214"/>
      <c r="B1607" s="221"/>
      <c r="C1607" s="222">
        <v>102.0</v>
      </c>
      <c r="D1607" s="223" t="s">
        <v>749</v>
      </c>
      <c r="E1607" s="223" t="s">
        <v>487</v>
      </c>
      <c r="F1607" s="223" t="s">
        <v>496</v>
      </c>
      <c r="G1607" s="223" t="s">
        <v>497</v>
      </c>
      <c r="H1607" s="224" t="s">
        <v>490</v>
      </c>
      <c r="I1607" s="208"/>
      <c r="J1607" s="210"/>
      <c r="K1607" s="210"/>
      <c r="L1607" s="210"/>
      <c r="M1607" s="210"/>
      <c r="N1607" s="210"/>
      <c r="O1607" s="210"/>
      <c r="P1607" s="210"/>
      <c r="Q1607" s="210"/>
      <c r="R1607" s="210"/>
      <c r="S1607" s="210"/>
      <c r="T1607" s="210"/>
      <c r="U1607" s="210"/>
      <c r="V1607" s="210"/>
      <c r="W1607" s="210"/>
      <c r="X1607" s="210"/>
      <c r="Y1607" s="210"/>
      <c r="Z1607" s="210"/>
    </row>
    <row r="1608" ht="21.75" customHeight="1">
      <c r="A1608" s="214"/>
      <c r="B1608" s="221"/>
      <c r="C1608" s="222">
        <v>103.0</v>
      </c>
      <c r="D1608" s="223" t="s">
        <v>750</v>
      </c>
      <c r="E1608" s="223" t="s">
        <v>487</v>
      </c>
      <c r="F1608" s="223" t="s">
        <v>500</v>
      </c>
      <c r="G1608" s="223" t="s">
        <v>501</v>
      </c>
      <c r="H1608" s="224" t="s">
        <v>490</v>
      </c>
      <c r="I1608" s="208"/>
      <c r="J1608" s="210"/>
      <c r="K1608" s="210"/>
      <c r="L1608" s="210"/>
      <c r="M1608" s="210"/>
      <c r="N1608" s="210"/>
      <c r="O1608" s="210"/>
      <c r="P1608" s="210"/>
      <c r="Q1608" s="210"/>
      <c r="R1608" s="210"/>
      <c r="S1608" s="210"/>
      <c r="T1608" s="210"/>
      <c r="U1608" s="210"/>
      <c r="V1608" s="210"/>
      <c r="W1608" s="210"/>
      <c r="X1608" s="210"/>
      <c r="Y1608" s="210"/>
      <c r="Z1608" s="210"/>
    </row>
    <row r="1609" ht="21.75" customHeight="1">
      <c r="A1609" s="228"/>
      <c r="B1609" s="221"/>
      <c r="C1609" s="222">
        <v>104.0</v>
      </c>
      <c r="D1609" s="223" t="s">
        <v>507</v>
      </c>
      <c r="E1609" s="223" t="s">
        <v>508</v>
      </c>
      <c r="F1609" s="223" t="s">
        <v>509</v>
      </c>
      <c r="G1609" s="223" t="s">
        <v>510</v>
      </c>
      <c r="H1609" s="225" t="s">
        <v>1674</v>
      </c>
      <c r="I1609" s="208"/>
      <c r="J1609" s="210"/>
      <c r="K1609" s="210"/>
      <c r="L1609" s="210"/>
      <c r="M1609" s="210"/>
      <c r="N1609" s="210"/>
      <c r="O1609" s="210"/>
      <c r="P1609" s="210"/>
      <c r="Q1609" s="210"/>
      <c r="R1609" s="210"/>
      <c r="S1609" s="210"/>
      <c r="T1609" s="210"/>
      <c r="U1609" s="210"/>
      <c r="V1609" s="210"/>
      <c r="W1609" s="210"/>
      <c r="X1609" s="210"/>
      <c r="Y1609" s="210"/>
      <c r="Z1609" s="210"/>
    </row>
    <row r="1610" ht="21.75" customHeight="1">
      <c r="A1610" s="214">
        <v>270.0</v>
      </c>
      <c r="B1610" s="215" t="s">
        <v>1675</v>
      </c>
      <c r="C1610" s="216"/>
      <c r="D1610" s="217"/>
      <c r="E1610" s="217"/>
      <c r="F1610" s="217"/>
      <c r="G1610" s="217"/>
      <c r="H1610" s="217"/>
      <c r="I1610" s="208"/>
      <c r="J1610" s="210"/>
      <c r="K1610" s="210"/>
      <c r="L1610" s="210"/>
      <c r="M1610" s="210"/>
      <c r="N1610" s="210"/>
      <c r="O1610" s="210"/>
      <c r="P1610" s="210"/>
      <c r="Q1610" s="210"/>
      <c r="R1610" s="210"/>
      <c r="S1610" s="210"/>
      <c r="T1610" s="210"/>
      <c r="U1610" s="210"/>
      <c r="V1610" s="210"/>
      <c r="W1610" s="210"/>
      <c r="X1610" s="210"/>
      <c r="Y1610" s="210"/>
      <c r="Z1610" s="210"/>
    </row>
    <row r="1611" ht="21.75" customHeight="1">
      <c r="A1611" s="214"/>
      <c r="B1611" s="218" t="s">
        <v>1676</v>
      </c>
      <c r="C1611" s="238">
        <v>50785.0</v>
      </c>
      <c r="D1611" s="220"/>
      <c r="E1611" s="220"/>
      <c r="F1611" s="220"/>
      <c r="G1611" s="220"/>
      <c r="H1611" s="220"/>
      <c r="I1611" s="208"/>
      <c r="J1611" s="210"/>
      <c r="K1611" s="210"/>
      <c r="L1611" s="210"/>
      <c r="M1611" s="210"/>
      <c r="N1611" s="210"/>
      <c r="O1611" s="210"/>
      <c r="P1611" s="210"/>
      <c r="Q1611" s="210"/>
      <c r="R1611" s="210"/>
      <c r="S1611" s="210"/>
      <c r="T1611" s="210"/>
      <c r="U1611" s="210"/>
      <c r="V1611" s="210"/>
      <c r="W1611" s="210"/>
      <c r="X1611" s="210"/>
      <c r="Y1611" s="210"/>
      <c r="Z1611" s="210"/>
    </row>
    <row r="1612" ht="21.75" customHeight="1">
      <c r="A1612" s="214"/>
      <c r="B1612" s="221"/>
      <c r="C1612" s="222">
        <v>100.0</v>
      </c>
      <c r="D1612" s="223" t="s">
        <v>486</v>
      </c>
      <c r="E1612" s="223" t="s">
        <v>487</v>
      </c>
      <c r="F1612" s="223" t="s">
        <v>488</v>
      </c>
      <c r="G1612" s="223" t="s">
        <v>489</v>
      </c>
      <c r="H1612" s="224" t="s">
        <v>490</v>
      </c>
      <c r="I1612" s="208"/>
      <c r="J1612" s="210"/>
      <c r="K1612" s="210"/>
      <c r="L1612" s="210"/>
      <c r="M1612" s="210"/>
      <c r="N1612" s="210"/>
      <c r="O1612" s="210"/>
      <c r="P1612" s="210"/>
      <c r="Q1612" s="210"/>
      <c r="R1612" s="210"/>
      <c r="S1612" s="210"/>
      <c r="T1612" s="210"/>
      <c r="U1612" s="210"/>
      <c r="V1612" s="210"/>
      <c r="W1612" s="210"/>
      <c r="X1612" s="210"/>
      <c r="Y1612" s="210"/>
      <c r="Z1612" s="210"/>
    </row>
    <row r="1613" ht="21.75" customHeight="1">
      <c r="A1613" s="214"/>
      <c r="B1613" s="221"/>
      <c r="C1613" s="222">
        <v>101.0</v>
      </c>
      <c r="D1613" s="223" t="s">
        <v>491</v>
      </c>
      <c r="E1613" s="223" t="s">
        <v>487</v>
      </c>
      <c r="F1613" s="223" t="s">
        <v>492</v>
      </c>
      <c r="G1613" s="223" t="s">
        <v>678</v>
      </c>
      <c r="H1613" s="225" t="s">
        <v>1677</v>
      </c>
      <c r="I1613" s="208"/>
      <c r="J1613" s="210"/>
      <c r="K1613" s="210"/>
      <c r="L1613" s="210"/>
      <c r="M1613" s="210"/>
      <c r="N1613" s="210"/>
      <c r="O1613" s="210"/>
      <c r="P1613" s="210"/>
      <c r="Q1613" s="210"/>
      <c r="R1613" s="210"/>
      <c r="S1613" s="210"/>
      <c r="T1613" s="210"/>
      <c r="U1613" s="210"/>
      <c r="V1613" s="210"/>
      <c r="W1613" s="210"/>
      <c r="X1613" s="210"/>
      <c r="Y1613" s="210"/>
      <c r="Z1613" s="210"/>
    </row>
    <row r="1614" ht="21.75" customHeight="1">
      <c r="A1614" s="214"/>
      <c r="B1614" s="221"/>
      <c r="C1614" s="222">
        <v>102.0</v>
      </c>
      <c r="D1614" s="223" t="s">
        <v>516</v>
      </c>
      <c r="E1614" s="223" t="s">
        <v>487</v>
      </c>
      <c r="F1614" s="223" t="s">
        <v>496</v>
      </c>
      <c r="G1614" s="223" t="s">
        <v>493</v>
      </c>
      <c r="H1614" s="225" t="s">
        <v>1678</v>
      </c>
      <c r="I1614" s="208"/>
      <c r="J1614" s="210"/>
      <c r="K1614" s="210"/>
      <c r="L1614" s="210"/>
      <c r="M1614" s="210"/>
      <c r="N1614" s="210"/>
      <c r="O1614" s="210"/>
      <c r="P1614" s="210"/>
      <c r="Q1614" s="210"/>
      <c r="R1614" s="210"/>
      <c r="S1614" s="210"/>
      <c r="T1614" s="210"/>
      <c r="U1614" s="210"/>
      <c r="V1614" s="210"/>
      <c r="W1614" s="210"/>
      <c r="X1614" s="210"/>
      <c r="Y1614" s="210"/>
      <c r="Z1614" s="210"/>
    </row>
    <row r="1615" ht="21.75" customHeight="1">
      <c r="A1615" s="214"/>
      <c r="B1615" s="221"/>
      <c r="C1615" s="222">
        <v>103.0</v>
      </c>
      <c r="D1615" s="223" t="s">
        <v>408</v>
      </c>
      <c r="E1615" s="223" t="s">
        <v>487</v>
      </c>
      <c r="F1615" s="223" t="s">
        <v>500</v>
      </c>
      <c r="G1615" s="223" t="s">
        <v>497</v>
      </c>
      <c r="H1615" s="225" t="s">
        <v>1679</v>
      </c>
      <c r="I1615" s="208"/>
      <c r="J1615" s="210"/>
      <c r="K1615" s="210"/>
      <c r="L1615" s="210"/>
      <c r="M1615" s="210"/>
      <c r="N1615" s="210"/>
      <c r="O1615" s="210"/>
      <c r="P1615" s="210"/>
      <c r="Q1615" s="210"/>
      <c r="R1615" s="210"/>
      <c r="S1615" s="210"/>
      <c r="T1615" s="210"/>
      <c r="U1615" s="210"/>
      <c r="V1615" s="210"/>
      <c r="W1615" s="210"/>
      <c r="X1615" s="210"/>
      <c r="Y1615" s="210"/>
      <c r="Z1615" s="210"/>
    </row>
    <row r="1616" ht="21.75" customHeight="1">
      <c r="A1616" s="214"/>
      <c r="B1616" s="221"/>
      <c r="C1616" s="222">
        <v>104.0</v>
      </c>
      <c r="D1616" s="223" t="s">
        <v>1451</v>
      </c>
      <c r="E1616" s="223" t="s">
        <v>487</v>
      </c>
      <c r="F1616" s="223" t="s">
        <v>512</v>
      </c>
      <c r="G1616" s="223" t="s">
        <v>501</v>
      </c>
      <c r="H1616" s="225" t="s">
        <v>1680</v>
      </c>
      <c r="I1616" s="208"/>
      <c r="J1616" s="210"/>
      <c r="K1616" s="210"/>
      <c r="L1616" s="210"/>
      <c r="M1616" s="210"/>
      <c r="N1616" s="210"/>
      <c r="O1616" s="210"/>
      <c r="P1616" s="210"/>
      <c r="Q1616" s="210"/>
      <c r="R1616" s="210"/>
      <c r="S1616" s="210"/>
      <c r="T1616" s="210"/>
      <c r="U1616" s="210"/>
      <c r="V1616" s="210"/>
      <c r="W1616" s="210"/>
      <c r="X1616" s="210"/>
      <c r="Y1616" s="210"/>
      <c r="Z1616" s="210"/>
    </row>
    <row r="1617" ht="21.75" customHeight="1">
      <c r="A1617" s="228"/>
      <c r="B1617" s="221"/>
      <c r="C1617" s="222">
        <v>105.0</v>
      </c>
      <c r="D1617" s="223" t="s">
        <v>519</v>
      </c>
      <c r="E1617" s="223" t="s">
        <v>508</v>
      </c>
      <c r="F1617" s="223" t="s">
        <v>509</v>
      </c>
      <c r="G1617" s="223" t="s">
        <v>510</v>
      </c>
      <c r="H1617" s="225" t="s">
        <v>1681</v>
      </c>
      <c r="I1617" s="208"/>
      <c r="J1617" s="210"/>
      <c r="K1617" s="210"/>
      <c r="L1617" s="210"/>
      <c r="M1617" s="210"/>
      <c r="N1617" s="210"/>
      <c r="O1617" s="210"/>
      <c r="P1617" s="210"/>
      <c r="Q1617" s="210"/>
      <c r="R1617" s="210"/>
      <c r="S1617" s="210"/>
      <c r="T1617" s="210"/>
      <c r="U1617" s="210"/>
      <c r="V1617" s="210"/>
      <c r="W1617" s="210"/>
      <c r="X1617" s="210"/>
      <c r="Y1617" s="210"/>
      <c r="Z1617" s="210"/>
    </row>
    <row r="1618" ht="21.75" customHeight="1">
      <c r="A1618" s="214">
        <v>271.0</v>
      </c>
      <c r="B1618" s="215" t="s">
        <v>1682</v>
      </c>
      <c r="C1618" s="216"/>
      <c r="D1618" s="217"/>
      <c r="E1618" s="217"/>
      <c r="F1618" s="217"/>
      <c r="G1618" s="217"/>
      <c r="H1618" s="217"/>
      <c r="I1618" s="208"/>
      <c r="J1618" s="210"/>
      <c r="K1618" s="210"/>
      <c r="L1618" s="210"/>
      <c r="M1618" s="210"/>
      <c r="N1618" s="210"/>
      <c r="O1618" s="210"/>
      <c r="P1618" s="210"/>
      <c r="Q1618" s="210"/>
      <c r="R1618" s="210"/>
      <c r="S1618" s="210"/>
      <c r="T1618" s="210"/>
      <c r="U1618" s="210"/>
      <c r="V1618" s="210"/>
      <c r="W1618" s="210"/>
      <c r="X1618" s="210"/>
      <c r="Y1618" s="210"/>
      <c r="Z1618" s="210"/>
    </row>
    <row r="1619" ht="21.75" customHeight="1">
      <c r="A1619" s="214"/>
      <c r="B1619" s="218" t="s">
        <v>1683</v>
      </c>
      <c r="C1619" s="219">
        <v>50841.0</v>
      </c>
      <c r="D1619" s="220"/>
      <c r="E1619" s="220"/>
      <c r="F1619" s="220"/>
      <c r="G1619" s="220"/>
      <c r="H1619" s="220"/>
      <c r="I1619" s="208"/>
      <c r="J1619" s="210"/>
      <c r="K1619" s="210"/>
      <c r="L1619" s="210"/>
      <c r="M1619" s="210"/>
      <c r="N1619" s="210"/>
      <c r="O1619" s="210"/>
      <c r="P1619" s="210"/>
      <c r="Q1619" s="210"/>
      <c r="R1619" s="210"/>
      <c r="S1619" s="210"/>
      <c r="T1619" s="210"/>
      <c r="U1619" s="210"/>
      <c r="V1619" s="210"/>
      <c r="W1619" s="210"/>
      <c r="X1619" s="210"/>
      <c r="Y1619" s="210"/>
      <c r="Z1619" s="210"/>
    </row>
    <row r="1620" ht="21.75" customHeight="1">
      <c r="A1620" s="214"/>
      <c r="B1620" s="221"/>
      <c r="C1620" s="222">
        <v>100.0</v>
      </c>
      <c r="D1620" s="223" t="s">
        <v>486</v>
      </c>
      <c r="E1620" s="223" t="s">
        <v>487</v>
      </c>
      <c r="F1620" s="223" t="s">
        <v>488</v>
      </c>
      <c r="G1620" s="223" t="s">
        <v>489</v>
      </c>
      <c r="H1620" s="224" t="s">
        <v>490</v>
      </c>
      <c r="I1620" s="208"/>
      <c r="J1620" s="210"/>
      <c r="K1620" s="210"/>
      <c r="L1620" s="210"/>
      <c r="M1620" s="210"/>
      <c r="N1620" s="210"/>
      <c r="O1620" s="210"/>
      <c r="P1620" s="210"/>
      <c r="Q1620" s="210"/>
      <c r="R1620" s="210"/>
      <c r="S1620" s="210"/>
      <c r="T1620" s="210"/>
      <c r="U1620" s="210"/>
      <c r="V1620" s="210"/>
      <c r="W1620" s="210"/>
      <c r="X1620" s="210"/>
      <c r="Y1620" s="210"/>
      <c r="Z1620" s="210"/>
    </row>
    <row r="1621" ht="21.75" customHeight="1">
      <c r="A1621" s="214"/>
      <c r="B1621" s="221"/>
      <c r="C1621" s="222">
        <v>101.0</v>
      </c>
      <c r="D1621" s="223" t="s">
        <v>1684</v>
      </c>
      <c r="E1621" s="223" t="s">
        <v>487</v>
      </c>
      <c r="F1621" s="223" t="s">
        <v>492</v>
      </c>
      <c r="G1621" s="223" t="s">
        <v>497</v>
      </c>
      <c r="H1621" s="225" t="s">
        <v>1685</v>
      </c>
      <c r="I1621" s="208"/>
      <c r="J1621" s="210"/>
      <c r="K1621" s="210"/>
      <c r="L1621" s="210"/>
      <c r="M1621" s="210"/>
      <c r="N1621" s="210"/>
      <c r="O1621" s="210"/>
      <c r="P1621" s="210"/>
      <c r="Q1621" s="210"/>
      <c r="R1621" s="210"/>
      <c r="S1621" s="210"/>
      <c r="T1621" s="210"/>
      <c r="U1621" s="210"/>
      <c r="V1621" s="210"/>
      <c r="W1621" s="210"/>
      <c r="X1621" s="210"/>
      <c r="Y1621" s="210"/>
      <c r="Z1621" s="210"/>
    </row>
    <row r="1622" ht="21.75" customHeight="1">
      <c r="A1622" s="214"/>
      <c r="B1622" s="221"/>
      <c r="C1622" s="222">
        <v>102.0</v>
      </c>
      <c r="D1622" s="223" t="s">
        <v>516</v>
      </c>
      <c r="E1622" s="223" t="s">
        <v>487</v>
      </c>
      <c r="F1622" s="223" t="s">
        <v>496</v>
      </c>
      <c r="G1622" s="223" t="s">
        <v>501</v>
      </c>
      <c r="H1622" s="225" t="s">
        <v>1686</v>
      </c>
      <c r="I1622" s="208"/>
      <c r="J1622" s="210"/>
      <c r="K1622" s="210"/>
      <c r="L1622" s="210"/>
      <c r="M1622" s="210"/>
      <c r="N1622" s="210"/>
      <c r="O1622" s="210"/>
      <c r="P1622" s="210"/>
      <c r="Q1622" s="210"/>
      <c r="R1622" s="210"/>
      <c r="S1622" s="210"/>
      <c r="T1622" s="210"/>
      <c r="U1622" s="210"/>
      <c r="V1622" s="210"/>
      <c r="W1622" s="210"/>
      <c r="X1622" s="210"/>
      <c r="Y1622" s="210"/>
      <c r="Z1622" s="210"/>
    </row>
    <row r="1623" ht="21.75" customHeight="1">
      <c r="A1623" s="214"/>
      <c r="B1623" s="221"/>
      <c r="C1623" s="222">
        <v>103.0</v>
      </c>
      <c r="D1623" s="223" t="s">
        <v>1687</v>
      </c>
      <c r="E1623" s="223" t="s">
        <v>487</v>
      </c>
      <c r="F1623" s="223" t="s">
        <v>500</v>
      </c>
      <c r="G1623" s="223" t="s">
        <v>493</v>
      </c>
      <c r="H1623" s="225" t="s">
        <v>1688</v>
      </c>
      <c r="I1623" s="208"/>
      <c r="J1623" s="210"/>
      <c r="K1623" s="210"/>
      <c r="L1623" s="210"/>
      <c r="M1623" s="210"/>
      <c r="N1623" s="210"/>
      <c r="O1623" s="210"/>
      <c r="P1623" s="210"/>
      <c r="Q1623" s="210"/>
      <c r="R1623" s="210"/>
      <c r="S1623" s="210"/>
      <c r="T1623" s="210"/>
      <c r="U1623" s="210"/>
      <c r="V1623" s="210"/>
      <c r="W1623" s="210"/>
      <c r="X1623" s="210"/>
      <c r="Y1623" s="210"/>
      <c r="Z1623" s="210"/>
    </row>
    <row r="1624" ht="21.75" customHeight="1">
      <c r="A1624" s="214"/>
      <c r="B1624" s="221"/>
      <c r="C1624" s="222">
        <v>104.0</v>
      </c>
      <c r="D1624" s="223" t="s">
        <v>1689</v>
      </c>
      <c r="E1624" s="223" t="s">
        <v>539</v>
      </c>
      <c r="F1624" s="223" t="s">
        <v>542</v>
      </c>
      <c r="G1624" s="223" t="s">
        <v>526</v>
      </c>
      <c r="H1624" s="224" t="s">
        <v>490</v>
      </c>
      <c r="I1624" s="208"/>
      <c r="J1624" s="210"/>
      <c r="K1624" s="210"/>
      <c r="L1624" s="210"/>
      <c r="M1624" s="210"/>
      <c r="N1624" s="210"/>
      <c r="O1624" s="210"/>
      <c r="P1624" s="210"/>
      <c r="Q1624" s="210"/>
      <c r="R1624" s="210"/>
      <c r="S1624" s="210"/>
      <c r="T1624" s="210"/>
      <c r="U1624" s="210"/>
      <c r="V1624" s="210"/>
      <c r="W1624" s="210"/>
      <c r="X1624" s="210"/>
      <c r="Y1624" s="210"/>
      <c r="Z1624" s="210"/>
    </row>
    <row r="1625" ht="21.75" customHeight="1">
      <c r="A1625" s="214"/>
      <c r="B1625" s="217"/>
      <c r="C1625" s="222">
        <v>105.0</v>
      </c>
      <c r="D1625" s="215" t="s">
        <v>1690</v>
      </c>
      <c r="E1625" s="215" t="s">
        <v>508</v>
      </c>
      <c r="F1625" s="215" t="s">
        <v>509</v>
      </c>
      <c r="G1625" s="215" t="s">
        <v>510</v>
      </c>
      <c r="H1625" s="225" t="s">
        <v>1691</v>
      </c>
      <c r="I1625" s="208"/>
      <c r="J1625" s="210"/>
      <c r="K1625" s="210"/>
      <c r="L1625" s="210"/>
      <c r="M1625" s="210"/>
      <c r="N1625" s="210"/>
      <c r="O1625" s="210"/>
      <c r="P1625" s="210"/>
      <c r="Q1625" s="210"/>
      <c r="R1625" s="210"/>
      <c r="S1625" s="210"/>
      <c r="T1625" s="210"/>
      <c r="U1625" s="210"/>
      <c r="V1625" s="210"/>
      <c r="W1625" s="210"/>
      <c r="X1625" s="210"/>
      <c r="Y1625" s="210"/>
      <c r="Z1625" s="210"/>
    </row>
    <row r="1626" ht="21.75" customHeight="1">
      <c r="A1626" s="214"/>
      <c r="B1626" s="218" t="s">
        <v>1692</v>
      </c>
      <c r="C1626" s="226">
        <v>50842.0</v>
      </c>
      <c r="D1626" s="220"/>
      <c r="E1626" s="220"/>
      <c r="F1626" s="220"/>
      <c r="G1626" s="220"/>
      <c r="H1626" s="221"/>
      <c r="I1626" s="208"/>
      <c r="J1626" s="210"/>
      <c r="K1626" s="210"/>
      <c r="L1626" s="210"/>
      <c r="M1626" s="210"/>
      <c r="N1626" s="210"/>
      <c r="O1626" s="210"/>
      <c r="P1626" s="210"/>
      <c r="Q1626" s="210"/>
      <c r="R1626" s="210"/>
      <c r="S1626" s="210"/>
      <c r="T1626" s="210"/>
      <c r="U1626" s="210"/>
      <c r="V1626" s="210"/>
      <c r="W1626" s="210"/>
      <c r="X1626" s="210"/>
      <c r="Y1626" s="210"/>
      <c r="Z1626" s="210"/>
    </row>
    <row r="1627" ht="21.75" customHeight="1">
      <c r="A1627" s="214"/>
      <c r="B1627" s="221"/>
      <c r="C1627" s="222">
        <v>100.0</v>
      </c>
      <c r="D1627" s="223" t="s">
        <v>486</v>
      </c>
      <c r="E1627" s="223" t="s">
        <v>487</v>
      </c>
      <c r="F1627" s="223" t="s">
        <v>488</v>
      </c>
      <c r="G1627" s="223" t="s">
        <v>489</v>
      </c>
      <c r="H1627" s="224" t="s">
        <v>490</v>
      </c>
      <c r="I1627" s="208"/>
      <c r="J1627" s="210"/>
      <c r="K1627" s="210"/>
      <c r="L1627" s="210"/>
      <c r="M1627" s="210"/>
      <c r="N1627" s="210"/>
      <c r="O1627" s="210"/>
      <c r="P1627" s="210"/>
      <c r="Q1627" s="210"/>
      <c r="R1627" s="210"/>
      <c r="S1627" s="210"/>
      <c r="T1627" s="210"/>
      <c r="U1627" s="210"/>
      <c r="V1627" s="210"/>
      <c r="W1627" s="210"/>
      <c r="X1627" s="210"/>
      <c r="Y1627" s="210"/>
      <c r="Z1627" s="210"/>
    </row>
    <row r="1628" ht="21.75" customHeight="1">
      <c r="A1628" s="214"/>
      <c r="B1628" s="221"/>
      <c r="C1628" s="222">
        <v>101.0</v>
      </c>
      <c r="D1628" s="223" t="s">
        <v>1684</v>
      </c>
      <c r="E1628" s="223" t="s">
        <v>487</v>
      </c>
      <c r="F1628" s="223" t="s">
        <v>492</v>
      </c>
      <c r="G1628" s="223" t="s">
        <v>497</v>
      </c>
      <c r="H1628" s="225" t="s">
        <v>1693</v>
      </c>
      <c r="I1628" s="208"/>
      <c r="J1628" s="210"/>
      <c r="K1628" s="210"/>
      <c r="L1628" s="210"/>
      <c r="M1628" s="210"/>
      <c r="N1628" s="210"/>
      <c r="O1628" s="210"/>
      <c r="P1628" s="210"/>
      <c r="Q1628" s="210"/>
      <c r="R1628" s="210"/>
      <c r="S1628" s="210"/>
      <c r="T1628" s="210"/>
      <c r="U1628" s="210"/>
      <c r="V1628" s="210"/>
      <c r="W1628" s="210"/>
      <c r="X1628" s="210"/>
      <c r="Y1628" s="210"/>
      <c r="Z1628" s="210"/>
    </row>
    <row r="1629" ht="21.75" customHeight="1">
      <c r="A1629" s="214"/>
      <c r="B1629" s="221"/>
      <c r="C1629" s="222">
        <v>102.0</v>
      </c>
      <c r="D1629" s="223" t="s">
        <v>516</v>
      </c>
      <c r="E1629" s="223" t="s">
        <v>487</v>
      </c>
      <c r="F1629" s="223" t="s">
        <v>496</v>
      </c>
      <c r="G1629" s="223" t="s">
        <v>501</v>
      </c>
      <c r="H1629" s="225" t="s">
        <v>1694</v>
      </c>
      <c r="I1629" s="208"/>
      <c r="J1629" s="210"/>
      <c r="K1629" s="210"/>
      <c r="L1629" s="210"/>
      <c r="M1629" s="210"/>
      <c r="N1629" s="210"/>
      <c r="O1629" s="210"/>
      <c r="P1629" s="210"/>
      <c r="Q1629" s="210"/>
      <c r="R1629" s="210"/>
      <c r="S1629" s="210"/>
      <c r="T1629" s="210"/>
      <c r="U1629" s="210"/>
      <c r="V1629" s="210"/>
      <c r="W1629" s="210"/>
      <c r="X1629" s="210"/>
      <c r="Y1629" s="210"/>
      <c r="Z1629" s="210"/>
    </row>
    <row r="1630" ht="21.75" customHeight="1">
      <c r="A1630" s="214"/>
      <c r="B1630" s="221"/>
      <c r="C1630" s="222">
        <v>103.0</v>
      </c>
      <c r="D1630" s="223" t="s">
        <v>1695</v>
      </c>
      <c r="E1630" s="223" t="s">
        <v>539</v>
      </c>
      <c r="F1630" s="223" t="s">
        <v>542</v>
      </c>
      <c r="G1630" s="223" t="s">
        <v>493</v>
      </c>
      <c r="H1630" s="225" t="s">
        <v>1696</v>
      </c>
      <c r="I1630" s="208"/>
      <c r="J1630" s="210"/>
      <c r="K1630" s="210"/>
      <c r="L1630" s="210"/>
      <c r="M1630" s="210"/>
      <c r="N1630" s="210"/>
      <c r="O1630" s="210"/>
      <c r="P1630" s="210"/>
      <c r="Q1630" s="210"/>
      <c r="R1630" s="210"/>
      <c r="S1630" s="210"/>
      <c r="T1630" s="210"/>
      <c r="U1630" s="210"/>
      <c r="V1630" s="210"/>
      <c r="W1630" s="210"/>
      <c r="X1630" s="210"/>
      <c r="Y1630" s="210"/>
      <c r="Z1630" s="210"/>
    </row>
    <row r="1631" ht="21.75" customHeight="1">
      <c r="A1631" s="228"/>
      <c r="B1631" s="221"/>
      <c r="C1631" s="222">
        <v>104.0</v>
      </c>
      <c r="D1631" s="223" t="s">
        <v>519</v>
      </c>
      <c r="E1631" s="223" t="s">
        <v>508</v>
      </c>
      <c r="F1631" s="223" t="s">
        <v>509</v>
      </c>
      <c r="G1631" s="223" t="s">
        <v>510</v>
      </c>
      <c r="H1631" s="225" t="s">
        <v>1697</v>
      </c>
      <c r="I1631" s="208"/>
      <c r="J1631" s="210"/>
      <c r="K1631" s="210"/>
      <c r="L1631" s="210"/>
      <c r="M1631" s="210"/>
      <c r="N1631" s="210"/>
      <c r="O1631" s="210"/>
      <c r="P1631" s="210"/>
      <c r="Q1631" s="210"/>
      <c r="R1631" s="210"/>
      <c r="S1631" s="210"/>
      <c r="T1631" s="210"/>
      <c r="U1631" s="210"/>
      <c r="V1631" s="210"/>
      <c r="W1631" s="210"/>
      <c r="X1631" s="210"/>
      <c r="Y1631" s="210"/>
      <c r="Z1631" s="210"/>
    </row>
    <row r="1632" ht="21.75" customHeight="1">
      <c r="A1632" s="214">
        <v>272.0</v>
      </c>
      <c r="B1632" s="229" t="s">
        <v>1698</v>
      </c>
      <c r="C1632" s="230"/>
      <c r="D1632" s="217"/>
      <c r="E1632" s="217"/>
      <c r="F1632" s="217"/>
      <c r="G1632" s="217"/>
      <c r="H1632" s="217"/>
      <c r="I1632" s="208"/>
      <c r="J1632" s="210"/>
      <c r="K1632" s="210"/>
      <c r="L1632" s="210"/>
      <c r="M1632" s="210"/>
      <c r="N1632" s="210"/>
      <c r="O1632" s="210"/>
      <c r="P1632" s="210"/>
      <c r="Q1632" s="210"/>
      <c r="R1632" s="210"/>
      <c r="S1632" s="210"/>
      <c r="T1632" s="210"/>
      <c r="U1632" s="210"/>
      <c r="V1632" s="210"/>
      <c r="W1632" s="210"/>
      <c r="X1632" s="210"/>
      <c r="Y1632" s="210"/>
      <c r="Z1632" s="210"/>
    </row>
    <row r="1633" ht="21.75" customHeight="1">
      <c r="A1633" s="214"/>
      <c r="B1633" s="218" t="s">
        <v>1699</v>
      </c>
      <c r="C1633" s="219">
        <v>50848.0</v>
      </c>
      <c r="D1633" s="220"/>
      <c r="E1633" s="220"/>
      <c r="F1633" s="220"/>
      <c r="G1633" s="220"/>
      <c r="H1633" s="220"/>
      <c r="I1633" s="208"/>
      <c r="J1633" s="210"/>
      <c r="K1633" s="210"/>
      <c r="L1633" s="210"/>
      <c r="M1633" s="210"/>
      <c r="N1633" s="210"/>
      <c r="O1633" s="210"/>
      <c r="P1633" s="210"/>
      <c r="Q1633" s="210"/>
      <c r="R1633" s="210"/>
      <c r="S1633" s="210"/>
      <c r="T1633" s="210"/>
      <c r="U1633" s="210"/>
      <c r="V1633" s="210"/>
      <c r="W1633" s="210"/>
      <c r="X1633" s="210"/>
      <c r="Y1633" s="210"/>
      <c r="Z1633" s="210"/>
    </row>
    <row r="1634" ht="21.75" customHeight="1">
      <c r="A1634" s="214"/>
      <c r="B1634" s="221"/>
      <c r="C1634" s="222">
        <v>100.0</v>
      </c>
      <c r="D1634" s="223" t="s">
        <v>486</v>
      </c>
      <c r="E1634" s="223" t="s">
        <v>487</v>
      </c>
      <c r="F1634" s="223" t="s">
        <v>488</v>
      </c>
      <c r="G1634" s="223" t="s">
        <v>489</v>
      </c>
      <c r="H1634" s="224" t="s">
        <v>490</v>
      </c>
      <c r="I1634" s="208"/>
      <c r="J1634" s="210"/>
      <c r="K1634" s="210"/>
      <c r="L1634" s="210"/>
      <c r="M1634" s="210"/>
      <c r="N1634" s="210"/>
      <c r="O1634" s="210"/>
      <c r="P1634" s="210"/>
      <c r="Q1634" s="210"/>
      <c r="R1634" s="210"/>
      <c r="S1634" s="210"/>
      <c r="T1634" s="210"/>
      <c r="U1634" s="210"/>
      <c r="V1634" s="210"/>
      <c r="W1634" s="210"/>
      <c r="X1634" s="210"/>
      <c r="Y1634" s="210"/>
      <c r="Z1634" s="210"/>
    </row>
    <row r="1635" ht="21.75" customHeight="1">
      <c r="A1635" s="214"/>
      <c r="B1635" s="221"/>
      <c r="C1635" s="222">
        <v>101.0</v>
      </c>
      <c r="D1635" s="223" t="s">
        <v>491</v>
      </c>
      <c r="E1635" s="223" t="s">
        <v>487</v>
      </c>
      <c r="F1635" s="223" t="s">
        <v>492</v>
      </c>
      <c r="G1635" s="223" t="s">
        <v>678</v>
      </c>
      <c r="H1635" s="225" t="s">
        <v>1700</v>
      </c>
      <c r="I1635" s="208"/>
      <c r="J1635" s="210"/>
      <c r="K1635" s="210"/>
      <c r="L1635" s="210"/>
      <c r="M1635" s="210"/>
      <c r="N1635" s="210"/>
      <c r="O1635" s="210"/>
      <c r="P1635" s="210"/>
      <c r="Q1635" s="210"/>
      <c r="R1635" s="210"/>
      <c r="S1635" s="210"/>
      <c r="T1635" s="210"/>
      <c r="U1635" s="210"/>
      <c r="V1635" s="210"/>
      <c r="W1635" s="210"/>
      <c r="X1635" s="210"/>
      <c r="Y1635" s="210"/>
      <c r="Z1635" s="210"/>
    </row>
    <row r="1636" ht="21.75" customHeight="1">
      <c r="A1636" s="214"/>
      <c r="B1636" s="221"/>
      <c r="C1636" s="222">
        <v>102.0</v>
      </c>
      <c r="D1636" s="223" t="s">
        <v>736</v>
      </c>
      <c r="E1636" s="223" t="s">
        <v>487</v>
      </c>
      <c r="F1636" s="223" t="s">
        <v>496</v>
      </c>
      <c r="G1636" s="223" t="s">
        <v>497</v>
      </c>
      <c r="H1636" s="224" t="s">
        <v>490</v>
      </c>
      <c r="I1636" s="208"/>
      <c r="J1636" s="210"/>
      <c r="K1636" s="210"/>
      <c r="L1636" s="210"/>
      <c r="M1636" s="210"/>
      <c r="N1636" s="210"/>
      <c r="O1636" s="210"/>
      <c r="P1636" s="210"/>
      <c r="Q1636" s="210"/>
      <c r="R1636" s="210"/>
      <c r="S1636" s="210"/>
      <c r="T1636" s="210"/>
      <c r="U1636" s="210"/>
      <c r="V1636" s="210"/>
      <c r="W1636" s="210"/>
      <c r="X1636" s="210"/>
      <c r="Y1636" s="210"/>
      <c r="Z1636" s="210"/>
    </row>
    <row r="1637" ht="21.75" customHeight="1">
      <c r="A1637" s="214"/>
      <c r="B1637" s="221"/>
      <c r="C1637" s="222">
        <v>103.0</v>
      </c>
      <c r="D1637" s="223" t="s">
        <v>750</v>
      </c>
      <c r="E1637" s="223" t="s">
        <v>487</v>
      </c>
      <c r="F1637" s="223" t="s">
        <v>500</v>
      </c>
      <c r="G1637" s="223" t="s">
        <v>501</v>
      </c>
      <c r="H1637" s="224" t="s">
        <v>490</v>
      </c>
      <c r="I1637" s="208"/>
      <c r="J1637" s="210"/>
      <c r="K1637" s="210"/>
      <c r="L1637" s="210"/>
      <c r="M1637" s="210"/>
      <c r="N1637" s="210"/>
      <c r="O1637" s="210"/>
      <c r="P1637" s="210"/>
      <c r="Q1637" s="210"/>
      <c r="R1637" s="210"/>
      <c r="S1637" s="210"/>
      <c r="T1637" s="210"/>
      <c r="U1637" s="210"/>
      <c r="V1637" s="210"/>
      <c r="W1637" s="210"/>
      <c r="X1637" s="210"/>
      <c r="Y1637" s="210"/>
      <c r="Z1637" s="210"/>
    </row>
    <row r="1638" ht="21.75" customHeight="1">
      <c r="A1638" s="228"/>
      <c r="B1638" s="221"/>
      <c r="C1638" s="222">
        <v>104.0</v>
      </c>
      <c r="D1638" s="223" t="s">
        <v>507</v>
      </c>
      <c r="E1638" s="223" t="s">
        <v>508</v>
      </c>
      <c r="F1638" s="223" t="s">
        <v>509</v>
      </c>
      <c r="G1638" s="223" t="s">
        <v>510</v>
      </c>
      <c r="H1638" s="225" t="s">
        <v>1701</v>
      </c>
      <c r="I1638" s="208"/>
      <c r="J1638" s="210"/>
      <c r="K1638" s="210"/>
      <c r="L1638" s="210"/>
      <c r="M1638" s="210"/>
      <c r="N1638" s="210"/>
      <c r="O1638" s="210"/>
      <c r="P1638" s="210"/>
      <c r="Q1638" s="210"/>
      <c r="R1638" s="210"/>
      <c r="S1638" s="210"/>
      <c r="T1638" s="210"/>
      <c r="U1638" s="210"/>
      <c r="V1638" s="210"/>
      <c r="W1638" s="210"/>
      <c r="X1638" s="210"/>
      <c r="Y1638" s="210"/>
      <c r="Z1638" s="210"/>
    </row>
    <row r="1639" ht="21.75" customHeight="1">
      <c r="A1639" s="214">
        <v>28.0</v>
      </c>
      <c r="B1639" s="229" t="s">
        <v>1702</v>
      </c>
      <c r="C1639" s="230"/>
      <c r="D1639" s="217"/>
      <c r="E1639" s="217"/>
      <c r="F1639" s="217"/>
      <c r="G1639" s="217"/>
      <c r="H1639" s="217"/>
      <c r="I1639" s="208"/>
      <c r="J1639" s="210"/>
      <c r="K1639" s="210"/>
      <c r="L1639" s="210"/>
      <c r="M1639" s="210"/>
      <c r="N1639" s="210"/>
      <c r="O1639" s="210"/>
      <c r="P1639" s="210"/>
      <c r="Q1639" s="210"/>
      <c r="R1639" s="210"/>
      <c r="S1639" s="210"/>
      <c r="T1639" s="210"/>
      <c r="U1639" s="210"/>
      <c r="V1639" s="210"/>
      <c r="W1639" s="210"/>
      <c r="X1639" s="210"/>
      <c r="Y1639" s="210"/>
      <c r="Z1639" s="210"/>
    </row>
    <row r="1640" ht="21.75" customHeight="1">
      <c r="A1640" s="214"/>
      <c r="B1640" s="218" t="s">
        <v>1703</v>
      </c>
      <c r="C1640" s="219">
        <v>50376.0</v>
      </c>
      <c r="D1640" s="220"/>
      <c r="E1640" s="220"/>
      <c r="F1640" s="220"/>
      <c r="G1640" s="220"/>
      <c r="H1640" s="220"/>
      <c r="I1640" s="208"/>
      <c r="J1640" s="210"/>
      <c r="K1640" s="210"/>
      <c r="L1640" s="210"/>
      <c r="M1640" s="210"/>
      <c r="N1640" s="210"/>
      <c r="O1640" s="210"/>
      <c r="P1640" s="210"/>
      <c r="Q1640" s="210"/>
      <c r="R1640" s="210"/>
      <c r="S1640" s="210"/>
      <c r="T1640" s="210"/>
      <c r="U1640" s="210"/>
      <c r="V1640" s="210"/>
      <c r="W1640" s="210"/>
      <c r="X1640" s="210"/>
      <c r="Y1640" s="210"/>
      <c r="Z1640" s="210"/>
    </row>
    <row r="1641" ht="21.75" customHeight="1">
      <c r="A1641" s="214"/>
      <c r="B1641" s="221"/>
      <c r="C1641" s="222">
        <v>100.0</v>
      </c>
      <c r="D1641" s="223" t="s">
        <v>491</v>
      </c>
      <c r="E1641" s="223" t="s">
        <v>487</v>
      </c>
      <c r="F1641" s="223" t="s">
        <v>488</v>
      </c>
      <c r="G1641" s="223" t="s">
        <v>678</v>
      </c>
      <c r="H1641" s="225" t="s">
        <v>1704</v>
      </c>
      <c r="I1641" s="208"/>
      <c r="J1641" s="210"/>
      <c r="K1641" s="210"/>
      <c r="L1641" s="210"/>
      <c r="M1641" s="210"/>
      <c r="N1641" s="210"/>
      <c r="O1641" s="210"/>
      <c r="P1641" s="210"/>
      <c r="Q1641" s="210"/>
      <c r="R1641" s="210"/>
      <c r="S1641" s="210"/>
      <c r="T1641" s="210"/>
      <c r="U1641" s="210"/>
      <c r="V1641" s="210"/>
      <c r="W1641" s="210"/>
      <c r="X1641" s="210"/>
      <c r="Y1641" s="210"/>
      <c r="Z1641" s="210"/>
    </row>
    <row r="1642" ht="21.75" customHeight="1">
      <c r="A1642" s="214"/>
      <c r="B1642" s="221"/>
      <c r="C1642" s="222">
        <v>101.0</v>
      </c>
      <c r="D1642" s="223" t="s">
        <v>837</v>
      </c>
      <c r="E1642" s="223" t="s">
        <v>529</v>
      </c>
      <c r="F1642" s="223" t="s">
        <v>530</v>
      </c>
      <c r="G1642" s="218" t="s">
        <v>490</v>
      </c>
      <c r="H1642" s="225" t="s">
        <v>1705</v>
      </c>
      <c r="I1642" s="208"/>
      <c r="J1642" s="210"/>
      <c r="K1642" s="210"/>
      <c r="L1642" s="210"/>
      <c r="M1642" s="210"/>
      <c r="N1642" s="210"/>
      <c r="O1642" s="210"/>
      <c r="P1642" s="210"/>
      <c r="Q1642" s="210"/>
      <c r="R1642" s="210"/>
      <c r="S1642" s="210"/>
      <c r="T1642" s="210"/>
      <c r="U1642" s="210"/>
      <c r="V1642" s="210"/>
      <c r="W1642" s="210"/>
      <c r="X1642" s="210"/>
      <c r="Y1642" s="210"/>
      <c r="Z1642" s="210"/>
    </row>
    <row r="1643" ht="21.75" customHeight="1">
      <c r="A1643" s="214"/>
      <c r="B1643" s="221"/>
      <c r="C1643" s="222">
        <v>102.0</v>
      </c>
      <c r="D1643" s="223" t="s">
        <v>369</v>
      </c>
      <c r="E1643" s="223" t="s">
        <v>487</v>
      </c>
      <c r="F1643" s="223" t="s">
        <v>496</v>
      </c>
      <c r="G1643" s="223" t="s">
        <v>526</v>
      </c>
      <c r="H1643" s="224" t="s">
        <v>490</v>
      </c>
      <c r="I1643" s="208"/>
      <c r="J1643" s="210"/>
      <c r="K1643" s="210"/>
      <c r="L1643" s="210"/>
      <c r="M1643" s="210"/>
      <c r="N1643" s="210"/>
      <c r="O1643" s="210"/>
      <c r="P1643" s="210"/>
      <c r="Q1643" s="210"/>
      <c r="R1643" s="210"/>
      <c r="S1643" s="210"/>
      <c r="T1643" s="210"/>
      <c r="U1643" s="210"/>
      <c r="V1643" s="210"/>
      <c r="W1643" s="210"/>
      <c r="X1643" s="210"/>
      <c r="Y1643" s="210"/>
      <c r="Z1643" s="210"/>
    </row>
    <row r="1644" ht="21.75" customHeight="1">
      <c r="A1644" s="214"/>
      <c r="B1644" s="221"/>
      <c r="C1644" s="222">
        <v>103.0</v>
      </c>
      <c r="D1644" s="223" t="s">
        <v>1706</v>
      </c>
      <c r="E1644" s="223" t="s">
        <v>487</v>
      </c>
      <c r="F1644" s="223" t="s">
        <v>500</v>
      </c>
      <c r="G1644" s="223" t="s">
        <v>513</v>
      </c>
      <c r="H1644" s="224" t="s">
        <v>490</v>
      </c>
      <c r="I1644" s="208"/>
      <c r="J1644" s="210"/>
      <c r="K1644" s="210"/>
      <c r="L1644" s="210"/>
      <c r="M1644" s="210"/>
      <c r="N1644" s="210"/>
      <c r="O1644" s="210"/>
      <c r="P1644" s="210"/>
      <c r="Q1644" s="210"/>
      <c r="R1644" s="210"/>
      <c r="S1644" s="210"/>
      <c r="T1644" s="210"/>
      <c r="U1644" s="210"/>
      <c r="V1644" s="210"/>
      <c r="W1644" s="210"/>
      <c r="X1644" s="210"/>
      <c r="Y1644" s="210"/>
      <c r="Z1644" s="210"/>
    </row>
    <row r="1645" ht="21.75" customHeight="1">
      <c r="A1645" s="214"/>
      <c r="B1645" s="221"/>
      <c r="C1645" s="222">
        <v>104.0</v>
      </c>
      <c r="D1645" s="223" t="s">
        <v>1707</v>
      </c>
      <c r="E1645" s="223" t="s">
        <v>487</v>
      </c>
      <c r="F1645" s="223" t="s">
        <v>512</v>
      </c>
      <c r="G1645" s="223" t="s">
        <v>594</v>
      </c>
      <c r="H1645" s="225" t="s">
        <v>1708</v>
      </c>
      <c r="I1645" s="208"/>
      <c r="J1645" s="210"/>
      <c r="K1645" s="210"/>
      <c r="L1645" s="210"/>
      <c r="M1645" s="210"/>
      <c r="N1645" s="210"/>
      <c r="O1645" s="210"/>
      <c r="P1645" s="210"/>
      <c r="Q1645" s="210"/>
      <c r="R1645" s="210"/>
      <c r="S1645" s="210"/>
      <c r="T1645" s="210"/>
      <c r="U1645" s="210"/>
      <c r="V1645" s="210"/>
      <c r="W1645" s="210"/>
      <c r="X1645" s="210"/>
      <c r="Y1645" s="210"/>
      <c r="Z1645" s="210"/>
    </row>
    <row r="1646" ht="21.75" customHeight="1">
      <c r="A1646" s="214"/>
      <c r="B1646" s="221"/>
      <c r="C1646" s="222">
        <v>105.0</v>
      </c>
      <c r="D1646" s="223" t="s">
        <v>876</v>
      </c>
      <c r="E1646" s="223" t="s">
        <v>487</v>
      </c>
      <c r="F1646" s="223" t="s">
        <v>532</v>
      </c>
      <c r="G1646" s="223" t="s">
        <v>497</v>
      </c>
      <c r="H1646" s="224" t="s">
        <v>490</v>
      </c>
      <c r="I1646" s="208"/>
      <c r="J1646" s="210"/>
      <c r="K1646" s="210"/>
      <c r="L1646" s="210"/>
      <c r="M1646" s="210"/>
      <c r="N1646" s="210"/>
      <c r="O1646" s="210"/>
      <c r="P1646" s="210"/>
      <c r="Q1646" s="210"/>
      <c r="R1646" s="210"/>
      <c r="S1646" s="210"/>
      <c r="T1646" s="210"/>
      <c r="U1646" s="210"/>
      <c r="V1646" s="210"/>
      <c r="W1646" s="210"/>
      <c r="X1646" s="210"/>
      <c r="Y1646" s="210"/>
      <c r="Z1646" s="210"/>
    </row>
    <row r="1647" ht="21.75" customHeight="1">
      <c r="A1647" s="214"/>
      <c r="B1647" s="221"/>
      <c r="C1647" s="222">
        <v>106.0</v>
      </c>
      <c r="D1647" s="223" t="s">
        <v>1709</v>
      </c>
      <c r="E1647" s="223" t="s">
        <v>487</v>
      </c>
      <c r="F1647" s="223" t="s">
        <v>590</v>
      </c>
      <c r="G1647" s="223" t="s">
        <v>606</v>
      </c>
      <c r="H1647" s="225" t="s">
        <v>1710</v>
      </c>
      <c r="I1647" s="208"/>
      <c r="J1647" s="210"/>
      <c r="K1647" s="210"/>
      <c r="L1647" s="210"/>
      <c r="M1647" s="210"/>
      <c r="N1647" s="210"/>
      <c r="O1647" s="210"/>
      <c r="P1647" s="210"/>
      <c r="Q1647" s="210"/>
      <c r="R1647" s="210"/>
      <c r="S1647" s="210"/>
      <c r="T1647" s="210"/>
      <c r="U1647" s="210"/>
      <c r="V1647" s="210"/>
      <c r="W1647" s="210"/>
      <c r="X1647" s="210"/>
      <c r="Y1647" s="210"/>
      <c r="Z1647" s="210"/>
    </row>
    <row r="1648" ht="21.75" customHeight="1">
      <c r="A1648" s="214"/>
      <c r="B1648" s="221"/>
      <c r="C1648" s="222">
        <v>107.0</v>
      </c>
      <c r="D1648" s="223" t="s">
        <v>860</v>
      </c>
      <c r="E1648" s="223" t="s">
        <v>487</v>
      </c>
      <c r="F1648" s="223" t="s">
        <v>603</v>
      </c>
      <c r="G1648" s="223" t="s">
        <v>501</v>
      </c>
      <c r="H1648" s="224" t="s">
        <v>490</v>
      </c>
      <c r="I1648" s="208"/>
      <c r="J1648" s="210"/>
      <c r="K1648" s="210"/>
      <c r="L1648" s="210"/>
      <c r="M1648" s="210"/>
      <c r="N1648" s="210"/>
      <c r="O1648" s="210"/>
      <c r="P1648" s="210"/>
      <c r="Q1648" s="210"/>
      <c r="R1648" s="210"/>
      <c r="S1648" s="210"/>
      <c r="T1648" s="210"/>
      <c r="U1648" s="210"/>
      <c r="V1648" s="210"/>
      <c r="W1648" s="210"/>
      <c r="X1648" s="210"/>
      <c r="Y1648" s="210"/>
      <c r="Z1648" s="210"/>
    </row>
    <row r="1649" ht="21.75" customHeight="1">
      <c r="A1649" s="214"/>
      <c r="B1649" s="221"/>
      <c r="C1649" s="222">
        <v>108.0</v>
      </c>
      <c r="D1649" s="223" t="s">
        <v>1711</v>
      </c>
      <c r="E1649" s="223" t="s">
        <v>539</v>
      </c>
      <c r="F1649" s="223" t="s">
        <v>621</v>
      </c>
      <c r="G1649" s="223" t="s">
        <v>561</v>
      </c>
      <c r="H1649" s="225" t="s">
        <v>1712</v>
      </c>
      <c r="I1649" s="208"/>
      <c r="J1649" s="210"/>
      <c r="K1649" s="210"/>
      <c r="L1649" s="210"/>
      <c r="M1649" s="210"/>
      <c r="N1649" s="210"/>
      <c r="O1649" s="210"/>
      <c r="P1649" s="210"/>
      <c r="Q1649" s="210"/>
      <c r="R1649" s="210"/>
      <c r="S1649" s="210"/>
      <c r="T1649" s="210"/>
      <c r="U1649" s="210"/>
      <c r="V1649" s="210"/>
      <c r="W1649" s="210"/>
      <c r="X1649" s="210"/>
      <c r="Y1649" s="210"/>
      <c r="Z1649" s="210"/>
    </row>
    <row r="1650" ht="21.75" customHeight="1">
      <c r="A1650" s="214"/>
      <c r="B1650" s="221"/>
      <c r="C1650" s="222">
        <v>109.0</v>
      </c>
      <c r="D1650" s="223" t="s">
        <v>1713</v>
      </c>
      <c r="E1650" s="223" t="s">
        <v>539</v>
      </c>
      <c r="F1650" s="223" t="s">
        <v>625</v>
      </c>
      <c r="G1650" s="223" t="s">
        <v>580</v>
      </c>
      <c r="H1650" s="224" t="s">
        <v>490</v>
      </c>
      <c r="I1650" s="208"/>
      <c r="J1650" s="210"/>
      <c r="K1650" s="210"/>
      <c r="L1650" s="210"/>
      <c r="M1650" s="210"/>
      <c r="N1650" s="210"/>
      <c r="O1650" s="210"/>
      <c r="P1650" s="210"/>
      <c r="Q1650" s="210"/>
      <c r="R1650" s="210"/>
      <c r="S1650" s="210"/>
      <c r="T1650" s="210"/>
      <c r="U1650" s="210"/>
      <c r="V1650" s="210"/>
      <c r="W1650" s="210"/>
      <c r="X1650" s="210"/>
      <c r="Y1650" s="210"/>
      <c r="Z1650" s="210"/>
    </row>
    <row r="1651" ht="21.75" customHeight="1">
      <c r="A1651" s="214"/>
      <c r="B1651" s="221"/>
      <c r="C1651" s="222">
        <v>110.0</v>
      </c>
      <c r="D1651" s="223" t="s">
        <v>862</v>
      </c>
      <c r="E1651" s="223" t="s">
        <v>539</v>
      </c>
      <c r="F1651" s="223" t="s">
        <v>509</v>
      </c>
      <c r="G1651" s="223" t="s">
        <v>864</v>
      </c>
      <c r="H1651" s="224" t="s">
        <v>490</v>
      </c>
      <c r="I1651" s="208"/>
      <c r="J1651" s="210"/>
      <c r="K1651" s="210"/>
      <c r="L1651" s="210"/>
      <c r="M1651" s="210"/>
      <c r="N1651" s="210"/>
      <c r="O1651" s="210"/>
      <c r="P1651" s="210"/>
      <c r="Q1651" s="210"/>
      <c r="R1651" s="210"/>
      <c r="S1651" s="210"/>
      <c r="T1651" s="210"/>
      <c r="U1651" s="210"/>
      <c r="V1651" s="210"/>
      <c r="W1651" s="210"/>
      <c r="X1651" s="210"/>
      <c r="Y1651" s="210"/>
      <c r="Z1651" s="210"/>
    </row>
    <row r="1652" ht="21.75" customHeight="1">
      <c r="A1652" s="214"/>
      <c r="B1652" s="221"/>
      <c r="C1652" s="222">
        <v>111.0</v>
      </c>
      <c r="D1652" s="223" t="s">
        <v>1714</v>
      </c>
      <c r="E1652" s="223" t="s">
        <v>508</v>
      </c>
      <c r="F1652" s="223" t="s">
        <v>542</v>
      </c>
      <c r="G1652" s="223" t="s">
        <v>510</v>
      </c>
      <c r="H1652" s="225" t="s">
        <v>1715</v>
      </c>
      <c r="I1652" s="208"/>
      <c r="J1652" s="210"/>
      <c r="K1652" s="210"/>
      <c r="L1652" s="210"/>
      <c r="M1652" s="210"/>
      <c r="N1652" s="210"/>
      <c r="O1652" s="210"/>
      <c r="P1652" s="210"/>
      <c r="Q1652" s="210"/>
      <c r="R1652" s="210"/>
      <c r="S1652" s="210"/>
      <c r="T1652" s="210"/>
      <c r="U1652" s="210"/>
      <c r="V1652" s="210"/>
      <c r="W1652" s="210"/>
      <c r="X1652" s="210"/>
      <c r="Y1652" s="210"/>
      <c r="Z1652" s="210"/>
    </row>
    <row r="1653" ht="21.75" customHeight="1">
      <c r="A1653" s="214"/>
      <c r="B1653" s="221"/>
      <c r="C1653" s="222">
        <v>112.0</v>
      </c>
      <c r="D1653" s="223" t="s">
        <v>837</v>
      </c>
      <c r="E1653" s="223" t="s">
        <v>487</v>
      </c>
      <c r="F1653" s="223" t="s">
        <v>826</v>
      </c>
      <c r="G1653" s="223" t="s">
        <v>493</v>
      </c>
      <c r="H1653" s="224" t="s">
        <v>490</v>
      </c>
      <c r="I1653" s="208"/>
      <c r="J1653" s="210"/>
      <c r="K1653" s="210"/>
      <c r="L1653" s="210"/>
      <c r="M1653" s="210"/>
      <c r="N1653" s="210"/>
      <c r="O1653" s="210"/>
      <c r="P1653" s="210"/>
      <c r="Q1653" s="210"/>
      <c r="R1653" s="210"/>
      <c r="S1653" s="210"/>
      <c r="T1653" s="210"/>
      <c r="U1653" s="210"/>
      <c r="V1653" s="210"/>
      <c r="W1653" s="210"/>
      <c r="X1653" s="210"/>
      <c r="Y1653" s="210"/>
      <c r="Z1653" s="210"/>
    </row>
    <row r="1654" ht="21.75" customHeight="1">
      <c r="A1654" s="228"/>
      <c r="B1654" s="221"/>
      <c r="C1654" s="222">
        <v>113.0</v>
      </c>
      <c r="D1654" s="223" t="s">
        <v>863</v>
      </c>
      <c r="E1654" s="223" t="s">
        <v>539</v>
      </c>
      <c r="F1654" s="223" t="s">
        <v>863</v>
      </c>
      <c r="G1654" s="218" t="s">
        <v>490</v>
      </c>
      <c r="H1654" s="224" t="s">
        <v>490</v>
      </c>
      <c r="I1654" s="208"/>
      <c r="J1654" s="210"/>
      <c r="K1654" s="210"/>
      <c r="L1654" s="210"/>
      <c r="M1654" s="210"/>
      <c r="N1654" s="210"/>
      <c r="O1654" s="210"/>
      <c r="P1654" s="210"/>
      <c r="Q1654" s="210"/>
      <c r="R1654" s="210"/>
      <c r="S1654" s="210"/>
      <c r="T1654" s="210"/>
      <c r="U1654" s="210"/>
      <c r="V1654" s="210"/>
      <c r="W1654" s="210"/>
      <c r="X1654" s="210"/>
      <c r="Y1654" s="210"/>
      <c r="Z1654" s="210"/>
    </row>
    <row r="1655" ht="21.75" customHeight="1">
      <c r="A1655" s="214">
        <v>282.0</v>
      </c>
      <c r="B1655" s="215" t="s">
        <v>1716</v>
      </c>
      <c r="C1655" s="216"/>
      <c r="D1655" s="217"/>
      <c r="E1655" s="217"/>
      <c r="F1655" s="217"/>
      <c r="G1655" s="217"/>
      <c r="H1655" s="217"/>
      <c r="I1655" s="208"/>
      <c r="J1655" s="210"/>
      <c r="K1655" s="210"/>
      <c r="L1655" s="210"/>
      <c r="M1655" s="210"/>
      <c r="N1655" s="210"/>
      <c r="O1655" s="210"/>
      <c r="P1655" s="210"/>
      <c r="Q1655" s="210"/>
      <c r="R1655" s="210"/>
      <c r="S1655" s="210"/>
      <c r="T1655" s="210"/>
      <c r="U1655" s="210"/>
      <c r="V1655" s="210"/>
      <c r="W1655" s="210"/>
      <c r="X1655" s="210"/>
      <c r="Y1655" s="210"/>
      <c r="Z1655" s="210"/>
    </row>
    <row r="1656" ht="21.75" customHeight="1">
      <c r="A1656" s="214"/>
      <c r="B1656" s="218" t="s">
        <v>1717</v>
      </c>
      <c r="C1656" s="219">
        <v>50872.0</v>
      </c>
      <c r="D1656" s="220"/>
      <c r="E1656" s="220"/>
      <c r="F1656" s="220"/>
      <c r="G1656" s="220"/>
      <c r="H1656" s="220"/>
      <c r="I1656" s="208"/>
      <c r="J1656" s="210"/>
      <c r="K1656" s="210"/>
      <c r="L1656" s="210"/>
      <c r="M1656" s="210"/>
      <c r="N1656" s="210"/>
      <c r="O1656" s="210"/>
      <c r="P1656" s="210"/>
      <c r="Q1656" s="210"/>
      <c r="R1656" s="210"/>
      <c r="S1656" s="210"/>
      <c r="T1656" s="210"/>
      <c r="U1656" s="210"/>
      <c r="V1656" s="210"/>
      <c r="W1656" s="210"/>
      <c r="X1656" s="210"/>
      <c r="Y1656" s="210"/>
      <c r="Z1656" s="210"/>
    </row>
    <row r="1657" ht="21.75" customHeight="1">
      <c r="A1657" s="214"/>
      <c r="B1657" s="221"/>
      <c r="C1657" s="222">
        <v>100.0</v>
      </c>
      <c r="D1657" s="223" t="s">
        <v>486</v>
      </c>
      <c r="E1657" s="223" t="s">
        <v>487</v>
      </c>
      <c r="F1657" s="223" t="s">
        <v>488</v>
      </c>
      <c r="G1657" s="223" t="s">
        <v>489</v>
      </c>
      <c r="H1657" s="224" t="s">
        <v>490</v>
      </c>
      <c r="I1657" s="208"/>
      <c r="J1657" s="210"/>
      <c r="K1657" s="210"/>
      <c r="L1657" s="210"/>
      <c r="M1657" s="210"/>
      <c r="N1657" s="210"/>
      <c r="O1657" s="210"/>
      <c r="P1657" s="210"/>
      <c r="Q1657" s="210"/>
      <c r="R1657" s="210"/>
      <c r="S1657" s="210"/>
      <c r="T1657" s="210"/>
      <c r="U1657" s="210"/>
      <c r="V1657" s="210"/>
      <c r="W1657" s="210"/>
      <c r="X1657" s="210"/>
      <c r="Y1657" s="210"/>
      <c r="Z1657" s="210"/>
    </row>
    <row r="1658" ht="21.75" customHeight="1">
      <c r="A1658" s="214"/>
      <c r="B1658" s="221"/>
      <c r="C1658" s="222">
        <v>101.0</v>
      </c>
      <c r="D1658" s="223" t="s">
        <v>491</v>
      </c>
      <c r="E1658" s="223" t="s">
        <v>487</v>
      </c>
      <c r="F1658" s="223" t="s">
        <v>492</v>
      </c>
      <c r="G1658" s="223" t="s">
        <v>678</v>
      </c>
      <c r="H1658" s="225" t="s">
        <v>1718</v>
      </c>
      <c r="I1658" s="208"/>
      <c r="J1658" s="210"/>
      <c r="K1658" s="210"/>
      <c r="L1658" s="210"/>
      <c r="M1658" s="210"/>
      <c r="N1658" s="210"/>
      <c r="O1658" s="210"/>
      <c r="P1658" s="210"/>
      <c r="Q1658" s="210"/>
      <c r="R1658" s="210"/>
      <c r="S1658" s="210"/>
      <c r="T1658" s="210"/>
      <c r="U1658" s="210"/>
      <c r="V1658" s="210"/>
      <c r="W1658" s="210"/>
      <c r="X1658" s="210"/>
      <c r="Y1658" s="210"/>
      <c r="Z1658" s="210"/>
    </row>
    <row r="1659" ht="21.75" customHeight="1">
      <c r="A1659" s="214"/>
      <c r="B1659" s="221"/>
      <c r="C1659" s="222">
        <v>102.0</v>
      </c>
      <c r="D1659" s="223" t="s">
        <v>884</v>
      </c>
      <c r="E1659" s="223" t="s">
        <v>487</v>
      </c>
      <c r="F1659" s="223" t="s">
        <v>496</v>
      </c>
      <c r="G1659" s="223" t="s">
        <v>497</v>
      </c>
      <c r="H1659" s="224" t="s">
        <v>490</v>
      </c>
      <c r="I1659" s="208"/>
      <c r="J1659" s="210"/>
      <c r="K1659" s="210"/>
      <c r="L1659" s="210"/>
      <c r="M1659" s="210"/>
      <c r="N1659" s="210"/>
      <c r="O1659" s="210"/>
      <c r="P1659" s="210"/>
      <c r="Q1659" s="210"/>
      <c r="R1659" s="210"/>
      <c r="S1659" s="210"/>
      <c r="T1659" s="210"/>
      <c r="U1659" s="210"/>
      <c r="V1659" s="210"/>
      <c r="W1659" s="210"/>
      <c r="X1659" s="210"/>
      <c r="Y1659" s="210"/>
      <c r="Z1659" s="210"/>
    </row>
    <row r="1660" ht="21.75" customHeight="1">
      <c r="A1660" s="214"/>
      <c r="B1660" s="221"/>
      <c r="C1660" s="222">
        <v>103.0</v>
      </c>
      <c r="D1660" s="223" t="s">
        <v>779</v>
      </c>
      <c r="E1660" s="223" t="s">
        <v>487</v>
      </c>
      <c r="F1660" s="223" t="s">
        <v>500</v>
      </c>
      <c r="G1660" s="223" t="s">
        <v>501</v>
      </c>
      <c r="H1660" s="224" t="s">
        <v>490</v>
      </c>
      <c r="I1660" s="208"/>
      <c r="J1660" s="210"/>
      <c r="K1660" s="210"/>
      <c r="L1660" s="210"/>
      <c r="M1660" s="210"/>
      <c r="N1660" s="210"/>
      <c r="O1660" s="210"/>
      <c r="P1660" s="210"/>
      <c r="Q1660" s="210"/>
      <c r="R1660" s="210"/>
      <c r="S1660" s="210"/>
      <c r="T1660" s="210"/>
      <c r="U1660" s="210"/>
      <c r="V1660" s="210"/>
      <c r="W1660" s="210"/>
      <c r="X1660" s="210"/>
      <c r="Y1660" s="210"/>
      <c r="Z1660" s="210"/>
    </row>
    <row r="1661" ht="21.75" customHeight="1">
      <c r="A1661" s="228"/>
      <c r="B1661" s="221"/>
      <c r="C1661" s="222">
        <v>104.0</v>
      </c>
      <c r="D1661" s="223" t="s">
        <v>507</v>
      </c>
      <c r="E1661" s="223" t="s">
        <v>508</v>
      </c>
      <c r="F1661" s="223" t="s">
        <v>509</v>
      </c>
      <c r="G1661" s="223" t="s">
        <v>510</v>
      </c>
      <c r="H1661" s="225" t="s">
        <v>1719</v>
      </c>
      <c r="I1661" s="208"/>
      <c r="J1661" s="210"/>
      <c r="K1661" s="210"/>
      <c r="L1661" s="210"/>
      <c r="M1661" s="210"/>
      <c r="N1661" s="210"/>
      <c r="O1661" s="210"/>
      <c r="P1661" s="210"/>
      <c r="Q1661" s="210"/>
      <c r="R1661" s="210"/>
      <c r="S1661" s="210"/>
      <c r="T1661" s="210"/>
      <c r="U1661" s="210"/>
      <c r="V1661" s="210"/>
      <c r="W1661" s="210"/>
      <c r="X1661" s="210"/>
      <c r="Y1661" s="210"/>
      <c r="Z1661" s="210"/>
    </row>
    <row r="1662" ht="21.75" customHeight="1">
      <c r="A1662" s="214">
        <v>285.0</v>
      </c>
      <c r="B1662" s="215" t="s">
        <v>1720</v>
      </c>
      <c r="C1662" s="216"/>
      <c r="D1662" s="217"/>
      <c r="E1662" s="217"/>
      <c r="F1662" s="217"/>
      <c r="G1662" s="217"/>
      <c r="H1662" s="217"/>
      <c r="I1662" s="208"/>
      <c r="J1662" s="210"/>
      <c r="K1662" s="210"/>
      <c r="L1662" s="210"/>
      <c r="M1662" s="210"/>
      <c r="N1662" s="210"/>
      <c r="O1662" s="210"/>
      <c r="P1662" s="210"/>
      <c r="Q1662" s="210"/>
      <c r="R1662" s="210"/>
      <c r="S1662" s="210"/>
      <c r="T1662" s="210"/>
      <c r="U1662" s="210"/>
      <c r="V1662" s="210"/>
      <c r="W1662" s="210"/>
      <c r="X1662" s="210"/>
      <c r="Y1662" s="210"/>
      <c r="Z1662" s="210"/>
    </row>
    <row r="1663" ht="21.75" customHeight="1">
      <c r="A1663" s="214"/>
      <c r="B1663" s="218" t="s">
        <v>1721</v>
      </c>
      <c r="C1663" s="219">
        <v>51020.0</v>
      </c>
      <c r="D1663" s="220"/>
      <c r="E1663" s="220"/>
      <c r="F1663" s="220"/>
      <c r="G1663" s="220"/>
      <c r="H1663" s="220"/>
      <c r="I1663" s="208"/>
      <c r="J1663" s="210"/>
      <c r="K1663" s="210"/>
      <c r="L1663" s="210"/>
      <c r="M1663" s="210"/>
      <c r="N1663" s="210"/>
      <c r="O1663" s="210"/>
      <c r="P1663" s="210"/>
      <c r="Q1663" s="210"/>
      <c r="R1663" s="210"/>
      <c r="S1663" s="210"/>
      <c r="T1663" s="210"/>
      <c r="U1663" s="210"/>
      <c r="V1663" s="210"/>
      <c r="W1663" s="210"/>
      <c r="X1663" s="210"/>
      <c r="Y1663" s="210"/>
      <c r="Z1663" s="210"/>
    </row>
    <row r="1664" ht="21.75" customHeight="1">
      <c r="A1664" s="214"/>
      <c r="B1664" s="221"/>
      <c r="C1664" s="222">
        <v>100.0</v>
      </c>
      <c r="D1664" s="223" t="s">
        <v>486</v>
      </c>
      <c r="E1664" s="223" t="s">
        <v>487</v>
      </c>
      <c r="F1664" s="223" t="s">
        <v>488</v>
      </c>
      <c r="G1664" s="223" t="s">
        <v>489</v>
      </c>
      <c r="H1664" s="224" t="s">
        <v>490</v>
      </c>
      <c r="I1664" s="208"/>
      <c r="J1664" s="210"/>
      <c r="K1664" s="210"/>
      <c r="L1664" s="210"/>
      <c r="M1664" s="210"/>
      <c r="N1664" s="210"/>
      <c r="O1664" s="210"/>
      <c r="P1664" s="210"/>
      <c r="Q1664" s="210"/>
      <c r="R1664" s="210"/>
      <c r="S1664" s="210"/>
      <c r="T1664" s="210"/>
      <c r="U1664" s="210"/>
      <c r="V1664" s="210"/>
      <c r="W1664" s="210"/>
      <c r="X1664" s="210"/>
      <c r="Y1664" s="210"/>
      <c r="Z1664" s="210"/>
    </row>
    <row r="1665" ht="21.75" customHeight="1">
      <c r="A1665" s="214"/>
      <c r="B1665" s="221"/>
      <c r="C1665" s="222">
        <v>101.0</v>
      </c>
      <c r="D1665" s="223" t="s">
        <v>491</v>
      </c>
      <c r="E1665" s="223" t="s">
        <v>487</v>
      </c>
      <c r="F1665" s="223" t="s">
        <v>492</v>
      </c>
      <c r="G1665" s="223" t="s">
        <v>678</v>
      </c>
      <c r="H1665" s="225" t="s">
        <v>1722</v>
      </c>
      <c r="I1665" s="208"/>
      <c r="J1665" s="210"/>
      <c r="K1665" s="210"/>
      <c r="L1665" s="210"/>
      <c r="M1665" s="210"/>
      <c r="N1665" s="210"/>
      <c r="O1665" s="210"/>
      <c r="P1665" s="210"/>
      <c r="Q1665" s="210"/>
      <c r="R1665" s="210"/>
      <c r="S1665" s="210"/>
      <c r="T1665" s="210"/>
      <c r="U1665" s="210"/>
      <c r="V1665" s="210"/>
      <c r="W1665" s="210"/>
      <c r="X1665" s="210"/>
      <c r="Y1665" s="210"/>
      <c r="Z1665" s="210"/>
    </row>
    <row r="1666" ht="21.75" customHeight="1">
      <c r="A1666" s="214"/>
      <c r="B1666" s="221"/>
      <c r="C1666" s="222">
        <v>102.0</v>
      </c>
      <c r="D1666" s="223" t="s">
        <v>973</v>
      </c>
      <c r="E1666" s="223" t="s">
        <v>487</v>
      </c>
      <c r="F1666" s="223" t="s">
        <v>496</v>
      </c>
      <c r="G1666" s="223" t="s">
        <v>501</v>
      </c>
      <c r="H1666" s="225" t="s">
        <v>1723</v>
      </c>
      <c r="I1666" s="208"/>
      <c r="J1666" s="210"/>
      <c r="K1666" s="210"/>
      <c r="L1666" s="210"/>
      <c r="M1666" s="210"/>
      <c r="N1666" s="210"/>
      <c r="O1666" s="210"/>
      <c r="P1666" s="210"/>
      <c r="Q1666" s="210"/>
      <c r="R1666" s="210"/>
      <c r="S1666" s="210"/>
      <c r="T1666" s="210"/>
      <c r="U1666" s="210"/>
      <c r="V1666" s="210"/>
      <c r="W1666" s="210"/>
      <c r="X1666" s="210"/>
      <c r="Y1666" s="210"/>
      <c r="Z1666" s="210"/>
    </row>
    <row r="1667" ht="21.75" customHeight="1">
      <c r="A1667" s="214"/>
      <c r="B1667" s="221"/>
      <c r="C1667" s="222">
        <v>103.0</v>
      </c>
      <c r="D1667" s="223" t="s">
        <v>1470</v>
      </c>
      <c r="E1667" s="223" t="s">
        <v>487</v>
      </c>
      <c r="F1667" s="223" t="s">
        <v>500</v>
      </c>
      <c r="G1667" s="223" t="s">
        <v>497</v>
      </c>
      <c r="H1667" s="224" t="s">
        <v>490</v>
      </c>
      <c r="I1667" s="208"/>
      <c r="J1667" s="210"/>
      <c r="K1667" s="210"/>
      <c r="L1667" s="210"/>
      <c r="M1667" s="210"/>
      <c r="N1667" s="210"/>
      <c r="O1667" s="210"/>
      <c r="P1667" s="210"/>
      <c r="Q1667" s="210"/>
      <c r="R1667" s="210"/>
      <c r="S1667" s="210"/>
      <c r="T1667" s="210"/>
      <c r="U1667" s="210"/>
      <c r="V1667" s="210"/>
      <c r="W1667" s="210"/>
      <c r="X1667" s="210"/>
      <c r="Y1667" s="210"/>
      <c r="Z1667" s="210"/>
    </row>
    <row r="1668" ht="21.75" customHeight="1">
      <c r="A1668" s="214"/>
      <c r="B1668" s="221"/>
      <c r="C1668" s="222">
        <v>104.0</v>
      </c>
      <c r="D1668" s="223" t="s">
        <v>516</v>
      </c>
      <c r="E1668" s="223" t="s">
        <v>487</v>
      </c>
      <c r="F1668" s="223" t="s">
        <v>512</v>
      </c>
      <c r="G1668" s="223" t="s">
        <v>493</v>
      </c>
      <c r="H1668" s="224" t="s">
        <v>490</v>
      </c>
      <c r="I1668" s="208"/>
      <c r="J1668" s="210"/>
      <c r="K1668" s="210"/>
      <c r="L1668" s="210"/>
      <c r="M1668" s="210"/>
      <c r="N1668" s="210"/>
      <c r="O1668" s="210"/>
      <c r="P1668" s="210"/>
      <c r="Q1668" s="210"/>
      <c r="R1668" s="210"/>
      <c r="S1668" s="210"/>
      <c r="T1668" s="210"/>
      <c r="U1668" s="210"/>
      <c r="V1668" s="210"/>
      <c r="W1668" s="210"/>
      <c r="X1668" s="210"/>
      <c r="Y1668" s="210"/>
      <c r="Z1668" s="210"/>
    </row>
    <row r="1669" ht="21.75" customHeight="1">
      <c r="A1669" s="214"/>
      <c r="B1669" s="221"/>
      <c r="C1669" s="222">
        <v>105.0</v>
      </c>
      <c r="D1669" s="223" t="s">
        <v>519</v>
      </c>
      <c r="E1669" s="223" t="s">
        <v>508</v>
      </c>
      <c r="F1669" s="223" t="s">
        <v>509</v>
      </c>
      <c r="G1669" s="223" t="s">
        <v>510</v>
      </c>
      <c r="H1669" s="225" t="s">
        <v>1724</v>
      </c>
      <c r="I1669" s="208"/>
      <c r="J1669" s="210"/>
      <c r="K1669" s="210"/>
      <c r="L1669" s="210"/>
      <c r="M1669" s="210"/>
      <c r="N1669" s="210"/>
      <c r="O1669" s="210"/>
      <c r="P1669" s="210"/>
      <c r="Q1669" s="210"/>
      <c r="R1669" s="210"/>
      <c r="S1669" s="210"/>
      <c r="T1669" s="210"/>
      <c r="U1669" s="210"/>
      <c r="V1669" s="210"/>
      <c r="W1669" s="210"/>
      <c r="X1669" s="210"/>
      <c r="Y1669" s="210"/>
      <c r="Z1669" s="210"/>
    </row>
    <row r="1670" ht="21.75" customHeight="1">
      <c r="A1670" s="214"/>
      <c r="B1670" s="221"/>
      <c r="C1670" s="222">
        <v>106.0</v>
      </c>
      <c r="D1670" s="223" t="s">
        <v>1425</v>
      </c>
      <c r="E1670" s="223" t="s">
        <v>539</v>
      </c>
      <c r="F1670" s="223" t="s">
        <v>542</v>
      </c>
      <c r="G1670" s="223" t="s">
        <v>561</v>
      </c>
      <c r="H1670" s="224" t="s">
        <v>490</v>
      </c>
      <c r="I1670" s="208"/>
      <c r="J1670" s="210"/>
      <c r="K1670" s="210"/>
      <c r="L1670" s="210"/>
      <c r="M1670" s="210"/>
      <c r="N1670" s="210"/>
      <c r="O1670" s="210"/>
      <c r="P1670" s="210"/>
      <c r="Q1670" s="210"/>
      <c r="R1670" s="210"/>
      <c r="S1670" s="210"/>
      <c r="T1670" s="210"/>
      <c r="U1670" s="210"/>
      <c r="V1670" s="210"/>
      <c r="W1670" s="210"/>
      <c r="X1670" s="210"/>
      <c r="Y1670" s="210"/>
      <c r="Z1670" s="210"/>
    </row>
    <row r="1671" ht="21.75" customHeight="1">
      <c r="A1671" s="214"/>
      <c r="B1671" s="221"/>
      <c r="C1671" s="222">
        <v>107.0</v>
      </c>
      <c r="D1671" s="223" t="s">
        <v>1725</v>
      </c>
      <c r="E1671" s="223" t="s">
        <v>539</v>
      </c>
      <c r="F1671" s="223" t="s">
        <v>621</v>
      </c>
      <c r="G1671" s="218" t="s">
        <v>490</v>
      </c>
      <c r="H1671" s="224" t="s">
        <v>490</v>
      </c>
      <c r="I1671" s="208"/>
      <c r="J1671" s="210"/>
      <c r="K1671" s="210"/>
      <c r="L1671" s="210"/>
      <c r="M1671" s="210"/>
      <c r="N1671" s="210"/>
      <c r="O1671" s="210"/>
      <c r="P1671" s="210"/>
      <c r="Q1671" s="210"/>
      <c r="R1671" s="210"/>
      <c r="S1671" s="210"/>
      <c r="T1671" s="210"/>
      <c r="U1671" s="210"/>
      <c r="V1671" s="210"/>
      <c r="W1671" s="210"/>
      <c r="X1671" s="210"/>
      <c r="Y1671" s="210"/>
      <c r="Z1671" s="210"/>
    </row>
    <row r="1672" ht="21.75" customHeight="1">
      <c r="A1672" s="214"/>
      <c r="B1672" s="221"/>
      <c r="C1672" s="222">
        <v>108.0</v>
      </c>
      <c r="D1672" s="223" t="s">
        <v>1726</v>
      </c>
      <c r="E1672" s="223" t="s">
        <v>487</v>
      </c>
      <c r="F1672" s="223" t="s">
        <v>590</v>
      </c>
      <c r="G1672" s="223" t="s">
        <v>526</v>
      </c>
      <c r="H1672" s="225" t="s">
        <v>1727</v>
      </c>
      <c r="I1672" s="208"/>
      <c r="J1672" s="210"/>
      <c r="K1672" s="210"/>
      <c r="L1672" s="210"/>
      <c r="M1672" s="210"/>
      <c r="N1672" s="210"/>
      <c r="O1672" s="210"/>
      <c r="P1672" s="210"/>
      <c r="Q1672" s="210"/>
      <c r="R1672" s="210"/>
      <c r="S1672" s="210"/>
      <c r="T1672" s="210"/>
      <c r="U1672" s="210"/>
      <c r="V1672" s="210"/>
      <c r="W1672" s="210"/>
      <c r="X1672" s="210"/>
      <c r="Y1672" s="210"/>
      <c r="Z1672" s="210"/>
    </row>
    <row r="1673" ht="21.75" customHeight="1">
      <c r="A1673" s="214"/>
      <c r="B1673" s="221"/>
      <c r="C1673" s="222">
        <v>109.0</v>
      </c>
      <c r="D1673" s="223" t="s">
        <v>1728</v>
      </c>
      <c r="E1673" s="223" t="s">
        <v>487</v>
      </c>
      <c r="F1673" s="223" t="s">
        <v>603</v>
      </c>
      <c r="G1673" s="223" t="s">
        <v>513</v>
      </c>
      <c r="H1673" s="224" t="s">
        <v>490</v>
      </c>
      <c r="I1673" s="208"/>
      <c r="J1673" s="210"/>
      <c r="K1673" s="210"/>
      <c r="L1673" s="210"/>
      <c r="M1673" s="210"/>
      <c r="N1673" s="210"/>
      <c r="O1673" s="210"/>
      <c r="P1673" s="210"/>
      <c r="Q1673" s="210"/>
      <c r="R1673" s="210"/>
      <c r="S1673" s="210"/>
      <c r="T1673" s="210"/>
      <c r="U1673" s="210"/>
      <c r="V1673" s="210"/>
      <c r="W1673" s="210"/>
      <c r="X1673" s="210"/>
      <c r="Y1673" s="210"/>
      <c r="Z1673" s="210"/>
    </row>
    <row r="1674" ht="21.75" customHeight="1">
      <c r="A1674" s="214"/>
      <c r="B1674" s="221"/>
      <c r="C1674" s="222">
        <v>110.0</v>
      </c>
      <c r="D1674" s="223" t="s">
        <v>1729</v>
      </c>
      <c r="E1674" s="223" t="s">
        <v>487</v>
      </c>
      <c r="F1674" s="223" t="s">
        <v>579</v>
      </c>
      <c r="G1674" s="223" t="s">
        <v>594</v>
      </c>
      <c r="H1674" s="224" t="s">
        <v>490</v>
      </c>
      <c r="I1674" s="208"/>
      <c r="J1674" s="210"/>
      <c r="K1674" s="210"/>
      <c r="L1674" s="210"/>
      <c r="M1674" s="210"/>
      <c r="N1674" s="210"/>
      <c r="O1674" s="210"/>
      <c r="P1674" s="210"/>
      <c r="Q1674" s="210"/>
      <c r="R1674" s="210"/>
      <c r="S1674" s="210"/>
      <c r="T1674" s="210"/>
      <c r="U1674" s="210"/>
      <c r="V1674" s="210"/>
      <c r="W1674" s="210"/>
      <c r="X1674" s="210"/>
      <c r="Y1674" s="210"/>
      <c r="Z1674" s="210"/>
    </row>
    <row r="1675" ht="21.75" customHeight="1">
      <c r="A1675" s="214"/>
      <c r="B1675" s="221"/>
      <c r="C1675" s="222">
        <v>111.0</v>
      </c>
      <c r="D1675" s="223" t="s">
        <v>1730</v>
      </c>
      <c r="E1675" s="223" t="s">
        <v>487</v>
      </c>
      <c r="F1675" s="223" t="s">
        <v>583</v>
      </c>
      <c r="G1675" s="223" t="s">
        <v>606</v>
      </c>
      <c r="H1675" s="224" t="s">
        <v>490</v>
      </c>
      <c r="I1675" s="208"/>
      <c r="J1675" s="210"/>
      <c r="K1675" s="210"/>
      <c r="L1675" s="210"/>
      <c r="M1675" s="210"/>
      <c r="N1675" s="210"/>
      <c r="O1675" s="210"/>
      <c r="P1675" s="210"/>
      <c r="Q1675" s="210"/>
      <c r="R1675" s="210"/>
      <c r="S1675" s="210"/>
      <c r="T1675" s="210"/>
      <c r="U1675" s="210"/>
      <c r="V1675" s="210"/>
      <c r="W1675" s="210"/>
      <c r="X1675" s="210"/>
      <c r="Y1675" s="210"/>
      <c r="Z1675" s="210"/>
    </row>
    <row r="1676" ht="21.75" customHeight="1">
      <c r="A1676" s="214"/>
      <c r="B1676" s="221"/>
      <c r="C1676" s="222">
        <v>112.0</v>
      </c>
      <c r="D1676" s="223" t="s">
        <v>1731</v>
      </c>
      <c r="E1676" s="223" t="s">
        <v>487</v>
      </c>
      <c r="F1676" s="223" t="s">
        <v>601</v>
      </c>
      <c r="G1676" s="218" t="s">
        <v>490</v>
      </c>
      <c r="H1676" s="224" t="s">
        <v>490</v>
      </c>
      <c r="I1676" s="208"/>
      <c r="J1676" s="210"/>
      <c r="K1676" s="210"/>
      <c r="L1676" s="210"/>
      <c r="M1676" s="210"/>
      <c r="N1676" s="210"/>
      <c r="O1676" s="210"/>
      <c r="P1676" s="210"/>
      <c r="Q1676" s="210"/>
      <c r="R1676" s="210"/>
      <c r="S1676" s="210"/>
      <c r="T1676" s="210"/>
      <c r="U1676" s="210"/>
      <c r="V1676" s="210"/>
      <c r="W1676" s="210"/>
      <c r="X1676" s="210"/>
      <c r="Y1676" s="210"/>
      <c r="Z1676" s="210"/>
    </row>
    <row r="1677" ht="21.75" customHeight="1">
      <c r="A1677" s="228"/>
      <c r="B1677" s="221"/>
      <c r="C1677" s="222">
        <v>200.0</v>
      </c>
      <c r="D1677" s="223" t="s">
        <v>696</v>
      </c>
      <c r="E1677" s="223" t="s">
        <v>673</v>
      </c>
      <c r="F1677" s="223" t="s">
        <v>696</v>
      </c>
      <c r="G1677" s="218" t="s">
        <v>490</v>
      </c>
      <c r="H1677" s="224" t="s">
        <v>490</v>
      </c>
      <c r="I1677" s="208"/>
      <c r="J1677" s="210"/>
      <c r="K1677" s="210"/>
      <c r="L1677" s="210"/>
      <c r="M1677" s="210"/>
      <c r="N1677" s="210"/>
      <c r="O1677" s="210"/>
      <c r="P1677" s="210"/>
      <c r="Q1677" s="210"/>
      <c r="R1677" s="210"/>
      <c r="S1677" s="210"/>
      <c r="T1677" s="210"/>
      <c r="U1677" s="210"/>
      <c r="V1677" s="210"/>
      <c r="W1677" s="210"/>
      <c r="X1677" s="210"/>
      <c r="Y1677" s="210"/>
      <c r="Z1677" s="210"/>
    </row>
    <row r="1678" ht="21.75" customHeight="1">
      <c r="A1678" s="214">
        <v>286.0</v>
      </c>
      <c r="B1678" s="215" t="s">
        <v>1732</v>
      </c>
      <c r="C1678" s="216"/>
      <c r="D1678" s="217"/>
      <c r="E1678" s="217"/>
      <c r="F1678" s="217"/>
      <c r="G1678" s="217"/>
      <c r="H1678" s="217"/>
      <c r="I1678" s="208"/>
      <c r="J1678" s="210"/>
      <c r="K1678" s="210"/>
      <c r="L1678" s="210"/>
      <c r="M1678" s="210"/>
      <c r="N1678" s="210"/>
      <c r="O1678" s="210"/>
      <c r="P1678" s="210"/>
      <c r="Q1678" s="210"/>
      <c r="R1678" s="210"/>
      <c r="S1678" s="210"/>
      <c r="T1678" s="210"/>
      <c r="U1678" s="210"/>
      <c r="V1678" s="210"/>
      <c r="W1678" s="210"/>
      <c r="X1678" s="210"/>
      <c r="Y1678" s="210"/>
      <c r="Z1678" s="210"/>
    </row>
    <row r="1679" ht="21.75" customHeight="1">
      <c r="A1679" s="214"/>
      <c r="B1679" s="218" t="s">
        <v>1733</v>
      </c>
      <c r="C1679" s="219">
        <v>50886.0</v>
      </c>
      <c r="D1679" s="220"/>
      <c r="E1679" s="220"/>
      <c r="F1679" s="220"/>
      <c r="G1679" s="220"/>
      <c r="H1679" s="220"/>
      <c r="I1679" s="208"/>
      <c r="J1679" s="210"/>
      <c r="K1679" s="210"/>
      <c r="L1679" s="210"/>
      <c r="M1679" s="210"/>
      <c r="N1679" s="210"/>
      <c r="O1679" s="210"/>
      <c r="P1679" s="210"/>
      <c r="Q1679" s="210"/>
      <c r="R1679" s="210"/>
      <c r="S1679" s="210"/>
      <c r="T1679" s="210"/>
      <c r="U1679" s="210"/>
      <c r="V1679" s="210"/>
      <c r="W1679" s="210"/>
      <c r="X1679" s="210"/>
      <c r="Y1679" s="210"/>
      <c r="Z1679" s="210"/>
    </row>
    <row r="1680" ht="21.75" customHeight="1">
      <c r="A1680" s="214"/>
      <c r="B1680" s="221"/>
      <c r="C1680" s="222">
        <v>100.0</v>
      </c>
      <c r="D1680" s="223" t="s">
        <v>486</v>
      </c>
      <c r="E1680" s="223" t="s">
        <v>487</v>
      </c>
      <c r="F1680" s="223" t="s">
        <v>488</v>
      </c>
      <c r="G1680" s="223" t="s">
        <v>489</v>
      </c>
      <c r="H1680" s="224" t="s">
        <v>490</v>
      </c>
      <c r="I1680" s="208"/>
      <c r="J1680" s="210"/>
      <c r="K1680" s="210"/>
      <c r="L1680" s="210"/>
      <c r="M1680" s="210"/>
      <c r="N1680" s="210"/>
      <c r="O1680" s="210"/>
      <c r="P1680" s="210"/>
      <c r="Q1680" s="210"/>
      <c r="R1680" s="210"/>
      <c r="S1680" s="210"/>
      <c r="T1680" s="210"/>
      <c r="U1680" s="210"/>
      <c r="V1680" s="210"/>
      <c r="W1680" s="210"/>
      <c r="X1680" s="210"/>
      <c r="Y1680" s="210"/>
      <c r="Z1680" s="210"/>
    </row>
    <row r="1681" ht="21.75" customHeight="1">
      <c r="A1681" s="214"/>
      <c r="B1681" s="221"/>
      <c r="C1681" s="222">
        <v>101.0</v>
      </c>
      <c r="D1681" s="223" t="s">
        <v>491</v>
      </c>
      <c r="E1681" s="223" t="s">
        <v>487</v>
      </c>
      <c r="F1681" s="223" t="s">
        <v>492</v>
      </c>
      <c r="G1681" s="223" t="s">
        <v>678</v>
      </c>
      <c r="H1681" s="225" t="s">
        <v>1734</v>
      </c>
      <c r="I1681" s="208"/>
      <c r="J1681" s="210"/>
      <c r="K1681" s="210"/>
      <c r="L1681" s="210"/>
      <c r="M1681" s="210"/>
      <c r="N1681" s="210"/>
      <c r="O1681" s="210"/>
      <c r="P1681" s="210"/>
      <c r="Q1681" s="210"/>
      <c r="R1681" s="210"/>
      <c r="S1681" s="210"/>
      <c r="T1681" s="210"/>
      <c r="U1681" s="210"/>
      <c r="V1681" s="210"/>
      <c r="W1681" s="210"/>
      <c r="X1681" s="210"/>
      <c r="Y1681" s="210"/>
      <c r="Z1681" s="210"/>
    </row>
    <row r="1682" ht="21.75" customHeight="1">
      <c r="A1682" s="214"/>
      <c r="B1682" s="221"/>
      <c r="C1682" s="222">
        <v>102.0</v>
      </c>
      <c r="D1682" s="223" t="s">
        <v>1407</v>
      </c>
      <c r="E1682" s="223" t="s">
        <v>487</v>
      </c>
      <c r="F1682" s="223" t="s">
        <v>496</v>
      </c>
      <c r="G1682" s="223" t="s">
        <v>497</v>
      </c>
      <c r="H1682" s="224" t="s">
        <v>490</v>
      </c>
      <c r="I1682" s="208"/>
      <c r="J1682" s="210"/>
      <c r="K1682" s="210"/>
      <c r="L1682" s="210"/>
      <c r="M1682" s="210"/>
      <c r="N1682" s="210"/>
      <c r="O1682" s="210"/>
      <c r="P1682" s="210"/>
      <c r="Q1682" s="210"/>
      <c r="R1682" s="210"/>
      <c r="S1682" s="210"/>
      <c r="T1682" s="210"/>
      <c r="U1682" s="210"/>
      <c r="V1682" s="210"/>
      <c r="W1682" s="210"/>
      <c r="X1682" s="210"/>
      <c r="Y1682" s="210"/>
      <c r="Z1682" s="210"/>
    </row>
    <row r="1683" ht="21.75" customHeight="1">
      <c r="A1683" s="214"/>
      <c r="B1683" s="221"/>
      <c r="C1683" s="222">
        <v>103.0</v>
      </c>
      <c r="D1683" s="223" t="s">
        <v>750</v>
      </c>
      <c r="E1683" s="223" t="s">
        <v>487</v>
      </c>
      <c r="F1683" s="223" t="s">
        <v>500</v>
      </c>
      <c r="G1683" s="223" t="s">
        <v>501</v>
      </c>
      <c r="H1683" s="224" t="s">
        <v>490</v>
      </c>
      <c r="I1683" s="208"/>
      <c r="J1683" s="210"/>
      <c r="K1683" s="210"/>
      <c r="L1683" s="210"/>
      <c r="M1683" s="210"/>
      <c r="N1683" s="210"/>
      <c r="O1683" s="210"/>
      <c r="P1683" s="210"/>
      <c r="Q1683" s="210"/>
      <c r="R1683" s="210"/>
      <c r="S1683" s="210"/>
      <c r="T1683" s="210"/>
      <c r="U1683" s="210"/>
      <c r="V1683" s="210"/>
      <c r="W1683" s="210"/>
      <c r="X1683" s="210"/>
      <c r="Y1683" s="210"/>
      <c r="Z1683" s="210"/>
    </row>
    <row r="1684" ht="21.75" customHeight="1">
      <c r="A1684" s="214"/>
      <c r="B1684" s="221"/>
      <c r="C1684" s="222">
        <v>104.0</v>
      </c>
      <c r="D1684" s="223" t="s">
        <v>516</v>
      </c>
      <c r="E1684" s="223" t="s">
        <v>487</v>
      </c>
      <c r="F1684" s="223" t="s">
        <v>512</v>
      </c>
      <c r="G1684" s="223" t="s">
        <v>493</v>
      </c>
      <c r="H1684" s="225" t="s">
        <v>1735</v>
      </c>
      <c r="I1684" s="208"/>
      <c r="J1684" s="210"/>
      <c r="K1684" s="210"/>
      <c r="L1684" s="210"/>
      <c r="M1684" s="210"/>
      <c r="N1684" s="210"/>
      <c r="O1684" s="210"/>
      <c r="P1684" s="210"/>
      <c r="Q1684" s="210"/>
      <c r="R1684" s="210"/>
      <c r="S1684" s="210"/>
      <c r="T1684" s="210"/>
      <c r="U1684" s="210"/>
      <c r="V1684" s="210"/>
      <c r="W1684" s="210"/>
      <c r="X1684" s="210"/>
      <c r="Y1684" s="210"/>
      <c r="Z1684" s="210"/>
    </row>
    <row r="1685" ht="21.75" customHeight="1">
      <c r="A1685" s="228"/>
      <c r="B1685" s="221"/>
      <c r="C1685" s="222">
        <v>105.0</v>
      </c>
      <c r="D1685" s="223" t="s">
        <v>519</v>
      </c>
      <c r="E1685" s="223" t="s">
        <v>508</v>
      </c>
      <c r="F1685" s="223" t="s">
        <v>509</v>
      </c>
      <c r="G1685" s="223" t="s">
        <v>510</v>
      </c>
      <c r="H1685" s="225" t="s">
        <v>1736</v>
      </c>
      <c r="I1685" s="208"/>
      <c r="J1685" s="210"/>
      <c r="K1685" s="210"/>
      <c r="L1685" s="210"/>
      <c r="M1685" s="210"/>
      <c r="N1685" s="210"/>
      <c r="O1685" s="210"/>
      <c r="P1685" s="210"/>
      <c r="Q1685" s="210"/>
      <c r="R1685" s="210"/>
      <c r="S1685" s="210"/>
      <c r="T1685" s="210"/>
      <c r="U1685" s="210"/>
      <c r="V1685" s="210"/>
      <c r="W1685" s="210"/>
      <c r="X1685" s="210"/>
      <c r="Y1685" s="210"/>
      <c r="Z1685" s="210"/>
    </row>
    <row r="1686" ht="21.75" customHeight="1">
      <c r="A1686" s="214">
        <v>287.0</v>
      </c>
      <c r="B1686" s="215" t="s">
        <v>1737</v>
      </c>
      <c r="C1686" s="216"/>
      <c r="D1686" s="217"/>
      <c r="E1686" s="217"/>
      <c r="F1686" s="217"/>
      <c r="G1686" s="217"/>
      <c r="H1686" s="217"/>
      <c r="I1686" s="208"/>
      <c r="J1686" s="210"/>
      <c r="K1686" s="210"/>
      <c r="L1686" s="210"/>
      <c r="M1686" s="210"/>
      <c r="N1686" s="210"/>
      <c r="O1686" s="210"/>
      <c r="P1686" s="210"/>
      <c r="Q1686" s="210"/>
      <c r="R1686" s="210"/>
      <c r="S1686" s="210"/>
      <c r="T1686" s="210"/>
      <c r="U1686" s="210"/>
      <c r="V1686" s="210"/>
      <c r="W1686" s="210"/>
      <c r="X1686" s="210"/>
      <c r="Y1686" s="210"/>
      <c r="Z1686" s="210"/>
    </row>
    <row r="1687" ht="21.75" customHeight="1">
      <c r="A1687" s="214"/>
      <c r="B1687" s="218" t="s">
        <v>1738</v>
      </c>
      <c r="C1687" s="219">
        <v>50888.0</v>
      </c>
      <c r="D1687" s="220"/>
      <c r="E1687" s="220"/>
      <c r="F1687" s="220"/>
      <c r="G1687" s="220"/>
      <c r="H1687" s="220"/>
      <c r="I1687" s="208"/>
      <c r="J1687" s="210"/>
      <c r="K1687" s="210"/>
      <c r="L1687" s="210"/>
      <c r="M1687" s="210"/>
      <c r="N1687" s="210"/>
      <c r="O1687" s="210"/>
      <c r="P1687" s="210"/>
      <c r="Q1687" s="210"/>
      <c r="R1687" s="210"/>
      <c r="S1687" s="210"/>
      <c r="T1687" s="210"/>
      <c r="U1687" s="210"/>
      <c r="V1687" s="210"/>
      <c r="W1687" s="210"/>
      <c r="X1687" s="210"/>
      <c r="Y1687" s="210"/>
      <c r="Z1687" s="210"/>
    </row>
    <row r="1688" ht="21.75" customHeight="1">
      <c r="A1688" s="214"/>
      <c r="B1688" s="221"/>
      <c r="C1688" s="222">
        <v>100.0</v>
      </c>
      <c r="D1688" s="223" t="s">
        <v>486</v>
      </c>
      <c r="E1688" s="223" t="s">
        <v>487</v>
      </c>
      <c r="F1688" s="223" t="s">
        <v>488</v>
      </c>
      <c r="G1688" s="223" t="s">
        <v>489</v>
      </c>
      <c r="H1688" s="224" t="s">
        <v>490</v>
      </c>
      <c r="I1688" s="208"/>
      <c r="J1688" s="210"/>
      <c r="K1688" s="210"/>
      <c r="L1688" s="210"/>
      <c r="M1688" s="210"/>
      <c r="N1688" s="210"/>
      <c r="O1688" s="210"/>
      <c r="P1688" s="210"/>
      <c r="Q1688" s="210"/>
      <c r="R1688" s="210"/>
      <c r="S1688" s="210"/>
      <c r="T1688" s="210"/>
      <c r="U1688" s="210"/>
      <c r="V1688" s="210"/>
      <c r="W1688" s="210"/>
      <c r="X1688" s="210"/>
      <c r="Y1688" s="210"/>
      <c r="Z1688" s="210"/>
    </row>
    <row r="1689" ht="21.75" customHeight="1">
      <c r="A1689" s="214"/>
      <c r="B1689" s="221"/>
      <c r="C1689" s="222">
        <v>101.0</v>
      </c>
      <c r="D1689" s="223" t="s">
        <v>491</v>
      </c>
      <c r="E1689" s="223" t="s">
        <v>487</v>
      </c>
      <c r="F1689" s="223" t="s">
        <v>492</v>
      </c>
      <c r="G1689" s="223" t="s">
        <v>678</v>
      </c>
      <c r="H1689" s="225" t="s">
        <v>1739</v>
      </c>
      <c r="I1689" s="208"/>
      <c r="J1689" s="210"/>
      <c r="K1689" s="210"/>
      <c r="L1689" s="210"/>
      <c r="M1689" s="210"/>
      <c r="N1689" s="210"/>
      <c r="O1689" s="210"/>
      <c r="P1689" s="210"/>
      <c r="Q1689" s="210"/>
      <c r="R1689" s="210"/>
      <c r="S1689" s="210"/>
      <c r="T1689" s="210"/>
      <c r="U1689" s="210"/>
      <c r="V1689" s="210"/>
      <c r="W1689" s="210"/>
      <c r="X1689" s="210"/>
      <c r="Y1689" s="210"/>
      <c r="Z1689" s="210"/>
    </row>
    <row r="1690" ht="21.75" customHeight="1">
      <c r="A1690" s="214"/>
      <c r="B1690" s="221"/>
      <c r="C1690" s="222">
        <v>102.0</v>
      </c>
      <c r="D1690" s="223" t="s">
        <v>912</v>
      </c>
      <c r="E1690" s="223" t="s">
        <v>487</v>
      </c>
      <c r="F1690" s="223" t="s">
        <v>496</v>
      </c>
      <c r="G1690" s="223" t="s">
        <v>493</v>
      </c>
      <c r="H1690" s="225" t="s">
        <v>1740</v>
      </c>
      <c r="I1690" s="208"/>
      <c r="J1690" s="210"/>
      <c r="K1690" s="210"/>
      <c r="L1690" s="210"/>
      <c r="M1690" s="210"/>
      <c r="N1690" s="210"/>
      <c r="O1690" s="210"/>
      <c r="P1690" s="210"/>
      <c r="Q1690" s="210"/>
      <c r="R1690" s="210"/>
      <c r="S1690" s="210"/>
      <c r="T1690" s="210"/>
      <c r="U1690" s="210"/>
      <c r="V1690" s="210"/>
      <c r="W1690" s="210"/>
      <c r="X1690" s="210"/>
      <c r="Y1690" s="210"/>
      <c r="Z1690" s="210"/>
    </row>
    <row r="1691" ht="21.75" customHeight="1">
      <c r="A1691" s="214"/>
      <c r="B1691" s="221"/>
      <c r="C1691" s="222">
        <v>103.0</v>
      </c>
      <c r="D1691" s="223" t="s">
        <v>369</v>
      </c>
      <c r="E1691" s="223" t="s">
        <v>487</v>
      </c>
      <c r="F1691" s="223" t="s">
        <v>500</v>
      </c>
      <c r="G1691" s="223" t="s">
        <v>501</v>
      </c>
      <c r="H1691" s="224" t="s">
        <v>490</v>
      </c>
      <c r="I1691" s="208"/>
      <c r="J1691" s="210"/>
      <c r="K1691" s="210"/>
      <c r="L1691" s="210"/>
      <c r="M1691" s="210"/>
      <c r="N1691" s="210"/>
      <c r="O1691" s="210"/>
      <c r="P1691" s="210"/>
      <c r="Q1691" s="210"/>
      <c r="R1691" s="210"/>
      <c r="S1691" s="210"/>
      <c r="T1691" s="210"/>
      <c r="U1691" s="210"/>
      <c r="V1691" s="210"/>
      <c r="W1691" s="210"/>
      <c r="X1691" s="210"/>
      <c r="Y1691" s="210"/>
      <c r="Z1691" s="210"/>
    </row>
    <row r="1692" ht="21.75" customHeight="1">
      <c r="A1692" s="214"/>
      <c r="B1692" s="221"/>
      <c r="C1692" s="222">
        <v>104.0</v>
      </c>
      <c r="D1692" s="223" t="s">
        <v>884</v>
      </c>
      <c r="E1692" s="223" t="s">
        <v>487</v>
      </c>
      <c r="F1692" s="223" t="s">
        <v>512</v>
      </c>
      <c r="G1692" s="223" t="s">
        <v>497</v>
      </c>
      <c r="H1692" s="224" t="s">
        <v>490</v>
      </c>
      <c r="I1692" s="208"/>
      <c r="J1692" s="210"/>
      <c r="K1692" s="210"/>
      <c r="L1692" s="210"/>
      <c r="M1692" s="210"/>
      <c r="N1692" s="210"/>
      <c r="O1692" s="210"/>
      <c r="P1692" s="210"/>
      <c r="Q1692" s="210"/>
      <c r="R1692" s="210"/>
      <c r="S1692" s="210"/>
      <c r="T1692" s="210"/>
      <c r="U1692" s="210"/>
      <c r="V1692" s="210"/>
      <c r="W1692" s="210"/>
      <c r="X1692" s="210"/>
      <c r="Y1692" s="210"/>
      <c r="Z1692" s="210"/>
    </row>
    <row r="1693" ht="21.75" customHeight="1">
      <c r="A1693" s="228"/>
      <c r="B1693" s="221"/>
      <c r="C1693" s="222">
        <v>105.0</v>
      </c>
      <c r="D1693" s="223" t="s">
        <v>519</v>
      </c>
      <c r="E1693" s="223" t="s">
        <v>508</v>
      </c>
      <c r="F1693" s="223" t="s">
        <v>509</v>
      </c>
      <c r="G1693" s="223" t="s">
        <v>510</v>
      </c>
      <c r="H1693" s="225" t="s">
        <v>1741</v>
      </c>
      <c r="I1693" s="208"/>
      <c r="J1693" s="210"/>
      <c r="K1693" s="210"/>
      <c r="L1693" s="210"/>
      <c r="M1693" s="210"/>
      <c r="N1693" s="210"/>
      <c r="O1693" s="210"/>
      <c r="P1693" s="210"/>
      <c r="Q1693" s="210"/>
      <c r="R1693" s="210"/>
      <c r="S1693" s="210"/>
      <c r="T1693" s="210"/>
      <c r="U1693" s="210"/>
      <c r="V1693" s="210"/>
      <c r="W1693" s="210"/>
      <c r="X1693" s="210"/>
      <c r="Y1693" s="210"/>
      <c r="Z1693" s="210"/>
    </row>
    <row r="1694" ht="21.75" customHeight="1">
      <c r="A1694" s="214">
        <v>288.0</v>
      </c>
      <c r="B1694" s="215" t="s">
        <v>1742</v>
      </c>
      <c r="C1694" s="216"/>
      <c r="D1694" s="217"/>
      <c r="E1694" s="217"/>
      <c r="F1694" s="217"/>
      <c r="G1694" s="217"/>
      <c r="H1694" s="217"/>
      <c r="I1694" s="208"/>
      <c r="J1694" s="210"/>
      <c r="K1694" s="210"/>
      <c r="L1694" s="210"/>
      <c r="M1694" s="210"/>
      <c r="N1694" s="210"/>
      <c r="O1694" s="210"/>
      <c r="P1694" s="210"/>
      <c r="Q1694" s="210"/>
      <c r="R1694" s="210"/>
      <c r="S1694" s="210"/>
      <c r="T1694" s="210"/>
      <c r="U1694" s="210"/>
      <c r="V1694" s="210"/>
      <c r="W1694" s="210"/>
      <c r="X1694" s="210"/>
      <c r="Y1694" s="210"/>
      <c r="Z1694" s="210"/>
    </row>
    <row r="1695" ht="21.75" customHeight="1">
      <c r="A1695" s="214"/>
      <c r="B1695" s="218" t="s">
        <v>1743</v>
      </c>
      <c r="C1695" s="219">
        <v>50890.0</v>
      </c>
      <c r="D1695" s="220"/>
      <c r="E1695" s="220"/>
      <c r="F1695" s="220"/>
      <c r="G1695" s="220"/>
      <c r="H1695" s="220"/>
      <c r="I1695" s="208"/>
      <c r="J1695" s="210"/>
      <c r="K1695" s="210"/>
      <c r="L1695" s="210"/>
      <c r="M1695" s="210"/>
      <c r="N1695" s="210"/>
      <c r="O1695" s="210"/>
      <c r="P1695" s="210"/>
      <c r="Q1695" s="210"/>
      <c r="R1695" s="210"/>
      <c r="S1695" s="210"/>
      <c r="T1695" s="210"/>
      <c r="U1695" s="210"/>
      <c r="V1695" s="210"/>
      <c r="W1695" s="210"/>
      <c r="X1695" s="210"/>
      <c r="Y1695" s="210"/>
      <c r="Z1695" s="210"/>
    </row>
    <row r="1696" ht="21.75" customHeight="1">
      <c r="A1696" s="214"/>
      <c r="B1696" s="221"/>
      <c r="C1696" s="222">
        <v>100.0</v>
      </c>
      <c r="D1696" s="223" t="s">
        <v>486</v>
      </c>
      <c r="E1696" s="223" t="s">
        <v>487</v>
      </c>
      <c r="F1696" s="223" t="s">
        <v>488</v>
      </c>
      <c r="G1696" s="223" t="s">
        <v>489</v>
      </c>
      <c r="H1696" s="224" t="s">
        <v>490</v>
      </c>
      <c r="I1696" s="208"/>
      <c r="J1696" s="210"/>
      <c r="K1696" s="210"/>
      <c r="L1696" s="210"/>
      <c r="M1696" s="210"/>
      <c r="N1696" s="210"/>
      <c r="O1696" s="210"/>
      <c r="P1696" s="210"/>
      <c r="Q1696" s="210"/>
      <c r="R1696" s="210"/>
      <c r="S1696" s="210"/>
      <c r="T1696" s="210"/>
      <c r="U1696" s="210"/>
      <c r="V1696" s="210"/>
      <c r="W1696" s="210"/>
      <c r="X1696" s="210"/>
      <c r="Y1696" s="210"/>
      <c r="Z1696" s="210"/>
    </row>
    <row r="1697" ht="21.75" customHeight="1">
      <c r="A1697" s="214"/>
      <c r="B1697" s="221"/>
      <c r="C1697" s="222">
        <v>101.0</v>
      </c>
      <c r="D1697" s="223" t="s">
        <v>491</v>
      </c>
      <c r="E1697" s="223" t="s">
        <v>487</v>
      </c>
      <c r="F1697" s="223" t="s">
        <v>492</v>
      </c>
      <c r="G1697" s="223" t="s">
        <v>678</v>
      </c>
      <c r="H1697" s="225" t="s">
        <v>1744</v>
      </c>
      <c r="I1697" s="208"/>
      <c r="J1697" s="210"/>
      <c r="K1697" s="210"/>
      <c r="L1697" s="210"/>
      <c r="M1697" s="210"/>
      <c r="N1697" s="210"/>
      <c r="O1697" s="210"/>
      <c r="P1697" s="210"/>
      <c r="Q1697" s="210"/>
      <c r="R1697" s="210"/>
      <c r="S1697" s="210"/>
      <c r="T1697" s="210"/>
      <c r="U1697" s="210"/>
      <c r="V1697" s="210"/>
      <c r="W1697" s="210"/>
      <c r="X1697" s="210"/>
      <c r="Y1697" s="210"/>
      <c r="Z1697" s="210"/>
    </row>
    <row r="1698" ht="21.75" customHeight="1">
      <c r="A1698" s="214"/>
      <c r="B1698" s="221"/>
      <c r="C1698" s="222">
        <v>102.0</v>
      </c>
      <c r="D1698" s="223" t="s">
        <v>749</v>
      </c>
      <c r="E1698" s="223" t="s">
        <v>487</v>
      </c>
      <c r="F1698" s="223" t="s">
        <v>496</v>
      </c>
      <c r="G1698" s="223" t="s">
        <v>497</v>
      </c>
      <c r="H1698" s="224" t="s">
        <v>490</v>
      </c>
      <c r="I1698" s="208"/>
      <c r="J1698" s="210"/>
      <c r="K1698" s="210"/>
      <c r="L1698" s="210"/>
      <c r="M1698" s="210"/>
      <c r="N1698" s="210"/>
      <c r="O1698" s="210"/>
      <c r="P1698" s="210"/>
      <c r="Q1698" s="210"/>
      <c r="R1698" s="210"/>
      <c r="S1698" s="210"/>
      <c r="T1698" s="210"/>
      <c r="U1698" s="210"/>
      <c r="V1698" s="210"/>
      <c r="W1698" s="210"/>
      <c r="X1698" s="210"/>
      <c r="Y1698" s="210"/>
      <c r="Z1698" s="210"/>
    </row>
    <row r="1699" ht="21.75" customHeight="1">
      <c r="A1699" s="214"/>
      <c r="B1699" s="221"/>
      <c r="C1699" s="222">
        <v>103.0</v>
      </c>
      <c r="D1699" s="223" t="s">
        <v>750</v>
      </c>
      <c r="E1699" s="223" t="s">
        <v>487</v>
      </c>
      <c r="F1699" s="223" t="s">
        <v>500</v>
      </c>
      <c r="G1699" s="223" t="s">
        <v>501</v>
      </c>
      <c r="H1699" s="224" t="s">
        <v>490</v>
      </c>
      <c r="I1699" s="208"/>
      <c r="J1699" s="210"/>
      <c r="K1699" s="210"/>
      <c r="L1699" s="210"/>
      <c r="M1699" s="210"/>
      <c r="N1699" s="210"/>
      <c r="O1699" s="210"/>
      <c r="P1699" s="210"/>
      <c r="Q1699" s="210"/>
      <c r="R1699" s="210"/>
      <c r="S1699" s="210"/>
      <c r="T1699" s="210"/>
      <c r="U1699" s="210"/>
      <c r="V1699" s="210"/>
      <c r="W1699" s="210"/>
      <c r="X1699" s="210"/>
      <c r="Y1699" s="210"/>
      <c r="Z1699" s="210"/>
    </row>
    <row r="1700" ht="21.75" customHeight="1">
      <c r="A1700" s="228"/>
      <c r="B1700" s="221"/>
      <c r="C1700" s="222">
        <v>104.0</v>
      </c>
      <c r="D1700" s="223" t="s">
        <v>519</v>
      </c>
      <c r="E1700" s="223" t="s">
        <v>508</v>
      </c>
      <c r="F1700" s="223" t="s">
        <v>509</v>
      </c>
      <c r="G1700" s="223" t="s">
        <v>510</v>
      </c>
      <c r="H1700" s="225" t="s">
        <v>1745</v>
      </c>
      <c r="I1700" s="208"/>
      <c r="J1700" s="210"/>
      <c r="K1700" s="210"/>
      <c r="L1700" s="210"/>
      <c r="M1700" s="210"/>
      <c r="N1700" s="210"/>
      <c r="O1700" s="210"/>
      <c r="P1700" s="210"/>
      <c r="Q1700" s="210"/>
      <c r="R1700" s="210"/>
      <c r="S1700" s="210"/>
      <c r="T1700" s="210"/>
      <c r="U1700" s="210"/>
      <c r="V1700" s="210"/>
      <c r="W1700" s="210"/>
      <c r="X1700" s="210"/>
      <c r="Y1700" s="210"/>
      <c r="Z1700" s="210"/>
    </row>
    <row r="1701" ht="21.75" customHeight="1">
      <c r="A1701" s="214">
        <v>290.0</v>
      </c>
      <c r="B1701" s="215" t="s">
        <v>1746</v>
      </c>
      <c r="C1701" s="216"/>
      <c r="D1701" s="217"/>
      <c r="E1701" s="217"/>
      <c r="F1701" s="217"/>
      <c r="G1701" s="217"/>
      <c r="H1701" s="217"/>
      <c r="I1701" s="208"/>
      <c r="J1701" s="210"/>
      <c r="K1701" s="210"/>
      <c r="L1701" s="210"/>
      <c r="M1701" s="210"/>
      <c r="N1701" s="210"/>
      <c r="O1701" s="210"/>
      <c r="P1701" s="210"/>
      <c r="Q1701" s="210"/>
      <c r="R1701" s="210"/>
      <c r="S1701" s="210"/>
      <c r="T1701" s="210"/>
      <c r="U1701" s="210"/>
      <c r="V1701" s="210"/>
      <c r="W1701" s="210"/>
      <c r="X1701" s="210"/>
      <c r="Y1701" s="210"/>
      <c r="Z1701" s="210"/>
    </row>
    <row r="1702" ht="21.75" customHeight="1">
      <c r="A1702" s="214"/>
      <c r="B1702" s="218" t="s">
        <v>1747</v>
      </c>
      <c r="C1702" s="219">
        <v>51059.0</v>
      </c>
      <c r="D1702" s="220"/>
      <c r="E1702" s="220"/>
      <c r="F1702" s="220"/>
      <c r="G1702" s="220"/>
      <c r="H1702" s="220"/>
      <c r="I1702" s="208"/>
      <c r="J1702" s="210"/>
      <c r="K1702" s="210"/>
      <c r="L1702" s="210"/>
      <c r="M1702" s="210"/>
      <c r="N1702" s="210"/>
      <c r="O1702" s="210"/>
      <c r="P1702" s="210"/>
      <c r="Q1702" s="210"/>
      <c r="R1702" s="210"/>
      <c r="S1702" s="210"/>
      <c r="T1702" s="210"/>
      <c r="U1702" s="210"/>
      <c r="V1702" s="210"/>
      <c r="W1702" s="210"/>
      <c r="X1702" s="210"/>
      <c r="Y1702" s="210"/>
      <c r="Z1702" s="210"/>
    </row>
    <row r="1703" ht="21.75" customHeight="1">
      <c r="A1703" s="214"/>
      <c r="B1703" s="221"/>
      <c r="C1703" s="222">
        <v>100.0</v>
      </c>
      <c r="D1703" s="223" t="s">
        <v>486</v>
      </c>
      <c r="E1703" s="223" t="s">
        <v>487</v>
      </c>
      <c r="F1703" s="223" t="s">
        <v>488</v>
      </c>
      <c r="G1703" s="223" t="s">
        <v>489</v>
      </c>
      <c r="H1703" s="224" t="s">
        <v>490</v>
      </c>
      <c r="I1703" s="208"/>
      <c r="J1703" s="210"/>
      <c r="K1703" s="210"/>
      <c r="L1703" s="210"/>
      <c r="M1703" s="210"/>
      <c r="N1703" s="210"/>
      <c r="O1703" s="210"/>
      <c r="P1703" s="210"/>
      <c r="Q1703" s="210"/>
      <c r="R1703" s="210"/>
      <c r="S1703" s="210"/>
      <c r="T1703" s="210"/>
      <c r="U1703" s="210"/>
      <c r="V1703" s="210"/>
      <c r="W1703" s="210"/>
      <c r="X1703" s="210"/>
      <c r="Y1703" s="210"/>
      <c r="Z1703" s="210"/>
    </row>
    <row r="1704" ht="21.75" customHeight="1">
      <c r="A1704" s="214"/>
      <c r="B1704" s="221"/>
      <c r="C1704" s="222">
        <v>101.0</v>
      </c>
      <c r="D1704" s="223" t="s">
        <v>1748</v>
      </c>
      <c r="E1704" s="223" t="s">
        <v>487</v>
      </c>
      <c r="F1704" s="223" t="s">
        <v>492</v>
      </c>
      <c r="G1704" s="223" t="s">
        <v>678</v>
      </c>
      <c r="H1704" s="225" t="s">
        <v>1749</v>
      </c>
      <c r="I1704" s="208"/>
      <c r="J1704" s="210"/>
      <c r="K1704" s="210"/>
      <c r="L1704" s="210"/>
      <c r="M1704" s="210"/>
      <c r="N1704" s="210"/>
      <c r="O1704" s="210"/>
      <c r="P1704" s="210"/>
      <c r="Q1704" s="210"/>
      <c r="R1704" s="210"/>
      <c r="S1704" s="210"/>
      <c r="T1704" s="210"/>
      <c r="U1704" s="210"/>
      <c r="V1704" s="210"/>
      <c r="W1704" s="210"/>
      <c r="X1704" s="210"/>
      <c r="Y1704" s="210"/>
      <c r="Z1704" s="210"/>
    </row>
    <row r="1705" ht="21.75" customHeight="1">
      <c r="A1705" s="214"/>
      <c r="B1705" s="221"/>
      <c r="C1705" s="222">
        <v>102.0</v>
      </c>
      <c r="D1705" s="223" t="s">
        <v>1750</v>
      </c>
      <c r="E1705" s="223" t="s">
        <v>487</v>
      </c>
      <c r="F1705" s="223" t="s">
        <v>496</v>
      </c>
      <c r="G1705" s="223" t="s">
        <v>594</v>
      </c>
      <c r="H1705" s="225" t="s">
        <v>1751</v>
      </c>
      <c r="I1705" s="208"/>
      <c r="J1705" s="210"/>
      <c r="K1705" s="210"/>
      <c r="L1705" s="210"/>
      <c r="M1705" s="210"/>
      <c r="N1705" s="210"/>
      <c r="O1705" s="210"/>
      <c r="P1705" s="210"/>
      <c r="Q1705" s="210"/>
      <c r="R1705" s="210"/>
      <c r="S1705" s="210"/>
      <c r="T1705" s="210"/>
      <c r="U1705" s="210"/>
      <c r="V1705" s="210"/>
      <c r="W1705" s="210"/>
      <c r="X1705" s="210"/>
      <c r="Y1705" s="210"/>
      <c r="Z1705" s="210"/>
    </row>
    <row r="1706" ht="21.75" customHeight="1">
      <c r="A1706" s="214"/>
      <c r="B1706" s="221"/>
      <c r="C1706" s="222">
        <v>103.0</v>
      </c>
      <c r="D1706" s="223" t="s">
        <v>973</v>
      </c>
      <c r="E1706" s="223" t="s">
        <v>487</v>
      </c>
      <c r="F1706" s="223" t="s">
        <v>500</v>
      </c>
      <c r="G1706" s="223" t="s">
        <v>606</v>
      </c>
      <c r="H1706" s="225" t="s">
        <v>1752</v>
      </c>
      <c r="I1706" s="208"/>
      <c r="J1706" s="210"/>
      <c r="K1706" s="210"/>
      <c r="L1706" s="210"/>
      <c r="M1706" s="210"/>
      <c r="N1706" s="210"/>
      <c r="O1706" s="210"/>
      <c r="P1706" s="210"/>
      <c r="Q1706" s="210"/>
      <c r="R1706" s="210"/>
      <c r="S1706" s="210"/>
      <c r="T1706" s="210"/>
      <c r="U1706" s="210"/>
      <c r="V1706" s="210"/>
      <c r="W1706" s="210"/>
      <c r="X1706" s="210"/>
      <c r="Y1706" s="210"/>
      <c r="Z1706" s="210"/>
    </row>
    <row r="1707" ht="21.75" customHeight="1">
      <c r="A1707" s="214"/>
      <c r="B1707" s="221"/>
      <c r="C1707" s="222">
        <v>104.0</v>
      </c>
      <c r="D1707" s="223" t="s">
        <v>1260</v>
      </c>
      <c r="E1707" s="223" t="s">
        <v>487</v>
      </c>
      <c r="F1707" s="223" t="s">
        <v>512</v>
      </c>
      <c r="G1707" s="223" t="s">
        <v>513</v>
      </c>
      <c r="H1707" s="225" t="s">
        <v>1753</v>
      </c>
      <c r="I1707" s="208"/>
      <c r="J1707" s="210"/>
      <c r="K1707" s="210"/>
      <c r="L1707" s="210"/>
      <c r="M1707" s="210"/>
      <c r="N1707" s="210"/>
      <c r="O1707" s="210"/>
      <c r="P1707" s="210"/>
      <c r="Q1707" s="210"/>
      <c r="R1707" s="210"/>
      <c r="S1707" s="210"/>
      <c r="T1707" s="210"/>
      <c r="U1707" s="210"/>
      <c r="V1707" s="210"/>
      <c r="W1707" s="210"/>
      <c r="X1707" s="210"/>
      <c r="Y1707" s="210"/>
      <c r="Z1707" s="210"/>
    </row>
    <row r="1708" ht="21.75" customHeight="1">
      <c r="A1708" s="214"/>
      <c r="B1708" s="221"/>
      <c r="C1708" s="222">
        <v>105.0</v>
      </c>
      <c r="D1708" s="223" t="s">
        <v>727</v>
      </c>
      <c r="E1708" s="223" t="s">
        <v>487</v>
      </c>
      <c r="F1708" s="223" t="s">
        <v>532</v>
      </c>
      <c r="G1708" s="223" t="s">
        <v>497</v>
      </c>
      <c r="H1708" s="225" t="s">
        <v>1754</v>
      </c>
      <c r="I1708" s="208"/>
      <c r="J1708" s="210"/>
      <c r="K1708" s="210"/>
      <c r="L1708" s="210"/>
      <c r="M1708" s="210"/>
      <c r="N1708" s="210"/>
      <c r="O1708" s="210"/>
      <c r="P1708" s="210"/>
      <c r="Q1708" s="210"/>
      <c r="R1708" s="210"/>
      <c r="S1708" s="210"/>
      <c r="T1708" s="210"/>
      <c r="U1708" s="210"/>
      <c r="V1708" s="210"/>
      <c r="W1708" s="210"/>
      <c r="X1708" s="210"/>
      <c r="Y1708" s="210"/>
      <c r="Z1708" s="210"/>
    </row>
    <row r="1709" ht="21.75" customHeight="1">
      <c r="A1709" s="214"/>
      <c r="B1709" s="221"/>
      <c r="C1709" s="222">
        <v>106.0</v>
      </c>
      <c r="D1709" s="223" t="s">
        <v>1755</v>
      </c>
      <c r="E1709" s="223" t="s">
        <v>487</v>
      </c>
      <c r="F1709" s="223" t="s">
        <v>590</v>
      </c>
      <c r="G1709" s="223" t="s">
        <v>591</v>
      </c>
      <c r="H1709" s="224" t="s">
        <v>490</v>
      </c>
      <c r="I1709" s="208"/>
      <c r="J1709" s="210"/>
      <c r="K1709" s="210"/>
      <c r="L1709" s="210"/>
      <c r="M1709" s="210"/>
      <c r="N1709" s="210"/>
      <c r="O1709" s="210"/>
      <c r="P1709" s="210"/>
      <c r="Q1709" s="210"/>
      <c r="R1709" s="210"/>
      <c r="S1709" s="210"/>
      <c r="T1709" s="210"/>
      <c r="U1709" s="210"/>
      <c r="V1709" s="210"/>
      <c r="W1709" s="210"/>
      <c r="X1709" s="210"/>
      <c r="Y1709" s="210"/>
      <c r="Z1709" s="210"/>
    </row>
    <row r="1710" ht="21.75" customHeight="1">
      <c r="A1710" s="214"/>
      <c r="B1710" s="221"/>
      <c r="C1710" s="222">
        <v>107.0</v>
      </c>
      <c r="D1710" s="223" t="s">
        <v>1756</v>
      </c>
      <c r="E1710" s="223" t="s">
        <v>487</v>
      </c>
      <c r="F1710" s="223" t="s">
        <v>603</v>
      </c>
      <c r="G1710" s="223" t="s">
        <v>602</v>
      </c>
      <c r="H1710" s="224" t="s">
        <v>490</v>
      </c>
      <c r="I1710" s="208"/>
      <c r="J1710" s="210"/>
      <c r="K1710" s="210"/>
      <c r="L1710" s="210"/>
      <c r="M1710" s="210"/>
      <c r="N1710" s="210"/>
      <c r="O1710" s="210"/>
      <c r="P1710" s="210"/>
      <c r="Q1710" s="210"/>
      <c r="R1710" s="210"/>
      <c r="S1710" s="210"/>
      <c r="T1710" s="210"/>
      <c r="U1710" s="210"/>
      <c r="V1710" s="210"/>
      <c r="W1710" s="210"/>
      <c r="X1710" s="210"/>
      <c r="Y1710" s="210"/>
      <c r="Z1710" s="210"/>
    </row>
    <row r="1711" ht="21.75" customHeight="1">
      <c r="A1711" s="214"/>
      <c r="B1711" s="221"/>
      <c r="C1711" s="222">
        <v>108.0</v>
      </c>
      <c r="D1711" s="223" t="s">
        <v>1757</v>
      </c>
      <c r="E1711" s="223" t="s">
        <v>487</v>
      </c>
      <c r="F1711" s="223" t="s">
        <v>579</v>
      </c>
      <c r="G1711" s="223" t="s">
        <v>608</v>
      </c>
      <c r="H1711" s="224" t="s">
        <v>490</v>
      </c>
      <c r="I1711" s="208"/>
      <c r="J1711" s="210"/>
      <c r="K1711" s="210"/>
      <c r="L1711" s="210"/>
      <c r="M1711" s="210"/>
      <c r="N1711" s="210"/>
      <c r="O1711" s="210"/>
      <c r="P1711" s="210"/>
      <c r="Q1711" s="210"/>
      <c r="R1711" s="210"/>
      <c r="S1711" s="210"/>
      <c r="T1711" s="210"/>
      <c r="U1711" s="210"/>
      <c r="V1711" s="210"/>
      <c r="W1711" s="210"/>
      <c r="X1711" s="210"/>
      <c r="Y1711" s="210"/>
      <c r="Z1711" s="210"/>
    </row>
    <row r="1712" ht="21.75" customHeight="1">
      <c r="A1712" s="214"/>
      <c r="B1712" s="221"/>
      <c r="C1712" s="222">
        <v>109.0</v>
      </c>
      <c r="D1712" s="223" t="s">
        <v>1758</v>
      </c>
      <c r="E1712" s="223" t="s">
        <v>487</v>
      </c>
      <c r="F1712" s="223" t="s">
        <v>583</v>
      </c>
      <c r="G1712" s="223" t="s">
        <v>644</v>
      </c>
      <c r="H1712" s="224" t="s">
        <v>490</v>
      </c>
      <c r="I1712" s="208"/>
      <c r="J1712" s="210"/>
      <c r="K1712" s="210"/>
      <c r="L1712" s="210"/>
      <c r="M1712" s="210"/>
      <c r="N1712" s="210"/>
      <c r="O1712" s="210"/>
      <c r="P1712" s="210"/>
      <c r="Q1712" s="210"/>
      <c r="R1712" s="210"/>
      <c r="S1712" s="210"/>
      <c r="T1712" s="210"/>
      <c r="U1712" s="210"/>
      <c r="V1712" s="210"/>
      <c r="W1712" s="210"/>
      <c r="X1712" s="210"/>
      <c r="Y1712" s="210"/>
      <c r="Z1712" s="210"/>
    </row>
    <row r="1713" ht="21.75" customHeight="1">
      <c r="A1713" s="214"/>
      <c r="B1713" s="221"/>
      <c r="C1713" s="222">
        <v>110.0</v>
      </c>
      <c r="D1713" s="223" t="s">
        <v>541</v>
      </c>
      <c r="E1713" s="223" t="s">
        <v>508</v>
      </c>
      <c r="F1713" s="223" t="s">
        <v>509</v>
      </c>
      <c r="G1713" s="223" t="s">
        <v>510</v>
      </c>
      <c r="H1713" s="225" t="s">
        <v>1759</v>
      </c>
      <c r="I1713" s="208"/>
      <c r="J1713" s="210"/>
      <c r="K1713" s="210"/>
      <c r="L1713" s="210"/>
      <c r="M1713" s="210"/>
      <c r="N1713" s="210"/>
      <c r="O1713" s="210"/>
      <c r="P1713" s="210"/>
      <c r="Q1713" s="210"/>
      <c r="R1713" s="210"/>
      <c r="S1713" s="210"/>
      <c r="T1713" s="210"/>
      <c r="U1713" s="210"/>
      <c r="V1713" s="210"/>
      <c r="W1713" s="210"/>
      <c r="X1713" s="210"/>
      <c r="Y1713" s="210"/>
      <c r="Z1713" s="210"/>
    </row>
    <row r="1714" ht="21.75" customHeight="1">
      <c r="A1714" s="214"/>
      <c r="B1714" s="221"/>
      <c r="C1714" s="222">
        <v>111.0</v>
      </c>
      <c r="D1714" s="223" t="s">
        <v>1760</v>
      </c>
      <c r="E1714" s="223" t="s">
        <v>487</v>
      </c>
      <c r="F1714" s="223" t="s">
        <v>601</v>
      </c>
      <c r="G1714" s="218" t="s">
        <v>490</v>
      </c>
      <c r="H1714" s="225" t="s">
        <v>1761</v>
      </c>
      <c r="I1714" s="208"/>
      <c r="J1714" s="210"/>
      <c r="K1714" s="210"/>
      <c r="L1714" s="210"/>
      <c r="M1714" s="210"/>
      <c r="N1714" s="210"/>
      <c r="O1714" s="210"/>
      <c r="P1714" s="210"/>
      <c r="Q1714" s="210"/>
      <c r="R1714" s="210"/>
      <c r="S1714" s="210"/>
      <c r="T1714" s="210"/>
      <c r="U1714" s="210"/>
      <c r="V1714" s="210"/>
      <c r="W1714" s="210"/>
      <c r="X1714" s="210"/>
      <c r="Y1714" s="210"/>
      <c r="Z1714" s="210"/>
    </row>
    <row r="1715" ht="21.75" customHeight="1">
      <c r="A1715" s="214"/>
      <c r="B1715" s="221"/>
      <c r="C1715" s="222">
        <v>112.0</v>
      </c>
      <c r="D1715" s="223" t="s">
        <v>1762</v>
      </c>
      <c r="E1715" s="223" t="s">
        <v>487</v>
      </c>
      <c r="F1715" s="223" t="s">
        <v>560</v>
      </c>
      <c r="G1715" s="218" t="s">
        <v>490</v>
      </c>
      <c r="H1715" s="224" t="s">
        <v>490</v>
      </c>
      <c r="I1715" s="208"/>
      <c r="J1715" s="210"/>
      <c r="K1715" s="210"/>
      <c r="L1715" s="210"/>
      <c r="M1715" s="210"/>
      <c r="N1715" s="210"/>
      <c r="O1715" s="210"/>
      <c r="P1715" s="210"/>
      <c r="Q1715" s="210"/>
      <c r="R1715" s="210"/>
      <c r="S1715" s="210"/>
      <c r="T1715" s="210"/>
      <c r="U1715" s="210"/>
      <c r="V1715" s="210"/>
      <c r="W1715" s="210"/>
      <c r="X1715" s="210"/>
      <c r="Y1715" s="210"/>
      <c r="Z1715" s="210"/>
    </row>
    <row r="1716" ht="21.75" customHeight="1">
      <c r="A1716" s="214"/>
      <c r="B1716" s="221"/>
      <c r="C1716" s="222">
        <v>113.0</v>
      </c>
      <c r="D1716" s="223" t="s">
        <v>1763</v>
      </c>
      <c r="E1716" s="223" t="s">
        <v>487</v>
      </c>
      <c r="F1716" s="223" t="s">
        <v>613</v>
      </c>
      <c r="G1716" s="218" t="s">
        <v>490</v>
      </c>
      <c r="H1716" s="224" t="s">
        <v>490</v>
      </c>
      <c r="I1716" s="208"/>
      <c r="J1716" s="210"/>
      <c r="K1716" s="210"/>
      <c r="L1716" s="210"/>
      <c r="M1716" s="210"/>
      <c r="N1716" s="210"/>
      <c r="O1716" s="210"/>
      <c r="P1716" s="210"/>
      <c r="Q1716" s="210"/>
      <c r="R1716" s="210"/>
      <c r="S1716" s="210"/>
      <c r="T1716" s="210"/>
      <c r="U1716" s="210"/>
      <c r="V1716" s="210"/>
      <c r="W1716" s="210"/>
      <c r="X1716" s="210"/>
      <c r="Y1716" s="210"/>
      <c r="Z1716" s="210"/>
    </row>
    <row r="1717" ht="21.75" customHeight="1">
      <c r="A1717" s="214"/>
      <c r="B1717" s="221"/>
      <c r="C1717" s="222">
        <v>200.0</v>
      </c>
      <c r="D1717" s="223" t="s">
        <v>696</v>
      </c>
      <c r="E1717" s="223" t="s">
        <v>673</v>
      </c>
      <c r="F1717" s="223" t="s">
        <v>696</v>
      </c>
      <c r="G1717" s="218" t="s">
        <v>490</v>
      </c>
      <c r="H1717" s="224" t="s">
        <v>490</v>
      </c>
      <c r="I1717" s="208"/>
      <c r="J1717" s="210"/>
      <c r="K1717" s="210"/>
      <c r="L1717" s="210"/>
      <c r="M1717" s="210"/>
      <c r="N1717" s="210"/>
      <c r="O1717" s="210"/>
      <c r="P1717" s="210"/>
      <c r="Q1717" s="210"/>
      <c r="R1717" s="210"/>
      <c r="S1717" s="210"/>
      <c r="T1717" s="210"/>
      <c r="U1717" s="210"/>
      <c r="V1717" s="210"/>
      <c r="W1717" s="210"/>
      <c r="X1717" s="210"/>
      <c r="Y1717" s="210"/>
      <c r="Z1717" s="210"/>
    </row>
    <row r="1718" ht="21.75" customHeight="1">
      <c r="A1718" s="214"/>
      <c r="B1718" s="221"/>
      <c r="C1718" s="233" t="s">
        <v>490</v>
      </c>
      <c r="D1718" s="223" t="s">
        <v>1023</v>
      </c>
      <c r="E1718" s="223" t="s">
        <v>744</v>
      </c>
      <c r="F1718" s="223" t="s">
        <v>1023</v>
      </c>
      <c r="G1718" s="218" t="s">
        <v>490</v>
      </c>
      <c r="H1718" s="224" t="s">
        <v>490</v>
      </c>
      <c r="I1718" s="208"/>
      <c r="J1718" s="210"/>
      <c r="K1718" s="210"/>
      <c r="L1718" s="210"/>
      <c r="M1718" s="210"/>
      <c r="N1718" s="210"/>
      <c r="O1718" s="210"/>
      <c r="P1718" s="210"/>
      <c r="Q1718" s="210"/>
      <c r="R1718" s="210"/>
      <c r="S1718" s="210"/>
      <c r="T1718" s="210"/>
      <c r="U1718" s="210"/>
      <c r="V1718" s="210"/>
      <c r="W1718" s="210"/>
      <c r="X1718" s="210"/>
      <c r="Y1718" s="210"/>
      <c r="Z1718" s="210"/>
    </row>
    <row r="1719" ht="21.75" customHeight="1">
      <c r="A1719" s="214"/>
      <c r="B1719" s="221"/>
      <c r="C1719" s="222"/>
      <c r="D1719" s="223" t="s">
        <v>1764</v>
      </c>
      <c r="E1719" s="223" t="s">
        <v>738</v>
      </c>
      <c r="F1719" s="223" t="s">
        <v>1026</v>
      </c>
      <c r="G1719" s="218" t="s">
        <v>490</v>
      </c>
      <c r="H1719" s="224" t="s">
        <v>490</v>
      </c>
      <c r="I1719" s="208"/>
      <c r="J1719" s="210"/>
      <c r="K1719" s="210"/>
      <c r="L1719" s="210"/>
      <c r="M1719" s="210"/>
      <c r="N1719" s="210"/>
      <c r="O1719" s="210"/>
      <c r="P1719" s="210"/>
      <c r="Q1719" s="210"/>
      <c r="R1719" s="210"/>
      <c r="S1719" s="210"/>
      <c r="T1719" s="210"/>
      <c r="U1719" s="210"/>
      <c r="V1719" s="210"/>
      <c r="W1719" s="210"/>
      <c r="X1719" s="210"/>
      <c r="Y1719" s="210"/>
      <c r="Z1719" s="210"/>
    </row>
    <row r="1720" ht="21.75" customHeight="1">
      <c r="A1720" s="214"/>
      <c r="B1720" s="221"/>
      <c r="C1720" s="222"/>
      <c r="D1720" s="223" t="s">
        <v>1765</v>
      </c>
      <c r="E1720" s="223" t="s">
        <v>738</v>
      </c>
      <c r="F1720" s="223" t="s">
        <v>1025</v>
      </c>
      <c r="G1720" s="218" t="s">
        <v>490</v>
      </c>
      <c r="H1720" s="224" t="s">
        <v>490</v>
      </c>
      <c r="I1720" s="208"/>
      <c r="J1720" s="210"/>
      <c r="K1720" s="210"/>
      <c r="L1720" s="210"/>
      <c r="M1720" s="210"/>
      <c r="N1720" s="210"/>
      <c r="O1720" s="210"/>
      <c r="P1720" s="210"/>
      <c r="Q1720" s="210"/>
      <c r="R1720" s="210"/>
      <c r="S1720" s="210"/>
      <c r="T1720" s="210"/>
      <c r="U1720" s="210"/>
      <c r="V1720" s="210"/>
      <c r="W1720" s="210"/>
      <c r="X1720" s="210"/>
      <c r="Y1720" s="210"/>
      <c r="Z1720" s="210"/>
    </row>
    <row r="1721" ht="21.75" customHeight="1">
      <c r="A1721" s="228"/>
      <c r="B1721" s="221"/>
      <c r="C1721" s="222"/>
      <c r="D1721" s="218" t="s">
        <v>490</v>
      </c>
      <c r="E1721" s="223" t="s">
        <v>742</v>
      </c>
      <c r="F1721" s="223" t="s">
        <v>1027</v>
      </c>
      <c r="G1721" s="218" t="s">
        <v>490</v>
      </c>
      <c r="H1721" s="224" t="s">
        <v>490</v>
      </c>
      <c r="I1721" s="208"/>
      <c r="J1721" s="210"/>
      <c r="K1721" s="210"/>
      <c r="L1721" s="210"/>
      <c r="M1721" s="210"/>
      <c r="N1721" s="210"/>
      <c r="O1721" s="210"/>
      <c r="P1721" s="210"/>
      <c r="Q1721" s="210"/>
      <c r="R1721" s="210"/>
      <c r="S1721" s="210"/>
      <c r="T1721" s="210"/>
      <c r="U1721" s="210"/>
      <c r="V1721" s="210"/>
      <c r="W1721" s="210"/>
      <c r="X1721" s="210"/>
      <c r="Y1721" s="210"/>
      <c r="Z1721" s="210"/>
    </row>
    <row r="1722" ht="21.75" customHeight="1">
      <c r="A1722" s="214">
        <v>291.0</v>
      </c>
      <c r="B1722" s="215" t="s">
        <v>1766</v>
      </c>
      <c r="C1722" s="216"/>
      <c r="D1722" s="217"/>
      <c r="E1722" s="217"/>
      <c r="F1722" s="217"/>
      <c r="G1722" s="217"/>
      <c r="H1722" s="217"/>
      <c r="I1722" s="208"/>
      <c r="J1722" s="210"/>
      <c r="K1722" s="210"/>
      <c r="L1722" s="210"/>
      <c r="M1722" s="210"/>
      <c r="N1722" s="210"/>
      <c r="O1722" s="210"/>
      <c r="P1722" s="210"/>
      <c r="Q1722" s="210"/>
      <c r="R1722" s="210"/>
      <c r="S1722" s="210"/>
      <c r="T1722" s="210"/>
      <c r="U1722" s="210"/>
      <c r="V1722" s="210"/>
      <c r="W1722" s="210"/>
      <c r="X1722" s="210"/>
      <c r="Y1722" s="210"/>
      <c r="Z1722" s="210"/>
    </row>
    <row r="1723" ht="21.75" customHeight="1">
      <c r="A1723" s="214"/>
      <c r="B1723" s="218" t="s">
        <v>1767</v>
      </c>
      <c r="C1723" s="219">
        <v>50898.0</v>
      </c>
      <c r="D1723" s="220"/>
      <c r="E1723" s="220"/>
      <c r="F1723" s="220"/>
      <c r="G1723" s="220"/>
      <c r="H1723" s="220"/>
      <c r="I1723" s="208"/>
      <c r="J1723" s="210"/>
      <c r="K1723" s="210"/>
      <c r="L1723" s="210"/>
      <c r="M1723" s="210"/>
      <c r="N1723" s="210"/>
      <c r="O1723" s="210"/>
      <c r="P1723" s="210"/>
      <c r="Q1723" s="210"/>
      <c r="R1723" s="210"/>
      <c r="S1723" s="210"/>
      <c r="T1723" s="210"/>
      <c r="U1723" s="210"/>
      <c r="V1723" s="210"/>
      <c r="W1723" s="210"/>
      <c r="X1723" s="210"/>
      <c r="Y1723" s="210"/>
      <c r="Z1723" s="210"/>
    </row>
    <row r="1724" ht="21.75" customHeight="1">
      <c r="A1724" s="214"/>
      <c r="B1724" s="221"/>
      <c r="C1724" s="222">
        <v>100.0</v>
      </c>
      <c r="D1724" s="223" t="s">
        <v>486</v>
      </c>
      <c r="E1724" s="223" t="s">
        <v>487</v>
      </c>
      <c r="F1724" s="223" t="s">
        <v>488</v>
      </c>
      <c r="G1724" s="223" t="s">
        <v>489</v>
      </c>
      <c r="H1724" s="224" t="s">
        <v>490</v>
      </c>
      <c r="I1724" s="208"/>
      <c r="J1724" s="210"/>
      <c r="K1724" s="210"/>
      <c r="L1724" s="210"/>
      <c r="M1724" s="210"/>
      <c r="N1724" s="210"/>
      <c r="O1724" s="210"/>
      <c r="P1724" s="210"/>
      <c r="Q1724" s="210"/>
      <c r="R1724" s="210"/>
      <c r="S1724" s="210"/>
      <c r="T1724" s="210"/>
      <c r="U1724" s="210"/>
      <c r="V1724" s="210"/>
      <c r="W1724" s="210"/>
      <c r="X1724" s="210"/>
      <c r="Y1724" s="210"/>
      <c r="Z1724" s="210"/>
    </row>
    <row r="1725" ht="21.75" customHeight="1">
      <c r="A1725" s="214"/>
      <c r="B1725" s="221"/>
      <c r="C1725" s="222">
        <v>101.0</v>
      </c>
      <c r="D1725" s="223" t="s">
        <v>491</v>
      </c>
      <c r="E1725" s="223" t="s">
        <v>487</v>
      </c>
      <c r="F1725" s="223" t="s">
        <v>492</v>
      </c>
      <c r="G1725" s="223" t="s">
        <v>678</v>
      </c>
      <c r="H1725" s="225" t="s">
        <v>1768</v>
      </c>
      <c r="I1725" s="208"/>
      <c r="J1725" s="210"/>
      <c r="K1725" s="210"/>
      <c r="L1725" s="210"/>
      <c r="M1725" s="210"/>
      <c r="N1725" s="210"/>
      <c r="O1725" s="210"/>
      <c r="P1725" s="210"/>
      <c r="Q1725" s="210"/>
      <c r="R1725" s="210"/>
      <c r="S1725" s="210"/>
      <c r="T1725" s="210"/>
      <c r="U1725" s="210"/>
      <c r="V1725" s="210"/>
      <c r="W1725" s="210"/>
      <c r="X1725" s="210"/>
      <c r="Y1725" s="210"/>
      <c r="Z1725" s="210"/>
    </row>
    <row r="1726" ht="21.75" customHeight="1">
      <c r="A1726" s="214"/>
      <c r="B1726" s="221"/>
      <c r="C1726" s="222">
        <v>102.0</v>
      </c>
      <c r="D1726" s="223" t="s">
        <v>516</v>
      </c>
      <c r="E1726" s="223" t="s">
        <v>487</v>
      </c>
      <c r="F1726" s="223" t="s">
        <v>496</v>
      </c>
      <c r="G1726" s="223" t="s">
        <v>493</v>
      </c>
      <c r="H1726" s="225" t="s">
        <v>1769</v>
      </c>
      <c r="I1726" s="208"/>
      <c r="J1726" s="210"/>
      <c r="K1726" s="210"/>
      <c r="L1726" s="210"/>
      <c r="M1726" s="210"/>
      <c r="N1726" s="210"/>
      <c r="O1726" s="210"/>
      <c r="P1726" s="210"/>
      <c r="Q1726" s="210"/>
      <c r="R1726" s="210"/>
      <c r="S1726" s="210"/>
      <c r="T1726" s="210"/>
      <c r="U1726" s="210"/>
      <c r="V1726" s="210"/>
      <c r="W1726" s="210"/>
      <c r="X1726" s="210"/>
      <c r="Y1726" s="210"/>
      <c r="Z1726" s="210"/>
    </row>
    <row r="1727" ht="21.75" customHeight="1">
      <c r="A1727" s="214"/>
      <c r="B1727" s="221"/>
      <c r="C1727" s="222">
        <v>103.0</v>
      </c>
      <c r="D1727" s="223" t="s">
        <v>749</v>
      </c>
      <c r="E1727" s="223" t="s">
        <v>487</v>
      </c>
      <c r="F1727" s="223" t="s">
        <v>500</v>
      </c>
      <c r="G1727" s="223" t="s">
        <v>497</v>
      </c>
      <c r="H1727" s="224" t="s">
        <v>490</v>
      </c>
      <c r="I1727" s="208"/>
      <c r="J1727" s="210"/>
      <c r="K1727" s="210"/>
      <c r="L1727" s="210"/>
      <c r="M1727" s="210"/>
      <c r="N1727" s="210"/>
      <c r="O1727" s="210"/>
      <c r="P1727" s="210"/>
      <c r="Q1727" s="210"/>
      <c r="R1727" s="210"/>
      <c r="S1727" s="210"/>
      <c r="T1727" s="210"/>
      <c r="U1727" s="210"/>
      <c r="V1727" s="210"/>
      <c r="W1727" s="210"/>
      <c r="X1727" s="210"/>
      <c r="Y1727" s="210"/>
      <c r="Z1727" s="210"/>
    </row>
    <row r="1728" ht="21.75" customHeight="1">
      <c r="A1728" s="214"/>
      <c r="B1728" s="221"/>
      <c r="C1728" s="222">
        <v>104.0</v>
      </c>
      <c r="D1728" s="223" t="s">
        <v>750</v>
      </c>
      <c r="E1728" s="223" t="s">
        <v>487</v>
      </c>
      <c r="F1728" s="223" t="s">
        <v>512</v>
      </c>
      <c r="G1728" s="223" t="s">
        <v>501</v>
      </c>
      <c r="H1728" s="224" t="s">
        <v>490</v>
      </c>
      <c r="I1728" s="208"/>
      <c r="J1728" s="210"/>
      <c r="K1728" s="210"/>
      <c r="L1728" s="210"/>
      <c r="M1728" s="210"/>
      <c r="N1728" s="210"/>
      <c r="O1728" s="210"/>
      <c r="P1728" s="210"/>
      <c r="Q1728" s="210"/>
      <c r="R1728" s="210"/>
      <c r="S1728" s="210"/>
      <c r="T1728" s="210"/>
      <c r="U1728" s="210"/>
      <c r="V1728" s="210"/>
      <c r="W1728" s="210"/>
      <c r="X1728" s="210"/>
      <c r="Y1728" s="210"/>
      <c r="Z1728" s="210"/>
    </row>
    <row r="1729" ht="21.75" customHeight="1">
      <c r="A1729" s="228"/>
      <c r="B1729" s="221"/>
      <c r="C1729" s="222">
        <v>105.0</v>
      </c>
      <c r="D1729" s="223" t="s">
        <v>519</v>
      </c>
      <c r="E1729" s="223" t="s">
        <v>508</v>
      </c>
      <c r="F1729" s="223" t="s">
        <v>509</v>
      </c>
      <c r="G1729" s="223" t="s">
        <v>510</v>
      </c>
      <c r="H1729" s="225" t="s">
        <v>1770</v>
      </c>
      <c r="I1729" s="208"/>
      <c r="J1729" s="210"/>
      <c r="K1729" s="210"/>
      <c r="L1729" s="210"/>
      <c r="M1729" s="210"/>
      <c r="N1729" s="210"/>
      <c r="O1729" s="210"/>
      <c r="P1729" s="210"/>
      <c r="Q1729" s="210"/>
      <c r="R1729" s="210"/>
      <c r="S1729" s="210"/>
      <c r="T1729" s="210"/>
      <c r="U1729" s="210"/>
      <c r="V1729" s="210"/>
      <c r="W1729" s="210"/>
      <c r="X1729" s="210"/>
      <c r="Y1729" s="210"/>
      <c r="Z1729" s="210"/>
    </row>
    <row r="1730" ht="21.75" customHeight="1">
      <c r="A1730" s="214">
        <v>295.0</v>
      </c>
      <c r="B1730" s="215" t="s">
        <v>1771</v>
      </c>
      <c r="C1730" s="216"/>
      <c r="D1730" s="217"/>
      <c r="E1730" s="217"/>
      <c r="F1730" s="217"/>
      <c r="G1730" s="217"/>
      <c r="H1730" s="217"/>
      <c r="I1730" s="208"/>
      <c r="J1730" s="210"/>
      <c r="K1730" s="210"/>
      <c r="L1730" s="210"/>
      <c r="M1730" s="210"/>
      <c r="N1730" s="210"/>
      <c r="O1730" s="210"/>
      <c r="P1730" s="210"/>
      <c r="Q1730" s="210"/>
      <c r="R1730" s="210"/>
      <c r="S1730" s="210"/>
      <c r="T1730" s="210"/>
      <c r="U1730" s="210"/>
      <c r="V1730" s="210"/>
      <c r="W1730" s="210"/>
      <c r="X1730" s="210"/>
      <c r="Y1730" s="210"/>
      <c r="Z1730" s="210"/>
    </row>
    <row r="1731" ht="21.75" customHeight="1">
      <c r="A1731" s="214"/>
      <c r="B1731" s="218" t="s">
        <v>1772</v>
      </c>
      <c r="C1731" s="219">
        <v>50904.0</v>
      </c>
      <c r="D1731" s="220"/>
      <c r="E1731" s="220"/>
      <c r="F1731" s="220"/>
      <c r="G1731" s="220"/>
      <c r="H1731" s="220"/>
      <c r="I1731" s="208"/>
      <c r="J1731" s="210"/>
      <c r="K1731" s="210"/>
      <c r="L1731" s="210"/>
      <c r="M1731" s="210"/>
      <c r="N1731" s="210"/>
      <c r="O1731" s="210"/>
      <c r="P1731" s="210"/>
      <c r="Q1731" s="210"/>
      <c r="R1731" s="210"/>
      <c r="S1731" s="210"/>
      <c r="T1731" s="210"/>
      <c r="U1731" s="210"/>
      <c r="V1731" s="210"/>
      <c r="W1731" s="210"/>
      <c r="X1731" s="210"/>
      <c r="Y1731" s="210"/>
      <c r="Z1731" s="210"/>
    </row>
    <row r="1732" ht="21.75" customHeight="1">
      <c r="A1732" s="214"/>
      <c r="B1732" s="221"/>
      <c r="C1732" s="222">
        <v>100.0</v>
      </c>
      <c r="D1732" s="223" t="s">
        <v>486</v>
      </c>
      <c r="E1732" s="223" t="s">
        <v>487</v>
      </c>
      <c r="F1732" s="223" t="s">
        <v>488</v>
      </c>
      <c r="G1732" s="223" t="s">
        <v>489</v>
      </c>
      <c r="H1732" s="224" t="s">
        <v>490</v>
      </c>
      <c r="I1732" s="208"/>
      <c r="J1732" s="210"/>
      <c r="K1732" s="210"/>
      <c r="L1732" s="210"/>
      <c r="M1732" s="210"/>
      <c r="N1732" s="210"/>
      <c r="O1732" s="210"/>
      <c r="P1732" s="210"/>
      <c r="Q1732" s="210"/>
      <c r="R1732" s="210"/>
      <c r="S1732" s="210"/>
      <c r="T1732" s="210"/>
      <c r="U1732" s="210"/>
      <c r="V1732" s="210"/>
      <c r="W1732" s="210"/>
      <c r="X1732" s="210"/>
      <c r="Y1732" s="210"/>
      <c r="Z1732" s="210"/>
    </row>
    <row r="1733" ht="21.75" customHeight="1">
      <c r="A1733" s="214"/>
      <c r="B1733" s="221"/>
      <c r="C1733" s="222">
        <v>101.0</v>
      </c>
      <c r="D1733" s="223" t="s">
        <v>1773</v>
      </c>
      <c r="E1733" s="223" t="s">
        <v>487</v>
      </c>
      <c r="F1733" s="223" t="s">
        <v>492</v>
      </c>
      <c r="G1733" s="223" t="s">
        <v>497</v>
      </c>
      <c r="H1733" s="225" t="s">
        <v>1774</v>
      </c>
      <c r="I1733" s="208"/>
      <c r="J1733" s="210"/>
      <c r="K1733" s="210"/>
      <c r="L1733" s="210"/>
      <c r="M1733" s="210"/>
      <c r="N1733" s="210"/>
      <c r="O1733" s="210"/>
      <c r="P1733" s="210"/>
      <c r="Q1733" s="210"/>
      <c r="R1733" s="210"/>
      <c r="S1733" s="210"/>
      <c r="T1733" s="210"/>
      <c r="U1733" s="210"/>
      <c r="V1733" s="210"/>
      <c r="W1733" s="210"/>
      <c r="X1733" s="210"/>
      <c r="Y1733" s="210"/>
      <c r="Z1733" s="210"/>
    </row>
    <row r="1734" ht="21.75" customHeight="1">
      <c r="A1734" s="214"/>
      <c r="B1734" s="217"/>
      <c r="C1734" s="222">
        <v>102.0</v>
      </c>
      <c r="D1734" s="215" t="s">
        <v>519</v>
      </c>
      <c r="E1734" s="215" t="s">
        <v>508</v>
      </c>
      <c r="F1734" s="215" t="s">
        <v>509</v>
      </c>
      <c r="G1734" s="215" t="s">
        <v>510</v>
      </c>
      <c r="H1734" s="225" t="s">
        <v>1775</v>
      </c>
      <c r="I1734" s="208"/>
      <c r="J1734" s="210"/>
      <c r="K1734" s="210"/>
      <c r="L1734" s="210"/>
      <c r="M1734" s="210"/>
      <c r="N1734" s="210"/>
      <c r="O1734" s="210"/>
      <c r="P1734" s="210"/>
      <c r="Q1734" s="210"/>
      <c r="R1734" s="210"/>
      <c r="S1734" s="210"/>
      <c r="T1734" s="210"/>
      <c r="U1734" s="210"/>
      <c r="V1734" s="210"/>
      <c r="W1734" s="210"/>
      <c r="X1734" s="210"/>
      <c r="Y1734" s="210"/>
      <c r="Z1734" s="210"/>
    </row>
    <row r="1735" ht="21.75" customHeight="1">
      <c r="A1735" s="214"/>
      <c r="B1735" s="218" t="s">
        <v>1776</v>
      </c>
      <c r="C1735" s="226">
        <v>51086.0</v>
      </c>
      <c r="D1735" s="220"/>
      <c r="E1735" s="220"/>
      <c r="F1735" s="220"/>
      <c r="G1735" s="220"/>
      <c r="H1735" s="221"/>
      <c r="I1735" s="208"/>
      <c r="J1735" s="210"/>
      <c r="K1735" s="210"/>
      <c r="L1735" s="210"/>
      <c r="M1735" s="210"/>
      <c r="N1735" s="210"/>
      <c r="O1735" s="210"/>
      <c r="P1735" s="210"/>
      <c r="Q1735" s="210"/>
      <c r="R1735" s="210"/>
      <c r="S1735" s="210"/>
      <c r="T1735" s="210"/>
      <c r="U1735" s="210"/>
      <c r="V1735" s="210"/>
      <c r="W1735" s="210"/>
      <c r="X1735" s="210"/>
      <c r="Y1735" s="210"/>
      <c r="Z1735" s="210"/>
    </row>
    <row r="1736" ht="21.75" customHeight="1">
      <c r="A1736" s="214"/>
      <c r="B1736" s="221"/>
      <c r="C1736" s="222">
        <v>100.0</v>
      </c>
      <c r="D1736" s="223" t="s">
        <v>486</v>
      </c>
      <c r="E1736" s="223" t="s">
        <v>487</v>
      </c>
      <c r="F1736" s="223" t="s">
        <v>488</v>
      </c>
      <c r="G1736" s="223" t="s">
        <v>489</v>
      </c>
      <c r="H1736" s="224" t="s">
        <v>490</v>
      </c>
      <c r="I1736" s="208"/>
      <c r="J1736" s="210"/>
      <c r="K1736" s="210"/>
      <c r="L1736" s="210"/>
      <c r="M1736" s="210"/>
      <c r="N1736" s="210"/>
      <c r="O1736" s="210"/>
      <c r="P1736" s="210"/>
      <c r="Q1736" s="210"/>
      <c r="R1736" s="210"/>
      <c r="S1736" s="210"/>
      <c r="T1736" s="210"/>
      <c r="U1736" s="210"/>
      <c r="V1736" s="210"/>
      <c r="W1736" s="210"/>
      <c r="X1736" s="210"/>
      <c r="Y1736" s="210"/>
      <c r="Z1736" s="210"/>
    </row>
    <row r="1737" ht="21.75" customHeight="1">
      <c r="A1737" s="214"/>
      <c r="B1737" s="221"/>
      <c r="C1737" s="222">
        <v>101.0</v>
      </c>
      <c r="D1737" s="223" t="s">
        <v>491</v>
      </c>
      <c r="E1737" s="223" t="s">
        <v>487</v>
      </c>
      <c r="F1737" s="223" t="s">
        <v>492</v>
      </c>
      <c r="G1737" s="223" t="s">
        <v>678</v>
      </c>
      <c r="H1737" s="225" t="s">
        <v>1777</v>
      </c>
      <c r="I1737" s="208"/>
      <c r="J1737" s="210"/>
      <c r="K1737" s="210"/>
      <c r="L1737" s="210"/>
      <c r="M1737" s="210"/>
      <c r="N1737" s="210"/>
      <c r="O1737" s="210"/>
      <c r="P1737" s="210"/>
      <c r="Q1737" s="210"/>
      <c r="R1737" s="210"/>
      <c r="S1737" s="210"/>
      <c r="T1737" s="210"/>
      <c r="U1737" s="210"/>
      <c r="V1737" s="210"/>
      <c r="W1737" s="210"/>
      <c r="X1737" s="210"/>
      <c r="Y1737" s="210"/>
      <c r="Z1737" s="210"/>
    </row>
    <row r="1738" ht="21.75" customHeight="1">
      <c r="A1738" s="214"/>
      <c r="B1738" s="221"/>
      <c r="C1738" s="222">
        <v>102.0</v>
      </c>
      <c r="D1738" s="223" t="s">
        <v>1750</v>
      </c>
      <c r="E1738" s="223" t="s">
        <v>487</v>
      </c>
      <c r="F1738" s="223" t="s">
        <v>496</v>
      </c>
      <c r="G1738" s="223" t="s">
        <v>594</v>
      </c>
      <c r="H1738" s="225" t="s">
        <v>1778</v>
      </c>
      <c r="I1738" s="208"/>
      <c r="J1738" s="210"/>
      <c r="K1738" s="210"/>
      <c r="L1738" s="210"/>
      <c r="M1738" s="210"/>
      <c r="N1738" s="210"/>
      <c r="O1738" s="210"/>
      <c r="P1738" s="210"/>
      <c r="Q1738" s="210"/>
      <c r="R1738" s="210"/>
      <c r="S1738" s="210"/>
      <c r="T1738" s="210"/>
      <c r="U1738" s="210"/>
      <c r="V1738" s="210"/>
      <c r="W1738" s="210"/>
      <c r="X1738" s="210"/>
      <c r="Y1738" s="210"/>
      <c r="Z1738" s="210"/>
    </row>
    <row r="1739" ht="21.75" customHeight="1">
      <c r="A1739" s="214"/>
      <c r="B1739" s="221"/>
      <c r="C1739" s="222">
        <v>103.0</v>
      </c>
      <c r="D1739" s="223" t="s">
        <v>973</v>
      </c>
      <c r="E1739" s="223" t="s">
        <v>487</v>
      </c>
      <c r="F1739" s="223" t="s">
        <v>500</v>
      </c>
      <c r="G1739" s="223" t="s">
        <v>606</v>
      </c>
      <c r="H1739" s="225" t="s">
        <v>1779</v>
      </c>
      <c r="I1739" s="208"/>
      <c r="J1739" s="210"/>
      <c r="K1739" s="210"/>
      <c r="L1739" s="210"/>
      <c r="M1739" s="210"/>
      <c r="N1739" s="210"/>
      <c r="O1739" s="210"/>
      <c r="P1739" s="210"/>
      <c r="Q1739" s="210"/>
      <c r="R1739" s="210"/>
      <c r="S1739" s="210"/>
      <c r="T1739" s="210"/>
      <c r="U1739" s="210"/>
      <c r="V1739" s="210"/>
      <c r="W1739" s="210"/>
      <c r="X1739" s="210"/>
      <c r="Y1739" s="210"/>
      <c r="Z1739" s="210"/>
    </row>
    <row r="1740" ht="21.75" customHeight="1">
      <c r="A1740" s="214"/>
      <c r="B1740" s="221"/>
      <c r="C1740" s="222">
        <v>104.0</v>
      </c>
      <c r="D1740" s="223" t="s">
        <v>1260</v>
      </c>
      <c r="E1740" s="223" t="s">
        <v>487</v>
      </c>
      <c r="F1740" s="223" t="s">
        <v>512</v>
      </c>
      <c r="G1740" s="223" t="s">
        <v>513</v>
      </c>
      <c r="H1740" s="224" t="s">
        <v>490</v>
      </c>
      <c r="I1740" s="208"/>
      <c r="J1740" s="210"/>
      <c r="K1740" s="210"/>
      <c r="L1740" s="210"/>
      <c r="M1740" s="210"/>
      <c r="N1740" s="210"/>
      <c r="O1740" s="210"/>
      <c r="P1740" s="210"/>
      <c r="Q1740" s="210"/>
      <c r="R1740" s="210"/>
      <c r="S1740" s="210"/>
      <c r="T1740" s="210"/>
      <c r="U1740" s="210"/>
      <c r="V1740" s="210"/>
      <c r="W1740" s="210"/>
      <c r="X1740" s="210"/>
      <c r="Y1740" s="210"/>
      <c r="Z1740" s="210"/>
    </row>
    <row r="1741" ht="21.75" customHeight="1">
      <c r="A1741" s="214"/>
      <c r="B1741" s="221"/>
      <c r="C1741" s="222">
        <v>105.0</v>
      </c>
      <c r="D1741" s="223" t="s">
        <v>1780</v>
      </c>
      <c r="E1741" s="223" t="s">
        <v>487</v>
      </c>
      <c r="F1741" s="223" t="s">
        <v>532</v>
      </c>
      <c r="G1741" s="223" t="s">
        <v>501</v>
      </c>
      <c r="H1741" s="225" t="s">
        <v>1781</v>
      </c>
      <c r="I1741" s="208"/>
      <c r="J1741" s="210"/>
      <c r="K1741" s="210"/>
      <c r="L1741" s="210"/>
      <c r="M1741" s="210"/>
      <c r="N1741" s="210"/>
      <c r="O1741" s="210"/>
      <c r="P1741" s="210"/>
      <c r="Q1741" s="210"/>
      <c r="R1741" s="210"/>
      <c r="S1741" s="210"/>
      <c r="T1741" s="210"/>
      <c r="U1741" s="210"/>
      <c r="V1741" s="210"/>
      <c r="W1741" s="210"/>
      <c r="X1741" s="210"/>
      <c r="Y1741" s="210"/>
      <c r="Z1741" s="210"/>
    </row>
    <row r="1742" ht="21.75" customHeight="1">
      <c r="A1742" s="214"/>
      <c r="B1742" s="221"/>
      <c r="C1742" s="222">
        <v>106.0</v>
      </c>
      <c r="D1742" s="223" t="s">
        <v>736</v>
      </c>
      <c r="E1742" s="223" t="s">
        <v>487</v>
      </c>
      <c r="F1742" s="223" t="s">
        <v>590</v>
      </c>
      <c r="G1742" s="223" t="s">
        <v>497</v>
      </c>
      <c r="H1742" s="224" t="s">
        <v>490</v>
      </c>
      <c r="I1742" s="208"/>
      <c r="J1742" s="210"/>
      <c r="K1742" s="210"/>
      <c r="L1742" s="210"/>
      <c r="M1742" s="210"/>
      <c r="N1742" s="210"/>
      <c r="O1742" s="210"/>
      <c r="P1742" s="210"/>
      <c r="Q1742" s="210"/>
      <c r="R1742" s="210"/>
      <c r="S1742" s="210"/>
      <c r="T1742" s="210"/>
      <c r="U1742" s="210"/>
      <c r="V1742" s="210"/>
      <c r="W1742" s="210"/>
      <c r="X1742" s="210"/>
      <c r="Y1742" s="210"/>
      <c r="Z1742" s="210"/>
    </row>
    <row r="1743" ht="21.75" customHeight="1">
      <c r="A1743" s="214"/>
      <c r="B1743" s="221"/>
      <c r="C1743" s="222">
        <v>107.0</v>
      </c>
      <c r="D1743" s="223" t="s">
        <v>1758</v>
      </c>
      <c r="E1743" s="223" t="s">
        <v>487</v>
      </c>
      <c r="F1743" s="223" t="s">
        <v>603</v>
      </c>
      <c r="G1743" s="223" t="s">
        <v>644</v>
      </c>
      <c r="H1743" s="224" t="s">
        <v>490</v>
      </c>
      <c r="I1743" s="208"/>
      <c r="J1743" s="210"/>
      <c r="K1743" s="210"/>
      <c r="L1743" s="210"/>
      <c r="M1743" s="210"/>
      <c r="N1743" s="210"/>
      <c r="O1743" s="210"/>
      <c r="P1743" s="210"/>
      <c r="Q1743" s="210"/>
      <c r="R1743" s="210"/>
      <c r="S1743" s="210"/>
      <c r="T1743" s="210"/>
      <c r="U1743" s="210"/>
      <c r="V1743" s="210"/>
      <c r="W1743" s="210"/>
      <c r="X1743" s="210"/>
      <c r="Y1743" s="210"/>
      <c r="Z1743" s="210"/>
    </row>
    <row r="1744" ht="21.75" customHeight="1">
      <c r="A1744" s="214"/>
      <c r="B1744" s="221"/>
      <c r="C1744" s="222">
        <v>108.0</v>
      </c>
      <c r="D1744" s="223" t="s">
        <v>507</v>
      </c>
      <c r="E1744" s="223" t="s">
        <v>508</v>
      </c>
      <c r="F1744" s="223" t="s">
        <v>509</v>
      </c>
      <c r="G1744" s="223" t="s">
        <v>510</v>
      </c>
      <c r="H1744" s="224" t="s">
        <v>490</v>
      </c>
      <c r="I1744" s="208"/>
      <c r="J1744" s="210"/>
      <c r="K1744" s="210"/>
      <c r="L1744" s="210"/>
      <c r="M1744" s="210"/>
      <c r="N1744" s="210"/>
      <c r="O1744" s="210"/>
      <c r="P1744" s="210"/>
      <c r="Q1744" s="210"/>
      <c r="R1744" s="210"/>
      <c r="S1744" s="210"/>
      <c r="T1744" s="210"/>
      <c r="U1744" s="210"/>
      <c r="V1744" s="210"/>
      <c r="W1744" s="210"/>
      <c r="X1744" s="210"/>
      <c r="Y1744" s="210"/>
      <c r="Z1744" s="210"/>
    </row>
    <row r="1745" ht="21.75" customHeight="1">
      <c r="A1745" s="214"/>
      <c r="B1745" s="221"/>
      <c r="C1745" s="233" t="s">
        <v>490</v>
      </c>
      <c r="D1745" s="223" t="s">
        <v>1023</v>
      </c>
      <c r="E1745" s="223" t="s">
        <v>744</v>
      </c>
      <c r="F1745" s="223" t="s">
        <v>1023</v>
      </c>
      <c r="G1745" s="218" t="s">
        <v>490</v>
      </c>
      <c r="H1745" s="224" t="s">
        <v>490</v>
      </c>
      <c r="I1745" s="208"/>
      <c r="J1745" s="210"/>
      <c r="K1745" s="210"/>
      <c r="L1745" s="210"/>
      <c r="M1745" s="210"/>
      <c r="N1745" s="210"/>
      <c r="O1745" s="210"/>
      <c r="P1745" s="210"/>
      <c r="Q1745" s="210"/>
      <c r="R1745" s="210"/>
      <c r="S1745" s="210"/>
      <c r="T1745" s="210"/>
      <c r="U1745" s="210"/>
      <c r="V1745" s="210"/>
      <c r="W1745" s="210"/>
      <c r="X1745" s="210"/>
      <c r="Y1745" s="210"/>
      <c r="Z1745" s="210"/>
    </row>
    <row r="1746" ht="21.75" customHeight="1">
      <c r="A1746" s="214"/>
      <c r="B1746" s="221"/>
      <c r="C1746" s="222"/>
      <c r="D1746" s="223" t="s">
        <v>1782</v>
      </c>
      <c r="E1746" s="223" t="s">
        <v>738</v>
      </c>
      <c r="F1746" s="223" t="s">
        <v>1026</v>
      </c>
      <c r="G1746" s="218" t="s">
        <v>490</v>
      </c>
      <c r="H1746" s="224" t="s">
        <v>490</v>
      </c>
      <c r="I1746" s="208"/>
      <c r="J1746" s="210"/>
      <c r="K1746" s="210"/>
      <c r="L1746" s="210"/>
      <c r="M1746" s="210"/>
      <c r="N1746" s="210"/>
      <c r="O1746" s="210"/>
      <c r="P1746" s="210"/>
      <c r="Q1746" s="210"/>
      <c r="R1746" s="210"/>
      <c r="S1746" s="210"/>
      <c r="T1746" s="210"/>
      <c r="U1746" s="210"/>
      <c r="V1746" s="210"/>
      <c r="W1746" s="210"/>
      <c r="X1746" s="210"/>
      <c r="Y1746" s="210"/>
      <c r="Z1746" s="210"/>
    </row>
    <row r="1747" ht="21.75" customHeight="1">
      <c r="A1747" s="214"/>
      <c r="B1747" s="221"/>
      <c r="C1747" s="222"/>
      <c r="D1747" s="223" t="s">
        <v>1783</v>
      </c>
      <c r="E1747" s="223" t="s">
        <v>738</v>
      </c>
      <c r="F1747" s="223" t="s">
        <v>1025</v>
      </c>
      <c r="G1747" s="218" t="s">
        <v>490</v>
      </c>
      <c r="H1747" s="224" t="s">
        <v>490</v>
      </c>
      <c r="I1747" s="208"/>
      <c r="J1747" s="210"/>
      <c r="K1747" s="210"/>
      <c r="L1747" s="210"/>
      <c r="M1747" s="210"/>
      <c r="N1747" s="210"/>
      <c r="O1747" s="210"/>
      <c r="P1747" s="210"/>
      <c r="Q1747" s="210"/>
      <c r="R1747" s="210"/>
      <c r="S1747" s="210"/>
      <c r="T1747" s="210"/>
      <c r="U1747" s="210"/>
      <c r="V1747" s="210"/>
      <c r="W1747" s="210"/>
      <c r="X1747" s="210"/>
      <c r="Y1747" s="210"/>
      <c r="Z1747" s="210"/>
    </row>
    <row r="1748" ht="21.75" customHeight="1">
      <c r="A1748" s="214"/>
      <c r="B1748" s="217"/>
      <c r="C1748" s="222"/>
      <c r="D1748" s="234" t="s">
        <v>490</v>
      </c>
      <c r="E1748" s="215" t="s">
        <v>742</v>
      </c>
      <c r="F1748" s="215" t="s">
        <v>1027</v>
      </c>
      <c r="G1748" s="234" t="s">
        <v>490</v>
      </c>
      <c r="H1748" s="224" t="s">
        <v>490</v>
      </c>
      <c r="I1748" s="208"/>
      <c r="J1748" s="210"/>
      <c r="K1748" s="210"/>
      <c r="L1748" s="210"/>
      <c r="M1748" s="210"/>
      <c r="N1748" s="210"/>
      <c r="O1748" s="210"/>
      <c r="P1748" s="210"/>
      <c r="Q1748" s="210"/>
      <c r="R1748" s="210"/>
      <c r="S1748" s="210"/>
      <c r="T1748" s="210"/>
      <c r="U1748" s="210"/>
      <c r="V1748" s="210"/>
      <c r="W1748" s="210"/>
      <c r="X1748" s="210"/>
      <c r="Y1748" s="210"/>
      <c r="Z1748" s="210"/>
    </row>
    <row r="1749" ht="21.75" customHeight="1">
      <c r="A1749" s="214"/>
      <c r="B1749" s="218" t="s">
        <v>1784</v>
      </c>
      <c r="C1749" s="226">
        <v>50905.0</v>
      </c>
      <c r="D1749" s="220"/>
      <c r="E1749" s="220"/>
      <c r="F1749" s="220"/>
      <c r="G1749" s="220"/>
      <c r="H1749" s="221"/>
      <c r="I1749" s="208"/>
      <c r="J1749" s="210"/>
      <c r="K1749" s="210"/>
      <c r="L1749" s="210"/>
      <c r="M1749" s="210"/>
      <c r="N1749" s="210"/>
      <c r="O1749" s="210"/>
      <c r="P1749" s="210"/>
      <c r="Q1749" s="210"/>
      <c r="R1749" s="210"/>
      <c r="S1749" s="210"/>
      <c r="T1749" s="210"/>
      <c r="U1749" s="210"/>
      <c r="V1749" s="210"/>
      <c r="W1749" s="210"/>
      <c r="X1749" s="210"/>
      <c r="Y1749" s="210"/>
      <c r="Z1749" s="210"/>
    </row>
    <row r="1750" ht="21.75" customHeight="1">
      <c r="A1750" s="214"/>
      <c r="B1750" s="221"/>
      <c r="C1750" s="222">
        <v>100.0</v>
      </c>
      <c r="D1750" s="223" t="s">
        <v>486</v>
      </c>
      <c r="E1750" s="223" t="s">
        <v>487</v>
      </c>
      <c r="F1750" s="223" t="s">
        <v>488</v>
      </c>
      <c r="G1750" s="223" t="s">
        <v>489</v>
      </c>
      <c r="H1750" s="224" t="s">
        <v>490</v>
      </c>
      <c r="I1750" s="208"/>
      <c r="J1750" s="210"/>
      <c r="K1750" s="210"/>
      <c r="L1750" s="210"/>
      <c r="M1750" s="210"/>
      <c r="N1750" s="210"/>
      <c r="O1750" s="210"/>
      <c r="P1750" s="210"/>
      <c r="Q1750" s="210"/>
      <c r="R1750" s="210"/>
      <c r="S1750" s="210"/>
      <c r="T1750" s="210"/>
      <c r="U1750" s="210"/>
      <c r="V1750" s="210"/>
      <c r="W1750" s="210"/>
      <c r="X1750" s="210"/>
      <c r="Y1750" s="210"/>
      <c r="Z1750" s="210"/>
    </row>
    <row r="1751" ht="21.75" customHeight="1">
      <c r="A1751" s="214"/>
      <c r="B1751" s="221"/>
      <c r="C1751" s="222">
        <v>101.0</v>
      </c>
      <c r="D1751" s="223" t="s">
        <v>491</v>
      </c>
      <c r="E1751" s="223" t="s">
        <v>487</v>
      </c>
      <c r="F1751" s="223" t="s">
        <v>492</v>
      </c>
      <c r="G1751" s="223" t="s">
        <v>678</v>
      </c>
      <c r="H1751" s="225" t="s">
        <v>1785</v>
      </c>
      <c r="I1751" s="208"/>
      <c r="J1751" s="210"/>
      <c r="K1751" s="210"/>
      <c r="L1751" s="210"/>
      <c r="M1751" s="210"/>
      <c r="N1751" s="210"/>
      <c r="O1751" s="210"/>
      <c r="P1751" s="210"/>
      <c r="Q1751" s="210"/>
      <c r="R1751" s="210"/>
      <c r="S1751" s="210"/>
      <c r="T1751" s="210"/>
      <c r="U1751" s="210"/>
      <c r="V1751" s="210"/>
      <c r="W1751" s="210"/>
      <c r="X1751" s="210"/>
      <c r="Y1751" s="210"/>
      <c r="Z1751" s="210"/>
    </row>
    <row r="1752" ht="21.75" customHeight="1">
      <c r="A1752" s="214"/>
      <c r="B1752" s="221"/>
      <c r="C1752" s="222">
        <v>102.0</v>
      </c>
      <c r="D1752" s="223" t="s">
        <v>749</v>
      </c>
      <c r="E1752" s="223" t="s">
        <v>487</v>
      </c>
      <c r="F1752" s="223" t="s">
        <v>496</v>
      </c>
      <c r="G1752" s="223" t="s">
        <v>497</v>
      </c>
      <c r="H1752" s="224" t="s">
        <v>490</v>
      </c>
      <c r="I1752" s="208"/>
      <c r="J1752" s="210"/>
      <c r="K1752" s="210"/>
      <c r="L1752" s="210"/>
      <c r="M1752" s="210"/>
      <c r="N1752" s="210"/>
      <c r="O1752" s="210"/>
      <c r="P1752" s="210"/>
      <c r="Q1752" s="210"/>
      <c r="R1752" s="210"/>
      <c r="S1752" s="210"/>
      <c r="T1752" s="210"/>
      <c r="U1752" s="210"/>
      <c r="V1752" s="210"/>
      <c r="W1752" s="210"/>
      <c r="X1752" s="210"/>
      <c r="Y1752" s="210"/>
      <c r="Z1752" s="210"/>
    </row>
    <row r="1753" ht="21.75" customHeight="1">
      <c r="A1753" s="214"/>
      <c r="B1753" s="221"/>
      <c r="C1753" s="222">
        <v>103.0</v>
      </c>
      <c r="D1753" s="223" t="s">
        <v>750</v>
      </c>
      <c r="E1753" s="223" t="s">
        <v>487</v>
      </c>
      <c r="F1753" s="223" t="s">
        <v>500</v>
      </c>
      <c r="G1753" s="223" t="s">
        <v>501</v>
      </c>
      <c r="H1753" s="224" t="s">
        <v>490</v>
      </c>
      <c r="I1753" s="208"/>
      <c r="J1753" s="210"/>
      <c r="K1753" s="210"/>
      <c r="L1753" s="210"/>
      <c r="M1753" s="210"/>
      <c r="N1753" s="210"/>
      <c r="O1753" s="210"/>
      <c r="P1753" s="210"/>
      <c r="Q1753" s="210"/>
      <c r="R1753" s="210"/>
      <c r="S1753" s="210"/>
      <c r="T1753" s="210"/>
      <c r="U1753" s="210"/>
      <c r="V1753" s="210"/>
      <c r="W1753" s="210"/>
      <c r="X1753" s="210"/>
      <c r="Y1753" s="210"/>
      <c r="Z1753" s="210"/>
    </row>
    <row r="1754" ht="21.75" customHeight="1">
      <c r="A1754" s="228"/>
      <c r="B1754" s="221"/>
      <c r="C1754" s="222">
        <v>104.0</v>
      </c>
      <c r="D1754" s="223" t="s">
        <v>519</v>
      </c>
      <c r="E1754" s="223" t="s">
        <v>508</v>
      </c>
      <c r="F1754" s="223" t="s">
        <v>509</v>
      </c>
      <c r="G1754" s="223" t="s">
        <v>510</v>
      </c>
      <c r="H1754" s="225" t="s">
        <v>1786</v>
      </c>
      <c r="I1754" s="208"/>
      <c r="J1754" s="210"/>
      <c r="K1754" s="210"/>
      <c r="L1754" s="210"/>
      <c r="M1754" s="210"/>
      <c r="N1754" s="210"/>
      <c r="O1754" s="210"/>
      <c r="P1754" s="210"/>
      <c r="Q1754" s="210"/>
      <c r="R1754" s="210"/>
      <c r="S1754" s="210"/>
      <c r="T1754" s="210"/>
      <c r="U1754" s="210"/>
      <c r="V1754" s="210"/>
      <c r="W1754" s="210"/>
      <c r="X1754" s="210"/>
      <c r="Y1754" s="210"/>
      <c r="Z1754" s="210"/>
    </row>
    <row r="1755" ht="21.75" customHeight="1">
      <c r="A1755" s="214">
        <v>3.0</v>
      </c>
      <c r="B1755" s="215" t="s">
        <v>1787</v>
      </c>
      <c r="C1755" s="216"/>
      <c r="D1755" s="217"/>
      <c r="E1755" s="217"/>
      <c r="F1755" s="217"/>
      <c r="G1755" s="217"/>
      <c r="H1755" s="217"/>
      <c r="I1755" s="208"/>
      <c r="J1755" s="210"/>
      <c r="K1755" s="210"/>
      <c r="L1755" s="210"/>
      <c r="M1755" s="210"/>
      <c r="N1755" s="210"/>
      <c r="O1755" s="210"/>
      <c r="P1755" s="210"/>
      <c r="Q1755" s="210"/>
      <c r="R1755" s="210"/>
      <c r="S1755" s="210"/>
      <c r="T1755" s="210"/>
      <c r="U1755" s="210"/>
      <c r="V1755" s="210"/>
      <c r="W1755" s="210"/>
      <c r="X1755" s="210"/>
      <c r="Y1755" s="210"/>
      <c r="Z1755" s="210"/>
    </row>
    <row r="1756" ht="21.75" customHeight="1">
      <c r="A1756" s="214"/>
      <c r="B1756" s="218" t="s">
        <v>1788</v>
      </c>
      <c r="C1756" s="219">
        <v>50002.0</v>
      </c>
      <c r="D1756" s="220"/>
      <c r="E1756" s="220"/>
      <c r="F1756" s="220"/>
      <c r="G1756" s="220"/>
      <c r="H1756" s="220"/>
      <c r="I1756" s="208"/>
      <c r="J1756" s="210"/>
      <c r="K1756" s="210"/>
      <c r="L1756" s="210"/>
      <c r="M1756" s="210"/>
      <c r="N1756" s="210"/>
      <c r="O1756" s="210"/>
      <c r="P1756" s="210"/>
      <c r="Q1756" s="210"/>
      <c r="R1756" s="210"/>
      <c r="S1756" s="210"/>
      <c r="T1756" s="210"/>
      <c r="U1756" s="210"/>
      <c r="V1756" s="210"/>
      <c r="W1756" s="210"/>
      <c r="X1756" s="210"/>
      <c r="Y1756" s="210"/>
      <c r="Z1756" s="210"/>
    </row>
    <row r="1757" ht="21.75" customHeight="1">
      <c r="A1757" s="214"/>
      <c r="B1757" s="221"/>
      <c r="C1757" s="222">
        <v>100.0</v>
      </c>
      <c r="D1757" s="223" t="s">
        <v>486</v>
      </c>
      <c r="E1757" s="223" t="s">
        <v>487</v>
      </c>
      <c r="F1757" s="223" t="s">
        <v>1001</v>
      </c>
      <c r="G1757" s="218" t="s">
        <v>490</v>
      </c>
      <c r="H1757" s="224" t="s">
        <v>490</v>
      </c>
      <c r="I1757" s="208"/>
      <c r="J1757" s="210"/>
      <c r="K1757" s="210"/>
      <c r="L1757" s="210"/>
      <c r="M1757" s="210"/>
      <c r="N1757" s="210"/>
      <c r="O1757" s="210"/>
      <c r="P1757" s="210"/>
      <c r="Q1757" s="210"/>
      <c r="R1757" s="210"/>
      <c r="S1757" s="210"/>
      <c r="T1757" s="210"/>
      <c r="U1757" s="210"/>
      <c r="V1757" s="210"/>
      <c r="W1757" s="210"/>
      <c r="X1757" s="210"/>
      <c r="Y1757" s="210"/>
      <c r="Z1757" s="210"/>
    </row>
    <row r="1758" ht="21.75" customHeight="1">
      <c r="A1758" s="214"/>
      <c r="B1758" s="221"/>
      <c r="C1758" s="222">
        <v>101.0</v>
      </c>
      <c r="D1758" s="223" t="s">
        <v>863</v>
      </c>
      <c r="E1758" s="223" t="s">
        <v>539</v>
      </c>
      <c r="F1758" s="223" t="s">
        <v>863</v>
      </c>
      <c r="G1758" s="218" t="s">
        <v>490</v>
      </c>
      <c r="H1758" s="224" t="s">
        <v>490</v>
      </c>
      <c r="I1758" s="208"/>
      <c r="J1758" s="210"/>
      <c r="K1758" s="210"/>
      <c r="L1758" s="210"/>
      <c r="M1758" s="210"/>
      <c r="N1758" s="210"/>
      <c r="O1758" s="210"/>
      <c r="P1758" s="210"/>
      <c r="Q1758" s="210"/>
      <c r="R1758" s="210"/>
      <c r="S1758" s="210"/>
      <c r="T1758" s="210"/>
      <c r="U1758" s="210"/>
      <c r="V1758" s="210"/>
      <c r="W1758" s="210"/>
      <c r="X1758" s="210"/>
      <c r="Y1758" s="210"/>
      <c r="Z1758" s="210"/>
    </row>
    <row r="1759" ht="21.75" customHeight="1">
      <c r="A1759" s="214"/>
      <c r="B1759" s="221"/>
      <c r="C1759" s="222">
        <v>102.0</v>
      </c>
      <c r="D1759" s="223" t="s">
        <v>1789</v>
      </c>
      <c r="E1759" s="223" t="s">
        <v>487</v>
      </c>
      <c r="F1759" s="223" t="s">
        <v>826</v>
      </c>
      <c r="G1759" s="223" t="s">
        <v>513</v>
      </c>
      <c r="H1759" s="224" t="s">
        <v>490</v>
      </c>
      <c r="I1759" s="208"/>
      <c r="J1759" s="210"/>
      <c r="K1759" s="210"/>
      <c r="L1759" s="210"/>
      <c r="M1759" s="210"/>
      <c r="N1759" s="210"/>
      <c r="O1759" s="210"/>
      <c r="P1759" s="210"/>
      <c r="Q1759" s="210"/>
      <c r="R1759" s="210"/>
      <c r="S1759" s="210"/>
      <c r="T1759" s="210"/>
      <c r="U1759" s="210"/>
      <c r="V1759" s="210"/>
      <c r="W1759" s="210"/>
      <c r="X1759" s="210"/>
      <c r="Y1759" s="210"/>
      <c r="Z1759" s="210"/>
    </row>
    <row r="1760" ht="21.75" customHeight="1">
      <c r="A1760" s="214"/>
      <c r="B1760" s="221"/>
      <c r="C1760" s="222">
        <v>103.0</v>
      </c>
      <c r="D1760" s="223" t="s">
        <v>1790</v>
      </c>
      <c r="E1760" s="223" t="s">
        <v>487</v>
      </c>
      <c r="F1760" s="223" t="s">
        <v>532</v>
      </c>
      <c r="G1760" s="218" t="s">
        <v>490</v>
      </c>
      <c r="H1760" s="225" t="s">
        <v>1791</v>
      </c>
      <c r="I1760" s="208"/>
      <c r="J1760" s="210"/>
      <c r="K1760" s="210"/>
      <c r="L1760" s="210"/>
      <c r="M1760" s="210"/>
      <c r="N1760" s="210"/>
      <c r="O1760" s="210"/>
      <c r="P1760" s="210"/>
      <c r="Q1760" s="210"/>
      <c r="R1760" s="210"/>
      <c r="S1760" s="210"/>
      <c r="T1760" s="210"/>
      <c r="U1760" s="210"/>
      <c r="V1760" s="210"/>
      <c r="W1760" s="210"/>
      <c r="X1760" s="210"/>
      <c r="Y1760" s="210"/>
      <c r="Z1760" s="210"/>
    </row>
    <row r="1761" ht="21.75" customHeight="1">
      <c r="A1761" s="214"/>
      <c r="B1761" s="221"/>
      <c r="C1761" s="222">
        <v>200.0</v>
      </c>
      <c r="D1761" s="223" t="s">
        <v>1792</v>
      </c>
      <c r="E1761" s="223" t="s">
        <v>487</v>
      </c>
      <c r="F1761" s="223" t="s">
        <v>492</v>
      </c>
      <c r="G1761" s="223" t="s">
        <v>678</v>
      </c>
      <c r="H1761" s="225" t="s">
        <v>1793</v>
      </c>
      <c r="I1761" s="208"/>
      <c r="J1761" s="210"/>
      <c r="K1761" s="210"/>
      <c r="L1761" s="210"/>
      <c r="M1761" s="210"/>
      <c r="N1761" s="210"/>
      <c r="O1761" s="210"/>
      <c r="P1761" s="210"/>
      <c r="Q1761" s="210"/>
      <c r="R1761" s="210"/>
      <c r="S1761" s="210"/>
      <c r="T1761" s="210"/>
      <c r="U1761" s="210"/>
      <c r="V1761" s="210"/>
      <c r="W1761" s="210"/>
      <c r="X1761" s="210"/>
      <c r="Y1761" s="210"/>
      <c r="Z1761" s="210"/>
    </row>
    <row r="1762" ht="21.75" customHeight="1">
      <c r="A1762" s="214"/>
      <c r="B1762" s="221"/>
      <c r="C1762" s="222">
        <v>201.0</v>
      </c>
      <c r="D1762" s="223" t="s">
        <v>1794</v>
      </c>
      <c r="E1762" s="223" t="s">
        <v>487</v>
      </c>
      <c r="F1762" s="223" t="s">
        <v>488</v>
      </c>
      <c r="G1762" s="223" t="s">
        <v>501</v>
      </c>
      <c r="H1762" s="225" t="s">
        <v>1795</v>
      </c>
      <c r="I1762" s="208"/>
      <c r="J1762" s="210"/>
      <c r="K1762" s="210"/>
      <c r="L1762" s="210"/>
      <c r="M1762" s="210"/>
      <c r="N1762" s="210"/>
      <c r="O1762" s="210"/>
      <c r="P1762" s="210"/>
      <c r="Q1762" s="210"/>
      <c r="R1762" s="210"/>
      <c r="S1762" s="210"/>
      <c r="T1762" s="210"/>
      <c r="U1762" s="210"/>
      <c r="V1762" s="210"/>
      <c r="W1762" s="210"/>
      <c r="X1762" s="210"/>
      <c r="Y1762" s="210"/>
      <c r="Z1762" s="210"/>
    </row>
    <row r="1763" ht="21.75" customHeight="1">
      <c r="A1763" s="214"/>
      <c r="B1763" s="221"/>
      <c r="C1763" s="222">
        <v>202.0</v>
      </c>
      <c r="D1763" s="223" t="s">
        <v>1796</v>
      </c>
      <c r="E1763" s="223" t="s">
        <v>487</v>
      </c>
      <c r="F1763" s="223" t="s">
        <v>496</v>
      </c>
      <c r="G1763" s="223" t="s">
        <v>493</v>
      </c>
      <c r="H1763" s="224" t="s">
        <v>490</v>
      </c>
      <c r="I1763" s="208"/>
      <c r="J1763" s="210"/>
      <c r="K1763" s="210"/>
      <c r="L1763" s="210"/>
      <c r="M1763" s="210"/>
      <c r="N1763" s="210"/>
      <c r="O1763" s="210"/>
      <c r="P1763" s="210"/>
      <c r="Q1763" s="210"/>
      <c r="R1763" s="210"/>
      <c r="S1763" s="210"/>
      <c r="T1763" s="210"/>
      <c r="U1763" s="210"/>
      <c r="V1763" s="210"/>
      <c r="W1763" s="210"/>
      <c r="X1763" s="210"/>
      <c r="Y1763" s="210"/>
      <c r="Z1763" s="210"/>
    </row>
    <row r="1764" ht="21.75" customHeight="1">
      <c r="A1764" s="214"/>
      <c r="B1764" s="221"/>
      <c r="C1764" s="222">
        <v>203.0</v>
      </c>
      <c r="D1764" s="223" t="s">
        <v>1797</v>
      </c>
      <c r="E1764" s="223" t="s">
        <v>487</v>
      </c>
      <c r="F1764" s="223" t="s">
        <v>500</v>
      </c>
      <c r="G1764" s="223" t="s">
        <v>497</v>
      </c>
      <c r="H1764" s="224" t="s">
        <v>490</v>
      </c>
      <c r="I1764" s="208"/>
      <c r="J1764" s="210"/>
      <c r="K1764" s="210"/>
      <c r="L1764" s="210"/>
      <c r="M1764" s="210"/>
      <c r="N1764" s="210"/>
      <c r="O1764" s="210"/>
      <c r="P1764" s="210"/>
      <c r="Q1764" s="210"/>
      <c r="R1764" s="210"/>
      <c r="S1764" s="210"/>
      <c r="T1764" s="210"/>
      <c r="U1764" s="210"/>
      <c r="V1764" s="210"/>
      <c r="W1764" s="210"/>
      <c r="X1764" s="210"/>
      <c r="Y1764" s="210"/>
      <c r="Z1764" s="210"/>
    </row>
    <row r="1765" ht="21.75" customHeight="1">
      <c r="A1765" s="214"/>
      <c r="B1765" s="221"/>
      <c r="C1765" s="222">
        <v>204.0</v>
      </c>
      <c r="D1765" s="223" t="s">
        <v>1798</v>
      </c>
      <c r="E1765" s="223" t="s">
        <v>487</v>
      </c>
      <c r="F1765" s="223" t="s">
        <v>512</v>
      </c>
      <c r="G1765" s="223" t="s">
        <v>526</v>
      </c>
      <c r="H1765" s="224" t="s">
        <v>490</v>
      </c>
      <c r="I1765" s="208"/>
      <c r="J1765" s="210"/>
      <c r="K1765" s="210"/>
      <c r="L1765" s="210"/>
      <c r="M1765" s="210"/>
      <c r="N1765" s="210"/>
      <c r="O1765" s="210"/>
      <c r="P1765" s="210"/>
      <c r="Q1765" s="210"/>
      <c r="R1765" s="210"/>
      <c r="S1765" s="210"/>
      <c r="T1765" s="210"/>
      <c r="U1765" s="210"/>
      <c r="V1765" s="210"/>
      <c r="W1765" s="210"/>
      <c r="X1765" s="210"/>
      <c r="Y1765" s="210"/>
      <c r="Z1765" s="210"/>
    </row>
    <row r="1766" ht="21.75" customHeight="1">
      <c r="A1766" s="214"/>
      <c r="B1766" s="221"/>
      <c r="C1766" s="222">
        <v>205.0</v>
      </c>
      <c r="D1766" s="223" t="s">
        <v>1799</v>
      </c>
      <c r="E1766" s="223" t="s">
        <v>529</v>
      </c>
      <c r="F1766" s="223" t="s">
        <v>530</v>
      </c>
      <c r="G1766" s="218" t="s">
        <v>490</v>
      </c>
      <c r="H1766" s="225" t="s">
        <v>1800</v>
      </c>
      <c r="I1766" s="208"/>
      <c r="J1766" s="210"/>
      <c r="K1766" s="210"/>
      <c r="L1766" s="210"/>
      <c r="M1766" s="210"/>
      <c r="N1766" s="210"/>
      <c r="O1766" s="210"/>
      <c r="P1766" s="210"/>
      <c r="Q1766" s="210"/>
      <c r="R1766" s="210"/>
      <c r="S1766" s="210"/>
      <c r="T1766" s="210"/>
      <c r="U1766" s="210"/>
      <c r="V1766" s="210"/>
      <c r="W1766" s="210"/>
      <c r="X1766" s="210"/>
      <c r="Y1766" s="210"/>
      <c r="Z1766" s="210"/>
    </row>
    <row r="1767" ht="21.75" customHeight="1">
      <c r="A1767" s="214"/>
      <c r="B1767" s="221"/>
      <c r="C1767" s="222">
        <v>206.0</v>
      </c>
      <c r="D1767" s="223" t="s">
        <v>369</v>
      </c>
      <c r="E1767" s="223" t="s">
        <v>487</v>
      </c>
      <c r="F1767" s="223" t="s">
        <v>590</v>
      </c>
      <c r="G1767" s="223" t="s">
        <v>594</v>
      </c>
      <c r="H1767" s="224" t="s">
        <v>490</v>
      </c>
      <c r="I1767" s="208"/>
      <c r="J1767" s="210"/>
      <c r="K1767" s="210"/>
      <c r="L1767" s="210"/>
      <c r="M1767" s="210"/>
      <c r="N1767" s="210"/>
      <c r="O1767" s="210"/>
      <c r="P1767" s="210"/>
      <c r="Q1767" s="210"/>
      <c r="R1767" s="210"/>
      <c r="S1767" s="210"/>
      <c r="T1767" s="210"/>
      <c r="U1767" s="210"/>
      <c r="V1767" s="210"/>
      <c r="W1767" s="210"/>
      <c r="X1767" s="210"/>
      <c r="Y1767" s="210"/>
      <c r="Z1767" s="210"/>
    </row>
    <row r="1768" ht="21.75" customHeight="1">
      <c r="A1768" s="214"/>
      <c r="B1768" s="221"/>
      <c r="C1768" s="222">
        <v>207.0</v>
      </c>
      <c r="D1768" s="223" t="s">
        <v>1801</v>
      </c>
      <c r="E1768" s="223" t="s">
        <v>539</v>
      </c>
      <c r="F1768" s="223" t="s">
        <v>505</v>
      </c>
      <c r="G1768" s="223" t="s">
        <v>606</v>
      </c>
      <c r="H1768" s="224" t="s">
        <v>490</v>
      </c>
      <c r="I1768" s="208"/>
      <c r="J1768" s="210"/>
      <c r="K1768" s="210"/>
      <c r="L1768" s="210"/>
      <c r="M1768" s="210"/>
      <c r="N1768" s="210"/>
      <c r="O1768" s="210"/>
      <c r="P1768" s="210"/>
      <c r="Q1768" s="210"/>
      <c r="R1768" s="210"/>
      <c r="S1768" s="210"/>
      <c r="T1768" s="210"/>
      <c r="U1768" s="210"/>
      <c r="V1768" s="210"/>
      <c r="W1768" s="210"/>
      <c r="X1768" s="210"/>
      <c r="Y1768" s="210"/>
      <c r="Z1768" s="210"/>
    </row>
    <row r="1769" ht="21.75" customHeight="1">
      <c r="A1769" s="214"/>
      <c r="B1769" s="221"/>
      <c r="C1769" s="222">
        <v>208.0</v>
      </c>
      <c r="D1769" s="223" t="s">
        <v>507</v>
      </c>
      <c r="E1769" s="223" t="s">
        <v>508</v>
      </c>
      <c r="F1769" s="223" t="s">
        <v>509</v>
      </c>
      <c r="G1769" s="223" t="s">
        <v>510</v>
      </c>
      <c r="H1769" s="225" t="s">
        <v>1802</v>
      </c>
      <c r="I1769" s="208"/>
      <c r="J1769" s="210"/>
      <c r="K1769" s="210"/>
      <c r="L1769" s="210"/>
      <c r="M1769" s="210"/>
      <c r="N1769" s="210"/>
      <c r="O1769" s="210"/>
      <c r="P1769" s="210"/>
      <c r="Q1769" s="210"/>
      <c r="R1769" s="210"/>
      <c r="S1769" s="210"/>
      <c r="T1769" s="210"/>
      <c r="U1769" s="210"/>
      <c r="V1769" s="210"/>
      <c r="W1769" s="210"/>
      <c r="X1769" s="210"/>
      <c r="Y1769" s="210"/>
      <c r="Z1769" s="210"/>
    </row>
    <row r="1770" ht="21.75" customHeight="1">
      <c r="A1770" s="228"/>
      <c r="B1770" s="221"/>
      <c r="C1770" s="222">
        <v>209.0</v>
      </c>
      <c r="D1770" s="223" t="s">
        <v>862</v>
      </c>
      <c r="E1770" s="223" t="s">
        <v>539</v>
      </c>
      <c r="F1770" s="223" t="s">
        <v>542</v>
      </c>
      <c r="G1770" s="223" t="s">
        <v>864</v>
      </c>
      <c r="H1770" s="224" t="s">
        <v>490</v>
      </c>
      <c r="I1770" s="208"/>
      <c r="J1770" s="210"/>
      <c r="K1770" s="210"/>
      <c r="L1770" s="210"/>
      <c r="M1770" s="210"/>
      <c r="N1770" s="210"/>
      <c r="O1770" s="210"/>
      <c r="P1770" s="210"/>
      <c r="Q1770" s="210"/>
      <c r="R1770" s="210"/>
      <c r="S1770" s="210"/>
      <c r="T1770" s="210"/>
      <c r="U1770" s="210"/>
      <c r="V1770" s="210"/>
      <c r="W1770" s="210"/>
      <c r="X1770" s="210"/>
      <c r="Y1770" s="210"/>
      <c r="Z1770" s="210"/>
    </row>
    <row r="1771" ht="21.75" customHeight="1">
      <c r="A1771" s="214">
        <v>30.0</v>
      </c>
      <c r="B1771" s="215" t="s">
        <v>1803</v>
      </c>
      <c r="C1771" s="216"/>
      <c r="D1771" s="217"/>
      <c r="E1771" s="217"/>
      <c r="F1771" s="217"/>
      <c r="G1771" s="217"/>
      <c r="H1771" s="217"/>
      <c r="I1771" s="208"/>
      <c r="J1771" s="210"/>
      <c r="K1771" s="210"/>
      <c r="L1771" s="210"/>
      <c r="M1771" s="210"/>
      <c r="N1771" s="210"/>
      <c r="O1771" s="210"/>
      <c r="P1771" s="210"/>
      <c r="Q1771" s="210"/>
      <c r="R1771" s="210"/>
      <c r="S1771" s="210"/>
      <c r="T1771" s="210"/>
      <c r="U1771" s="210"/>
      <c r="V1771" s="210"/>
      <c r="W1771" s="210"/>
      <c r="X1771" s="210"/>
      <c r="Y1771" s="210"/>
      <c r="Z1771" s="210"/>
    </row>
    <row r="1772" ht="21.75" customHeight="1">
      <c r="A1772" s="214"/>
      <c r="B1772" s="218" t="s">
        <v>1804</v>
      </c>
      <c r="C1772" s="219">
        <v>50857.0</v>
      </c>
      <c r="D1772" s="220"/>
      <c r="E1772" s="220"/>
      <c r="F1772" s="220"/>
      <c r="G1772" s="220"/>
      <c r="H1772" s="220"/>
      <c r="I1772" s="208"/>
      <c r="J1772" s="210"/>
      <c r="K1772" s="210"/>
      <c r="L1772" s="210"/>
      <c r="M1772" s="210"/>
      <c r="N1772" s="210"/>
      <c r="O1772" s="210"/>
      <c r="P1772" s="210"/>
      <c r="Q1772" s="210"/>
      <c r="R1772" s="210"/>
      <c r="S1772" s="210"/>
      <c r="T1772" s="210"/>
      <c r="U1772" s="210"/>
      <c r="V1772" s="210"/>
      <c r="W1772" s="210"/>
      <c r="X1772" s="210"/>
      <c r="Y1772" s="210"/>
      <c r="Z1772" s="210"/>
    </row>
    <row r="1773" ht="21.75" customHeight="1">
      <c r="A1773" s="214"/>
      <c r="B1773" s="221"/>
      <c r="C1773" s="222">
        <v>100.0</v>
      </c>
      <c r="D1773" s="223" t="s">
        <v>486</v>
      </c>
      <c r="E1773" s="223" t="s">
        <v>487</v>
      </c>
      <c r="F1773" s="223" t="s">
        <v>488</v>
      </c>
      <c r="G1773" s="223" t="s">
        <v>489</v>
      </c>
      <c r="H1773" s="224" t="s">
        <v>490</v>
      </c>
      <c r="I1773" s="208"/>
      <c r="J1773" s="210"/>
      <c r="K1773" s="210"/>
      <c r="L1773" s="210"/>
      <c r="M1773" s="210"/>
      <c r="N1773" s="210"/>
      <c r="O1773" s="210"/>
      <c r="P1773" s="210"/>
      <c r="Q1773" s="210"/>
      <c r="R1773" s="210"/>
      <c r="S1773" s="210"/>
      <c r="T1773" s="210"/>
      <c r="U1773" s="210"/>
      <c r="V1773" s="210"/>
      <c r="W1773" s="210"/>
      <c r="X1773" s="210"/>
      <c r="Y1773" s="210"/>
      <c r="Z1773" s="210"/>
    </row>
    <row r="1774" ht="21.75" customHeight="1">
      <c r="A1774" s="214"/>
      <c r="B1774" s="221"/>
      <c r="C1774" s="222">
        <v>101.0</v>
      </c>
      <c r="D1774" s="223" t="s">
        <v>715</v>
      </c>
      <c r="E1774" s="223" t="s">
        <v>487</v>
      </c>
      <c r="F1774" s="223" t="s">
        <v>492</v>
      </c>
      <c r="G1774" s="223" t="s">
        <v>513</v>
      </c>
      <c r="H1774" s="225" t="s">
        <v>1805</v>
      </c>
      <c r="I1774" s="208"/>
      <c r="J1774" s="210"/>
      <c r="K1774" s="210"/>
      <c r="L1774" s="210"/>
      <c r="M1774" s="210"/>
      <c r="N1774" s="210"/>
      <c r="O1774" s="210"/>
      <c r="P1774" s="210"/>
      <c r="Q1774" s="210"/>
      <c r="R1774" s="210"/>
      <c r="S1774" s="210"/>
      <c r="T1774" s="210"/>
      <c r="U1774" s="210"/>
      <c r="V1774" s="210"/>
      <c r="W1774" s="210"/>
      <c r="X1774" s="210"/>
      <c r="Y1774" s="210"/>
      <c r="Z1774" s="210"/>
    </row>
    <row r="1775" ht="21.75" customHeight="1">
      <c r="A1775" s="214"/>
      <c r="B1775" s="221"/>
      <c r="C1775" s="222">
        <v>102.0</v>
      </c>
      <c r="D1775" s="223" t="s">
        <v>1806</v>
      </c>
      <c r="E1775" s="223" t="s">
        <v>487</v>
      </c>
      <c r="F1775" s="223" t="s">
        <v>496</v>
      </c>
      <c r="G1775" s="223" t="s">
        <v>501</v>
      </c>
      <c r="H1775" s="224" t="s">
        <v>490</v>
      </c>
      <c r="I1775" s="208"/>
      <c r="J1775" s="210"/>
      <c r="K1775" s="210"/>
      <c r="L1775" s="210"/>
      <c r="M1775" s="210"/>
      <c r="N1775" s="210"/>
      <c r="O1775" s="210"/>
      <c r="P1775" s="210"/>
      <c r="Q1775" s="210"/>
      <c r="R1775" s="210"/>
      <c r="S1775" s="210"/>
      <c r="T1775" s="210"/>
      <c r="U1775" s="210"/>
      <c r="V1775" s="210"/>
      <c r="W1775" s="210"/>
      <c r="X1775" s="210"/>
      <c r="Y1775" s="210"/>
      <c r="Z1775" s="210"/>
    </row>
    <row r="1776" ht="21.75" customHeight="1">
      <c r="A1776" s="214"/>
      <c r="B1776" s="221"/>
      <c r="C1776" s="222">
        <v>103.0</v>
      </c>
      <c r="D1776" s="223" t="s">
        <v>1807</v>
      </c>
      <c r="E1776" s="223" t="s">
        <v>791</v>
      </c>
      <c r="F1776" s="223" t="s">
        <v>500</v>
      </c>
      <c r="G1776" s="218" t="s">
        <v>490</v>
      </c>
      <c r="H1776" s="225" t="s">
        <v>1808</v>
      </c>
      <c r="I1776" s="208"/>
      <c r="J1776" s="210"/>
      <c r="K1776" s="210"/>
      <c r="L1776" s="210"/>
      <c r="M1776" s="210"/>
      <c r="N1776" s="210"/>
      <c r="O1776" s="210"/>
      <c r="P1776" s="210"/>
      <c r="Q1776" s="210"/>
      <c r="R1776" s="210"/>
      <c r="S1776" s="210"/>
      <c r="T1776" s="210"/>
      <c r="U1776" s="210"/>
      <c r="V1776" s="210"/>
      <c r="W1776" s="210"/>
      <c r="X1776" s="210"/>
      <c r="Y1776" s="210"/>
      <c r="Z1776" s="210"/>
    </row>
    <row r="1777" ht="21.75" customHeight="1">
      <c r="A1777" s="214"/>
      <c r="B1777" s="221"/>
      <c r="C1777" s="222">
        <v>104.0</v>
      </c>
      <c r="D1777" s="223" t="s">
        <v>1809</v>
      </c>
      <c r="E1777" s="223" t="s">
        <v>487</v>
      </c>
      <c r="F1777" s="223" t="s">
        <v>512</v>
      </c>
      <c r="G1777" s="223" t="s">
        <v>497</v>
      </c>
      <c r="H1777" s="225" t="s">
        <v>1810</v>
      </c>
      <c r="I1777" s="208"/>
      <c r="J1777" s="210"/>
      <c r="K1777" s="210"/>
      <c r="L1777" s="210"/>
      <c r="M1777" s="210"/>
      <c r="N1777" s="210"/>
      <c r="O1777" s="210"/>
      <c r="P1777" s="210"/>
      <c r="Q1777" s="210"/>
      <c r="R1777" s="210"/>
      <c r="S1777" s="210"/>
      <c r="T1777" s="210"/>
      <c r="U1777" s="210"/>
      <c r="V1777" s="210"/>
      <c r="W1777" s="210"/>
      <c r="X1777" s="210"/>
      <c r="Y1777" s="210"/>
      <c r="Z1777" s="210"/>
    </row>
    <row r="1778" ht="21.75" customHeight="1">
      <c r="A1778" s="214"/>
      <c r="B1778" s="221"/>
      <c r="C1778" s="222">
        <v>105.0</v>
      </c>
      <c r="D1778" s="223" t="s">
        <v>1807</v>
      </c>
      <c r="E1778" s="223" t="s">
        <v>487</v>
      </c>
      <c r="F1778" s="223" t="s">
        <v>603</v>
      </c>
      <c r="G1778" s="223" t="s">
        <v>493</v>
      </c>
      <c r="H1778" s="224" t="s">
        <v>490</v>
      </c>
      <c r="I1778" s="208"/>
      <c r="J1778" s="210"/>
      <c r="K1778" s="210"/>
      <c r="L1778" s="210"/>
      <c r="M1778" s="210"/>
      <c r="N1778" s="210"/>
      <c r="O1778" s="210"/>
      <c r="P1778" s="210"/>
      <c r="Q1778" s="210"/>
      <c r="R1778" s="210"/>
      <c r="S1778" s="210"/>
      <c r="T1778" s="210"/>
      <c r="U1778" s="210"/>
      <c r="V1778" s="210"/>
      <c r="W1778" s="210"/>
      <c r="X1778" s="210"/>
      <c r="Y1778" s="210"/>
      <c r="Z1778" s="210"/>
    </row>
    <row r="1779" ht="21.75" customHeight="1">
      <c r="A1779" s="214"/>
      <c r="B1779" s="221"/>
      <c r="C1779" s="222">
        <v>106.0</v>
      </c>
      <c r="D1779" s="223" t="s">
        <v>1811</v>
      </c>
      <c r="E1779" s="223" t="s">
        <v>487</v>
      </c>
      <c r="F1779" s="223" t="s">
        <v>532</v>
      </c>
      <c r="G1779" s="223" t="s">
        <v>594</v>
      </c>
      <c r="H1779" s="225" t="s">
        <v>1812</v>
      </c>
      <c r="I1779" s="208"/>
      <c r="J1779" s="210"/>
      <c r="K1779" s="210"/>
      <c r="L1779" s="210"/>
      <c r="M1779" s="210"/>
      <c r="N1779" s="210"/>
      <c r="O1779" s="210"/>
      <c r="P1779" s="210"/>
      <c r="Q1779" s="210"/>
      <c r="R1779" s="210"/>
      <c r="S1779" s="210"/>
      <c r="T1779" s="210"/>
      <c r="U1779" s="210"/>
      <c r="V1779" s="210"/>
      <c r="W1779" s="210"/>
      <c r="X1779" s="210"/>
      <c r="Y1779" s="210"/>
      <c r="Z1779" s="210"/>
    </row>
    <row r="1780" ht="21.75" customHeight="1">
      <c r="A1780" s="214"/>
      <c r="B1780" s="221"/>
      <c r="C1780" s="222">
        <v>107.0</v>
      </c>
      <c r="D1780" s="223" t="s">
        <v>1813</v>
      </c>
      <c r="E1780" s="223" t="s">
        <v>487</v>
      </c>
      <c r="F1780" s="223" t="s">
        <v>590</v>
      </c>
      <c r="G1780" s="223" t="s">
        <v>526</v>
      </c>
      <c r="H1780" s="225" t="s">
        <v>1814</v>
      </c>
      <c r="I1780" s="208"/>
      <c r="J1780" s="210"/>
      <c r="K1780" s="210"/>
      <c r="L1780" s="210"/>
      <c r="M1780" s="210"/>
      <c r="N1780" s="210"/>
      <c r="O1780" s="210"/>
      <c r="P1780" s="210"/>
      <c r="Q1780" s="210"/>
      <c r="R1780" s="210"/>
      <c r="S1780" s="210"/>
      <c r="T1780" s="210"/>
      <c r="U1780" s="210"/>
      <c r="V1780" s="210"/>
      <c r="W1780" s="210"/>
      <c r="X1780" s="210"/>
      <c r="Y1780" s="210"/>
      <c r="Z1780" s="210"/>
    </row>
    <row r="1781" ht="21.75" customHeight="1">
      <c r="A1781" s="214"/>
      <c r="B1781" s="221"/>
      <c r="C1781" s="222">
        <v>108.0</v>
      </c>
      <c r="D1781" s="223" t="s">
        <v>904</v>
      </c>
      <c r="E1781" s="223" t="s">
        <v>539</v>
      </c>
      <c r="F1781" s="223" t="s">
        <v>542</v>
      </c>
      <c r="G1781" s="223" t="s">
        <v>606</v>
      </c>
      <c r="H1781" s="225" t="s">
        <v>1815</v>
      </c>
      <c r="I1781" s="208"/>
      <c r="J1781" s="210"/>
      <c r="K1781" s="210"/>
      <c r="L1781" s="210"/>
      <c r="M1781" s="210"/>
      <c r="N1781" s="210"/>
      <c r="O1781" s="210"/>
      <c r="P1781" s="210"/>
      <c r="Q1781" s="210"/>
      <c r="R1781" s="210"/>
      <c r="S1781" s="210"/>
      <c r="T1781" s="210"/>
      <c r="U1781" s="210"/>
      <c r="V1781" s="210"/>
      <c r="W1781" s="210"/>
      <c r="X1781" s="210"/>
      <c r="Y1781" s="210"/>
      <c r="Z1781" s="210"/>
    </row>
    <row r="1782" ht="21.75" customHeight="1">
      <c r="A1782" s="214"/>
      <c r="B1782" s="221"/>
      <c r="C1782" s="222">
        <v>109.0</v>
      </c>
      <c r="D1782" s="223" t="s">
        <v>1816</v>
      </c>
      <c r="E1782" s="223" t="s">
        <v>539</v>
      </c>
      <c r="F1782" s="223" t="s">
        <v>621</v>
      </c>
      <c r="G1782" s="223" t="s">
        <v>561</v>
      </c>
      <c r="H1782" s="224" t="s">
        <v>490</v>
      </c>
      <c r="I1782" s="208"/>
      <c r="J1782" s="210"/>
      <c r="K1782" s="210"/>
      <c r="L1782" s="210"/>
      <c r="M1782" s="210"/>
      <c r="N1782" s="210"/>
      <c r="O1782" s="210"/>
      <c r="P1782" s="210"/>
      <c r="Q1782" s="210"/>
      <c r="R1782" s="210"/>
      <c r="S1782" s="210"/>
      <c r="T1782" s="210"/>
      <c r="U1782" s="210"/>
      <c r="V1782" s="210"/>
      <c r="W1782" s="210"/>
      <c r="X1782" s="210"/>
      <c r="Y1782" s="210"/>
      <c r="Z1782" s="210"/>
    </row>
    <row r="1783" ht="21.75" customHeight="1">
      <c r="A1783" s="214"/>
      <c r="B1783" s="221"/>
      <c r="C1783" s="222">
        <v>110.0</v>
      </c>
      <c r="D1783" s="223" t="s">
        <v>507</v>
      </c>
      <c r="E1783" s="223" t="s">
        <v>508</v>
      </c>
      <c r="F1783" s="223" t="s">
        <v>509</v>
      </c>
      <c r="G1783" s="223" t="s">
        <v>510</v>
      </c>
      <c r="H1783" s="225" t="s">
        <v>1817</v>
      </c>
      <c r="I1783" s="208"/>
      <c r="J1783" s="210"/>
      <c r="K1783" s="210"/>
      <c r="L1783" s="210"/>
      <c r="M1783" s="210"/>
      <c r="N1783" s="210"/>
      <c r="O1783" s="210"/>
      <c r="P1783" s="210"/>
      <c r="Q1783" s="210"/>
      <c r="R1783" s="210"/>
      <c r="S1783" s="210"/>
      <c r="T1783" s="210"/>
      <c r="U1783" s="210"/>
      <c r="V1783" s="210"/>
      <c r="W1783" s="210"/>
      <c r="X1783" s="210"/>
      <c r="Y1783" s="210"/>
      <c r="Z1783" s="210"/>
    </row>
    <row r="1784" ht="21.75" customHeight="1">
      <c r="A1784" s="228"/>
      <c r="B1784" s="221"/>
      <c r="C1784" s="222">
        <v>111.0</v>
      </c>
      <c r="D1784" s="223" t="s">
        <v>1818</v>
      </c>
      <c r="E1784" s="223" t="s">
        <v>539</v>
      </c>
      <c r="F1784" s="223" t="s">
        <v>1818</v>
      </c>
      <c r="G1784" s="218" t="s">
        <v>490</v>
      </c>
      <c r="H1784" s="224" t="s">
        <v>490</v>
      </c>
      <c r="I1784" s="208"/>
      <c r="J1784" s="210"/>
      <c r="K1784" s="210"/>
      <c r="L1784" s="210"/>
      <c r="M1784" s="210"/>
      <c r="N1784" s="210"/>
      <c r="O1784" s="210"/>
      <c r="P1784" s="210"/>
      <c r="Q1784" s="210"/>
      <c r="R1784" s="210"/>
      <c r="S1784" s="210"/>
      <c r="T1784" s="210"/>
      <c r="U1784" s="210"/>
      <c r="V1784" s="210"/>
      <c r="W1784" s="210"/>
      <c r="X1784" s="210"/>
      <c r="Y1784" s="210"/>
      <c r="Z1784" s="210"/>
    </row>
    <row r="1785" ht="21.75" customHeight="1">
      <c r="A1785" s="214">
        <v>301.0</v>
      </c>
      <c r="B1785" s="215" t="s">
        <v>1819</v>
      </c>
      <c r="C1785" s="216"/>
      <c r="D1785" s="217"/>
      <c r="E1785" s="217"/>
      <c r="F1785" s="217"/>
      <c r="G1785" s="217"/>
      <c r="H1785" s="217"/>
      <c r="I1785" s="208"/>
      <c r="J1785" s="210"/>
      <c r="K1785" s="210"/>
      <c r="L1785" s="210"/>
      <c r="M1785" s="210"/>
      <c r="N1785" s="210"/>
      <c r="O1785" s="210"/>
      <c r="P1785" s="210"/>
      <c r="Q1785" s="210"/>
      <c r="R1785" s="210"/>
      <c r="S1785" s="210"/>
      <c r="T1785" s="210"/>
      <c r="U1785" s="210"/>
      <c r="V1785" s="210"/>
      <c r="W1785" s="210"/>
      <c r="X1785" s="210"/>
      <c r="Y1785" s="210"/>
      <c r="Z1785" s="210"/>
    </row>
    <row r="1786" ht="21.75" customHeight="1">
      <c r="A1786" s="214"/>
      <c r="B1786" s="218" t="s">
        <v>1820</v>
      </c>
      <c r="C1786" s="219">
        <v>50930.0</v>
      </c>
      <c r="D1786" s="220"/>
      <c r="E1786" s="220"/>
      <c r="F1786" s="220"/>
      <c r="G1786" s="220"/>
      <c r="H1786" s="220"/>
      <c r="I1786" s="208"/>
      <c r="J1786" s="210"/>
      <c r="K1786" s="210"/>
      <c r="L1786" s="210"/>
      <c r="M1786" s="210"/>
      <c r="N1786" s="210"/>
      <c r="O1786" s="210"/>
      <c r="P1786" s="210"/>
      <c r="Q1786" s="210"/>
      <c r="R1786" s="210"/>
      <c r="S1786" s="210"/>
      <c r="T1786" s="210"/>
      <c r="U1786" s="210"/>
      <c r="V1786" s="210"/>
      <c r="W1786" s="210"/>
      <c r="X1786" s="210"/>
      <c r="Y1786" s="210"/>
      <c r="Z1786" s="210"/>
    </row>
    <row r="1787" ht="21.75" customHeight="1">
      <c r="A1787" s="214"/>
      <c r="B1787" s="221"/>
      <c r="C1787" s="222">
        <v>100.0</v>
      </c>
      <c r="D1787" s="223" t="s">
        <v>486</v>
      </c>
      <c r="E1787" s="223" t="s">
        <v>487</v>
      </c>
      <c r="F1787" s="223" t="s">
        <v>488</v>
      </c>
      <c r="G1787" s="223" t="s">
        <v>489</v>
      </c>
      <c r="H1787" s="224" t="s">
        <v>490</v>
      </c>
      <c r="I1787" s="208"/>
      <c r="J1787" s="210"/>
      <c r="K1787" s="210"/>
      <c r="L1787" s="210"/>
      <c r="M1787" s="210"/>
      <c r="N1787" s="210"/>
      <c r="O1787" s="210"/>
      <c r="P1787" s="210"/>
      <c r="Q1787" s="210"/>
      <c r="R1787" s="210"/>
      <c r="S1787" s="210"/>
      <c r="T1787" s="210"/>
      <c r="U1787" s="210"/>
      <c r="V1787" s="210"/>
      <c r="W1787" s="210"/>
      <c r="X1787" s="210"/>
      <c r="Y1787" s="210"/>
      <c r="Z1787" s="210"/>
    </row>
    <row r="1788" ht="21.75" customHeight="1">
      <c r="A1788" s="214"/>
      <c r="B1788" s="221"/>
      <c r="C1788" s="222">
        <v>101.0</v>
      </c>
      <c r="D1788" s="223" t="s">
        <v>491</v>
      </c>
      <c r="E1788" s="223" t="s">
        <v>487</v>
      </c>
      <c r="F1788" s="223" t="s">
        <v>492</v>
      </c>
      <c r="G1788" s="223" t="s">
        <v>678</v>
      </c>
      <c r="H1788" s="225" t="s">
        <v>1821</v>
      </c>
      <c r="I1788" s="208"/>
      <c r="J1788" s="210"/>
      <c r="K1788" s="210"/>
      <c r="L1788" s="210"/>
      <c r="M1788" s="210"/>
      <c r="N1788" s="210"/>
      <c r="O1788" s="210"/>
      <c r="P1788" s="210"/>
      <c r="Q1788" s="210"/>
      <c r="R1788" s="210"/>
      <c r="S1788" s="210"/>
      <c r="T1788" s="210"/>
      <c r="U1788" s="210"/>
      <c r="V1788" s="210"/>
      <c r="W1788" s="210"/>
      <c r="X1788" s="210"/>
      <c r="Y1788" s="210"/>
      <c r="Z1788" s="210"/>
    </row>
    <row r="1789" ht="21.75" customHeight="1">
      <c r="A1789" s="214"/>
      <c r="B1789" s="221"/>
      <c r="C1789" s="222">
        <v>102.0</v>
      </c>
      <c r="D1789" s="223" t="s">
        <v>884</v>
      </c>
      <c r="E1789" s="223" t="s">
        <v>487</v>
      </c>
      <c r="F1789" s="223" t="s">
        <v>496</v>
      </c>
      <c r="G1789" s="223" t="s">
        <v>497</v>
      </c>
      <c r="H1789" s="224" t="s">
        <v>490</v>
      </c>
      <c r="I1789" s="208"/>
      <c r="J1789" s="210"/>
      <c r="K1789" s="210"/>
      <c r="L1789" s="210"/>
      <c r="M1789" s="210"/>
      <c r="N1789" s="210"/>
      <c r="O1789" s="210"/>
      <c r="P1789" s="210"/>
      <c r="Q1789" s="210"/>
      <c r="R1789" s="210"/>
      <c r="S1789" s="210"/>
      <c r="T1789" s="210"/>
      <c r="U1789" s="210"/>
      <c r="V1789" s="210"/>
      <c r="W1789" s="210"/>
      <c r="X1789" s="210"/>
      <c r="Y1789" s="210"/>
      <c r="Z1789" s="210"/>
    </row>
    <row r="1790" ht="21.75" customHeight="1">
      <c r="A1790" s="228"/>
      <c r="B1790" s="221"/>
      <c r="C1790" s="222">
        <v>103.0</v>
      </c>
      <c r="D1790" s="223" t="s">
        <v>1822</v>
      </c>
      <c r="E1790" s="223" t="s">
        <v>508</v>
      </c>
      <c r="F1790" s="223" t="s">
        <v>509</v>
      </c>
      <c r="G1790" s="223" t="s">
        <v>510</v>
      </c>
      <c r="H1790" s="225" t="s">
        <v>1823</v>
      </c>
      <c r="I1790" s="208"/>
      <c r="J1790" s="210"/>
      <c r="K1790" s="210"/>
      <c r="L1790" s="210"/>
      <c r="M1790" s="210"/>
      <c r="N1790" s="210"/>
      <c r="O1790" s="210"/>
      <c r="P1790" s="210"/>
      <c r="Q1790" s="210"/>
      <c r="R1790" s="210"/>
      <c r="S1790" s="210"/>
      <c r="T1790" s="210"/>
      <c r="U1790" s="210"/>
      <c r="V1790" s="210"/>
      <c r="W1790" s="210"/>
      <c r="X1790" s="210"/>
      <c r="Y1790" s="210"/>
      <c r="Z1790" s="210"/>
    </row>
    <row r="1791" ht="21.75" customHeight="1">
      <c r="A1791" s="214">
        <v>302.0</v>
      </c>
      <c r="B1791" s="215" t="s">
        <v>1824</v>
      </c>
      <c r="C1791" s="216"/>
      <c r="D1791" s="217"/>
      <c r="E1791" s="217"/>
      <c r="F1791" s="217"/>
      <c r="G1791" s="217"/>
      <c r="H1791" s="217"/>
      <c r="I1791" s="208"/>
      <c r="J1791" s="210"/>
      <c r="K1791" s="210"/>
      <c r="L1791" s="210"/>
      <c r="M1791" s="210"/>
      <c r="N1791" s="210"/>
      <c r="O1791" s="210"/>
      <c r="P1791" s="210"/>
      <c r="Q1791" s="210"/>
      <c r="R1791" s="210"/>
      <c r="S1791" s="210"/>
      <c r="T1791" s="210"/>
      <c r="U1791" s="210"/>
      <c r="V1791" s="210"/>
      <c r="W1791" s="210"/>
      <c r="X1791" s="210"/>
      <c r="Y1791" s="210"/>
      <c r="Z1791" s="210"/>
    </row>
    <row r="1792" ht="21.75" customHeight="1">
      <c r="A1792" s="214"/>
      <c r="B1792" s="218" t="s">
        <v>1825</v>
      </c>
      <c r="C1792" s="219">
        <v>50932.0</v>
      </c>
      <c r="D1792" s="220"/>
      <c r="E1792" s="220"/>
      <c r="F1792" s="220"/>
      <c r="G1792" s="220"/>
      <c r="H1792" s="220"/>
      <c r="I1792" s="208"/>
      <c r="J1792" s="210"/>
      <c r="K1792" s="210"/>
      <c r="L1792" s="210"/>
      <c r="M1792" s="210"/>
      <c r="N1792" s="210"/>
      <c r="O1792" s="210"/>
      <c r="P1792" s="210"/>
      <c r="Q1792" s="210"/>
      <c r="R1792" s="210"/>
      <c r="S1792" s="210"/>
      <c r="T1792" s="210"/>
      <c r="U1792" s="210"/>
      <c r="V1792" s="210"/>
      <c r="W1792" s="210"/>
      <c r="X1792" s="210"/>
      <c r="Y1792" s="210"/>
      <c r="Z1792" s="210"/>
    </row>
    <row r="1793" ht="21.75" customHeight="1">
      <c r="A1793" s="214"/>
      <c r="B1793" s="221"/>
      <c r="C1793" s="222">
        <v>100.0</v>
      </c>
      <c r="D1793" s="223" t="s">
        <v>486</v>
      </c>
      <c r="E1793" s="223" t="s">
        <v>487</v>
      </c>
      <c r="F1793" s="223" t="s">
        <v>488</v>
      </c>
      <c r="G1793" s="223" t="s">
        <v>489</v>
      </c>
      <c r="H1793" s="224" t="s">
        <v>490</v>
      </c>
      <c r="I1793" s="208"/>
      <c r="J1793" s="210"/>
      <c r="K1793" s="210"/>
      <c r="L1793" s="210"/>
      <c r="M1793" s="210"/>
      <c r="N1793" s="210"/>
      <c r="O1793" s="210"/>
      <c r="P1793" s="210"/>
      <c r="Q1793" s="210"/>
      <c r="R1793" s="210"/>
      <c r="S1793" s="210"/>
      <c r="T1793" s="210"/>
      <c r="U1793" s="210"/>
      <c r="V1793" s="210"/>
      <c r="W1793" s="210"/>
      <c r="X1793" s="210"/>
      <c r="Y1793" s="210"/>
      <c r="Z1793" s="210"/>
    </row>
    <row r="1794" ht="21.75" customHeight="1">
      <c r="A1794" s="214"/>
      <c r="B1794" s="221"/>
      <c r="C1794" s="222">
        <v>101.0</v>
      </c>
      <c r="D1794" s="223" t="s">
        <v>491</v>
      </c>
      <c r="E1794" s="223" t="s">
        <v>487</v>
      </c>
      <c r="F1794" s="223" t="s">
        <v>492</v>
      </c>
      <c r="G1794" s="223" t="s">
        <v>678</v>
      </c>
      <c r="H1794" s="225" t="s">
        <v>1826</v>
      </c>
      <c r="I1794" s="208"/>
      <c r="J1794" s="210"/>
      <c r="K1794" s="210"/>
      <c r="L1794" s="210"/>
      <c r="M1794" s="210"/>
      <c r="N1794" s="210"/>
      <c r="O1794" s="210"/>
      <c r="P1794" s="210"/>
      <c r="Q1794" s="210"/>
      <c r="R1794" s="210"/>
      <c r="S1794" s="210"/>
      <c r="T1794" s="210"/>
      <c r="U1794" s="210"/>
      <c r="V1794" s="210"/>
      <c r="W1794" s="210"/>
      <c r="X1794" s="210"/>
      <c r="Y1794" s="210"/>
      <c r="Z1794" s="210"/>
    </row>
    <row r="1795" ht="21.75" customHeight="1">
      <c r="A1795" s="214"/>
      <c r="B1795" s="221"/>
      <c r="C1795" s="222">
        <v>102.0</v>
      </c>
      <c r="D1795" s="223" t="s">
        <v>837</v>
      </c>
      <c r="E1795" s="223" t="s">
        <v>529</v>
      </c>
      <c r="F1795" s="223" t="s">
        <v>530</v>
      </c>
      <c r="G1795" s="218" t="s">
        <v>490</v>
      </c>
      <c r="H1795" s="225" t="s">
        <v>1827</v>
      </c>
      <c r="I1795" s="208"/>
      <c r="J1795" s="210"/>
      <c r="K1795" s="210"/>
      <c r="L1795" s="210"/>
      <c r="M1795" s="210"/>
      <c r="N1795" s="210"/>
      <c r="O1795" s="210"/>
      <c r="P1795" s="210"/>
      <c r="Q1795" s="210"/>
      <c r="R1795" s="210"/>
      <c r="S1795" s="210"/>
      <c r="T1795" s="210"/>
      <c r="U1795" s="210"/>
      <c r="V1795" s="210"/>
      <c r="W1795" s="210"/>
      <c r="X1795" s="210"/>
      <c r="Y1795" s="210"/>
      <c r="Z1795" s="210"/>
    </row>
    <row r="1796" ht="21.75" customHeight="1">
      <c r="A1796" s="214"/>
      <c r="B1796" s="221"/>
      <c r="C1796" s="222">
        <v>103.0</v>
      </c>
      <c r="D1796" s="223" t="s">
        <v>516</v>
      </c>
      <c r="E1796" s="223" t="s">
        <v>487</v>
      </c>
      <c r="F1796" s="223" t="s">
        <v>500</v>
      </c>
      <c r="G1796" s="223" t="s">
        <v>493</v>
      </c>
      <c r="H1796" s="225" t="s">
        <v>1828</v>
      </c>
      <c r="I1796" s="208"/>
      <c r="J1796" s="210"/>
      <c r="K1796" s="210"/>
      <c r="L1796" s="210"/>
      <c r="M1796" s="210"/>
      <c r="N1796" s="210"/>
      <c r="O1796" s="210"/>
      <c r="P1796" s="210"/>
      <c r="Q1796" s="210"/>
      <c r="R1796" s="210"/>
      <c r="S1796" s="210"/>
      <c r="T1796" s="210"/>
      <c r="U1796" s="210"/>
      <c r="V1796" s="210"/>
      <c r="W1796" s="210"/>
      <c r="X1796" s="210"/>
      <c r="Y1796" s="210"/>
      <c r="Z1796" s="210"/>
    </row>
    <row r="1797" ht="21.75" customHeight="1">
      <c r="A1797" s="214"/>
      <c r="B1797" s="221"/>
      <c r="C1797" s="222">
        <v>104.0</v>
      </c>
      <c r="D1797" s="223" t="s">
        <v>1485</v>
      </c>
      <c r="E1797" s="223" t="s">
        <v>487</v>
      </c>
      <c r="F1797" s="223" t="s">
        <v>512</v>
      </c>
      <c r="G1797" s="223" t="s">
        <v>501</v>
      </c>
      <c r="H1797" s="225" t="s">
        <v>1829</v>
      </c>
      <c r="I1797" s="208"/>
      <c r="J1797" s="210"/>
      <c r="K1797" s="210"/>
      <c r="L1797" s="210"/>
      <c r="M1797" s="210"/>
      <c r="N1797" s="210"/>
      <c r="O1797" s="210"/>
      <c r="P1797" s="210"/>
      <c r="Q1797" s="210"/>
      <c r="R1797" s="210"/>
      <c r="S1797" s="210"/>
      <c r="T1797" s="210"/>
      <c r="U1797" s="210"/>
      <c r="V1797" s="210"/>
      <c r="W1797" s="210"/>
      <c r="X1797" s="210"/>
      <c r="Y1797" s="210"/>
      <c r="Z1797" s="210"/>
    </row>
    <row r="1798" ht="21.75" customHeight="1">
      <c r="A1798" s="214"/>
      <c r="B1798" s="221"/>
      <c r="C1798" s="222">
        <v>105.0</v>
      </c>
      <c r="D1798" s="223" t="s">
        <v>928</v>
      </c>
      <c r="E1798" s="223" t="s">
        <v>487</v>
      </c>
      <c r="F1798" s="223" t="s">
        <v>532</v>
      </c>
      <c r="G1798" s="223" t="s">
        <v>497</v>
      </c>
      <c r="H1798" s="225" t="s">
        <v>1830</v>
      </c>
      <c r="I1798" s="208"/>
      <c r="J1798" s="210"/>
      <c r="K1798" s="210"/>
      <c r="L1798" s="210"/>
      <c r="M1798" s="210"/>
      <c r="N1798" s="210"/>
      <c r="O1798" s="210"/>
      <c r="P1798" s="210"/>
      <c r="Q1798" s="210"/>
      <c r="R1798" s="210"/>
      <c r="S1798" s="210"/>
      <c r="T1798" s="210"/>
      <c r="U1798" s="210"/>
      <c r="V1798" s="210"/>
      <c r="W1798" s="210"/>
      <c r="X1798" s="210"/>
      <c r="Y1798" s="210"/>
      <c r="Z1798" s="210"/>
    </row>
    <row r="1799" ht="21.75" customHeight="1">
      <c r="A1799" s="214"/>
      <c r="B1799" s="221"/>
      <c r="C1799" s="222">
        <v>106.0</v>
      </c>
      <c r="D1799" s="223" t="s">
        <v>519</v>
      </c>
      <c r="E1799" s="223" t="s">
        <v>508</v>
      </c>
      <c r="F1799" s="223" t="s">
        <v>509</v>
      </c>
      <c r="G1799" s="223" t="s">
        <v>510</v>
      </c>
      <c r="H1799" s="225" t="s">
        <v>1831</v>
      </c>
      <c r="I1799" s="208"/>
      <c r="J1799" s="210"/>
      <c r="K1799" s="210"/>
      <c r="L1799" s="210"/>
      <c r="M1799" s="210"/>
      <c r="N1799" s="210"/>
      <c r="O1799" s="210"/>
      <c r="P1799" s="210"/>
      <c r="Q1799" s="210"/>
      <c r="R1799" s="210"/>
      <c r="S1799" s="210"/>
      <c r="T1799" s="210"/>
      <c r="U1799" s="210"/>
      <c r="V1799" s="210"/>
      <c r="W1799" s="210"/>
      <c r="X1799" s="210"/>
      <c r="Y1799" s="210"/>
      <c r="Z1799" s="210"/>
    </row>
    <row r="1800" ht="21.75" customHeight="1">
      <c r="A1800" s="228"/>
      <c r="B1800" s="221"/>
      <c r="C1800" s="222">
        <v>107.0</v>
      </c>
      <c r="D1800" s="223" t="s">
        <v>837</v>
      </c>
      <c r="E1800" s="223" t="s">
        <v>487</v>
      </c>
      <c r="F1800" s="223" t="s">
        <v>826</v>
      </c>
      <c r="G1800" s="223" t="s">
        <v>526</v>
      </c>
      <c r="H1800" s="224" t="s">
        <v>490</v>
      </c>
      <c r="I1800" s="208"/>
      <c r="J1800" s="210"/>
      <c r="K1800" s="210"/>
      <c r="L1800" s="210"/>
      <c r="M1800" s="210"/>
      <c r="N1800" s="210"/>
      <c r="O1800" s="210"/>
      <c r="P1800" s="210"/>
      <c r="Q1800" s="210"/>
      <c r="R1800" s="210"/>
      <c r="S1800" s="210"/>
      <c r="T1800" s="210"/>
      <c r="U1800" s="210"/>
      <c r="V1800" s="210"/>
      <c r="W1800" s="210"/>
      <c r="X1800" s="210"/>
      <c r="Y1800" s="210"/>
      <c r="Z1800" s="210"/>
    </row>
    <row r="1801" ht="21.75" customHeight="1">
      <c r="A1801" s="214">
        <v>307.0</v>
      </c>
      <c r="B1801" s="215" t="s">
        <v>1832</v>
      </c>
      <c r="C1801" s="216"/>
      <c r="D1801" s="217"/>
      <c r="E1801" s="217"/>
      <c r="F1801" s="217"/>
      <c r="G1801" s="217"/>
      <c r="H1801" s="217"/>
      <c r="I1801" s="208"/>
      <c r="J1801" s="210"/>
      <c r="K1801" s="210"/>
      <c r="L1801" s="210"/>
      <c r="M1801" s="210"/>
      <c r="N1801" s="210"/>
      <c r="O1801" s="210"/>
      <c r="P1801" s="210"/>
      <c r="Q1801" s="210"/>
      <c r="R1801" s="210"/>
      <c r="S1801" s="210"/>
      <c r="T1801" s="210"/>
      <c r="U1801" s="210"/>
      <c r="V1801" s="210"/>
      <c r="W1801" s="210"/>
      <c r="X1801" s="210"/>
      <c r="Y1801" s="210"/>
      <c r="Z1801" s="210"/>
    </row>
    <row r="1802" ht="21.75" customHeight="1">
      <c r="A1802" s="214"/>
      <c r="B1802" s="218" t="s">
        <v>1833</v>
      </c>
      <c r="C1802" s="219">
        <v>50948.0</v>
      </c>
      <c r="D1802" s="220"/>
      <c r="E1802" s="220"/>
      <c r="F1802" s="220"/>
      <c r="G1802" s="220"/>
      <c r="H1802" s="220"/>
      <c r="I1802" s="208"/>
      <c r="J1802" s="210"/>
      <c r="K1802" s="210"/>
      <c r="L1802" s="210"/>
      <c r="M1802" s="210"/>
      <c r="N1802" s="210"/>
      <c r="O1802" s="210"/>
      <c r="P1802" s="210"/>
      <c r="Q1802" s="210"/>
      <c r="R1802" s="210"/>
      <c r="S1802" s="210"/>
      <c r="T1802" s="210"/>
      <c r="U1802" s="210"/>
      <c r="V1802" s="210"/>
      <c r="W1802" s="210"/>
      <c r="X1802" s="210"/>
      <c r="Y1802" s="210"/>
      <c r="Z1802" s="210"/>
    </row>
    <row r="1803" ht="21.75" customHeight="1">
      <c r="A1803" s="214"/>
      <c r="B1803" s="221"/>
      <c r="C1803" s="222">
        <v>100.0</v>
      </c>
      <c r="D1803" s="223" t="s">
        <v>491</v>
      </c>
      <c r="E1803" s="223" t="s">
        <v>487</v>
      </c>
      <c r="F1803" s="223" t="s">
        <v>488</v>
      </c>
      <c r="G1803" s="223" t="s">
        <v>678</v>
      </c>
      <c r="H1803" s="225" t="s">
        <v>1834</v>
      </c>
      <c r="I1803" s="208"/>
      <c r="J1803" s="210"/>
      <c r="K1803" s="210"/>
      <c r="L1803" s="210"/>
      <c r="M1803" s="210"/>
      <c r="N1803" s="210"/>
      <c r="O1803" s="210"/>
      <c r="P1803" s="210"/>
      <c r="Q1803" s="210"/>
      <c r="R1803" s="210"/>
      <c r="S1803" s="210"/>
      <c r="T1803" s="210"/>
      <c r="U1803" s="210"/>
      <c r="V1803" s="210"/>
      <c r="W1803" s="210"/>
      <c r="X1803" s="210"/>
      <c r="Y1803" s="210"/>
      <c r="Z1803" s="210"/>
    </row>
    <row r="1804" ht="21.75" customHeight="1">
      <c r="A1804" s="214"/>
      <c r="B1804" s="221"/>
      <c r="C1804" s="222">
        <v>101.0</v>
      </c>
      <c r="D1804" s="223" t="s">
        <v>749</v>
      </c>
      <c r="E1804" s="223" t="s">
        <v>487</v>
      </c>
      <c r="F1804" s="223" t="s">
        <v>492</v>
      </c>
      <c r="G1804" s="223" t="s">
        <v>497</v>
      </c>
      <c r="H1804" s="224" t="s">
        <v>490</v>
      </c>
      <c r="I1804" s="208"/>
      <c r="J1804" s="210"/>
      <c r="K1804" s="210"/>
      <c r="L1804" s="210"/>
      <c r="M1804" s="210"/>
      <c r="N1804" s="210"/>
      <c r="O1804" s="210"/>
      <c r="P1804" s="210"/>
      <c r="Q1804" s="210"/>
      <c r="R1804" s="210"/>
      <c r="S1804" s="210"/>
      <c r="T1804" s="210"/>
      <c r="U1804" s="210"/>
      <c r="V1804" s="210"/>
      <c r="W1804" s="210"/>
      <c r="X1804" s="210"/>
      <c r="Y1804" s="210"/>
      <c r="Z1804" s="210"/>
    </row>
    <row r="1805" ht="21.75" customHeight="1">
      <c r="A1805" s="214"/>
      <c r="B1805" s="221"/>
      <c r="C1805" s="222">
        <v>102.0</v>
      </c>
      <c r="D1805" s="223" t="s">
        <v>750</v>
      </c>
      <c r="E1805" s="223" t="s">
        <v>487</v>
      </c>
      <c r="F1805" s="223" t="s">
        <v>496</v>
      </c>
      <c r="G1805" s="223" t="s">
        <v>501</v>
      </c>
      <c r="H1805" s="224" t="s">
        <v>490</v>
      </c>
      <c r="I1805" s="208"/>
      <c r="J1805" s="210"/>
      <c r="K1805" s="210"/>
      <c r="L1805" s="210"/>
      <c r="M1805" s="210"/>
      <c r="N1805" s="210"/>
      <c r="O1805" s="210"/>
      <c r="P1805" s="210"/>
      <c r="Q1805" s="210"/>
      <c r="R1805" s="210"/>
      <c r="S1805" s="210"/>
      <c r="T1805" s="210"/>
      <c r="U1805" s="210"/>
      <c r="V1805" s="210"/>
      <c r="W1805" s="210"/>
      <c r="X1805" s="210"/>
      <c r="Y1805" s="210"/>
      <c r="Z1805" s="210"/>
    </row>
    <row r="1806" ht="21.75" customHeight="1">
      <c r="A1806" s="214"/>
      <c r="B1806" s="221"/>
      <c r="C1806" s="222">
        <v>103.0</v>
      </c>
      <c r="D1806" s="223" t="s">
        <v>923</v>
      </c>
      <c r="E1806" s="223" t="s">
        <v>539</v>
      </c>
      <c r="F1806" s="223" t="s">
        <v>542</v>
      </c>
      <c r="G1806" s="223" t="s">
        <v>561</v>
      </c>
      <c r="H1806" s="224" t="s">
        <v>490</v>
      </c>
      <c r="I1806" s="208"/>
      <c r="J1806" s="210"/>
      <c r="K1806" s="210"/>
      <c r="L1806" s="210"/>
      <c r="M1806" s="210"/>
      <c r="N1806" s="210"/>
      <c r="O1806" s="210"/>
      <c r="P1806" s="210"/>
      <c r="Q1806" s="210"/>
      <c r="R1806" s="210"/>
      <c r="S1806" s="210"/>
      <c r="T1806" s="210"/>
      <c r="U1806" s="210"/>
      <c r="V1806" s="210"/>
      <c r="W1806" s="210"/>
      <c r="X1806" s="210"/>
      <c r="Y1806" s="210"/>
      <c r="Z1806" s="210"/>
    </row>
    <row r="1807" ht="21.75" customHeight="1">
      <c r="A1807" s="214"/>
      <c r="B1807" s="221"/>
      <c r="C1807" s="222">
        <v>104.0</v>
      </c>
      <c r="D1807" s="223" t="s">
        <v>376</v>
      </c>
      <c r="E1807" s="223" t="s">
        <v>508</v>
      </c>
      <c r="F1807" s="223" t="s">
        <v>509</v>
      </c>
      <c r="G1807" s="223" t="s">
        <v>510</v>
      </c>
      <c r="H1807" s="225" t="s">
        <v>1835</v>
      </c>
      <c r="I1807" s="208"/>
      <c r="J1807" s="210"/>
      <c r="K1807" s="210"/>
      <c r="L1807" s="210"/>
      <c r="M1807" s="210"/>
      <c r="N1807" s="210"/>
      <c r="O1807" s="210"/>
      <c r="P1807" s="210"/>
      <c r="Q1807" s="210"/>
      <c r="R1807" s="210"/>
      <c r="S1807" s="210"/>
      <c r="T1807" s="210"/>
      <c r="U1807" s="210"/>
      <c r="V1807" s="210"/>
      <c r="W1807" s="210"/>
      <c r="X1807" s="210"/>
      <c r="Y1807" s="210"/>
      <c r="Z1807" s="210"/>
    </row>
    <row r="1808" ht="21.75" customHeight="1">
      <c r="A1808" s="214"/>
      <c r="B1808" s="221"/>
      <c r="C1808" s="222">
        <v>105.0</v>
      </c>
      <c r="D1808" s="223" t="s">
        <v>896</v>
      </c>
      <c r="E1808" s="223" t="s">
        <v>487</v>
      </c>
      <c r="F1808" s="223" t="s">
        <v>500</v>
      </c>
      <c r="G1808" s="223" t="s">
        <v>493</v>
      </c>
      <c r="H1808" s="224" t="s">
        <v>490</v>
      </c>
      <c r="I1808" s="208"/>
      <c r="J1808" s="210"/>
      <c r="K1808" s="210"/>
      <c r="L1808" s="210"/>
      <c r="M1808" s="210"/>
      <c r="N1808" s="210"/>
      <c r="O1808" s="210"/>
      <c r="P1808" s="210"/>
      <c r="Q1808" s="210"/>
      <c r="R1808" s="210"/>
      <c r="S1808" s="210"/>
      <c r="T1808" s="210"/>
      <c r="U1808" s="210"/>
      <c r="V1808" s="210"/>
      <c r="W1808" s="210"/>
      <c r="X1808" s="210"/>
      <c r="Y1808" s="210"/>
      <c r="Z1808" s="210"/>
    </row>
    <row r="1809" ht="21.75" customHeight="1">
      <c r="A1809" s="214"/>
      <c r="B1809" s="221"/>
      <c r="C1809" s="222">
        <v>200.0</v>
      </c>
      <c r="D1809" s="223" t="s">
        <v>696</v>
      </c>
      <c r="E1809" s="223" t="s">
        <v>673</v>
      </c>
      <c r="F1809" s="223" t="s">
        <v>696</v>
      </c>
      <c r="G1809" s="218" t="s">
        <v>490</v>
      </c>
      <c r="H1809" s="224" t="s">
        <v>490</v>
      </c>
      <c r="I1809" s="208"/>
      <c r="J1809" s="210"/>
      <c r="K1809" s="210"/>
      <c r="L1809" s="210"/>
      <c r="M1809" s="210"/>
      <c r="N1809" s="210"/>
      <c r="O1809" s="210"/>
      <c r="P1809" s="210"/>
      <c r="Q1809" s="210"/>
      <c r="R1809" s="210"/>
      <c r="S1809" s="210"/>
      <c r="T1809" s="210"/>
      <c r="U1809" s="210"/>
      <c r="V1809" s="210"/>
      <c r="W1809" s="210"/>
      <c r="X1809" s="210"/>
      <c r="Y1809" s="210"/>
      <c r="Z1809" s="210"/>
    </row>
    <row r="1810" ht="21.75" customHeight="1">
      <c r="A1810" s="214"/>
      <c r="B1810" s="217"/>
      <c r="C1810" s="222">
        <v>201.0</v>
      </c>
      <c r="D1810" s="215" t="s">
        <v>1836</v>
      </c>
      <c r="E1810" s="215" t="s">
        <v>487</v>
      </c>
      <c r="F1810" s="215" t="s">
        <v>583</v>
      </c>
      <c r="G1810" s="234" t="s">
        <v>490</v>
      </c>
      <c r="H1810" s="224" t="s">
        <v>490</v>
      </c>
      <c r="I1810" s="208"/>
      <c r="J1810" s="210"/>
      <c r="K1810" s="210"/>
      <c r="L1810" s="210"/>
      <c r="M1810" s="210"/>
      <c r="N1810" s="210"/>
      <c r="O1810" s="210"/>
      <c r="P1810" s="210"/>
      <c r="Q1810" s="210"/>
      <c r="R1810" s="210"/>
      <c r="S1810" s="210"/>
      <c r="T1810" s="210"/>
      <c r="U1810" s="210"/>
      <c r="V1810" s="210"/>
      <c r="W1810" s="210"/>
      <c r="X1810" s="210"/>
      <c r="Y1810" s="210"/>
      <c r="Z1810" s="210"/>
    </row>
    <row r="1811" ht="21.75" customHeight="1">
      <c r="A1811" s="214"/>
      <c r="B1811" s="218" t="s">
        <v>1837</v>
      </c>
      <c r="C1811" s="226">
        <v>50947.0</v>
      </c>
      <c r="D1811" s="220"/>
      <c r="E1811" s="220"/>
      <c r="F1811" s="220"/>
      <c r="G1811" s="220"/>
      <c r="H1811" s="221"/>
      <c r="I1811" s="208"/>
      <c r="J1811" s="210"/>
      <c r="K1811" s="210"/>
      <c r="L1811" s="210"/>
      <c r="M1811" s="210"/>
      <c r="N1811" s="210"/>
      <c r="O1811" s="210"/>
      <c r="P1811" s="210"/>
      <c r="Q1811" s="210"/>
      <c r="R1811" s="210"/>
      <c r="S1811" s="210"/>
      <c r="T1811" s="210"/>
      <c r="U1811" s="210"/>
      <c r="V1811" s="210"/>
      <c r="W1811" s="210"/>
      <c r="X1811" s="210"/>
      <c r="Y1811" s="210"/>
      <c r="Z1811" s="210"/>
    </row>
    <row r="1812" ht="21.75" customHeight="1">
      <c r="A1812" s="214"/>
      <c r="B1812" s="221"/>
      <c r="C1812" s="222">
        <v>100.0</v>
      </c>
      <c r="D1812" s="223" t="s">
        <v>749</v>
      </c>
      <c r="E1812" s="223" t="s">
        <v>487</v>
      </c>
      <c r="F1812" s="223" t="s">
        <v>488</v>
      </c>
      <c r="G1812" s="223" t="s">
        <v>497</v>
      </c>
      <c r="H1812" s="224" t="s">
        <v>490</v>
      </c>
      <c r="I1812" s="208"/>
      <c r="J1812" s="210"/>
      <c r="K1812" s="210"/>
      <c r="L1812" s="210"/>
      <c r="M1812" s="210"/>
      <c r="N1812" s="210"/>
      <c r="O1812" s="210"/>
      <c r="P1812" s="210"/>
      <c r="Q1812" s="210"/>
      <c r="R1812" s="210"/>
      <c r="S1812" s="210"/>
      <c r="T1812" s="210"/>
      <c r="U1812" s="210"/>
      <c r="V1812" s="210"/>
      <c r="W1812" s="210"/>
      <c r="X1812" s="210"/>
      <c r="Y1812" s="210"/>
      <c r="Z1812" s="210"/>
    </row>
    <row r="1813" ht="21.75" customHeight="1">
      <c r="A1813" s="214"/>
      <c r="B1813" s="221"/>
      <c r="C1813" s="222">
        <v>101.0</v>
      </c>
      <c r="D1813" s="223" t="s">
        <v>750</v>
      </c>
      <c r="E1813" s="223" t="s">
        <v>487</v>
      </c>
      <c r="F1813" s="223" t="s">
        <v>492</v>
      </c>
      <c r="G1813" s="223" t="s">
        <v>501</v>
      </c>
      <c r="H1813" s="224" t="s">
        <v>490</v>
      </c>
      <c r="I1813" s="208"/>
      <c r="J1813" s="210"/>
      <c r="K1813" s="210"/>
      <c r="L1813" s="210"/>
      <c r="M1813" s="210"/>
      <c r="N1813" s="210"/>
      <c r="O1813" s="210"/>
      <c r="P1813" s="210"/>
      <c r="Q1813" s="210"/>
      <c r="R1813" s="210"/>
      <c r="S1813" s="210"/>
      <c r="T1813" s="210"/>
      <c r="U1813" s="210"/>
      <c r="V1813" s="210"/>
      <c r="W1813" s="210"/>
      <c r="X1813" s="210"/>
      <c r="Y1813" s="210"/>
      <c r="Z1813" s="210"/>
    </row>
    <row r="1814" ht="21.75" customHeight="1">
      <c r="A1814" s="214"/>
      <c r="B1814" s="221"/>
      <c r="C1814" s="222">
        <v>102.0</v>
      </c>
      <c r="D1814" s="223" t="s">
        <v>923</v>
      </c>
      <c r="E1814" s="223" t="s">
        <v>539</v>
      </c>
      <c r="F1814" s="223" t="s">
        <v>542</v>
      </c>
      <c r="G1814" s="223" t="s">
        <v>561</v>
      </c>
      <c r="H1814" s="225" t="s">
        <v>1838</v>
      </c>
      <c r="I1814" s="208"/>
      <c r="J1814" s="210"/>
      <c r="K1814" s="210"/>
      <c r="L1814" s="210"/>
      <c r="M1814" s="210"/>
      <c r="N1814" s="210"/>
      <c r="O1814" s="210"/>
      <c r="P1814" s="210"/>
      <c r="Q1814" s="210"/>
      <c r="R1814" s="210"/>
      <c r="S1814" s="210"/>
      <c r="T1814" s="210"/>
      <c r="U1814" s="210"/>
      <c r="V1814" s="210"/>
      <c r="W1814" s="210"/>
      <c r="X1814" s="210"/>
      <c r="Y1814" s="210"/>
      <c r="Z1814" s="210"/>
    </row>
    <row r="1815" ht="21.75" customHeight="1">
      <c r="A1815" s="214"/>
      <c r="B1815" s="221"/>
      <c r="C1815" s="222">
        <v>103.0</v>
      </c>
      <c r="D1815" s="223" t="s">
        <v>376</v>
      </c>
      <c r="E1815" s="223" t="s">
        <v>508</v>
      </c>
      <c r="F1815" s="223" t="s">
        <v>509</v>
      </c>
      <c r="G1815" s="223" t="s">
        <v>510</v>
      </c>
      <c r="H1815" s="225" t="s">
        <v>1835</v>
      </c>
      <c r="I1815" s="208"/>
      <c r="J1815" s="210"/>
      <c r="K1815" s="210"/>
      <c r="L1815" s="210"/>
      <c r="M1815" s="210"/>
      <c r="N1815" s="210"/>
      <c r="O1815" s="210"/>
      <c r="P1815" s="210"/>
      <c r="Q1815" s="210"/>
      <c r="R1815" s="210"/>
      <c r="S1815" s="210"/>
      <c r="T1815" s="210"/>
      <c r="U1815" s="210"/>
      <c r="V1815" s="210"/>
      <c r="W1815" s="210"/>
      <c r="X1815" s="210"/>
      <c r="Y1815" s="210"/>
      <c r="Z1815" s="210"/>
    </row>
    <row r="1816" ht="21.75" customHeight="1">
      <c r="A1816" s="214"/>
      <c r="B1816" s="221"/>
      <c r="C1816" s="222">
        <v>104.0</v>
      </c>
      <c r="D1816" s="223" t="s">
        <v>896</v>
      </c>
      <c r="E1816" s="223" t="s">
        <v>487</v>
      </c>
      <c r="F1816" s="223" t="s">
        <v>496</v>
      </c>
      <c r="G1816" s="223" t="s">
        <v>493</v>
      </c>
      <c r="H1816" s="224" t="s">
        <v>490</v>
      </c>
      <c r="I1816" s="208"/>
      <c r="J1816" s="210"/>
      <c r="K1816" s="210"/>
      <c r="L1816" s="210"/>
      <c r="M1816" s="210"/>
      <c r="N1816" s="210"/>
      <c r="O1816" s="210"/>
      <c r="P1816" s="210"/>
      <c r="Q1816" s="210"/>
      <c r="R1816" s="210"/>
      <c r="S1816" s="210"/>
      <c r="T1816" s="210"/>
      <c r="U1816" s="210"/>
      <c r="V1816" s="210"/>
      <c r="W1816" s="210"/>
      <c r="X1816" s="210"/>
      <c r="Y1816" s="210"/>
      <c r="Z1816" s="210"/>
    </row>
    <row r="1817" ht="21.75" customHeight="1">
      <c r="A1817" s="214"/>
      <c r="B1817" s="221"/>
      <c r="C1817" s="222">
        <v>200.0</v>
      </c>
      <c r="D1817" s="223" t="s">
        <v>696</v>
      </c>
      <c r="E1817" s="223" t="s">
        <v>673</v>
      </c>
      <c r="F1817" s="223" t="s">
        <v>696</v>
      </c>
      <c r="G1817" s="218" t="s">
        <v>490</v>
      </c>
      <c r="H1817" s="224" t="s">
        <v>490</v>
      </c>
      <c r="I1817" s="208"/>
      <c r="J1817" s="210"/>
      <c r="K1817" s="210"/>
      <c r="L1817" s="210"/>
      <c r="M1817" s="210"/>
      <c r="N1817" s="210"/>
      <c r="O1817" s="210"/>
      <c r="P1817" s="210"/>
      <c r="Q1817" s="210"/>
      <c r="R1817" s="210"/>
      <c r="S1817" s="210"/>
      <c r="T1817" s="210"/>
      <c r="U1817" s="210"/>
      <c r="V1817" s="210"/>
      <c r="W1817" s="210"/>
      <c r="X1817" s="210"/>
      <c r="Y1817" s="210"/>
      <c r="Z1817" s="210"/>
    </row>
    <row r="1818" ht="21.75" customHeight="1">
      <c r="A1818" s="214"/>
      <c r="B1818" s="217"/>
      <c r="C1818" s="222">
        <v>201.0</v>
      </c>
      <c r="D1818" s="215" t="s">
        <v>1836</v>
      </c>
      <c r="E1818" s="215" t="s">
        <v>487</v>
      </c>
      <c r="F1818" s="215" t="s">
        <v>583</v>
      </c>
      <c r="G1818" s="234" t="s">
        <v>490</v>
      </c>
      <c r="H1818" s="224" t="s">
        <v>490</v>
      </c>
      <c r="I1818" s="208"/>
      <c r="J1818" s="210"/>
      <c r="K1818" s="210"/>
      <c r="L1818" s="210"/>
      <c r="M1818" s="210"/>
      <c r="N1818" s="210"/>
      <c r="O1818" s="210"/>
      <c r="P1818" s="210"/>
      <c r="Q1818" s="210"/>
      <c r="R1818" s="210"/>
      <c r="S1818" s="210"/>
      <c r="T1818" s="210"/>
      <c r="U1818" s="210"/>
      <c r="V1818" s="210"/>
      <c r="W1818" s="210"/>
      <c r="X1818" s="210"/>
      <c r="Y1818" s="210"/>
      <c r="Z1818" s="210"/>
    </row>
    <row r="1819" ht="21.75" customHeight="1">
      <c r="A1819" s="214"/>
      <c r="B1819" s="218" t="s">
        <v>1839</v>
      </c>
      <c r="C1819" s="226">
        <v>50949.0</v>
      </c>
      <c r="D1819" s="220"/>
      <c r="E1819" s="220"/>
      <c r="F1819" s="220"/>
      <c r="G1819" s="220"/>
      <c r="H1819" s="221"/>
      <c r="I1819" s="208"/>
      <c r="J1819" s="210"/>
      <c r="K1819" s="210"/>
      <c r="L1819" s="210"/>
      <c r="M1819" s="210"/>
      <c r="N1819" s="210"/>
      <c r="O1819" s="210"/>
      <c r="P1819" s="210"/>
      <c r="Q1819" s="210"/>
      <c r="R1819" s="210"/>
      <c r="S1819" s="210"/>
      <c r="T1819" s="210"/>
      <c r="U1819" s="210"/>
      <c r="V1819" s="210"/>
      <c r="W1819" s="210"/>
      <c r="X1819" s="210"/>
      <c r="Y1819" s="210"/>
      <c r="Z1819" s="210"/>
    </row>
    <row r="1820" ht="21.75" customHeight="1">
      <c r="A1820" s="214"/>
      <c r="B1820" s="221"/>
      <c r="C1820" s="222">
        <v>100.0</v>
      </c>
      <c r="D1820" s="223" t="s">
        <v>1840</v>
      </c>
      <c r="E1820" s="223" t="s">
        <v>487</v>
      </c>
      <c r="F1820" s="223" t="s">
        <v>488</v>
      </c>
      <c r="G1820" s="218" t="s">
        <v>490</v>
      </c>
      <c r="H1820" s="225" t="s">
        <v>1841</v>
      </c>
      <c r="I1820" s="208"/>
      <c r="J1820" s="210"/>
      <c r="K1820" s="210"/>
      <c r="L1820" s="210"/>
      <c r="M1820" s="210"/>
      <c r="N1820" s="210"/>
      <c r="O1820" s="210"/>
      <c r="P1820" s="210"/>
      <c r="Q1820" s="210"/>
      <c r="R1820" s="210"/>
      <c r="S1820" s="210"/>
      <c r="T1820" s="210"/>
      <c r="U1820" s="210"/>
      <c r="V1820" s="210"/>
      <c r="W1820" s="210"/>
      <c r="X1820" s="210"/>
      <c r="Y1820" s="210"/>
      <c r="Z1820" s="210"/>
    </row>
    <row r="1821" ht="21.75" customHeight="1">
      <c r="A1821" s="214"/>
      <c r="B1821" s="221"/>
      <c r="C1821" s="222">
        <v>101.0</v>
      </c>
      <c r="D1821" s="223" t="s">
        <v>749</v>
      </c>
      <c r="E1821" s="223" t="s">
        <v>487</v>
      </c>
      <c r="F1821" s="223" t="s">
        <v>492</v>
      </c>
      <c r="G1821" s="223" t="s">
        <v>497</v>
      </c>
      <c r="H1821" s="225" t="s">
        <v>1842</v>
      </c>
      <c r="I1821" s="208"/>
      <c r="J1821" s="210"/>
      <c r="K1821" s="210"/>
      <c r="L1821" s="210"/>
      <c r="M1821" s="210"/>
      <c r="N1821" s="210"/>
      <c r="O1821" s="210"/>
      <c r="P1821" s="210"/>
      <c r="Q1821" s="210"/>
      <c r="R1821" s="210"/>
      <c r="S1821" s="210"/>
      <c r="T1821" s="210"/>
      <c r="U1821" s="210"/>
      <c r="V1821" s="210"/>
      <c r="W1821" s="210"/>
      <c r="X1821" s="210"/>
      <c r="Y1821" s="210"/>
      <c r="Z1821" s="210"/>
    </row>
    <row r="1822" ht="21.75" customHeight="1">
      <c r="A1822" s="214"/>
      <c r="B1822" s="221"/>
      <c r="C1822" s="222">
        <v>102.0</v>
      </c>
      <c r="D1822" s="223" t="s">
        <v>750</v>
      </c>
      <c r="E1822" s="223" t="s">
        <v>487</v>
      </c>
      <c r="F1822" s="223" t="s">
        <v>496</v>
      </c>
      <c r="G1822" s="223" t="s">
        <v>501</v>
      </c>
      <c r="H1822" s="224" t="s">
        <v>490</v>
      </c>
      <c r="I1822" s="208"/>
      <c r="J1822" s="210"/>
      <c r="K1822" s="210"/>
      <c r="L1822" s="210"/>
      <c r="M1822" s="210"/>
      <c r="N1822" s="210"/>
      <c r="O1822" s="210"/>
      <c r="P1822" s="210"/>
      <c r="Q1822" s="210"/>
      <c r="R1822" s="210"/>
      <c r="S1822" s="210"/>
      <c r="T1822" s="210"/>
      <c r="U1822" s="210"/>
      <c r="V1822" s="210"/>
      <c r="W1822" s="210"/>
      <c r="X1822" s="210"/>
      <c r="Y1822" s="210"/>
      <c r="Z1822" s="210"/>
    </row>
    <row r="1823" ht="21.75" customHeight="1">
      <c r="A1823" s="214"/>
      <c r="B1823" s="221"/>
      <c r="C1823" s="222">
        <v>103.0</v>
      </c>
      <c r="D1823" s="223" t="s">
        <v>1843</v>
      </c>
      <c r="E1823" s="223" t="s">
        <v>487</v>
      </c>
      <c r="F1823" s="223" t="s">
        <v>603</v>
      </c>
      <c r="G1823" s="218" t="s">
        <v>490</v>
      </c>
      <c r="H1823" s="225" t="s">
        <v>1844</v>
      </c>
      <c r="I1823" s="208"/>
      <c r="J1823" s="210"/>
      <c r="K1823" s="210"/>
      <c r="L1823" s="210"/>
      <c r="M1823" s="210"/>
      <c r="N1823" s="210"/>
      <c r="O1823" s="210"/>
      <c r="P1823" s="210"/>
      <c r="Q1823" s="210"/>
      <c r="R1823" s="210"/>
      <c r="S1823" s="210"/>
      <c r="T1823" s="210"/>
      <c r="U1823" s="210"/>
      <c r="V1823" s="210"/>
      <c r="W1823" s="210"/>
      <c r="X1823" s="210"/>
      <c r="Y1823" s="210"/>
      <c r="Z1823" s="210"/>
    </row>
    <row r="1824" ht="21.75" customHeight="1">
      <c r="A1824" s="214"/>
      <c r="B1824" s="221"/>
      <c r="C1824" s="222">
        <v>104.0</v>
      </c>
      <c r="D1824" s="223" t="s">
        <v>1845</v>
      </c>
      <c r="E1824" s="223" t="s">
        <v>487</v>
      </c>
      <c r="F1824" s="223" t="s">
        <v>512</v>
      </c>
      <c r="G1824" s="218" t="s">
        <v>490</v>
      </c>
      <c r="H1824" s="224" t="s">
        <v>490</v>
      </c>
      <c r="I1824" s="208"/>
      <c r="J1824" s="210"/>
      <c r="K1824" s="210"/>
      <c r="L1824" s="210"/>
      <c r="M1824" s="210"/>
      <c r="N1824" s="210"/>
      <c r="O1824" s="210"/>
      <c r="P1824" s="210"/>
      <c r="Q1824" s="210"/>
      <c r="R1824" s="210"/>
      <c r="S1824" s="210"/>
      <c r="T1824" s="210"/>
      <c r="U1824" s="210"/>
      <c r="V1824" s="210"/>
      <c r="W1824" s="210"/>
      <c r="X1824" s="210"/>
      <c r="Y1824" s="210"/>
      <c r="Z1824" s="210"/>
    </row>
    <row r="1825" ht="21.75" customHeight="1">
      <c r="A1825" s="214"/>
      <c r="B1825" s="221"/>
      <c r="C1825" s="222">
        <v>105.0</v>
      </c>
      <c r="D1825" s="223" t="s">
        <v>1846</v>
      </c>
      <c r="E1825" s="223" t="s">
        <v>487</v>
      </c>
      <c r="F1825" s="223" t="s">
        <v>532</v>
      </c>
      <c r="G1825" s="218" t="s">
        <v>490</v>
      </c>
      <c r="H1825" s="224" t="s">
        <v>490</v>
      </c>
      <c r="I1825" s="208"/>
      <c r="J1825" s="210"/>
      <c r="K1825" s="210"/>
      <c r="L1825" s="210"/>
      <c r="M1825" s="210"/>
      <c r="N1825" s="210"/>
      <c r="O1825" s="210"/>
      <c r="P1825" s="210"/>
      <c r="Q1825" s="210"/>
      <c r="R1825" s="210"/>
      <c r="S1825" s="210"/>
      <c r="T1825" s="210"/>
      <c r="U1825" s="210"/>
      <c r="V1825" s="210"/>
      <c r="W1825" s="210"/>
      <c r="X1825" s="210"/>
      <c r="Y1825" s="210"/>
      <c r="Z1825" s="210"/>
    </row>
    <row r="1826" ht="21.75" customHeight="1">
      <c r="A1826" s="214"/>
      <c r="B1826" s="221"/>
      <c r="C1826" s="222">
        <v>106.0</v>
      </c>
      <c r="D1826" s="223" t="s">
        <v>1847</v>
      </c>
      <c r="E1826" s="223" t="s">
        <v>487</v>
      </c>
      <c r="F1826" s="223" t="s">
        <v>590</v>
      </c>
      <c r="G1826" s="218" t="s">
        <v>490</v>
      </c>
      <c r="H1826" s="225" t="s">
        <v>1848</v>
      </c>
      <c r="I1826" s="208"/>
      <c r="J1826" s="210"/>
      <c r="K1826" s="210"/>
      <c r="L1826" s="210"/>
      <c r="M1826" s="210"/>
      <c r="N1826" s="210"/>
      <c r="O1826" s="210"/>
      <c r="P1826" s="210"/>
      <c r="Q1826" s="210"/>
      <c r="R1826" s="210"/>
      <c r="S1826" s="210"/>
      <c r="T1826" s="210"/>
      <c r="U1826" s="210"/>
      <c r="V1826" s="210"/>
      <c r="W1826" s="210"/>
      <c r="X1826" s="210"/>
      <c r="Y1826" s="210"/>
      <c r="Z1826" s="210"/>
    </row>
    <row r="1827" ht="21.75" customHeight="1">
      <c r="A1827" s="214"/>
      <c r="B1827" s="221"/>
      <c r="C1827" s="222">
        <v>107.0</v>
      </c>
      <c r="D1827" s="223" t="s">
        <v>376</v>
      </c>
      <c r="E1827" s="223" t="s">
        <v>508</v>
      </c>
      <c r="F1827" s="223" t="s">
        <v>509</v>
      </c>
      <c r="G1827" s="223" t="s">
        <v>510</v>
      </c>
      <c r="H1827" s="225" t="s">
        <v>1849</v>
      </c>
      <c r="I1827" s="208"/>
      <c r="J1827" s="210"/>
      <c r="K1827" s="210"/>
      <c r="L1827" s="210"/>
      <c r="M1827" s="210"/>
      <c r="N1827" s="210"/>
      <c r="O1827" s="210"/>
      <c r="P1827" s="210"/>
      <c r="Q1827" s="210"/>
      <c r="R1827" s="210"/>
      <c r="S1827" s="210"/>
      <c r="T1827" s="210"/>
      <c r="U1827" s="210"/>
      <c r="V1827" s="210"/>
      <c r="W1827" s="210"/>
      <c r="X1827" s="210"/>
      <c r="Y1827" s="210"/>
      <c r="Z1827" s="210"/>
    </row>
    <row r="1828" ht="21.75" customHeight="1">
      <c r="A1828" s="214"/>
      <c r="B1828" s="221"/>
      <c r="C1828" s="222">
        <v>200.0</v>
      </c>
      <c r="D1828" s="223" t="s">
        <v>896</v>
      </c>
      <c r="E1828" s="223" t="s">
        <v>487</v>
      </c>
      <c r="F1828" s="223" t="s">
        <v>500</v>
      </c>
      <c r="G1828" s="223" t="s">
        <v>493</v>
      </c>
      <c r="H1828" s="224" t="s">
        <v>490</v>
      </c>
      <c r="I1828" s="208"/>
      <c r="J1828" s="210"/>
      <c r="K1828" s="210"/>
      <c r="L1828" s="210"/>
      <c r="M1828" s="210"/>
      <c r="N1828" s="210"/>
      <c r="O1828" s="210"/>
      <c r="P1828" s="210"/>
      <c r="Q1828" s="210"/>
      <c r="R1828" s="210"/>
      <c r="S1828" s="210"/>
      <c r="T1828" s="210"/>
      <c r="U1828" s="210"/>
      <c r="V1828" s="210"/>
      <c r="W1828" s="210"/>
      <c r="X1828" s="210"/>
      <c r="Y1828" s="210"/>
      <c r="Z1828" s="210"/>
    </row>
    <row r="1829" ht="21.75" customHeight="1">
      <c r="A1829" s="214"/>
      <c r="B1829" s="221"/>
      <c r="C1829" s="222">
        <v>201.0</v>
      </c>
      <c r="D1829" s="223" t="s">
        <v>923</v>
      </c>
      <c r="E1829" s="223" t="s">
        <v>539</v>
      </c>
      <c r="F1829" s="223" t="s">
        <v>542</v>
      </c>
      <c r="G1829" s="223" t="s">
        <v>561</v>
      </c>
      <c r="H1829" s="224" t="s">
        <v>490</v>
      </c>
      <c r="I1829" s="208"/>
      <c r="J1829" s="210"/>
      <c r="K1829" s="210"/>
      <c r="L1829" s="210"/>
      <c r="M1829" s="210"/>
      <c r="N1829" s="210"/>
      <c r="O1829" s="210"/>
      <c r="P1829" s="210"/>
      <c r="Q1829" s="210"/>
      <c r="R1829" s="210"/>
      <c r="S1829" s="210"/>
      <c r="T1829" s="210"/>
      <c r="U1829" s="210"/>
      <c r="V1829" s="210"/>
      <c r="W1829" s="210"/>
      <c r="X1829" s="210"/>
      <c r="Y1829" s="210"/>
      <c r="Z1829" s="210"/>
    </row>
    <row r="1830" ht="21.75" customHeight="1">
      <c r="A1830" s="214"/>
      <c r="B1830" s="221"/>
      <c r="C1830" s="222">
        <v>202.0</v>
      </c>
      <c r="D1830" s="223" t="s">
        <v>696</v>
      </c>
      <c r="E1830" s="223" t="s">
        <v>673</v>
      </c>
      <c r="F1830" s="223" t="s">
        <v>696</v>
      </c>
      <c r="G1830" s="218" t="s">
        <v>490</v>
      </c>
      <c r="H1830" s="224" t="s">
        <v>490</v>
      </c>
      <c r="I1830" s="208"/>
      <c r="J1830" s="210"/>
      <c r="K1830" s="210"/>
      <c r="L1830" s="210"/>
      <c r="M1830" s="210"/>
      <c r="N1830" s="210"/>
      <c r="O1830" s="210"/>
      <c r="P1830" s="210"/>
      <c r="Q1830" s="210"/>
      <c r="R1830" s="210"/>
      <c r="S1830" s="210"/>
      <c r="T1830" s="210"/>
      <c r="U1830" s="210"/>
      <c r="V1830" s="210"/>
      <c r="W1830" s="210"/>
      <c r="X1830" s="210"/>
      <c r="Y1830" s="210"/>
      <c r="Z1830" s="210"/>
    </row>
    <row r="1831" ht="21.75" customHeight="1">
      <c r="A1831" s="228"/>
      <c r="B1831" s="221"/>
      <c r="C1831" s="222">
        <v>203.0</v>
      </c>
      <c r="D1831" s="223" t="s">
        <v>1836</v>
      </c>
      <c r="E1831" s="223" t="s">
        <v>487</v>
      </c>
      <c r="F1831" s="223" t="s">
        <v>583</v>
      </c>
      <c r="G1831" s="218" t="s">
        <v>490</v>
      </c>
      <c r="H1831" s="224" t="s">
        <v>490</v>
      </c>
      <c r="I1831" s="208"/>
      <c r="J1831" s="210"/>
      <c r="K1831" s="210"/>
      <c r="L1831" s="210"/>
      <c r="M1831" s="210"/>
      <c r="N1831" s="210"/>
      <c r="O1831" s="210"/>
      <c r="P1831" s="210"/>
      <c r="Q1831" s="210"/>
      <c r="R1831" s="210"/>
      <c r="S1831" s="210"/>
      <c r="T1831" s="210"/>
      <c r="U1831" s="210"/>
      <c r="V1831" s="210"/>
      <c r="W1831" s="210"/>
      <c r="X1831" s="210"/>
      <c r="Y1831" s="210"/>
      <c r="Z1831" s="210"/>
    </row>
    <row r="1832" ht="21.75" customHeight="1">
      <c r="A1832" s="214">
        <v>31.0</v>
      </c>
      <c r="B1832" s="215" t="s">
        <v>1850</v>
      </c>
      <c r="C1832" s="216"/>
      <c r="D1832" s="217"/>
      <c r="E1832" s="217"/>
      <c r="F1832" s="217"/>
      <c r="G1832" s="217"/>
      <c r="H1832" s="217"/>
      <c r="I1832" s="208"/>
      <c r="J1832" s="210"/>
      <c r="K1832" s="210"/>
      <c r="L1832" s="210"/>
      <c r="M1832" s="210"/>
      <c r="N1832" s="210"/>
      <c r="O1832" s="210"/>
      <c r="P1832" s="210"/>
      <c r="Q1832" s="210"/>
      <c r="R1832" s="210"/>
      <c r="S1832" s="210"/>
      <c r="T1832" s="210"/>
      <c r="U1832" s="210"/>
      <c r="V1832" s="210"/>
      <c r="W1832" s="210"/>
      <c r="X1832" s="210"/>
      <c r="Y1832" s="210"/>
      <c r="Z1832" s="210"/>
    </row>
    <row r="1833" ht="21.75" customHeight="1">
      <c r="A1833" s="214"/>
      <c r="B1833" s="218" t="s">
        <v>1851</v>
      </c>
      <c r="C1833" s="219">
        <v>50732.0</v>
      </c>
      <c r="D1833" s="220"/>
      <c r="E1833" s="220"/>
      <c r="F1833" s="220"/>
      <c r="G1833" s="220"/>
      <c r="H1833" s="220"/>
      <c r="I1833" s="208"/>
      <c r="J1833" s="210"/>
      <c r="K1833" s="210"/>
      <c r="L1833" s="210"/>
      <c r="M1833" s="210"/>
      <c r="N1833" s="210"/>
      <c r="O1833" s="210"/>
      <c r="P1833" s="210"/>
      <c r="Q1833" s="210"/>
      <c r="R1833" s="210"/>
      <c r="S1833" s="210"/>
      <c r="T1833" s="210"/>
      <c r="U1833" s="210"/>
      <c r="V1833" s="210"/>
      <c r="W1833" s="210"/>
      <c r="X1833" s="210"/>
      <c r="Y1833" s="210"/>
      <c r="Z1833" s="210"/>
    </row>
    <row r="1834" ht="21.75" customHeight="1">
      <c r="A1834" s="214"/>
      <c r="B1834" s="221"/>
      <c r="C1834" s="222">
        <v>100.0</v>
      </c>
      <c r="D1834" s="223" t="s">
        <v>486</v>
      </c>
      <c r="E1834" s="223" t="s">
        <v>487</v>
      </c>
      <c r="F1834" s="223" t="s">
        <v>488</v>
      </c>
      <c r="G1834" s="223" t="s">
        <v>489</v>
      </c>
      <c r="H1834" s="224" t="s">
        <v>490</v>
      </c>
      <c r="I1834" s="208"/>
      <c r="J1834" s="210"/>
      <c r="K1834" s="210"/>
      <c r="L1834" s="210"/>
      <c r="M1834" s="210"/>
      <c r="N1834" s="210"/>
      <c r="O1834" s="210"/>
      <c r="P1834" s="210"/>
      <c r="Q1834" s="210"/>
      <c r="R1834" s="210"/>
      <c r="S1834" s="210"/>
      <c r="T1834" s="210"/>
      <c r="U1834" s="210"/>
      <c r="V1834" s="210"/>
      <c r="W1834" s="210"/>
      <c r="X1834" s="210"/>
      <c r="Y1834" s="210"/>
      <c r="Z1834" s="210"/>
    </row>
    <row r="1835" ht="21.75" customHeight="1">
      <c r="A1835" s="214"/>
      <c r="B1835" s="221"/>
      <c r="C1835" s="222">
        <v>101.0</v>
      </c>
      <c r="D1835" s="223" t="s">
        <v>1852</v>
      </c>
      <c r="E1835" s="223" t="s">
        <v>487</v>
      </c>
      <c r="F1835" s="223" t="s">
        <v>492</v>
      </c>
      <c r="G1835" s="223" t="s">
        <v>678</v>
      </c>
      <c r="H1835" s="225" t="s">
        <v>1853</v>
      </c>
      <c r="I1835" s="208"/>
      <c r="J1835" s="210"/>
      <c r="K1835" s="210"/>
      <c r="L1835" s="210"/>
      <c r="M1835" s="210"/>
      <c r="N1835" s="210"/>
      <c r="O1835" s="210"/>
      <c r="P1835" s="210"/>
      <c r="Q1835" s="210"/>
      <c r="R1835" s="210"/>
      <c r="S1835" s="210"/>
      <c r="T1835" s="210"/>
      <c r="U1835" s="210"/>
      <c r="V1835" s="210"/>
      <c r="W1835" s="210"/>
      <c r="X1835" s="210"/>
      <c r="Y1835" s="210"/>
      <c r="Z1835" s="210"/>
    </row>
    <row r="1836" ht="21.75" customHeight="1">
      <c r="A1836" s="214"/>
      <c r="B1836" s="221"/>
      <c r="C1836" s="222">
        <v>102.0</v>
      </c>
      <c r="D1836" s="223" t="s">
        <v>1854</v>
      </c>
      <c r="E1836" s="223" t="s">
        <v>487</v>
      </c>
      <c r="F1836" s="223" t="s">
        <v>496</v>
      </c>
      <c r="G1836" s="223" t="s">
        <v>497</v>
      </c>
      <c r="H1836" s="224" t="s">
        <v>490</v>
      </c>
      <c r="I1836" s="208"/>
      <c r="J1836" s="210"/>
      <c r="K1836" s="210"/>
      <c r="L1836" s="210"/>
      <c r="M1836" s="210"/>
      <c r="N1836" s="210"/>
      <c r="O1836" s="210"/>
      <c r="P1836" s="210"/>
      <c r="Q1836" s="210"/>
      <c r="R1836" s="210"/>
      <c r="S1836" s="210"/>
      <c r="T1836" s="210"/>
      <c r="U1836" s="210"/>
      <c r="V1836" s="210"/>
      <c r="W1836" s="210"/>
      <c r="X1836" s="210"/>
      <c r="Y1836" s="210"/>
      <c r="Z1836" s="210"/>
    </row>
    <row r="1837" ht="21.75" customHeight="1">
      <c r="A1837" s="214"/>
      <c r="B1837" s="221"/>
      <c r="C1837" s="222">
        <v>103.0</v>
      </c>
      <c r="D1837" s="223" t="s">
        <v>1855</v>
      </c>
      <c r="E1837" s="223" t="s">
        <v>487</v>
      </c>
      <c r="F1837" s="223" t="s">
        <v>500</v>
      </c>
      <c r="G1837" s="223" t="s">
        <v>501</v>
      </c>
      <c r="H1837" s="224" t="s">
        <v>490</v>
      </c>
      <c r="I1837" s="208"/>
      <c r="J1837" s="210"/>
      <c r="K1837" s="210"/>
      <c r="L1837" s="210"/>
      <c r="M1837" s="210"/>
      <c r="N1837" s="210"/>
      <c r="O1837" s="210"/>
      <c r="P1837" s="210"/>
      <c r="Q1837" s="210"/>
      <c r="R1837" s="210"/>
      <c r="S1837" s="210"/>
      <c r="T1837" s="210"/>
      <c r="U1837" s="210"/>
      <c r="V1837" s="210"/>
      <c r="W1837" s="210"/>
      <c r="X1837" s="210"/>
      <c r="Y1837" s="210"/>
      <c r="Z1837" s="210"/>
    </row>
    <row r="1838" ht="21.75" customHeight="1">
      <c r="A1838" s="214"/>
      <c r="B1838" s="217"/>
      <c r="C1838" s="222">
        <v>104.0</v>
      </c>
      <c r="D1838" s="215" t="s">
        <v>507</v>
      </c>
      <c r="E1838" s="215" t="s">
        <v>508</v>
      </c>
      <c r="F1838" s="215" t="s">
        <v>509</v>
      </c>
      <c r="G1838" s="215" t="s">
        <v>510</v>
      </c>
      <c r="H1838" s="225" t="s">
        <v>1856</v>
      </c>
      <c r="I1838" s="208"/>
      <c r="J1838" s="210"/>
      <c r="K1838" s="210"/>
      <c r="L1838" s="210"/>
      <c r="M1838" s="210"/>
      <c r="N1838" s="210"/>
      <c r="O1838" s="210"/>
      <c r="P1838" s="210"/>
      <c r="Q1838" s="210"/>
      <c r="R1838" s="210"/>
      <c r="S1838" s="210"/>
      <c r="T1838" s="210"/>
      <c r="U1838" s="210"/>
      <c r="V1838" s="210"/>
      <c r="W1838" s="210"/>
      <c r="X1838" s="210"/>
      <c r="Y1838" s="210"/>
      <c r="Z1838" s="210"/>
    </row>
    <row r="1839" ht="21.75" customHeight="1">
      <c r="A1839" s="214"/>
      <c r="B1839" s="218" t="s">
        <v>1857</v>
      </c>
      <c r="C1839" s="226">
        <v>50727.0</v>
      </c>
      <c r="D1839" s="220"/>
      <c r="E1839" s="220"/>
      <c r="F1839" s="220"/>
      <c r="G1839" s="220"/>
      <c r="H1839" s="221"/>
      <c r="I1839" s="208"/>
      <c r="J1839" s="210"/>
      <c r="K1839" s="210"/>
      <c r="L1839" s="210"/>
      <c r="M1839" s="210"/>
      <c r="N1839" s="210"/>
      <c r="O1839" s="210"/>
      <c r="P1839" s="210"/>
      <c r="Q1839" s="210"/>
      <c r="R1839" s="210"/>
      <c r="S1839" s="210"/>
      <c r="T1839" s="210"/>
      <c r="U1839" s="210"/>
      <c r="V1839" s="210"/>
      <c r="W1839" s="210"/>
      <c r="X1839" s="210"/>
      <c r="Y1839" s="210"/>
      <c r="Z1839" s="210"/>
    </row>
    <row r="1840" ht="21.75" customHeight="1">
      <c r="A1840" s="214"/>
      <c r="B1840" s="221"/>
      <c r="C1840" s="222">
        <v>100.0</v>
      </c>
      <c r="D1840" s="223" t="s">
        <v>486</v>
      </c>
      <c r="E1840" s="223" t="s">
        <v>487</v>
      </c>
      <c r="F1840" s="223" t="s">
        <v>488</v>
      </c>
      <c r="G1840" s="223" t="s">
        <v>489</v>
      </c>
      <c r="H1840" s="224" t="s">
        <v>490</v>
      </c>
      <c r="I1840" s="208"/>
      <c r="J1840" s="210"/>
      <c r="K1840" s="210"/>
      <c r="L1840" s="210"/>
      <c r="M1840" s="210"/>
      <c r="N1840" s="210"/>
      <c r="O1840" s="210"/>
      <c r="P1840" s="210"/>
      <c r="Q1840" s="210"/>
      <c r="R1840" s="210"/>
      <c r="S1840" s="210"/>
      <c r="T1840" s="210"/>
      <c r="U1840" s="210"/>
      <c r="V1840" s="210"/>
      <c r="W1840" s="210"/>
      <c r="X1840" s="210"/>
      <c r="Y1840" s="210"/>
      <c r="Z1840" s="210"/>
    </row>
    <row r="1841" ht="21.75" customHeight="1">
      <c r="A1841" s="214"/>
      <c r="B1841" s="221"/>
      <c r="C1841" s="222">
        <v>101.0</v>
      </c>
      <c r="D1841" s="223" t="s">
        <v>1852</v>
      </c>
      <c r="E1841" s="223" t="s">
        <v>487</v>
      </c>
      <c r="F1841" s="223" t="s">
        <v>492</v>
      </c>
      <c r="G1841" s="223" t="s">
        <v>678</v>
      </c>
      <c r="H1841" s="225" t="s">
        <v>1858</v>
      </c>
      <c r="I1841" s="208"/>
      <c r="J1841" s="210"/>
      <c r="K1841" s="210"/>
      <c r="L1841" s="210"/>
      <c r="M1841" s="210"/>
      <c r="N1841" s="210"/>
      <c r="O1841" s="210"/>
      <c r="P1841" s="210"/>
      <c r="Q1841" s="210"/>
      <c r="R1841" s="210"/>
      <c r="S1841" s="210"/>
      <c r="T1841" s="210"/>
      <c r="U1841" s="210"/>
      <c r="V1841" s="210"/>
      <c r="W1841" s="210"/>
      <c r="X1841" s="210"/>
      <c r="Y1841" s="210"/>
      <c r="Z1841" s="210"/>
    </row>
    <row r="1842" ht="21.75" customHeight="1">
      <c r="A1842" s="214"/>
      <c r="B1842" s="221"/>
      <c r="C1842" s="222">
        <v>102.0</v>
      </c>
      <c r="D1842" s="223" t="s">
        <v>1854</v>
      </c>
      <c r="E1842" s="223" t="s">
        <v>487</v>
      </c>
      <c r="F1842" s="223" t="s">
        <v>496</v>
      </c>
      <c r="G1842" s="223" t="s">
        <v>497</v>
      </c>
      <c r="H1842" s="224" t="s">
        <v>490</v>
      </c>
      <c r="I1842" s="208"/>
      <c r="J1842" s="210"/>
      <c r="K1842" s="210"/>
      <c r="L1842" s="210"/>
      <c r="M1842" s="210"/>
      <c r="N1842" s="210"/>
      <c r="O1842" s="210"/>
      <c r="P1842" s="210"/>
      <c r="Q1842" s="210"/>
      <c r="R1842" s="210"/>
      <c r="S1842" s="210"/>
      <c r="T1842" s="210"/>
      <c r="U1842" s="210"/>
      <c r="V1842" s="210"/>
      <c r="W1842" s="210"/>
      <c r="X1842" s="210"/>
      <c r="Y1842" s="210"/>
      <c r="Z1842" s="210"/>
    </row>
    <row r="1843" ht="21.75" customHeight="1">
      <c r="A1843" s="214"/>
      <c r="B1843" s="221"/>
      <c r="C1843" s="222">
        <v>103.0</v>
      </c>
      <c r="D1843" s="223" t="s">
        <v>1855</v>
      </c>
      <c r="E1843" s="223" t="s">
        <v>487</v>
      </c>
      <c r="F1843" s="223" t="s">
        <v>500</v>
      </c>
      <c r="G1843" s="223" t="s">
        <v>501</v>
      </c>
      <c r="H1843" s="224" t="s">
        <v>490</v>
      </c>
      <c r="I1843" s="208"/>
      <c r="J1843" s="210"/>
      <c r="K1843" s="210"/>
      <c r="L1843" s="210"/>
      <c r="M1843" s="210"/>
      <c r="N1843" s="210"/>
      <c r="O1843" s="210"/>
      <c r="P1843" s="210"/>
      <c r="Q1843" s="210"/>
      <c r="R1843" s="210"/>
      <c r="S1843" s="210"/>
      <c r="T1843" s="210"/>
      <c r="U1843" s="210"/>
      <c r="V1843" s="210"/>
      <c r="W1843" s="210"/>
      <c r="X1843" s="210"/>
      <c r="Y1843" s="210"/>
      <c r="Z1843" s="210"/>
    </row>
    <row r="1844" ht="21.75" customHeight="1">
      <c r="A1844" s="228"/>
      <c r="B1844" s="221"/>
      <c r="C1844" s="222">
        <v>104.0</v>
      </c>
      <c r="D1844" s="223" t="s">
        <v>507</v>
      </c>
      <c r="E1844" s="223" t="s">
        <v>508</v>
      </c>
      <c r="F1844" s="223" t="s">
        <v>509</v>
      </c>
      <c r="G1844" s="223" t="s">
        <v>510</v>
      </c>
      <c r="H1844" s="225" t="s">
        <v>1859</v>
      </c>
      <c r="I1844" s="208"/>
      <c r="J1844" s="210"/>
      <c r="K1844" s="210"/>
      <c r="L1844" s="210"/>
      <c r="M1844" s="210"/>
      <c r="N1844" s="210"/>
      <c r="O1844" s="210"/>
      <c r="P1844" s="210"/>
      <c r="Q1844" s="210"/>
      <c r="R1844" s="210"/>
      <c r="S1844" s="210"/>
      <c r="T1844" s="210"/>
      <c r="U1844" s="210"/>
      <c r="V1844" s="210"/>
      <c r="W1844" s="210"/>
      <c r="X1844" s="210"/>
      <c r="Y1844" s="210"/>
      <c r="Z1844" s="210"/>
    </row>
    <row r="1845" ht="21.75" customHeight="1">
      <c r="A1845" s="214">
        <v>311.0</v>
      </c>
      <c r="B1845" s="215" t="s">
        <v>1860</v>
      </c>
      <c r="C1845" s="216"/>
      <c r="D1845" s="217"/>
      <c r="E1845" s="217"/>
      <c r="F1845" s="217"/>
      <c r="G1845" s="217"/>
      <c r="H1845" s="217"/>
      <c r="I1845" s="208"/>
      <c r="J1845" s="210"/>
      <c r="K1845" s="210"/>
      <c r="L1845" s="210"/>
      <c r="M1845" s="210"/>
      <c r="N1845" s="210"/>
      <c r="O1845" s="210"/>
      <c r="P1845" s="210"/>
      <c r="Q1845" s="210"/>
      <c r="R1845" s="210"/>
      <c r="S1845" s="210"/>
      <c r="T1845" s="210"/>
      <c r="U1845" s="210"/>
      <c r="V1845" s="210"/>
      <c r="W1845" s="210"/>
      <c r="X1845" s="210"/>
      <c r="Y1845" s="210"/>
      <c r="Z1845" s="210"/>
    </row>
    <row r="1846" ht="21.75" customHeight="1">
      <c r="A1846" s="214"/>
      <c r="B1846" s="218" t="s">
        <v>1861</v>
      </c>
      <c r="C1846" s="219">
        <v>50974.0</v>
      </c>
      <c r="D1846" s="220"/>
      <c r="E1846" s="220"/>
      <c r="F1846" s="220"/>
      <c r="G1846" s="220"/>
      <c r="H1846" s="220"/>
      <c r="I1846" s="208"/>
      <c r="J1846" s="210"/>
      <c r="K1846" s="210"/>
      <c r="L1846" s="210"/>
      <c r="M1846" s="210"/>
      <c r="N1846" s="210"/>
      <c r="O1846" s="210"/>
      <c r="P1846" s="210"/>
      <c r="Q1846" s="210"/>
      <c r="R1846" s="210"/>
      <c r="S1846" s="210"/>
      <c r="T1846" s="210"/>
      <c r="U1846" s="210"/>
      <c r="V1846" s="210"/>
      <c r="W1846" s="210"/>
      <c r="X1846" s="210"/>
      <c r="Y1846" s="210"/>
      <c r="Z1846" s="210"/>
    </row>
    <row r="1847" ht="21.75" customHeight="1">
      <c r="A1847" s="214"/>
      <c r="B1847" s="221"/>
      <c r="C1847" s="222">
        <v>100.0</v>
      </c>
      <c r="D1847" s="223" t="s">
        <v>946</v>
      </c>
      <c r="E1847" s="223" t="s">
        <v>487</v>
      </c>
      <c r="F1847" s="223" t="s">
        <v>488</v>
      </c>
      <c r="G1847" s="223" t="s">
        <v>497</v>
      </c>
      <c r="H1847" s="225" t="s">
        <v>1862</v>
      </c>
      <c r="I1847" s="208"/>
      <c r="J1847" s="210"/>
      <c r="K1847" s="210"/>
      <c r="L1847" s="210"/>
      <c r="M1847" s="210"/>
      <c r="N1847" s="210"/>
      <c r="O1847" s="210"/>
      <c r="P1847" s="210"/>
      <c r="Q1847" s="210"/>
      <c r="R1847" s="210"/>
      <c r="S1847" s="210"/>
      <c r="T1847" s="210"/>
      <c r="U1847" s="210"/>
      <c r="V1847" s="210"/>
      <c r="W1847" s="210"/>
      <c r="X1847" s="210"/>
      <c r="Y1847" s="210"/>
      <c r="Z1847" s="210"/>
    </row>
    <row r="1848" ht="21.75" customHeight="1">
      <c r="A1848" s="214"/>
      <c r="B1848" s="221"/>
      <c r="C1848" s="222">
        <v>101.0</v>
      </c>
      <c r="D1848" s="223" t="s">
        <v>612</v>
      </c>
      <c r="E1848" s="223" t="s">
        <v>487</v>
      </c>
      <c r="F1848" s="223" t="s">
        <v>492</v>
      </c>
      <c r="G1848" s="223" t="s">
        <v>501</v>
      </c>
      <c r="H1848" s="225" t="s">
        <v>1863</v>
      </c>
      <c r="I1848" s="208"/>
      <c r="J1848" s="210"/>
      <c r="K1848" s="210"/>
      <c r="L1848" s="210"/>
      <c r="M1848" s="210"/>
      <c r="N1848" s="210"/>
      <c r="O1848" s="210"/>
      <c r="P1848" s="210"/>
      <c r="Q1848" s="210"/>
      <c r="R1848" s="210"/>
      <c r="S1848" s="210"/>
      <c r="T1848" s="210"/>
      <c r="U1848" s="210"/>
      <c r="V1848" s="210"/>
      <c r="W1848" s="210"/>
      <c r="X1848" s="210"/>
      <c r="Y1848" s="210"/>
      <c r="Z1848" s="210"/>
    </row>
    <row r="1849" ht="21.75" customHeight="1">
      <c r="A1849" s="214"/>
      <c r="B1849" s="221"/>
      <c r="C1849" s="222">
        <v>102.0</v>
      </c>
      <c r="D1849" s="223" t="s">
        <v>1864</v>
      </c>
      <c r="E1849" s="223" t="s">
        <v>487</v>
      </c>
      <c r="F1849" s="223" t="s">
        <v>496</v>
      </c>
      <c r="G1849" s="223" t="s">
        <v>493</v>
      </c>
      <c r="H1849" s="224" t="s">
        <v>490</v>
      </c>
      <c r="I1849" s="208"/>
      <c r="J1849" s="210"/>
      <c r="K1849" s="210"/>
      <c r="L1849" s="210"/>
      <c r="M1849" s="210"/>
      <c r="N1849" s="210"/>
      <c r="O1849" s="210"/>
      <c r="P1849" s="210"/>
      <c r="Q1849" s="210"/>
      <c r="R1849" s="210"/>
      <c r="S1849" s="210"/>
      <c r="T1849" s="210"/>
      <c r="U1849" s="210"/>
      <c r="V1849" s="210"/>
      <c r="W1849" s="210"/>
      <c r="X1849" s="210"/>
      <c r="Y1849" s="210"/>
      <c r="Z1849" s="210"/>
    </row>
    <row r="1850" ht="21.75" customHeight="1">
      <c r="A1850" s="214"/>
      <c r="B1850" s="221"/>
      <c r="C1850" s="222">
        <v>103.0</v>
      </c>
      <c r="D1850" s="223" t="s">
        <v>555</v>
      </c>
      <c r="E1850" s="223" t="s">
        <v>487</v>
      </c>
      <c r="F1850" s="223" t="s">
        <v>500</v>
      </c>
      <c r="G1850" s="223" t="s">
        <v>526</v>
      </c>
      <c r="H1850" s="224" t="s">
        <v>490</v>
      </c>
      <c r="I1850" s="208"/>
      <c r="J1850" s="210"/>
      <c r="K1850" s="210"/>
      <c r="L1850" s="210"/>
      <c r="M1850" s="210"/>
      <c r="N1850" s="210"/>
      <c r="O1850" s="210"/>
      <c r="P1850" s="210"/>
      <c r="Q1850" s="210"/>
      <c r="R1850" s="210"/>
      <c r="S1850" s="210"/>
      <c r="T1850" s="210"/>
      <c r="U1850" s="210"/>
      <c r="V1850" s="210"/>
      <c r="W1850" s="210"/>
      <c r="X1850" s="210"/>
      <c r="Y1850" s="210"/>
      <c r="Z1850" s="210"/>
    </row>
    <row r="1851" ht="21.75" customHeight="1">
      <c r="A1851" s="214"/>
      <c r="B1851" s="221"/>
      <c r="C1851" s="222">
        <v>104.0</v>
      </c>
      <c r="D1851" s="223" t="s">
        <v>1865</v>
      </c>
      <c r="E1851" s="223" t="s">
        <v>487</v>
      </c>
      <c r="F1851" s="223" t="s">
        <v>512</v>
      </c>
      <c r="G1851" s="223" t="s">
        <v>513</v>
      </c>
      <c r="H1851" s="224" t="s">
        <v>490</v>
      </c>
      <c r="I1851" s="208"/>
      <c r="J1851" s="210"/>
      <c r="K1851" s="210"/>
      <c r="L1851" s="210"/>
      <c r="M1851" s="210"/>
      <c r="N1851" s="210"/>
      <c r="O1851" s="210"/>
      <c r="P1851" s="210"/>
      <c r="Q1851" s="210"/>
      <c r="R1851" s="210"/>
      <c r="S1851" s="210"/>
      <c r="T1851" s="210"/>
      <c r="U1851" s="210"/>
      <c r="V1851" s="210"/>
      <c r="W1851" s="210"/>
      <c r="X1851" s="210"/>
      <c r="Y1851" s="210"/>
      <c r="Z1851" s="210"/>
    </row>
    <row r="1852" ht="21.75" customHeight="1">
      <c r="A1852" s="214"/>
      <c r="B1852" s="221"/>
      <c r="C1852" s="222">
        <v>105.0</v>
      </c>
      <c r="D1852" s="223" t="s">
        <v>1014</v>
      </c>
      <c r="E1852" s="223" t="s">
        <v>673</v>
      </c>
      <c r="F1852" s="223" t="s">
        <v>505</v>
      </c>
      <c r="G1852" s="223" t="s">
        <v>594</v>
      </c>
      <c r="H1852" s="225" t="s">
        <v>1866</v>
      </c>
      <c r="I1852" s="208"/>
      <c r="J1852" s="210"/>
      <c r="K1852" s="210"/>
      <c r="L1852" s="210"/>
      <c r="M1852" s="210"/>
      <c r="N1852" s="210"/>
      <c r="O1852" s="210"/>
      <c r="P1852" s="210"/>
      <c r="Q1852" s="210"/>
      <c r="R1852" s="210"/>
      <c r="S1852" s="210"/>
      <c r="T1852" s="210"/>
      <c r="U1852" s="210"/>
      <c r="V1852" s="210"/>
      <c r="W1852" s="210"/>
      <c r="X1852" s="210"/>
      <c r="Y1852" s="210"/>
      <c r="Z1852" s="210"/>
    </row>
    <row r="1853" ht="21.75" customHeight="1">
      <c r="A1853" s="214"/>
      <c r="B1853" s="221"/>
      <c r="C1853" s="222">
        <v>106.0</v>
      </c>
      <c r="D1853" s="223" t="s">
        <v>519</v>
      </c>
      <c r="E1853" s="223" t="s">
        <v>508</v>
      </c>
      <c r="F1853" s="223" t="s">
        <v>509</v>
      </c>
      <c r="G1853" s="223" t="s">
        <v>510</v>
      </c>
      <c r="H1853" s="225" t="s">
        <v>1867</v>
      </c>
      <c r="I1853" s="208"/>
      <c r="J1853" s="210"/>
      <c r="K1853" s="210"/>
      <c r="L1853" s="210"/>
      <c r="M1853" s="210"/>
      <c r="N1853" s="210"/>
      <c r="O1853" s="210"/>
      <c r="P1853" s="210"/>
      <c r="Q1853" s="210"/>
      <c r="R1853" s="210"/>
      <c r="S1853" s="210"/>
      <c r="T1853" s="210"/>
      <c r="U1853" s="210"/>
      <c r="V1853" s="210"/>
      <c r="W1853" s="210"/>
      <c r="X1853" s="210"/>
      <c r="Y1853" s="210"/>
      <c r="Z1853" s="210"/>
    </row>
    <row r="1854" ht="21.75" customHeight="1">
      <c r="A1854" s="214"/>
      <c r="B1854" s="221"/>
      <c r="C1854" s="222">
        <v>107.0</v>
      </c>
      <c r="D1854" s="223" t="s">
        <v>1016</v>
      </c>
      <c r="E1854" s="223" t="s">
        <v>487</v>
      </c>
      <c r="F1854" s="223" t="s">
        <v>532</v>
      </c>
      <c r="G1854" s="218" t="s">
        <v>490</v>
      </c>
      <c r="H1854" s="224" t="s">
        <v>490</v>
      </c>
      <c r="I1854" s="208"/>
      <c r="J1854" s="210"/>
      <c r="K1854" s="210"/>
      <c r="L1854" s="210"/>
      <c r="M1854" s="210"/>
      <c r="N1854" s="210"/>
      <c r="O1854" s="210"/>
      <c r="P1854" s="210"/>
      <c r="Q1854" s="210"/>
      <c r="R1854" s="210"/>
      <c r="S1854" s="210"/>
      <c r="T1854" s="210"/>
      <c r="U1854" s="210"/>
      <c r="V1854" s="210"/>
      <c r="W1854" s="210"/>
      <c r="X1854" s="210"/>
      <c r="Y1854" s="210"/>
      <c r="Z1854" s="210"/>
    </row>
    <row r="1855" ht="21.75" customHeight="1">
      <c r="A1855" s="214"/>
      <c r="B1855" s="221"/>
      <c r="C1855" s="222">
        <v>108.0</v>
      </c>
      <c r="D1855" s="223" t="s">
        <v>1020</v>
      </c>
      <c r="E1855" s="223" t="s">
        <v>1021</v>
      </c>
      <c r="F1855" s="223" t="s">
        <v>1022</v>
      </c>
      <c r="G1855" s="218" t="s">
        <v>490</v>
      </c>
      <c r="H1855" s="224" t="s">
        <v>490</v>
      </c>
      <c r="I1855" s="208"/>
      <c r="J1855" s="210"/>
      <c r="K1855" s="210"/>
      <c r="L1855" s="210"/>
      <c r="M1855" s="210"/>
      <c r="N1855" s="210"/>
      <c r="O1855" s="210"/>
      <c r="P1855" s="210"/>
      <c r="Q1855" s="210"/>
      <c r="R1855" s="210"/>
      <c r="S1855" s="210"/>
      <c r="T1855" s="210"/>
      <c r="U1855" s="210"/>
      <c r="V1855" s="210"/>
      <c r="W1855" s="210"/>
      <c r="X1855" s="210"/>
      <c r="Y1855" s="210"/>
      <c r="Z1855" s="210"/>
    </row>
    <row r="1856" ht="21.75" customHeight="1">
      <c r="A1856" s="214"/>
      <c r="B1856" s="221"/>
      <c r="C1856" s="222">
        <v>200.0</v>
      </c>
      <c r="D1856" s="223" t="s">
        <v>696</v>
      </c>
      <c r="E1856" s="223" t="s">
        <v>673</v>
      </c>
      <c r="F1856" s="223" t="s">
        <v>696</v>
      </c>
      <c r="G1856" s="218" t="s">
        <v>490</v>
      </c>
      <c r="H1856" s="224" t="s">
        <v>490</v>
      </c>
      <c r="I1856" s="208"/>
      <c r="J1856" s="210"/>
      <c r="K1856" s="210"/>
      <c r="L1856" s="210"/>
      <c r="M1856" s="210"/>
      <c r="N1856" s="210"/>
      <c r="O1856" s="210"/>
      <c r="P1856" s="210"/>
      <c r="Q1856" s="210"/>
      <c r="R1856" s="210"/>
      <c r="S1856" s="210"/>
      <c r="T1856" s="210"/>
      <c r="U1856" s="210"/>
      <c r="V1856" s="210"/>
      <c r="W1856" s="210"/>
      <c r="X1856" s="210"/>
      <c r="Y1856" s="210"/>
      <c r="Z1856" s="210"/>
    </row>
    <row r="1857" ht="21.75" customHeight="1">
      <c r="A1857" s="228"/>
      <c r="B1857" s="221"/>
      <c r="C1857" s="222">
        <v>201.0</v>
      </c>
      <c r="D1857" s="223" t="s">
        <v>1818</v>
      </c>
      <c r="E1857" s="223" t="s">
        <v>487</v>
      </c>
      <c r="F1857" s="223" t="s">
        <v>1818</v>
      </c>
      <c r="G1857" s="218" t="s">
        <v>490</v>
      </c>
      <c r="H1857" s="224" t="s">
        <v>490</v>
      </c>
      <c r="I1857" s="208"/>
      <c r="J1857" s="210"/>
      <c r="K1857" s="210"/>
      <c r="L1857" s="210"/>
      <c r="M1857" s="210"/>
      <c r="N1857" s="210"/>
      <c r="O1857" s="210"/>
      <c r="P1857" s="210"/>
      <c r="Q1857" s="210"/>
      <c r="R1857" s="210"/>
      <c r="S1857" s="210"/>
      <c r="T1857" s="210"/>
      <c r="U1857" s="210"/>
      <c r="V1857" s="210"/>
      <c r="W1857" s="210"/>
      <c r="X1857" s="210"/>
      <c r="Y1857" s="210"/>
      <c r="Z1857" s="210"/>
    </row>
    <row r="1858" ht="21.75" customHeight="1">
      <c r="A1858" s="214">
        <v>312.0</v>
      </c>
      <c r="B1858" s="215" t="s">
        <v>1868</v>
      </c>
      <c r="C1858" s="216"/>
      <c r="D1858" s="217"/>
      <c r="E1858" s="217"/>
      <c r="F1858" s="217"/>
      <c r="G1858" s="217"/>
      <c r="H1858" s="217"/>
      <c r="I1858" s="208"/>
      <c r="J1858" s="210"/>
      <c r="K1858" s="210"/>
      <c r="L1858" s="210"/>
      <c r="M1858" s="210"/>
      <c r="N1858" s="210"/>
      <c r="O1858" s="210"/>
      <c r="P1858" s="210"/>
      <c r="Q1858" s="210"/>
      <c r="R1858" s="210"/>
      <c r="S1858" s="210"/>
      <c r="T1858" s="210"/>
      <c r="U1858" s="210"/>
      <c r="V1858" s="210"/>
      <c r="W1858" s="210"/>
      <c r="X1858" s="210"/>
      <c r="Y1858" s="210"/>
      <c r="Z1858" s="210"/>
    </row>
    <row r="1859" ht="21.75" customHeight="1">
      <c r="A1859" s="214"/>
      <c r="B1859" s="218" t="s">
        <v>1869</v>
      </c>
      <c r="C1859" s="219">
        <v>50977.0</v>
      </c>
      <c r="D1859" s="220"/>
      <c r="E1859" s="220"/>
      <c r="F1859" s="220"/>
      <c r="G1859" s="220"/>
      <c r="H1859" s="220"/>
      <c r="I1859" s="208"/>
      <c r="J1859" s="210"/>
      <c r="K1859" s="210"/>
      <c r="L1859" s="210"/>
      <c r="M1859" s="210"/>
      <c r="N1859" s="210"/>
      <c r="O1859" s="210"/>
      <c r="P1859" s="210"/>
      <c r="Q1859" s="210"/>
      <c r="R1859" s="210"/>
      <c r="S1859" s="210"/>
      <c r="T1859" s="210"/>
      <c r="U1859" s="210"/>
      <c r="V1859" s="210"/>
      <c r="W1859" s="210"/>
      <c r="X1859" s="210"/>
      <c r="Y1859" s="210"/>
      <c r="Z1859" s="210"/>
    </row>
    <row r="1860" ht="21.75" customHeight="1">
      <c r="A1860" s="214"/>
      <c r="B1860" s="221"/>
      <c r="C1860" s="222">
        <v>100.0</v>
      </c>
      <c r="D1860" s="223" t="s">
        <v>486</v>
      </c>
      <c r="E1860" s="223" t="s">
        <v>487</v>
      </c>
      <c r="F1860" s="223" t="s">
        <v>488</v>
      </c>
      <c r="G1860" s="223" t="s">
        <v>489</v>
      </c>
      <c r="H1860" s="224" t="s">
        <v>490</v>
      </c>
      <c r="I1860" s="208"/>
      <c r="J1860" s="210"/>
      <c r="K1860" s="210"/>
      <c r="L1860" s="210"/>
      <c r="M1860" s="210"/>
      <c r="N1860" s="210"/>
      <c r="O1860" s="210"/>
      <c r="P1860" s="210"/>
      <c r="Q1860" s="210"/>
      <c r="R1860" s="210"/>
      <c r="S1860" s="210"/>
      <c r="T1860" s="210"/>
      <c r="U1860" s="210"/>
      <c r="V1860" s="210"/>
      <c r="W1860" s="210"/>
      <c r="X1860" s="210"/>
      <c r="Y1860" s="210"/>
      <c r="Z1860" s="210"/>
    </row>
    <row r="1861" ht="21.75" customHeight="1">
      <c r="A1861" s="214"/>
      <c r="B1861" s="221"/>
      <c r="C1861" s="222">
        <v>101.0</v>
      </c>
      <c r="D1861" s="223" t="s">
        <v>516</v>
      </c>
      <c r="E1861" s="223" t="s">
        <v>487</v>
      </c>
      <c r="F1861" s="223" t="s">
        <v>492</v>
      </c>
      <c r="G1861" s="223" t="s">
        <v>497</v>
      </c>
      <c r="H1861" s="225" t="s">
        <v>1870</v>
      </c>
      <c r="I1861" s="208"/>
      <c r="J1861" s="210"/>
      <c r="K1861" s="210"/>
      <c r="L1861" s="210"/>
      <c r="M1861" s="210"/>
      <c r="N1861" s="210"/>
      <c r="O1861" s="210"/>
      <c r="P1861" s="210"/>
      <c r="Q1861" s="210"/>
      <c r="R1861" s="210"/>
      <c r="S1861" s="210"/>
      <c r="T1861" s="210"/>
      <c r="U1861" s="210"/>
      <c r="V1861" s="210"/>
      <c r="W1861" s="210"/>
      <c r="X1861" s="210"/>
      <c r="Y1861" s="210"/>
      <c r="Z1861" s="210"/>
    </row>
    <row r="1862" ht="21.75" customHeight="1">
      <c r="A1862" s="228"/>
      <c r="B1862" s="221"/>
      <c r="C1862" s="222">
        <v>102.0</v>
      </c>
      <c r="D1862" s="223" t="s">
        <v>519</v>
      </c>
      <c r="E1862" s="223" t="s">
        <v>508</v>
      </c>
      <c r="F1862" s="223" t="s">
        <v>509</v>
      </c>
      <c r="G1862" s="223" t="s">
        <v>510</v>
      </c>
      <c r="H1862" s="225" t="s">
        <v>1871</v>
      </c>
      <c r="I1862" s="208"/>
      <c r="J1862" s="210"/>
      <c r="K1862" s="210"/>
      <c r="L1862" s="210"/>
      <c r="M1862" s="210"/>
      <c r="N1862" s="210"/>
      <c r="O1862" s="210"/>
      <c r="P1862" s="210"/>
      <c r="Q1862" s="210"/>
      <c r="R1862" s="210"/>
      <c r="S1862" s="210"/>
      <c r="T1862" s="210"/>
      <c r="U1862" s="210"/>
      <c r="V1862" s="210"/>
      <c r="W1862" s="210"/>
      <c r="X1862" s="210"/>
      <c r="Y1862" s="210"/>
      <c r="Z1862" s="210"/>
    </row>
    <row r="1863" ht="21.75" customHeight="1">
      <c r="A1863" s="214">
        <v>314.0</v>
      </c>
      <c r="B1863" s="229" t="s">
        <v>1872</v>
      </c>
      <c r="C1863" s="230"/>
      <c r="D1863" s="217"/>
      <c r="E1863" s="217"/>
      <c r="F1863" s="217"/>
      <c r="G1863" s="217"/>
      <c r="H1863" s="217"/>
      <c r="I1863" s="208"/>
      <c r="J1863" s="210"/>
      <c r="K1863" s="210"/>
      <c r="L1863" s="210"/>
      <c r="M1863" s="210"/>
      <c r="N1863" s="210"/>
      <c r="O1863" s="210"/>
      <c r="P1863" s="210"/>
      <c r="Q1863" s="210"/>
      <c r="R1863" s="210"/>
      <c r="S1863" s="210"/>
      <c r="T1863" s="210"/>
      <c r="U1863" s="210"/>
      <c r="V1863" s="210"/>
      <c r="W1863" s="210"/>
      <c r="X1863" s="210"/>
      <c r="Y1863" s="210"/>
      <c r="Z1863" s="210"/>
    </row>
    <row r="1864" ht="21.75" customHeight="1">
      <c r="A1864" s="214"/>
      <c r="B1864" s="218" t="s">
        <v>1873</v>
      </c>
      <c r="C1864" s="219">
        <v>50981.0</v>
      </c>
      <c r="D1864" s="220"/>
      <c r="E1864" s="220"/>
      <c r="F1864" s="220"/>
      <c r="G1864" s="220"/>
      <c r="H1864" s="220"/>
      <c r="I1864" s="208"/>
      <c r="J1864" s="210"/>
      <c r="K1864" s="210"/>
      <c r="L1864" s="210"/>
      <c r="M1864" s="210"/>
      <c r="N1864" s="210"/>
      <c r="O1864" s="210"/>
      <c r="P1864" s="210"/>
      <c r="Q1864" s="210"/>
      <c r="R1864" s="210"/>
      <c r="S1864" s="210"/>
      <c r="T1864" s="210"/>
      <c r="U1864" s="210"/>
      <c r="V1864" s="210"/>
      <c r="W1864" s="210"/>
      <c r="X1864" s="210"/>
      <c r="Y1864" s="210"/>
      <c r="Z1864" s="210"/>
    </row>
    <row r="1865" ht="21.75" customHeight="1">
      <c r="A1865" s="214"/>
      <c r="B1865" s="221"/>
      <c r="C1865" s="222">
        <v>100.0</v>
      </c>
      <c r="D1865" s="223" t="s">
        <v>491</v>
      </c>
      <c r="E1865" s="223" t="s">
        <v>487</v>
      </c>
      <c r="F1865" s="223" t="s">
        <v>488</v>
      </c>
      <c r="G1865" s="223" t="s">
        <v>678</v>
      </c>
      <c r="H1865" s="225" t="s">
        <v>1874</v>
      </c>
      <c r="I1865" s="208"/>
      <c r="J1865" s="210"/>
      <c r="K1865" s="210"/>
      <c r="L1865" s="210"/>
      <c r="M1865" s="210"/>
      <c r="N1865" s="210"/>
      <c r="O1865" s="210"/>
      <c r="P1865" s="210"/>
      <c r="Q1865" s="210"/>
      <c r="R1865" s="210"/>
      <c r="S1865" s="210"/>
      <c r="T1865" s="210"/>
      <c r="U1865" s="210"/>
      <c r="V1865" s="210"/>
      <c r="W1865" s="210"/>
      <c r="X1865" s="210"/>
      <c r="Y1865" s="210"/>
      <c r="Z1865" s="210"/>
    </row>
    <row r="1866" ht="21.75" customHeight="1">
      <c r="A1866" s="214"/>
      <c r="B1866" s="221"/>
      <c r="C1866" s="222">
        <v>101.0</v>
      </c>
      <c r="D1866" s="223" t="s">
        <v>1414</v>
      </c>
      <c r="E1866" s="223" t="s">
        <v>487</v>
      </c>
      <c r="F1866" s="223" t="s">
        <v>492</v>
      </c>
      <c r="G1866" s="223" t="s">
        <v>497</v>
      </c>
      <c r="H1866" s="224" t="s">
        <v>490</v>
      </c>
      <c r="I1866" s="208"/>
      <c r="J1866" s="210"/>
      <c r="K1866" s="210"/>
      <c r="L1866" s="210"/>
      <c r="M1866" s="210"/>
      <c r="N1866" s="210"/>
      <c r="O1866" s="210"/>
      <c r="P1866" s="210"/>
      <c r="Q1866" s="210"/>
      <c r="R1866" s="210"/>
      <c r="S1866" s="210"/>
      <c r="T1866" s="210"/>
      <c r="U1866" s="210"/>
      <c r="V1866" s="210"/>
      <c r="W1866" s="210"/>
      <c r="X1866" s="210"/>
      <c r="Y1866" s="210"/>
      <c r="Z1866" s="210"/>
    </row>
    <row r="1867" ht="21.75" customHeight="1">
      <c r="A1867" s="214"/>
      <c r="B1867" s="221"/>
      <c r="C1867" s="222">
        <v>102.0</v>
      </c>
      <c r="D1867" s="223" t="s">
        <v>1415</v>
      </c>
      <c r="E1867" s="223" t="s">
        <v>487</v>
      </c>
      <c r="F1867" s="223" t="s">
        <v>496</v>
      </c>
      <c r="G1867" s="223" t="s">
        <v>501</v>
      </c>
      <c r="H1867" s="224" t="s">
        <v>490</v>
      </c>
      <c r="I1867" s="208"/>
      <c r="J1867" s="210"/>
      <c r="K1867" s="210"/>
      <c r="L1867" s="210"/>
      <c r="M1867" s="210"/>
      <c r="N1867" s="210"/>
      <c r="O1867" s="210"/>
      <c r="P1867" s="210"/>
      <c r="Q1867" s="210"/>
      <c r="R1867" s="210"/>
      <c r="S1867" s="210"/>
      <c r="T1867" s="210"/>
      <c r="U1867" s="210"/>
      <c r="V1867" s="210"/>
      <c r="W1867" s="210"/>
      <c r="X1867" s="210"/>
      <c r="Y1867" s="210"/>
      <c r="Z1867" s="210"/>
    </row>
    <row r="1868" ht="21.75" customHeight="1">
      <c r="A1868" s="214"/>
      <c r="B1868" s="221"/>
      <c r="C1868" s="222">
        <v>103.0</v>
      </c>
      <c r="D1868" s="223" t="s">
        <v>507</v>
      </c>
      <c r="E1868" s="223" t="s">
        <v>539</v>
      </c>
      <c r="F1868" s="223" t="s">
        <v>621</v>
      </c>
      <c r="G1868" s="223" t="s">
        <v>561</v>
      </c>
      <c r="H1868" s="224" t="s">
        <v>490</v>
      </c>
      <c r="I1868" s="208"/>
      <c r="J1868" s="210"/>
      <c r="K1868" s="210"/>
      <c r="L1868" s="210"/>
      <c r="M1868" s="210"/>
      <c r="N1868" s="210"/>
      <c r="O1868" s="210"/>
      <c r="P1868" s="210"/>
      <c r="Q1868" s="210"/>
      <c r="R1868" s="210"/>
      <c r="S1868" s="210"/>
      <c r="T1868" s="210"/>
      <c r="U1868" s="210"/>
      <c r="V1868" s="210"/>
      <c r="W1868" s="210"/>
      <c r="X1868" s="210"/>
      <c r="Y1868" s="210"/>
      <c r="Z1868" s="210"/>
    </row>
    <row r="1869" ht="21.75" customHeight="1">
      <c r="A1869" s="214"/>
      <c r="B1869" s="221"/>
      <c r="C1869" s="222">
        <v>104.0</v>
      </c>
      <c r="D1869" s="223" t="s">
        <v>519</v>
      </c>
      <c r="E1869" s="223" t="s">
        <v>508</v>
      </c>
      <c r="F1869" s="223" t="s">
        <v>509</v>
      </c>
      <c r="G1869" s="223" t="s">
        <v>510</v>
      </c>
      <c r="H1869" s="225" t="s">
        <v>1875</v>
      </c>
      <c r="I1869" s="208"/>
      <c r="J1869" s="210"/>
      <c r="K1869" s="210"/>
      <c r="L1869" s="210"/>
      <c r="M1869" s="210"/>
      <c r="N1869" s="210"/>
      <c r="O1869" s="210"/>
      <c r="P1869" s="210"/>
      <c r="Q1869" s="210"/>
      <c r="R1869" s="210"/>
      <c r="S1869" s="210"/>
      <c r="T1869" s="210"/>
      <c r="U1869" s="210"/>
      <c r="V1869" s="210"/>
      <c r="W1869" s="210"/>
      <c r="X1869" s="210"/>
      <c r="Y1869" s="210"/>
      <c r="Z1869" s="210"/>
    </row>
    <row r="1870" ht="21.75" customHeight="1">
      <c r="A1870" s="214"/>
      <c r="B1870" s="221"/>
      <c r="C1870" s="222">
        <v>105.0</v>
      </c>
      <c r="D1870" s="223" t="s">
        <v>862</v>
      </c>
      <c r="E1870" s="223" t="s">
        <v>539</v>
      </c>
      <c r="F1870" s="223" t="s">
        <v>542</v>
      </c>
      <c r="G1870" s="223" t="s">
        <v>864</v>
      </c>
      <c r="H1870" s="224" t="s">
        <v>490</v>
      </c>
      <c r="I1870" s="208"/>
      <c r="J1870" s="210"/>
      <c r="K1870" s="210"/>
      <c r="L1870" s="210"/>
      <c r="M1870" s="210"/>
      <c r="N1870" s="210"/>
      <c r="O1870" s="210"/>
      <c r="P1870" s="210"/>
      <c r="Q1870" s="210"/>
      <c r="R1870" s="210"/>
      <c r="S1870" s="210"/>
      <c r="T1870" s="210"/>
      <c r="U1870" s="210"/>
      <c r="V1870" s="210"/>
      <c r="W1870" s="210"/>
      <c r="X1870" s="210"/>
      <c r="Y1870" s="210"/>
      <c r="Z1870" s="210"/>
    </row>
    <row r="1871" ht="21.75" customHeight="1">
      <c r="A1871" s="214"/>
      <c r="B1871" s="221"/>
      <c r="C1871" s="222">
        <v>106.0</v>
      </c>
      <c r="D1871" s="223" t="s">
        <v>912</v>
      </c>
      <c r="E1871" s="223" t="s">
        <v>487</v>
      </c>
      <c r="F1871" s="223" t="s">
        <v>500</v>
      </c>
      <c r="G1871" s="223" t="s">
        <v>493</v>
      </c>
      <c r="H1871" s="224" t="s">
        <v>490</v>
      </c>
      <c r="I1871" s="208"/>
      <c r="J1871" s="210"/>
      <c r="K1871" s="210"/>
      <c r="L1871" s="210"/>
      <c r="M1871" s="210"/>
      <c r="N1871" s="210"/>
      <c r="O1871" s="210"/>
      <c r="P1871" s="210"/>
      <c r="Q1871" s="210"/>
      <c r="R1871" s="210"/>
      <c r="S1871" s="210"/>
      <c r="T1871" s="210"/>
      <c r="U1871" s="210"/>
      <c r="V1871" s="210"/>
      <c r="W1871" s="210"/>
      <c r="X1871" s="210"/>
      <c r="Y1871" s="210"/>
      <c r="Z1871" s="210"/>
    </row>
    <row r="1872" ht="21.75" customHeight="1">
      <c r="A1872" s="214"/>
      <c r="B1872" s="221"/>
      <c r="C1872" s="222">
        <v>107.0</v>
      </c>
      <c r="D1872" s="223" t="s">
        <v>1417</v>
      </c>
      <c r="E1872" s="223" t="s">
        <v>487</v>
      </c>
      <c r="F1872" s="223" t="s">
        <v>512</v>
      </c>
      <c r="G1872" s="223" t="s">
        <v>602</v>
      </c>
      <c r="H1872" s="224" t="s">
        <v>490</v>
      </c>
      <c r="I1872" s="208"/>
      <c r="J1872" s="210"/>
      <c r="K1872" s="210"/>
      <c r="L1872" s="210"/>
      <c r="M1872" s="210"/>
      <c r="N1872" s="210"/>
      <c r="O1872" s="210"/>
      <c r="P1872" s="210"/>
      <c r="Q1872" s="210"/>
      <c r="R1872" s="210"/>
      <c r="S1872" s="210"/>
      <c r="T1872" s="210"/>
      <c r="U1872" s="210"/>
      <c r="V1872" s="210"/>
      <c r="W1872" s="210"/>
      <c r="X1872" s="210"/>
      <c r="Y1872" s="210"/>
      <c r="Z1872" s="210"/>
    </row>
    <row r="1873" ht="21.75" customHeight="1">
      <c r="A1873" s="214"/>
      <c r="B1873" s="221"/>
      <c r="C1873" s="222">
        <v>108.0</v>
      </c>
      <c r="D1873" s="223" t="s">
        <v>408</v>
      </c>
      <c r="E1873" s="223" t="s">
        <v>487</v>
      </c>
      <c r="F1873" s="223" t="s">
        <v>532</v>
      </c>
      <c r="G1873" s="223" t="s">
        <v>526</v>
      </c>
      <c r="H1873" s="224" t="s">
        <v>490</v>
      </c>
      <c r="I1873" s="208"/>
      <c r="J1873" s="210"/>
      <c r="K1873" s="210"/>
      <c r="L1873" s="210"/>
      <c r="M1873" s="210"/>
      <c r="N1873" s="210"/>
      <c r="O1873" s="210"/>
      <c r="P1873" s="210"/>
      <c r="Q1873" s="210"/>
      <c r="R1873" s="210"/>
      <c r="S1873" s="210"/>
      <c r="T1873" s="210"/>
      <c r="U1873" s="210"/>
      <c r="V1873" s="210"/>
      <c r="W1873" s="210"/>
      <c r="X1873" s="210"/>
      <c r="Y1873" s="210"/>
      <c r="Z1873" s="210"/>
    </row>
    <row r="1874" ht="21.75" customHeight="1">
      <c r="A1874" s="214"/>
      <c r="B1874" s="221"/>
      <c r="C1874" s="222">
        <v>109.0</v>
      </c>
      <c r="D1874" s="223" t="s">
        <v>369</v>
      </c>
      <c r="E1874" s="223" t="s">
        <v>487</v>
      </c>
      <c r="F1874" s="223" t="s">
        <v>603</v>
      </c>
      <c r="G1874" s="223" t="s">
        <v>513</v>
      </c>
      <c r="H1874" s="224" t="s">
        <v>490</v>
      </c>
      <c r="I1874" s="208"/>
      <c r="J1874" s="210"/>
      <c r="K1874" s="210"/>
      <c r="L1874" s="210"/>
      <c r="M1874" s="210"/>
      <c r="N1874" s="210"/>
      <c r="O1874" s="210"/>
      <c r="P1874" s="210"/>
      <c r="Q1874" s="210"/>
      <c r="R1874" s="210"/>
      <c r="S1874" s="210"/>
      <c r="T1874" s="210"/>
      <c r="U1874" s="210"/>
      <c r="V1874" s="210"/>
      <c r="W1874" s="210"/>
      <c r="X1874" s="210"/>
      <c r="Y1874" s="210"/>
      <c r="Z1874" s="210"/>
    </row>
    <row r="1875" ht="21.75" customHeight="1">
      <c r="A1875" s="214"/>
      <c r="B1875" s="221"/>
      <c r="C1875" s="222">
        <v>110.0</v>
      </c>
      <c r="D1875" s="223" t="s">
        <v>1418</v>
      </c>
      <c r="E1875" s="223" t="s">
        <v>487</v>
      </c>
      <c r="F1875" s="223" t="s">
        <v>579</v>
      </c>
      <c r="G1875" s="223" t="s">
        <v>606</v>
      </c>
      <c r="H1875" s="224" t="s">
        <v>490</v>
      </c>
      <c r="I1875" s="208"/>
      <c r="J1875" s="210"/>
      <c r="K1875" s="210"/>
      <c r="L1875" s="210"/>
      <c r="M1875" s="210"/>
      <c r="N1875" s="210"/>
      <c r="O1875" s="210"/>
      <c r="P1875" s="210"/>
      <c r="Q1875" s="210"/>
      <c r="R1875" s="210"/>
      <c r="S1875" s="210"/>
      <c r="T1875" s="210"/>
      <c r="U1875" s="210"/>
      <c r="V1875" s="210"/>
      <c r="W1875" s="210"/>
      <c r="X1875" s="210"/>
      <c r="Y1875" s="210"/>
      <c r="Z1875" s="210"/>
    </row>
    <row r="1876" ht="21.75" customHeight="1">
      <c r="A1876" s="214"/>
      <c r="B1876" s="221"/>
      <c r="C1876" s="222">
        <v>111.0</v>
      </c>
      <c r="D1876" s="223" t="s">
        <v>863</v>
      </c>
      <c r="E1876" s="223" t="s">
        <v>539</v>
      </c>
      <c r="F1876" s="223" t="s">
        <v>863</v>
      </c>
      <c r="G1876" s="218" t="s">
        <v>490</v>
      </c>
      <c r="H1876" s="224" t="s">
        <v>490</v>
      </c>
      <c r="I1876" s="208"/>
      <c r="J1876" s="210"/>
      <c r="K1876" s="210"/>
      <c r="L1876" s="210"/>
      <c r="M1876" s="210"/>
      <c r="N1876" s="210"/>
      <c r="O1876" s="210"/>
      <c r="P1876" s="210"/>
      <c r="Q1876" s="210"/>
      <c r="R1876" s="210"/>
      <c r="S1876" s="210"/>
      <c r="T1876" s="210"/>
      <c r="U1876" s="210"/>
      <c r="V1876" s="210"/>
      <c r="W1876" s="210"/>
      <c r="X1876" s="210"/>
      <c r="Y1876" s="210"/>
      <c r="Z1876" s="210"/>
    </row>
    <row r="1877" ht="21.75" customHeight="1">
      <c r="A1877" s="214"/>
      <c r="B1877" s="221"/>
      <c r="C1877" s="222">
        <v>200.0</v>
      </c>
      <c r="D1877" s="223" t="s">
        <v>1419</v>
      </c>
      <c r="E1877" s="223" t="s">
        <v>487</v>
      </c>
      <c r="F1877" s="223" t="s">
        <v>590</v>
      </c>
      <c r="G1877" s="218" t="s">
        <v>490</v>
      </c>
      <c r="H1877" s="224" t="s">
        <v>490</v>
      </c>
      <c r="I1877" s="208"/>
      <c r="J1877" s="210"/>
      <c r="K1877" s="210"/>
      <c r="L1877" s="210"/>
      <c r="M1877" s="210"/>
      <c r="N1877" s="210"/>
      <c r="O1877" s="210"/>
      <c r="P1877" s="210"/>
      <c r="Q1877" s="210"/>
      <c r="R1877" s="210"/>
      <c r="S1877" s="210"/>
      <c r="T1877" s="210"/>
      <c r="U1877" s="210"/>
      <c r="V1877" s="210"/>
      <c r="W1877" s="210"/>
      <c r="X1877" s="210"/>
      <c r="Y1877" s="210"/>
      <c r="Z1877" s="210"/>
    </row>
    <row r="1878" ht="21.75" customHeight="1">
      <c r="A1878" s="214"/>
      <c r="B1878" s="221"/>
      <c r="C1878" s="222">
        <v>201.0</v>
      </c>
      <c r="D1878" s="223" t="s">
        <v>1420</v>
      </c>
      <c r="E1878" s="223" t="s">
        <v>487</v>
      </c>
      <c r="F1878" s="223" t="s">
        <v>583</v>
      </c>
      <c r="G1878" s="218" t="s">
        <v>490</v>
      </c>
      <c r="H1878" s="224" t="s">
        <v>490</v>
      </c>
      <c r="I1878" s="208"/>
      <c r="J1878" s="210"/>
      <c r="K1878" s="210"/>
      <c r="L1878" s="210"/>
      <c r="M1878" s="210"/>
      <c r="N1878" s="210"/>
      <c r="O1878" s="210"/>
      <c r="P1878" s="210"/>
      <c r="Q1878" s="210"/>
      <c r="R1878" s="210"/>
      <c r="S1878" s="210"/>
      <c r="T1878" s="210"/>
      <c r="U1878" s="210"/>
      <c r="V1878" s="210"/>
      <c r="W1878" s="210"/>
      <c r="X1878" s="210"/>
      <c r="Y1878" s="210"/>
      <c r="Z1878" s="210"/>
    </row>
    <row r="1879" ht="21.75" customHeight="1">
      <c r="A1879" s="214"/>
      <c r="B1879" s="221"/>
      <c r="C1879" s="222">
        <v>202.0</v>
      </c>
      <c r="D1879" s="223" t="s">
        <v>1421</v>
      </c>
      <c r="E1879" s="223" t="s">
        <v>487</v>
      </c>
      <c r="F1879" s="223" t="s">
        <v>601</v>
      </c>
      <c r="G1879" s="218" t="s">
        <v>490</v>
      </c>
      <c r="H1879" s="224" t="s">
        <v>490</v>
      </c>
      <c r="I1879" s="208"/>
      <c r="J1879" s="210"/>
      <c r="K1879" s="210"/>
      <c r="L1879" s="210"/>
      <c r="M1879" s="210"/>
      <c r="N1879" s="210"/>
      <c r="O1879" s="210"/>
      <c r="P1879" s="210"/>
      <c r="Q1879" s="210"/>
      <c r="R1879" s="210"/>
      <c r="S1879" s="210"/>
      <c r="T1879" s="210"/>
      <c r="U1879" s="210"/>
      <c r="V1879" s="210"/>
      <c r="W1879" s="210"/>
      <c r="X1879" s="210"/>
      <c r="Y1879" s="210"/>
      <c r="Z1879" s="210"/>
    </row>
    <row r="1880" ht="21.75" customHeight="1">
      <c r="A1880" s="214"/>
      <c r="B1880" s="221"/>
      <c r="C1880" s="222">
        <v>203.0</v>
      </c>
      <c r="D1880" s="223" t="s">
        <v>1422</v>
      </c>
      <c r="E1880" s="223" t="s">
        <v>529</v>
      </c>
      <c r="F1880" s="223" t="s">
        <v>530</v>
      </c>
      <c r="G1880" s="218" t="s">
        <v>490</v>
      </c>
      <c r="H1880" s="224" t="s">
        <v>490</v>
      </c>
      <c r="I1880" s="208"/>
      <c r="J1880" s="210"/>
      <c r="K1880" s="210"/>
      <c r="L1880" s="210"/>
      <c r="M1880" s="210"/>
      <c r="N1880" s="210"/>
      <c r="O1880" s="210"/>
      <c r="P1880" s="210"/>
      <c r="Q1880" s="210"/>
      <c r="R1880" s="210"/>
      <c r="S1880" s="210"/>
      <c r="T1880" s="210"/>
      <c r="U1880" s="210"/>
      <c r="V1880" s="210"/>
      <c r="W1880" s="210"/>
      <c r="X1880" s="210"/>
      <c r="Y1880" s="210"/>
      <c r="Z1880" s="210"/>
    </row>
    <row r="1881" ht="21.75" customHeight="1">
      <c r="A1881" s="214"/>
      <c r="B1881" s="221"/>
      <c r="C1881" s="222">
        <v>204.0</v>
      </c>
      <c r="D1881" s="223" t="s">
        <v>1423</v>
      </c>
      <c r="E1881" s="223" t="s">
        <v>529</v>
      </c>
      <c r="F1881" s="223" t="s">
        <v>1367</v>
      </c>
      <c r="G1881" s="218" t="s">
        <v>490</v>
      </c>
      <c r="H1881" s="224" t="s">
        <v>490</v>
      </c>
      <c r="I1881" s="208"/>
      <c r="J1881" s="210"/>
      <c r="K1881" s="210"/>
      <c r="L1881" s="210"/>
      <c r="M1881" s="210"/>
      <c r="N1881" s="210"/>
      <c r="O1881" s="210"/>
      <c r="P1881" s="210"/>
      <c r="Q1881" s="210"/>
      <c r="R1881" s="210"/>
      <c r="S1881" s="210"/>
      <c r="T1881" s="210"/>
      <c r="U1881" s="210"/>
      <c r="V1881" s="210"/>
      <c r="W1881" s="210"/>
      <c r="X1881" s="210"/>
      <c r="Y1881" s="210"/>
      <c r="Z1881" s="210"/>
    </row>
    <row r="1882" ht="21.75" customHeight="1">
      <c r="A1882" s="214"/>
      <c r="B1882" s="221"/>
      <c r="C1882" s="222">
        <v>205.0</v>
      </c>
      <c r="D1882" s="223" t="s">
        <v>1424</v>
      </c>
      <c r="E1882" s="223" t="s">
        <v>487</v>
      </c>
      <c r="F1882" s="223" t="s">
        <v>560</v>
      </c>
      <c r="G1882" s="218" t="s">
        <v>490</v>
      </c>
      <c r="H1882" s="224" t="s">
        <v>490</v>
      </c>
      <c r="I1882" s="208"/>
      <c r="J1882" s="210"/>
      <c r="K1882" s="210"/>
      <c r="L1882" s="210"/>
      <c r="M1882" s="210"/>
      <c r="N1882" s="210"/>
      <c r="O1882" s="210"/>
      <c r="P1882" s="210"/>
      <c r="Q1882" s="210"/>
      <c r="R1882" s="210"/>
      <c r="S1882" s="210"/>
      <c r="T1882" s="210"/>
      <c r="U1882" s="210"/>
      <c r="V1882" s="210"/>
      <c r="W1882" s="210"/>
      <c r="X1882" s="210"/>
      <c r="Y1882" s="210"/>
      <c r="Z1882" s="210"/>
    </row>
    <row r="1883" ht="21.75" customHeight="1">
      <c r="A1883" s="214"/>
      <c r="B1883" s="221"/>
      <c r="C1883" s="222">
        <v>206.0</v>
      </c>
      <c r="D1883" s="223" t="s">
        <v>1425</v>
      </c>
      <c r="E1883" s="223" t="s">
        <v>539</v>
      </c>
      <c r="F1883" s="223" t="s">
        <v>625</v>
      </c>
      <c r="G1883" s="218" t="s">
        <v>490</v>
      </c>
      <c r="H1883" s="224" t="s">
        <v>490</v>
      </c>
      <c r="I1883" s="208"/>
      <c r="J1883" s="210"/>
      <c r="K1883" s="210"/>
      <c r="L1883" s="210"/>
      <c r="M1883" s="210"/>
      <c r="N1883" s="210"/>
      <c r="O1883" s="210"/>
      <c r="P1883" s="210"/>
      <c r="Q1883" s="210"/>
      <c r="R1883" s="210"/>
      <c r="S1883" s="210"/>
      <c r="T1883" s="210"/>
      <c r="U1883" s="210"/>
      <c r="V1883" s="210"/>
      <c r="W1883" s="210"/>
      <c r="X1883" s="210"/>
      <c r="Y1883" s="210"/>
      <c r="Z1883" s="210"/>
    </row>
    <row r="1884" ht="21.75" customHeight="1">
      <c r="A1884" s="214"/>
      <c r="B1884" s="221"/>
      <c r="C1884" s="222">
        <v>207.0</v>
      </c>
      <c r="D1884" s="223" t="s">
        <v>555</v>
      </c>
      <c r="E1884" s="223" t="s">
        <v>487</v>
      </c>
      <c r="F1884" s="223" t="s">
        <v>613</v>
      </c>
      <c r="G1884" s="218" t="s">
        <v>490</v>
      </c>
      <c r="H1884" s="224" t="s">
        <v>490</v>
      </c>
      <c r="I1884" s="208"/>
      <c r="J1884" s="210"/>
      <c r="K1884" s="210"/>
      <c r="L1884" s="210"/>
      <c r="M1884" s="210"/>
      <c r="N1884" s="210"/>
      <c r="O1884" s="210"/>
      <c r="P1884" s="210"/>
      <c r="Q1884" s="210"/>
      <c r="R1884" s="210"/>
      <c r="S1884" s="210"/>
      <c r="T1884" s="210"/>
      <c r="U1884" s="210"/>
      <c r="V1884" s="210"/>
      <c r="W1884" s="210"/>
      <c r="X1884" s="210"/>
      <c r="Y1884" s="210"/>
      <c r="Z1884" s="210"/>
    </row>
    <row r="1885" ht="21.75" customHeight="1">
      <c r="A1885" s="214"/>
      <c r="B1885" s="221"/>
      <c r="C1885" s="222">
        <v>208.0</v>
      </c>
      <c r="D1885" s="223" t="s">
        <v>1426</v>
      </c>
      <c r="E1885" s="223" t="s">
        <v>487</v>
      </c>
      <c r="F1885" s="223" t="s">
        <v>593</v>
      </c>
      <c r="G1885" s="218" t="s">
        <v>490</v>
      </c>
      <c r="H1885" s="224" t="s">
        <v>490</v>
      </c>
      <c r="I1885" s="208"/>
      <c r="J1885" s="210"/>
      <c r="K1885" s="210"/>
      <c r="L1885" s="210"/>
      <c r="M1885" s="210"/>
      <c r="N1885" s="210"/>
      <c r="O1885" s="210"/>
      <c r="P1885" s="210"/>
      <c r="Q1885" s="210"/>
      <c r="R1885" s="210"/>
      <c r="S1885" s="210"/>
      <c r="T1885" s="210"/>
      <c r="U1885" s="210"/>
      <c r="V1885" s="210"/>
      <c r="W1885" s="210"/>
      <c r="X1885" s="210"/>
      <c r="Y1885" s="210"/>
      <c r="Z1885" s="210"/>
    </row>
    <row r="1886" ht="21.75" customHeight="1">
      <c r="A1886" s="214"/>
      <c r="B1886" s="221"/>
      <c r="C1886" s="222">
        <v>209.0</v>
      </c>
      <c r="D1886" s="223" t="s">
        <v>1427</v>
      </c>
      <c r="E1886" s="223" t="s">
        <v>487</v>
      </c>
      <c r="F1886" s="223" t="s">
        <v>605</v>
      </c>
      <c r="G1886" s="218" t="s">
        <v>490</v>
      </c>
      <c r="H1886" s="224" t="s">
        <v>490</v>
      </c>
      <c r="I1886" s="208"/>
      <c r="J1886" s="210"/>
      <c r="K1886" s="210"/>
      <c r="L1886" s="210"/>
      <c r="M1886" s="210"/>
      <c r="N1886" s="210"/>
      <c r="O1886" s="210"/>
      <c r="P1886" s="210"/>
      <c r="Q1886" s="210"/>
      <c r="R1886" s="210"/>
      <c r="S1886" s="210"/>
      <c r="T1886" s="210"/>
      <c r="U1886" s="210"/>
      <c r="V1886" s="210"/>
      <c r="W1886" s="210"/>
      <c r="X1886" s="210"/>
      <c r="Y1886" s="210"/>
      <c r="Z1886" s="210"/>
    </row>
    <row r="1887" ht="21.75" customHeight="1">
      <c r="A1887" s="228"/>
      <c r="B1887" s="221"/>
      <c r="C1887" s="222">
        <v>300.0</v>
      </c>
      <c r="D1887" s="223" t="s">
        <v>696</v>
      </c>
      <c r="E1887" s="223" t="s">
        <v>673</v>
      </c>
      <c r="F1887" s="223" t="s">
        <v>696</v>
      </c>
      <c r="G1887" s="218" t="s">
        <v>490</v>
      </c>
      <c r="H1887" s="224" t="s">
        <v>490</v>
      </c>
      <c r="I1887" s="208"/>
      <c r="J1887" s="210"/>
      <c r="K1887" s="210"/>
      <c r="L1887" s="210"/>
      <c r="M1887" s="210"/>
      <c r="N1887" s="210"/>
      <c r="O1887" s="210"/>
      <c r="P1887" s="210"/>
      <c r="Q1887" s="210"/>
      <c r="R1887" s="210"/>
      <c r="S1887" s="210"/>
      <c r="T1887" s="210"/>
      <c r="U1887" s="210"/>
      <c r="V1887" s="210"/>
      <c r="W1887" s="210"/>
      <c r="X1887" s="210"/>
      <c r="Y1887" s="210"/>
      <c r="Z1887" s="210"/>
    </row>
    <row r="1888" ht="21.75" customHeight="1">
      <c r="A1888" s="214">
        <v>315.0</v>
      </c>
      <c r="B1888" s="215" t="s">
        <v>1876</v>
      </c>
      <c r="C1888" s="216"/>
      <c r="D1888" s="217"/>
      <c r="E1888" s="217"/>
      <c r="F1888" s="217"/>
      <c r="G1888" s="217"/>
      <c r="H1888" s="217"/>
      <c r="I1888" s="208"/>
      <c r="J1888" s="210"/>
      <c r="K1888" s="210"/>
      <c r="L1888" s="210"/>
      <c r="M1888" s="210"/>
      <c r="N1888" s="210"/>
      <c r="O1888" s="210"/>
      <c r="P1888" s="210"/>
      <c r="Q1888" s="210"/>
      <c r="R1888" s="210"/>
      <c r="S1888" s="210"/>
      <c r="T1888" s="210"/>
      <c r="U1888" s="210"/>
      <c r="V1888" s="210"/>
      <c r="W1888" s="210"/>
      <c r="X1888" s="210"/>
      <c r="Y1888" s="210"/>
      <c r="Z1888" s="210"/>
    </row>
    <row r="1889" ht="21.75" customHeight="1">
      <c r="A1889" s="214"/>
      <c r="B1889" s="218" t="s">
        <v>1877</v>
      </c>
      <c r="C1889" s="219">
        <v>50985.0</v>
      </c>
      <c r="D1889" s="220"/>
      <c r="E1889" s="220"/>
      <c r="F1889" s="220"/>
      <c r="G1889" s="220"/>
      <c r="H1889" s="220"/>
      <c r="I1889" s="208"/>
      <c r="J1889" s="210"/>
      <c r="K1889" s="210"/>
      <c r="L1889" s="210"/>
      <c r="M1889" s="210"/>
      <c r="N1889" s="210"/>
      <c r="O1889" s="210"/>
      <c r="P1889" s="210"/>
      <c r="Q1889" s="210"/>
      <c r="R1889" s="210"/>
      <c r="S1889" s="210"/>
      <c r="T1889" s="210"/>
      <c r="U1889" s="210"/>
      <c r="V1889" s="210"/>
      <c r="W1889" s="210"/>
      <c r="X1889" s="210"/>
      <c r="Y1889" s="210"/>
      <c r="Z1889" s="210"/>
    </row>
    <row r="1890" ht="21.75" customHeight="1">
      <c r="A1890" s="214"/>
      <c r="B1890" s="221"/>
      <c r="C1890" s="222">
        <v>100.0</v>
      </c>
      <c r="D1890" s="223" t="s">
        <v>486</v>
      </c>
      <c r="E1890" s="223" t="s">
        <v>487</v>
      </c>
      <c r="F1890" s="223" t="s">
        <v>488</v>
      </c>
      <c r="G1890" s="223" t="s">
        <v>489</v>
      </c>
      <c r="H1890" s="224" t="s">
        <v>490</v>
      </c>
      <c r="I1890" s="208"/>
      <c r="J1890" s="210"/>
      <c r="K1890" s="210"/>
      <c r="L1890" s="210"/>
      <c r="M1890" s="210"/>
      <c r="N1890" s="210"/>
      <c r="O1890" s="210"/>
      <c r="P1890" s="210"/>
      <c r="Q1890" s="210"/>
      <c r="R1890" s="210"/>
      <c r="S1890" s="210"/>
      <c r="T1890" s="210"/>
      <c r="U1890" s="210"/>
      <c r="V1890" s="210"/>
      <c r="W1890" s="210"/>
      <c r="X1890" s="210"/>
      <c r="Y1890" s="210"/>
      <c r="Z1890" s="210"/>
    </row>
    <row r="1891" ht="21.75" customHeight="1">
      <c r="A1891" s="214"/>
      <c r="B1891" s="221"/>
      <c r="C1891" s="222">
        <v>101.0</v>
      </c>
      <c r="D1891" s="223" t="s">
        <v>491</v>
      </c>
      <c r="E1891" s="223" t="s">
        <v>487</v>
      </c>
      <c r="F1891" s="223" t="s">
        <v>492</v>
      </c>
      <c r="G1891" s="223" t="s">
        <v>678</v>
      </c>
      <c r="H1891" s="225" t="s">
        <v>1878</v>
      </c>
      <c r="I1891" s="208"/>
      <c r="J1891" s="210"/>
      <c r="K1891" s="210"/>
      <c r="L1891" s="210"/>
      <c r="M1891" s="210"/>
      <c r="N1891" s="210"/>
      <c r="O1891" s="210"/>
      <c r="P1891" s="210"/>
      <c r="Q1891" s="210"/>
      <c r="R1891" s="210"/>
      <c r="S1891" s="210"/>
      <c r="T1891" s="210"/>
      <c r="U1891" s="210"/>
      <c r="V1891" s="210"/>
      <c r="W1891" s="210"/>
      <c r="X1891" s="210"/>
      <c r="Y1891" s="210"/>
      <c r="Z1891" s="210"/>
    </row>
    <row r="1892" ht="21.75" customHeight="1">
      <c r="A1892" s="214"/>
      <c r="B1892" s="221"/>
      <c r="C1892" s="222">
        <v>102.0</v>
      </c>
      <c r="D1892" s="223" t="s">
        <v>408</v>
      </c>
      <c r="E1892" s="223" t="s">
        <v>487</v>
      </c>
      <c r="F1892" s="223" t="s">
        <v>496</v>
      </c>
      <c r="G1892" s="223" t="s">
        <v>497</v>
      </c>
      <c r="H1892" s="225" t="s">
        <v>877</v>
      </c>
      <c r="I1892" s="208"/>
      <c r="J1892" s="210"/>
      <c r="K1892" s="210"/>
      <c r="L1892" s="210"/>
      <c r="M1892" s="210"/>
      <c r="N1892" s="210"/>
      <c r="O1892" s="210"/>
      <c r="P1892" s="210"/>
      <c r="Q1892" s="210"/>
      <c r="R1892" s="210"/>
      <c r="S1892" s="210"/>
      <c r="T1892" s="210"/>
      <c r="U1892" s="210"/>
      <c r="V1892" s="210"/>
      <c r="W1892" s="210"/>
      <c r="X1892" s="210"/>
      <c r="Y1892" s="210"/>
      <c r="Z1892" s="210"/>
    </row>
    <row r="1893" ht="21.75" customHeight="1">
      <c r="A1893" s="214"/>
      <c r="B1893" s="221"/>
      <c r="C1893" s="222">
        <v>103.0</v>
      </c>
      <c r="D1893" s="223" t="s">
        <v>946</v>
      </c>
      <c r="E1893" s="223" t="s">
        <v>487</v>
      </c>
      <c r="F1893" s="223" t="s">
        <v>500</v>
      </c>
      <c r="G1893" s="223" t="s">
        <v>501</v>
      </c>
      <c r="H1893" s="225" t="s">
        <v>877</v>
      </c>
      <c r="I1893" s="208"/>
      <c r="J1893" s="210"/>
      <c r="K1893" s="210"/>
      <c r="L1893" s="210"/>
      <c r="M1893" s="210"/>
      <c r="N1893" s="210"/>
      <c r="O1893" s="210"/>
      <c r="P1893" s="210"/>
      <c r="Q1893" s="210"/>
      <c r="R1893" s="210"/>
      <c r="S1893" s="210"/>
      <c r="T1893" s="210"/>
      <c r="U1893" s="210"/>
      <c r="V1893" s="210"/>
      <c r="W1893" s="210"/>
      <c r="X1893" s="210"/>
      <c r="Y1893" s="210"/>
      <c r="Z1893" s="210"/>
    </row>
    <row r="1894" ht="21.75" customHeight="1">
      <c r="A1894" s="214"/>
      <c r="B1894" s="221"/>
      <c r="C1894" s="222">
        <v>104.0</v>
      </c>
      <c r="D1894" s="223" t="s">
        <v>923</v>
      </c>
      <c r="E1894" s="223" t="s">
        <v>539</v>
      </c>
      <c r="F1894" s="223" t="s">
        <v>621</v>
      </c>
      <c r="G1894" s="223" t="s">
        <v>513</v>
      </c>
      <c r="H1894" s="224" t="s">
        <v>490</v>
      </c>
      <c r="I1894" s="208"/>
      <c r="J1894" s="210"/>
      <c r="K1894" s="210"/>
      <c r="L1894" s="210"/>
      <c r="M1894" s="210"/>
      <c r="N1894" s="210"/>
      <c r="O1894" s="210"/>
      <c r="P1894" s="210"/>
      <c r="Q1894" s="210"/>
      <c r="R1894" s="210"/>
      <c r="S1894" s="210"/>
      <c r="T1894" s="210"/>
      <c r="U1894" s="210"/>
      <c r="V1894" s="210"/>
      <c r="W1894" s="210"/>
      <c r="X1894" s="210"/>
      <c r="Y1894" s="210"/>
      <c r="Z1894" s="210"/>
    </row>
    <row r="1895" ht="21.75" customHeight="1">
      <c r="A1895" s="214"/>
      <c r="B1895" s="221"/>
      <c r="C1895" s="222">
        <v>105.0</v>
      </c>
      <c r="D1895" s="223" t="s">
        <v>1879</v>
      </c>
      <c r="E1895" s="223" t="s">
        <v>539</v>
      </c>
      <c r="F1895" s="223" t="s">
        <v>542</v>
      </c>
      <c r="G1895" s="223" t="s">
        <v>594</v>
      </c>
      <c r="H1895" s="225" t="s">
        <v>1880</v>
      </c>
      <c r="I1895" s="208"/>
      <c r="J1895" s="210"/>
      <c r="K1895" s="210"/>
      <c r="L1895" s="210"/>
      <c r="M1895" s="210"/>
      <c r="N1895" s="210"/>
      <c r="O1895" s="210"/>
      <c r="P1895" s="210"/>
      <c r="Q1895" s="210"/>
      <c r="R1895" s="210"/>
      <c r="S1895" s="210"/>
      <c r="T1895" s="210"/>
      <c r="U1895" s="210"/>
      <c r="V1895" s="210"/>
      <c r="W1895" s="210"/>
      <c r="X1895" s="210"/>
      <c r="Y1895" s="210"/>
      <c r="Z1895" s="210"/>
    </row>
    <row r="1896" ht="21.75" customHeight="1">
      <c r="A1896" s="228"/>
      <c r="B1896" s="221"/>
      <c r="C1896" s="222">
        <v>106.0</v>
      </c>
      <c r="D1896" s="223" t="s">
        <v>507</v>
      </c>
      <c r="E1896" s="223" t="s">
        <v>508</v>
      </c>
      <c r="F1896" s="223" t="s">
        <v>509</v>
      </c>
      <c r="G1896" s="223" t="s">
        <v>510</v>
      </c>
      <c r="H1896" s="224" t="s">
        <v>490</v>
      </c>
      <c r="I1896" s="208"/>
      <c r="J1896" s="210"/>
      <c r="K1896" s="210"/>
      <c r="L1896" s="210"/>
      <c r="M1896" s="210"/>
      <c r="N1896" s="210"/>
      <c r="O1896" s="210"/>
      <c r="P1896" s="210"/>
      <c r="Q1896" s="210"/>
      <c r="R1896" s="210"/>
      <c r="S1896" s="210"/>
      <c r="T1896" s="210"/>
      <c r="U1896" s="210"/>
      <c r="V1896" s="210"/>
      <c r="W1896" s="210"/>
      <c r="X1896" s="210"/>
      <c r="Y1896" s="210"/>
      <c r="Z1896" s="210"/>
    </row>
    <row r="1897" ht="21.75" customHeight="1">
      <c r="A1897" s="214">
        <v>317.0</v>
      </c>
      <c r="B1897" s="215" t="s">
        <v>1881</v>
      </c>
      <c r="C1897" s="216"/>
      <c r="D1897" s="217"/>
      <c r="E1897" s="217"/>
      <c r="F1897" s="217"/>
      <c r="G1897" s="217"/>
      <c r="H1897" s="217"/>
      <c r="I1897" s="208"/>
      <c r="J1897" s="210"/>
      <c r="K1897" s="210"/>
      <c r="L1897" s="210"/>
      <c r="M1897" s="210"/>
      <c r="N1897" s="210"/>
      <c r="O1897" s="210"/>
      <c r="P1897" s="210"/>
      <c r="Q1897" s="210"/>
      <c r="R1897" s="210"/>
      <c r="S1897" s="210"/>
      <c r="T1897" s="210"/>
      <c r="U1897" s="210"/>
      <c r="V1897" s="210"/>
      <c r="W1897" s="210"/>
      <c r="X1897" s="210"/>
      <c r="Y1897" s="210"/>
      <c r="Z1897" s="210"/>
    </row>
    <row r="1898" ht="21.75" customHeight="1">
      <c r="A1898" s="214"/>
      <c r="B1898" s="218" t="s">
        <v>1882</v>
      </c>
      <c r="C1898" s="219">
        <v>50963.0</v>
      </c>
      <c r="D1898" s="220"/>
      <c r="E1898" s="220"/>
      <c r="F1898" s="220"/>
      <c r="G1898" s="220"/>
      <c r="H1898" s="220"/>
      <c r="I1898" s="208"/>
      <c r="J1898" s="210"/>
      <c r="K1898" s="210"/>
      <c r="L1898" s="210"/>
      <c r="M1898" s="210"/>
      <c r="N1898" s="210"/>
      <c r="O1898" s="210"/>
      <c r="P1898" s="210"/>
      <c r="Q1898" s="210"/>
      <c r="R1898" s="210"/>
      <c r="S1898" s="210"/>
      <c r="T1898" s="210"/>
      <c r="U1898" s="210"/>
      <c r="V1898" s="210"/>
      <c r="W1898" s="210"/>
      <c r="X1898" s="210"/>
      <c r="Y1898" s="210"/>
      <c r="Z1898" s="210"/>
    </row>
    <row r="1899" ht="21.75" customHeight="1">
      <c r="A1899" s="214"/>
      <c r="B1899" s="221"/>
      <c r="C1899" s="222">
        <v>100.0</v>
      </c>
      <c r="D1899" s="223" t="s">
        <v>486</v>
      </c>
      <c r="E1899" s="223" t="s">
        <v>487</v>
      </c>
      <c r="F1899" s="223" t="s">
        <v>488</v>
      </c>
      <c r="G1899" s="223" t="s">
        <v>489</v>
      </c>
      <c r="H1899" s="224" t="s">
        <v>490</v>
      </c>
      <c r="I1899" s="208"/>
      <c r="J1899" s="210"/>
      <c r="K1899" s="210"/>
      <c r="L1899" s="210"/>
      <c r="M1899" s="210"/>
      <c r="N1899" s="210"/>
      <c r="O1899" s="210"/>
      <c r="P1899" s="210"/>
      <c r="Q1899" s="210"/>
      <c r="R1899" s="210"/>
      <c r="S1899" s="210"/>
      <c r="T1899" s="210"/>
      <c r="U1899" s="210"/>
      <c r="V1899" s="210"/>
      <c r="W1899" s="210"/>
      <c r="X1899" s="210"/>
      <c r="Y1899" s="210"/>
      <c r="Z1899" s="210"/>
    </row>
    <row r="1900" ht="21.75" customHeight="1">
      <c r="A1900" s="214"/>
      <c r="B1900" s="221"/>
      <c r="C1900" s="222">
        <v>101.0</v>
      </c>
      <c r="D1900" s="223" t="s">
        <v>491</v>
      </c>
      <c r="E1900" s="223" t="s">
        <v>487</v>
      </c>
      <c r="F1900" s="223" t="s">
        <v>492</v>
      </c>
      <c r="G1900" s="223" t="s">
        <v>678</v>
      </c>
      <c r="H1900" s="225" t="s">
        <v>1883</v>
      </c>
      <c r="I1900" s="208"/>
      <c r="J1900" s="210"/>
      <c r="K1900" s="210"/>
      <c r="L1900" s="210"/>
      <c r="M1900" s="210"/>
      <c r="N1900" s="210"/>
      <c r="O1900" s="210"/>
      <c r="P1900" s="210"/>
      <c r="Q1900" s="210"/>
      <c r="R1900" s="210"/>
      <c r="S1900" s="210"/>
      <c r="T1900" s="210"/>
      <c r="U1900" s="210"/>
      <c r="V1900" s="210"/>
      <c r="W1900" s="210"/>
      <c r="X1900" s="210"/>
      <c r="Y1900" s="210"/>
      <c r="Z1900" s="210"/>
    </row>
    <row r="1901" ht="21.75" customHeight="1">
      <c r="A1901" s="214"/>
      <c r="B1901" s="221"/>
      <c r="C1901" s="222">
        <v>102.0</v>
      </c>
      <c r="D1901" s="223" t="s">
        <v>1884</v>
      </c>
      <c r="E1901" s="223" t="s">
        <v>487</v>
      </c>
      <c r="F1901" s="223" t="s">
        <v>496</v>
      </c>
      <c r="G1901" s="223" t="s">
        <v>497</v>
      </c>
      <c r="H1901" s="224" t="s">
        <v>490</v>
      </c>
      <c r="I1901" s="208"/>
      <c r="J1901" s="210"/>
      <c r="K1901" s="210"/>
      <c r="L1901" s="210"/>
      <c r="M1901" s="210"/>
      <c r="N1901" s="210"/>
      <c r="O1901" s="210"/>
      <c r="P1901" s="210"/>
      <c r="Q1901" s="210"/>
      <c r="R1901" s="210"/>
      <c r="S1901" s="210"/>
      <c r="T1901" s="210"/>
      <c r="U1901" s="210"/>
      <c r="V1901" s="210"/>
      <c r="W1901" s="210"/>
      <c r="X1901" s="210"/>
      <c r="Y1901" s="210"/>
      <c r="Z1901" s="210"/>
    </row>
    <row r="1902" ht="21.75" customHeight="1">
      <c r="A1902" s="228"/>
      <c r="B1902" s="221"/>
      <c r="C1902" s="222">
        <v>103.0</v>
      </c>
      <c r="D1902" s="223" t="s">
        <v>519</v>
      </c>
      <c r="E1902" s="223" t="s">
        <v>508</v>
      </c>
      <c r="F1902" s="223" t="s">
        <v>509</v>
      </c>
      <c r="G1902" s="223" t="s">
        <v>510</v>
      </c>
      <c r="H1902" s="225" t="s">
        <v>1885</v>
      </c>
      <c r="I1902" s="208"/>
      <c r="J1902" s="210"/>
      <c r="K1902" s="210"/>
      <c r="L1902" s="210"/>
      <c r="M1902" s="210"/>
      <c r="N1902" s="210"/>
      <c r="O1902" s="210"/>
      <c r="P1902" s="210"/>
      <c r="Q1902" s="210"/>
      <c r="R1902" s="210"/>
      <c r="S1902" s="210"/>
      <c r="T1902" s="210"/>
      <c r="U1902" s="210"/>
      <c r="V1902" s="210"/>
      <c r="W1902" s="210"/>
      <c r="X1902" s="210"/>
      <c r="Y1902" s="210"/>
      <c r="Z1902" s="210"/>
    </row>
    <row r="1903" ht="21.75" customHeight="1">
      <c r="A1903" s="214">
        <v>318.0</v>
      </c>
      <c r="B1903" s="215" t="s">
        <v>1886</v>
      </c>
      <c r="C1903" s="216"/>
      <c r="D1903" s="217"/>
      <c r="E1903" s="217"/>
      <c r="F1903" s="217"/>
      <c r="G1903" s="217"/>
      <c r="H1903" s="217"/>
      <c r="I1903" s="208"/>
      <c r="J1903" s="210"/>
      <c r="K1903" s="210"/>
      <c r="L1903" s="210"/>
      <c r="M1903" s="210"/>
      <c r="N1903" s="210"/>
      <c r="O1903" s="210"/>
      <c r="P1903" s="210"/>
      <c r="Q1903" s="210"/>
      <c r="R1903" s="210"/>
      <c r="S1903" s="210"/>
      <c r="T1903" s="210"/>
      <c r="U1903" s="210"/>
      <c r="V1903" s="210"/>
      <c r="W1903" s="210"/>
      <c r="X1903" s="210"/>
      <c r="Y1903" s="210"/>
      <c r="Z1903" s="210"/>
    </row>
    <row r="1904" ht="21.75" customHeight="1">
      <c r="A1904" s="214"/>
      <c r="B1904" s="218" t="s">
        <v>1887</v>
      </c>
      <c r="C1904" s="219">
        <v>50988.0</v>
      </c>
      <c r="D1904" s="220"/>
      <c r="E1904" s="220"/>
      <c r="F1904" s="220"/>
      <c r="G1904" s="220"/>
      <c r="H1904" s="220"/>
      <c r="I1904" s="208"/>
      <c r="J1904" s="210"/>
      <c r="K1904" s="210"/>
      <c r="L1904" s="210"/>
      <c r="M1904" s="210"/>
      <c r="N1904" s="210"/>
      <c r="O1904" s="210"/>
      <c r="P1904" s="210"/>
      <c r="Q1904" s="210"/>
      <c r="R1904" s="210"/>
      <c r="S1904" s="210"/>
      <c r="T1904" s="210"/>
      <c r="U1904" s="210"/>
      <c r="V1904" s="210"/>
      <c r="W1904" s="210"/>
      <c r="X1904" s="210"/>
      <c r="Y1904" s="210"/>
      <c r="Z1904" s="210"/>
    </row>
    <row r="1905" ht="21.75" customHeight="1">
      <c r="A1905" s="214"/>
      <c r="B1905" s="221"/>
      <c r="C1905" s="222">
        <v>100.0</v>
      </c>
      <c r="D1905" s="223" t="s">
        <v>486</v>
      </c>
      <c r="E1905" s="223" t="s">
        <v>487</v>
      </c>
      <c r="F1905" s="223" t="s">
        <v>488</v>
      </c>
      <c r="G1905" s="223" t="s">
        <v>489</v>
      </c>
      <c r="H1905" s="224" t="s">
        <v>490</v>
      </c>
      <c r="I1905" s="208"/>
      <c r="J1905" s="210"/>
      <c r="K1905" s="210"/>
      <c r="L1905" s="210"/>
      <c r="M1905" s="210"/>
      <c r="N1905" s="210"/>
      <c r="O1905" s="210"/>
      <c r="P1905" s="210"/>
      <c r="Q1905" s="210"/>
      <c r="R1905" s="210"/>
      <c r="S1905" s="210"/>
      <c r="T1905" s="210"/>
      <c r="U1905" s="210"/>
      <c r="V1905" s="210"/>
      <c r="W1905" s="210"/>
      <c r="X1905" s="210"/>
      <c r="Y1905" s="210"/>
      <c r="Z1905" s="210"/>
    </row>
    <row r="1906" ht="21.75" customHeight="1">
      <c r="A1906" s="214"/>
      <c r="B1906" s="221"/>
      <c r="C1906" s="222">
        <v>101.0</v>
      </c>
      <c r="D1906" s="223" t="s">
        <v>491</v>
      </c>
      <c r="E1906" s="223" t="s">
        <v>487</v>
      </c>
      <c r="F1906" s="223" t="s">
        <v>492</v>
      </c>
      <c r="G1906" s="223" t="s">
        <v>678</v>
      </c>
      <c r="H1906" s="225" t="s">
        <v>1888</v>
      </c>
      <c r="I1906" s="208"/>
      <c r="J1906" s="210"/>
      <c r="K1906" s="210"/>
      <c r="L1906" s="210"/>
      <c r="M1906" s="210"/>
      <c r="N1906" s="210"/>
      <c r="O1906" s="210"/>
      <c r="P1906" s="210"/>
      <c r="Q1906" s="210"/>
      <c r="R1906" s="210"/>
      <c r="S1906" s="210"/>
      <c r="T1906" s="210"/>
      <c r="U1906" s="210"/>
      <c r="V1906" s="210"/>
      <c r="W1906" s="210"/>
      <c r="X1906" s="210"/>
      <c r="Y1906" s="210"/>
      <c r="Z1906" s="210"/>
    </row>
    <row r="1907" ht="21.75" customHeight="1">
      <c r="A1907" s="214"/>
      <c r="B1907" s="221"/>
      <c r="C1907" s="222">
        <v>102.0</v>
      </c>
      <c r="D1907" s="223" t="s">
        <v>765</v>
      </c>
      <c r="E1907" s="223" t="s">
        <v>487</v>
      </c>
      <c r="F1907" s="223" t="s">
        <v>496</v>
      </c>
      <c r="G1907" s="223" t="s">
        <v>493</v>
      </c>
      <c r="H1907" s="225" t="s">
        <v>1889</v>
      </c>
      <c r="I1907" s="208"/>
      <c r="J1907" s="210"/>
      <c r="K1907" s="210"/>
      <c r="L1907" s="210"/>
      <c r="M1907" s="210"/>
      <c r="N1907" s="210"/>
      <c r="O1907" s="210"/>
      <c r="P1907" s="210"/>
      <c r="Q1907" s="210"/>
      <c r="R1907" s="210"/>
      <c r="S1907" s="210"/>
      <c r="T1907" s="210"/>
      <c r="U1907" s="210"/>
      <c r="V1907" s="210"/>
      <c r="W1907" s="210"/>
      <c r="X1907" s="210"/>
      <c r="Y1907" s="210"/>
      <c r="Z1907" s="210"/>
    </row>
    <row r="1908" ht="21.75" customHeight="1">
      <c r="A1908" s="214"/>
      <c r="B1908" s="221"/>
      <c r="C1908" s="222">
        <v>103.0</v>
      </c>
      <c r="D1908" s="223" t="s">
        <v>973</v>
      </c>
      <c r="E1908" s="223" t="s">
        <v>487</v>
      </c>
      <c r="F1908" s="223" t="s">
        <v>500</v>
      </c>
      <c r="G1908" s="223" t="s">
        <v>497</v>
      </c>
      <c r="H1908" s="225" t="s">
        <v>1890</v>
      </c>
      <c r="I1908" s="208"/>
      <c r="J1908" s="210"/>
      <c r="K1908" s="210"/>
      <c r="L1908" s="210"/>
      <c r="M1908" s="210"/>
      <c r="N1908" s="210"/>
      <c r="O1908" s="210"/>
      <c r="P1908" s="210"/>
      <c r="Q1908" s="210"/>
      <c r="R1908" s="210"/>
      <c r="S1908" s="210"/>
      <c r="T1908" s="210"/>
      <c r="U1908" s="210"/>
      <c r="V1908" s="210"/>
      <c r="W1908" s="210"/>
      <c r="X1908" s="210"/>
      <c r="Y1908" s="210"/>
      <c r="Z1908" s="210"/>
    </row>
    <row r="1909" ht="21.75" customHeight="1">
      <c r="A1909" s="214"/>
      <c r="B1909" s="221"/>
      <c r="C1909" s="222">
        <v>104.0</v>
      </c>
      <c r="D1909" s="223" t="s">
        <v>716</v>
      </c>
      <c r="E1909" s="223" t="s">
        <v>487</v>
      </c>
      <c r="F1909" s="223" t="s">
        <v>512</v>
      </c>
      <c r="G1909" s="223" t="s">
        <v>501</v>
      </c>
      <c r="H1909" s="224" t="s">
        <v>490</v>
      </c>
      <c r="I1909" s="208"/>
      <c r="J1909" s="210"/>
      <c r="K1909" s="210"/>
      <c r="L1909" s="210"/>
      <c r="M1909" s="210"/>
      <c r="N1909" s="210"/>
      <c r="O1909" s="210"/>
      <c r="P1909" s="210"/>
      <c r="Q1909" s="210"/>
      <c r="R1909" s="210"/>
      <c r="S1909" s="210"/>
      <c r="T1909" s="210"/>
      <c r="U1909" s="210"/>
      <c r="V1909" s="210"/>
      <c r="W1909" s="210"/>
      <c r="X1909" s="210"/>
      <c r="Y1909" s="210"/>
      <c r="Z1909" s="210"/>
    </row>
    <row r="1910" ht="21.75" customHeight="1">
      <c r="A1910" s="214"/>
      <c r="B1910" s="221"/>
      <c r="C1910" s="222">
        <v>105.0</v>
      </c>
      <c r="D1910" s="223" t="s">
        <v>837</v>
      </c>
      <c r="E1910" s="223" t="s">
        <v>529</v>
      </c>
      <c r="F1910" s="223" t="s">
        <v>530</v>
      </c>
      <c r="G1910" s="218" t="s">
        <v>490</v>
      </c>
      <c r="H1910" s="225" t="s">
        <v>1891</v>
      </c>
      <c r="I1910" s="208"/>
      <c r="J1910" s="210"/>
      <c r="K1910" s="210"/>
      <c r="L1910" s="210"/>
      <c r="M1910" s="210"/>
      <c r="N1910" s="210"/>
      <c r="O1910" s="210"/>
      <c r="P1910" s="210"/>
      <c r="Q1910" s="210"/>
      <c r="R1910" s="210"/>
      <c r="S1910" s="210"/>
      <c r="T1910" s="210"/>
      <c r="U1910" s="210"/>
      <c r="V1910" s="210"/>
      <c r="W1910" s="210"/>
      <c r="X1910" s="210"/>
      <c r="Y1910" s="210"/>
      <c r="Z1910" s="210"/>
    </row>
    <row r="1911" ht="21.75" customHeight="1">
      <c r="A1911" s="214"/>
      <c r="B1911" s="221"/>
      <c r="C1911" s="222">
        <v>106.0</v>
      </c>
      <c r="D1911" s="223" t="s">
        <v>541</v>
      </c>
      <c r="E1911" s="223" t="s">
        <v>508</v>
      </c>
      <c r="F1911" s="223" t="s">
        <v>509</v>
      </c>
      <c r="G1911" s="223" t="s">
        <v>510</v>
      </c>
      <c r="H1911" s="225" t="s">
        <v>1892</v>
      </c>
      <c r="I1911" s="208"/>
      <c r="J1911" s="210"/>
      <c r="K1911" s="210"/>
      <c r="L1911" s="210"/>
      <c r="M1911" s="210"/>
      <c r="N1911" s="210"/>
      <c r="O1911" s="210"/>
      <c r="P1911" s="210"/>
      <c r="Q1911" s="210"/>
      <c r="R1911" s="210"/>
      <c r="S1911" s="210"/>
      <c r="T1911" s="210"/>
      <c r="U1911" s="210"/>
      <c r="V1911" s="210"/>
      <c r="W1911" s="210"/>
      <c r="X1911" s="210"/>
      <c r="Y1911" s="210"/>
      <c r="Z1911" s="210"/>
    </row>
    <row r="1912" ht="21.75" customHeight="1">
      <c r="A1912" s="214"/>
      <c r="B1912" s="217"/>
      <c r="C1912" s="222">
        <v>107.0</v>
      </c>
      <c r="D1912" s="215" t="s">
        <v>837</v>
      </c>
      <c r="E1912" s="215" t="s">
        <v>487</v>
      </c>
      <c r="F1912" s="215" t="s">
        <v>826</v>
      </c>
      <c r="G1912" s="215" t="s">
        <v>526</v>
      </c>
      <c r="H1912" s="224" t="s">
        <v>490</v>
      </c>
      <c r="I1912" s="208"/>
      <c r="J1912" s="210"/>
      <c r="K1912" s="210"/>
      <c r="L1912" s="210"/>
      <c r="M1912" s="210"/>
      <c r="N1912" s="210"/>
      <c r="O1912" s="210"/>
      <c r="P1912" s="210"/>
      <c r="Q1912" s="210"/>
      <c r="R1912" s="210"/>
      <c r="S1912" s="210"/>
      <c r="T1912" s="210"/>
      <c r="U1912" s="210"/>
      <c r="V1912" s="210"/>
      <c r="W1912" s="210"/>
      <c r="X1912" s="210"/>
      <c r="Y1912" s="210"/>
      <c r="Z1912" s="210"/>
    </row>
    <row r="1913" ht="21.75" customHeight="1">
      <c r="A1913" s="214"/>
      <c r="B1913" s="218" t="s">
        <v>1893</v>
      </c>
      <c r="C1913" s="226">
        <v>50989.0</v>
      </c>
      <c r="D1913" s="220"/>
      <c r="E1913" s="220"/>
      <c r="F1913" s="220"/>
      <c r="G1913" s="220"/>
      <c r="H1913" s="221"/>
      <c r="I1913" s="208"/>
      <c r="J1913" s="210"/>
      <c r="K1913" s="210"/>
      <c r="L1913" s="210"/>
      <c r="M1913" s="210"/>
      <c r="N1913" s="210"/>
      <c r="O1913" s="210"/>
      <c r="P1913" s="210"/>
      <c r="Q1913" s="210"/>
      <c r="R1913" s="210"/>
      <c r="S1913" s="210"/>
      <c r="T1913" s="210"/>
      <c r="U1913" s="210"/>
      <c r="V1913" s="210"/>
      <c r="W1913" s="210"/>
      <c r="X1913" s="210"/>
      <c r="Y1913" s="210"/>
      <c r="Z1913" s="210"/>
    </row>
    <row r="1914" ht="21.75" customHeight="1">
      <c r="A1914" s="214"/>
      <c r="B1914" s="221"/>
      <c r="C1914" s="222">
        <v>100.0</v>
      </c>
      <c r="D1914" s="223" t="s">
        <v>486</v>
      </c>
      <c r="E1914" s="223" t="s">
        <v>487</v>
      </c>
      <c r="F1914" s="223" t="s">
        <v>488</v>
      </c>
      <c r="G1914" s="223" t="s">
        <v>489</v>
      </c>
      <c r="H1914" s="224" t="s">
        <v>490</v>
      </c>
      <c r="I1914" s="208"/>
      <c r="J1914" s="210"/>
      <c r="K1914" s="210"/>
      <c r="L1914" s="210"/>
      <c r="M1914" s="210"/>
      <c r="N1914" s="210"/>
      <c r="O1914" s="210"/>
      <c r="P1914" s="210"/>
      <c r="Q1914" s="210"/>
      <c r="R1914" s="210"/>
      <c r="S1914" s="210"/>
      <c r="T1914" s="210"/>
      <c r="U1914" s="210"/>
      <c r="V1914" s="210"/>
      <c r="W1914" s="210"/>
      <c r="X1914" s="210"/>
      <c r="Y1914" s="210"/>
      <c r="Z1914" s="210"/>
    </row>
    <row r="1915" ht="21.75" customHeight="1">
      <c r="A1915" s="214"/>
      <c r="B1915" s="221"/>
      <c r="C1915" s="222">
        <v>101.0</v>
      </c>
      <c r="D1915" s="223" t="s">
        <v>491</v>
      </c>
      <c r="E1915" s="223" t="s">
        <v>487</v>
      </c>
      <c r="F1915" s="223" t="s">
        <v>492</v>
      </c>
      <c r="G1915" s="223" t="s">
        <v>678</v>
      </c>
      <c r="H1915" s="225" t="s">
        <v>1894</v>
      </c>
      <c r="I1915" s="208"/>
      <c r="J1915" s="210"/>
      <c r="K1915" s="210"/>
      <c r="L1915" s="210"/>
      <c r="M1915" s="210"/>
      <c r="N1915" s="210"/>
      <c r="O1915" s="210"/>
      <c r="P1915" s="210"/>
      <c r="Q1915" s="210"/>
      <c r="R1915" s="210"/>
      <c r="S1915" s="210"/>
      <c r="T1915" s="210"/>
      <c r="U1915" s="210"/>
      <c r="V1915" s="210"/>
      <c r="W1915" s="210"/>
      <c r="X1915" s="210"/>
      <c r="Y1915" s="210"/>
      <c r="Z1915" s="210"/>
    </row>
    <row r="1916" ht="21.75" customHeight="1">
      <c r="A1916" s="214"/>
      <c r="B1916" s="221"/>
      <c r="C1916" s="222">
        <v>102.0</v>
      </c>
      <c r="D1916" s="223" t="s">
        <v>973</v>
      </c>
      <c r="E1916" s="223" t="s">
        <v>487</v>
      </c>
      <c r="F1916" s="223" t="s">
        <v>496</v>
      </c>
      <c r="G1916" s="223" t="s">
        <v>497</v>
      </c>
      <c r="H1916" s="225" t="s">
        <v>1895</v>
      </c>
      <c r="I1916" s="208"/>
      <c r="J1916" s="210"/>
      <c r="K1916" s="210"/>
      <c r="L1916" s="210"/>
      <c r="M1916" s="210"/>
      <c r="N1916" s="210"/>
      <c r="O1916" s="210"/>
      <c r="P1916" s="210"/>
      <c r="Q1916" s="210"/>
      <c r="R1916" s="210"/>
      <c r="S1916" s="210"/>
      <c r="T1916" s="210"/>
      <c r="U1916" s="210"/>
      <c r="V1916" s="210"/>
      <c r="W1916" s="210"/>
      <c r="X1916" s="210"/>
      <c r="Y1916" s="210"/>
      <c r="Z1916" s="210"/>
    </row>
    <row r="1917" ht="21.75" customHeight="1">
      <c r="A1917" s="214"/>
      <c r="B1917" s="221"/>
      <c r="C1917" s="222">
        <v>103.0</v>
      </c>
      <c r="D1917" s="223" t="s">
        <v>716</v>
      </c>
      <c r="E1917" s="223" t="s">
        <v>487</v>
      </c>
      <c r="F1917" s="223" t="s">
        <v>500</v>
      </c>
      <c r="G1917" s="223" t="s">
        <v>501</v>
      </c>
      <c r="H1917" s="224" t="s">
        <v>490</v>
      </c>
      <c r="I1917" s="208"/>
      <c r="J1917" s="210"/>
      <c r="K1917" s="210"/>
      <c r="L1917" s="210"/>
      <c r="M1917" s="210"/>
      <c r="N1917" s="210"/>
      <c r="O1917" s="210"/>
      <c r="P1917" s="210"/>
      <c r="Q1917" s="210"/>
      <c r="R1917" s="210"/>
      <c r="S1917" s="210"/>
      <c r="T1917" s="210"/>
      <c r="U1917" s="210"/>
      <c r="V1917" s="210"/>
      <c r="W1917" s="210"/>
      <c r="X1917" s="210"/>
      <c r="Y1917" s="210"/>
      <c r="Z1917" s="210"/>
    </row>
    <row r="1918" ht="21.75" customHeight="1">
      <c r="A1918" s="214"/>
      <c r="B1918" s="221"/>
      <c r="C1918" s="222">
        <v>104.0</v>
      </c>
      <c r="D1918" s="223" t="s">
        <v>765</v>
      </c>
      <c r="E1918" s="223" t="s">
        <v>487</v>
      </c>
      <c r="F1918" s="223" t="s">
        <v>512</v>
      </c>
      <c r="G1918" s="223" t="s">
        <v>493</v>
      </c>
      <c r="H1918" s="225" t="s">
        <v>1896</v>
      </c>
      <c r="I1918" s="208"/>
      <c r="J1918" s="210"/>
      <c r="K1918" s="210"/>
      <c r="L1918" s="210"/>
      <c r="M1918" s="210"/>
      <c r="N1918" s="210"/>
      <c r="O1918" s="210"/>
      <c r="P1918" s="210"/>
      <c r="Q1918" s="210"/>
      <c r="R1918" s="210"/>
      <c r="S1918" s="210"/>
      <c r="T1918" s="210"/>
      <c r="U1918" s="210"/>
      <c r="V1918" s="210"/>
      <c r="W1918" s="210"/>
      <c r="X1918" s="210"/>
      <c r="Y1918" s="210"/>
      <c r="Z1918" s="210"/>
    </row>
    <row r="1919" ht="21.75" customHeight="1">
      <c r="A1919" s="214"/>
      <c r="B1919" s="221"/>
      <c r="C1919" s="222">
        <v>105.0</v>
      </c>
      <c r="D1919" s="223" t="s">
        <v>1260</v>
      </c>
      <c r="E1919" s="223" t="s">
        <v>487</v>
      </c>
      <c r="F1919" s="223" t="s">
        <v>532</v>
      </c>
      <c r="G1919" s="223" t="s">
        <v>526</v>
      </c>
      <c r="H1919" s="224" t="s">
        <v>490</v>
      </c>
      <c r="I1919" s="208"/>
      <c r="J1919" s="210"/>
      <c r="K1919" s="210"/>
      <c r="L1919" s="210"/>
      <c r="M1919" s="210"/>
      <c r="N1919" s="210"/>
      <c r="O1919" s="210"/>
      <c r="P1919" s="210"/>
      <c r="Q1919" s="210"/>
      <c r="R1919" s="210"/>
      <c r="S1919" s="210"/>
      <c r="T1919" s="210"/>
      <c r="U1919" s="210"/>
      <c r="V1919" s="210"/>
      <c r="W1919" s="210"/>
      <c r="X1919" s="210"/>
      <c r="Y1919" s="210"/>
      <c r="Z1919" s="210"/>
    </row>
    <row r="1920" ht="21.75" customHeight="1">
      <c r="A1920" s="228"/>
      <c r="B1920" s="221"/>
      <c r="C1920" s="222">
        <v>106.0</v>
      </c>
      <c r="D1920" s="223" t="s">
        <v>519</v>
      </c>
      <c r="E1920" s="223" t="s">
        <v>508</v>
      </c>
      <c r="F1920" s="223" t="s">
        <v>509</v>
      </c>
      <c r="G1920" s="223" t="s">
        <v>510</v>
      </c>
      <c r="H1920" s="225" t="s">
        <v>1897</v>
      </c>
      <c r="I1920" s="208"/>
      <c r="J1920" s="210"/>
      <c r="K1920" s="210"/>
      <c r="L1920" s="210"/>
      <c r="M1920" s="210"/>
      <c r="N1920" s="210"/>
      <c r="O1920" s="210"/>
      <c r="P1920" s="210"/>
      <c r="Q1920" s="210"/>
      <c r="R1920" s="210"/>
      <c r="S1920" s="210"/>
      <c r="T1920" s="210"/>
      <c r="U1920" s="210"/>
      <c r="V1920" s="210"/>
      <c r="W1920" s="210"/>
      <c r="X1920" s="210"/>
      <c r="Y1920" s="210"/>
      <c r="Z1920" s="210"/>
    </row>
    <row r="1921" ht="21.75" customHeight="1">
      <c r="A1921" s="214">
        <v>319.0</v>
      </c>
      <c r="B1921" s="215" t="s">
        <v>1898</v>
      </c>
      <c r="C1921" s="216"/>
      <c r="D1921" s="217"/>
      <c r="E1921" s="217"/>
      <c r="F1921" s="217"/>
      <c r="G1921" s="217"/>
      <c r="H1921" s="217"/>
      <c r="I1921" s="208"/>
      <c r="J1921" s="210"/>
      <c r="K1921" s="210"/>
      <c r="L1921" s="210"/>
      <c r="M1921" s="210"/>
      <c r="N1921" s="210"/>
      <c r="O1921" s="210"/>
      <c r="P1921" s="210"/>
      <c r="Q1921" s="210"/>
      <c r="R1921" s="210"/>
      <c r="S1921" s="210"/>
      <c r="T1921" s="210"/>
      <c r="U1921" s="210"/>
      <c r="V1921" s="210"/>
      <c r="W1921" s="210"/>
      <c r="X1921" s="210"/>
      <c r="Y1921" s="210"/>
      <c r="Z1921" s="210"/>
    </row>
    <row r="1922" ht="21.75" customHeight="1">
      <c r="A1922" s="214"/>
      <c r="B1922" s="218" t="s">
        <v>1899</v>
      </c>
      <c r="C1922" s="219">
        <v>50995.0</v>
      </c>
      <c r="D1922" s="220"/>
      <c r="E1922" s="220"/>
      <c r="F1922" s="220"/>
      <c r="G1922" s="220"/>
      <c r="H1922" s="220"/>
      <c r="I1922" s="208"/>
      <c r="J1922" s="210"/>
      <c r="K1922" s="210"/>
      <c r="L1922" s="210"/>
      <c r="M1922" s="210"/>
      <c r="N1922" s="210"/>
      <c r="O1922" s="210"/>
      <c r="P1922" s="210"/>
      <c r="Q1922" s="210"/>
      <c r="R1922" s="210"/>
      <c r="S1922" s="210"/>
      <c r="T1922" s="210"/>
      <c r="U1922" s="210"/>
      <c r="V1922" s="210"/>
      <c r="W1922" s="210"/>
      <c r="X1922" s="210"/>
      <c r="Y1922" s="210"/>
      <c r="Z1922" s="210"/>
    </row>
    <row r="1923" ht="21.75" customHeight="1">
      <c r="A1923" s="214"/>
      <c r="B1923" s="221"/>
      <c r="C1923" s="222">
        <v>100.0</v>
      </c>
      <c r="D1923" s="223" t="s">
        <v>486</v>
      </c>
      <c r="E1923" s="223" t="s">
        <v>487</v>
      </c>
      <c r="F1923" s="223" t="s">
        <v>488</v>
      </c>
      <c r="G1923" s="223" t="s">
        <v>489</v>
      </c>
      <c r="H1923" s="224" t="s">
        <v>490</v>
      </c>
      <c r="I1923" s="208"/>
      <c r="J1923" s="210"/>
      <c r="K1923" s="210"/>
      <c r="L1923" s="210"/>
      <c r="M1923" s="210"/>
      <c r="N1923" s="210"/>
      <c r="O1923" s="210"/>
      <c r="P1923" s="210"/>
      <c r="Q1923" s="210"/>
      <c r="R1923" s="210"/>
      <c r="S1923" s="210"/>
      <c r="T1923" s="210"/>
      <c r="U1923" s="210"/>
      <c r="V1923" s="210"/>
      <c r="W1923" s="210"/>
      <c r="X1923" s="210"/>
      <c r="Y1923" s="210"/>
      <c r="Z1923" s="210"/>
    </row>
    <row r="1924" ht="21.75" customHeight="1">
      <c r="A1924" s="214"/>
      <c r="B1924" s="221"/>
      <c r="C1924" s="222">
        <v>101.0</v>
      </c>
      <c r="D1924" s="223" t="s">
        <v>491</v>
      </c>
      <c r="E1924" s="223" t="s">
        <v>487</v>
      </c>
      <c r="F1924" s="223" t="s">
        <v>492</v>
      </c>
      <c r="G1924" s="223" t="s">
        <v>678</v>
      </c>
      <c r="H1924" s="225" t="s">
        <v>1900</v>
      </c>
      <c r="I1924" s="208"/>
      <c r="J1924" s="210"/>
      <c r="K1924" s="210"/>
      <c r="L1924" s="210"/>
      <c r="M1924" s="210"/>
      <c r="N1924" s="210"/>
      <c r="O1924" s="210"/>
      <c r="P1924" s="210"/>
      <c r="Q1924" s="210"/>
      <c r="R1924" s="210"/>
      <c r="S1924" s="210"/>
      <c r="T1924" s="210"/>
      <c r="U1924" s="210"/>
      <c r="V1924" s="210"/>
      <c r="W1924" s="210"/>
      <c r="X1924" s="210"/>
      <c r="Y1924" s="210"/>
      <c r="Z1924" s="210"/>
    </row>
    <row r="1925" ht="21.75" customHeight="1">
      <c r="A1925" s="214"/>
      <c r="B1925" s="221"/>
      <c r="C1925" s="222">
        <v>102.0</v>
      </c>
      <c r="D1925" s="223" t="s">
        <v>973</v>
      </c>
      <c r="E1925" s="223" t="s">
        <v>487</v>
      </c>
      <c r="F1925" s="223" t="s">
        <v>496</v>
      </c>
      <c r="G1925" s="223" t="s">
        <v>497</v>
      </c>
      <c r="H1925" s="225" t="s">
        <v>1895</v>
      </c>
      <c r="I1925" s="208"/>
      <c r="J1925" s="210"/>
      <c r="K1925" s="210"/>
      <c r="L1925" s="210"/>
      <c r="M1925" s="210"/>
      <c r="N1925" s="210"/>
      <c r="O1925" s="210"/>
      <c r="P1925" s="210"/>
      <c r="Q1925" s="210"/>
      <c r="R1925" s="210"/>
      <c r="S1925" s="210"/>
      <c r="T1925" s="210"/>
      <c r="U1925" s="210"/>
      <c r="V1925" s="210"/>
      <c r="W1925" s="210"/>
      <c r="X1925" s="210"/>
      <c r="Y1925" s="210"/>
      <c r="Z1925" s="210"/>
    </row>
    <row r="1926" ht="21.75" customHeight="1">
      <c r="A1926" s="214"/>
      <c r="B1926" s="221"/>
      <c r="C1926" s="222">
        <v>103.0</v>
      </c>
      <c r="D1926" s="223" t="s">
        <v>716</v>
      </c>
      <c r="E1926" s="223" t="s">
        <v>487</v>
      </c>
      <c r="F1926" s="223" t="s">
        <v>500</v>
      </c>
      <c r="G1926" s="223" t="s">
        <v>501</v>
      </c>
      <c r="H1926" s="224" t="s">
        <v>490</v>
      </c>
      <c r="I1926" s="208"/>
      <c r="J1926" s="210"/>
      <c r="K1926" s="210"/>
      <c r="L1926" s="210"/>
      <c r="M1926" s="210"/>
      <c r="N1926" s="210"/>
      <c r="O1926" s="210"/>
      <c r="P1926" s="210"/>
      <c r="Q1926" s="210"/>
      <c r="R1926" s="210"/>
      <c r="S1926" s="210"/>
      <c r="T1926" s="210"/>
      <c r="U1926" s="210"/>
      <c r="V1926" s="210"/>
      <c r="W1926" s="210"/>
      <c r="X1926" s="210"/>
      <c r="Y1926" s="210"/>
      <c r="Z1926" s="210"/>
    </row>
    <row r="1927" ht="21.75" customHeight="1">
      <c r="A1927" s="214"/>
      <c r="B1927" s="221"/>
      <c r="C1927" s="222">
        <v>104.0</v>
      </c>
      <c r="D1927" s="223" t="s">
        <v>765</v>
      </c>
      <c r="E1927" s="223" t="s">
        <v>487</v>
      </c>
      <c r="F1927" s="223" t="s">
        <v>512</v>
      </c>
      <c r="G1927" s="223" t="s">
        <v>493</v>
      </c>
      <c r="H1927" s="225" t="s">
        <v>1901</v>
      </c>
      <c r="I1927" s="208"/>
      <c r="J1927" s="210"/>
      <c r="K1927" s="210"/>
      <c r="L1927" s="210"/>
      <c r="M1927" s="210"/>
      <c r="N1927" s="210"/>
      <c r="O1927" s="210"/>
      <c r="P1927" s="210"/>
      <c r="Q1927" s="210"/>
      <c r="R1927" s="210"/>
      <c r="S1927" s="210"/>
      <c r="T1927" s="210"/>
      <c r="U1927" s="210"/>
      <c r="V1927" s="210"/>
      <c r="W1927" s="210"/>
      <c r="X1927" s="210"/>
      <c r="Y1927" s="210"/>
      <c r="Z1927" s="210"/>
    </row>
    <row r="1928" ht="21.75" customHeight="1">
      <c r="A1928" s="214"/>
      <c r="B1928" s="221"/>
      <c r="C1928" s="222">
        <v>105.0</v>
      </c>
      <c r="D1928" s="223" t="s">
        <v>1260</v>
      </c>
      <c r="E1928" s="223" t="s">
        <v>487</v>
      </c>
      <c r="F1928" s="223" t="s">
        <v>532</v>
      </c>
      <c r="G1928" s="223" t="s">
        <v>526</v>
      </c>
      <c r="H1928" s="224" t="s">
        <v>490</v>
      </c>
      <c r="I1928" s="208"/>
      <c r="J1928" s="210"/>
      <c r="K1928" s="210"/>
      <c r="L1928" s="210"/>
      <c r="M1928" s="210"/>
      <c r="N1928" s="210"/>
      <c r="O1928" s="210"/>
      <c r="P1928" s="210"/>
      <c r="Q1928" s="210"/>
      <c r="R1928" s="210"/>
      <c r="S1928" s="210"/>
      <c r="T1928" s="210"/>
      <c r="U1928" s="210"/>
      <c r="V1928" s="210"/>
      <c r="W1928" s="210"/>
      <c r="X1928" s="210"/>
      <c r="Y1928" s="210"/>
      <c r="Z1928" s="210"/>
    </row>
    <row r="1929" ht="21.75" customHeight="1">
      <c r="A1929" s="228"/>
      <c r="B1929" s="221"/>
      <c r="C1929" s="222">
        <v>106.0</v>
      </c>
      <c r="D1929" s="223" t="s">
        <v>519</v>
      </c>
      <c r="E1929" s="223" t="s">
        <v>508</v>
      </c>
      <c r="F1929" s="223" t="s">
        <v>509</v>
      </c>
      <c r="G1929" s="223" t="s">
        <v>510</v>
      </c>
      <c r="H1929" s="225" t="s">
        <v>1902</v>
      </c>
      <c r="I1929" s="208"/>
      <c r="J1929" s="210"/>
      <c r="K1929" s="210"/>
      <c r="L1929" s="210"/>
      <c r="M1929" s="210"/>
      <c r="N1929" s="210"/>
      <c r="O1929" s="210"/>
      <c r="P1929" s="210"/>
      <c r="Q1929" s="210"/>
      <c r="R1929" s="210"/>
      <c r="S1929" s="210"/>
      <c r="T1929" s="210"/>
      <c r="U1929" s="210"/>
      <c r="V1929" s="210"/>
      <c r="W1929" s="210"/>
      <c r="X1929" s="210"/>
      <c r="Y1929" s="210"/>
      <c r="Z1929" s="210"/>
    </row>
    <row r="1930" ht="21.75" customHeight="1">
      <c r="A1930" s="214">
        <v>321.0</v>
      </c>
      <c r="B1930" s="215" t="s">
        <v>1903</v>
      </c>
      <c r="C1930" s="216"/>
      <c r="D1930" s="217"/>
      <c r="E1930" s="217"/>
      <c r="F1930" s="217"/>
      <c r="G1930" s="217"/>
      <c r="H1930" s="217"/>
      <c r="I1930" s="208"/>
      <c r="J1930" s="210"/>
      <c r="K1930" s="210"/>
      <c r="L1930" s="210"/>
      <c r="M1930" s="210"/>
      <c r="N1930" s="210"/>
      <c r="O1930" s="210"/>
      <c r="P1930" s="210"/>
      <c r="Q1930" s="210"/>
      <c r="R1930" s="210"/>
      <c r="S1930" s="210"/>
      <c r="T1930" s="210"/>
      <c r="U1930" s="210"/>
      <c r="V1930" s="210"/>
      <c r="W1930" s="210"/>
      <c r="X1930" s="210"/>
      <c r="Y1930" s="210"/>
      <c r="Z1930" s="210"/>
    </row>
    <row r="1931" ht="21.75" customHeight="1">
      <c r="A1931" s="214"/>
      <c r="B1931" s="218" t="s">
        <v>1904</v>
      </c>
      <c r="C1931" s="219">
        <v>51003.0</v>
      </c>
      <c r="D1931" s="220"/>
      <c r="E1931" s="220"/>
      <c r="F1931" s="220"/>
      <c r="G1931" s="220"/>
      <c r="H1931" s="220"/>
      <c r="I1931" s="208"/>
      <c r="J1931" s="210"/>
      <c r="K1931" s="210"/>
      <c r="L1931" s="210"/>
      <c r="M1931" s="210"/>
      <c r="N1931" s="210"/>
      <c r="O1931" s="210"/>
      <c r="P1931" s="210"/>
      <c r="Q1931" s="210"/>
      <c r="R1931" s="210"/>
      <c r="S1931" s="210"/>
      <c r="T1931" s="210"/>
      <c r="U1931" s="210"/>
      <c r="V1931" s="210"/>
      <c r="W1931" s="210"/>
      <c r="X1931" s="210"/>
      <c r="Y1931" s="210"/>
      <c r="Z1931" s="210"/>
    </row>
    <row r="1932" ht="21.75" customHeight="1">
      <c r="A1932" s="214"/>
      <c r="B1932" s="221"/>
      <c r="C1932" s="222">
        <v>100.0</v>
      </c>
      <c r="D1932" s="223" t="s">
        <v>486</v>
      </c>
      <c r="E1932" s="223" t="s">
        <v>487</v>
      </c>
      <c r="F1932" s="223" t="s">
        <v>488</v>
      </c>
      <c r="G1932" s="223" t="s">
        <v>489</v>
      </c>
      <c r="H1932" s="224" t="s">
        <v>490</v>
      </c>
      <c r="I1932" s="208"/>
      <c r="J1932" s="210"/>
      <c r="K1932" s="210"/>
      <c r="L1932" s="210"/>
      <c r="M1932" s="210"/>
      <c r="N1932" s="210"/>
      <c r="O1932" s="210"/>
      <c r="P1932" s="210"/>
      <c r="Q1932" s="210"/>
      <c r="R1932" s="210"/>
      <c r="S1932" s="210"/>
      <c r="T1932" s="210"/>
      <c r="U1932" s="210"/>
      <c r="V1932" s="210"/>
      <c r="W1932" s="210"/>
      <c r="X1932" s="210"/>
      <c r="Y1932" s="210"/>
      <c r="Z1932" s="210"/>
    </row>
    <row r="1933" ht="21.75" customHeight="1">
      <c r="A1933" s="214"/>
      <c r="B1933" s="221"/>
      <c r="C1933" s="222">
        <v>101.0</v>
      </c>
      <c r="D1933" s="223" t="s">
        <v>491</v>
      </c>
      <c r="E1933" s="223" t="s">
        <v>487</v>
      </c>
      <c r="F1933" s="223" t="s">
        <v>492</v>
      </c>
      <c r="G1933" s="223" t="s">
        <v>678</v>
      </c>
      <c r="H1933" s="225" t="s">
        <v>1905</v>
      </c>
      <c r="I1933" s="208"/>
      <c r="J1933" s="210"/>
      <c r="K1933" s="210"/>
      <c r="L1933" s="210"/>
      <c r="M1933" s="210"/>
      <c r="N1933" s="210"/>
      <c r="O1933" s="210"/>
      <c r="P1933" s="210"/>
      <c r="Q1933" s="210"/>
      <c r="R1933" s="210"/>
      <c r="S1933" s="210"/>
      <c r="T1933" s="210"/>
      <c r="U1933" s="210"/>
      <c r="V1933" s="210"/>
      <c r="W1933" s="210"/>
      <c r="X1933" s="210"/>
      <c r="Y1933" s="210"/>
      <c r="Z1933" s="210"/>
    </row>
    <row r="1934" ht="21.75" customHeight="1">
      <c r="A1934" s="214"/>
      <c r="B1934" s="221"/>
      <c r="C1934" s="222">
        <v>102.0</v>
      </c>
      <c r="D1934" s="223" t="s">
        <v>516</v>
      </c>
      <c r="E1934" s="223" t="s">
        <v>487</v>
      </c>
      <c r="F1934" s="223" t="s">
        <v>496</v>
      </c>
      <c r="G1934" s="223" t="s">
        <v>493</v>
      </c>
      <c r="H1934" s="225" t="s">
        <v>1906</v>
      </c>
      <c r="I1934" s="208"/>
      <c r="J1934" s="210"/>
      <c r="K1934" s="210"/>
      <c r="L1934" s="210"/>
      <c r="M1934" s="210"/>
      <c r="N1934" s="210"/>
      <c r="O1934" s="210"/>
      <c r="P1934" s="210"/>
      <c r="Q1934" s="210"/>
      <c r="R1934" s="210"/>
      <c r="S1934" s="210"/>
      <c r="T1934" s="210"/>
      <c r="U1934" s="210"/>
      <c r="V1934" s="210"/>
      <c r="W1934" s="210"/>
      <c r="X1934" s="210"/>
      <c r="Y1934" s="210"/>
      <c r="Z1934" s="210"/>
    </row>
    <row r="1935" ht="21.75" customHeight="1">
      <c r="A1935" s="214"/>
      <c r="B1935" s="221"/>
      <c r="C1935" s="222">
        <v>103.0</v>
      </c>
      <c r="D1935" s="223" t="s">
        <v>749</v>
      </c>
      <c r="E1935" s="223" t="s">
        <v>487</v>
      </c>
      <c r="F1935" s="223" t="s">
        <v>500</v>
      </c>
      <c r="G1935" s="223" t="s">
        <v>497</v>
      </c>
      <c r="H1935" s="224" t="s">
        <v>490</v>
      </c>
      <c r="I1935" s="208"/>
      <c r="J1935" s="210"/>
      <c r="K1935" s="210"/>
      <c r="L1935" s="210"/>
      <c r="M1935" s="210"/>
      <c r="N1935" s="210"/>
      <c r="O1935" s="210"/>
      <c r="P1935" s="210"/>
      <c r="Q1935" s="210"/>
      <c r="R1935" s="210"/>
      <c r="S1935" s="210"/>
      <c r="T1935" s="210"/>
      <c r="U1935" s="210"/>
      <c r="V1935" s="210"/>
      <c r="W1935" s="210"/>
      <c r="X1935" s="210"/>
      <c r="Y1935" s="210"/>
      <c r="Z1935" s="210"/>
    </row>
    <row r="1936" ht="21.75" customHeight="1">
      <c r="A1936" s="214"/>
      <c r="B1936" s="221"/>
      <c r="C1936" s="222">
        <v>104.0</v>
      </c>
      <c r="D1936" s="223" t="s">
        <v>750</v>
      </c>
      <c r="E1936" s="223" t="s">
        <v>487</v>
      </c>
      <c r="F1936" s="223" t="s">
        <v>512</v>
      </c>
      <c r="G1936" s="223" t="s">
        <v>501</v>
      </c>
      <c r="H1936" s="224" t="s">
        <v>490</v>
      </c>
      <c r="I1936" s="208"/>
      <c r="J1936" s="210"/>
      <c r="K1936" s="210"/>
      <c r="L1936" s="210"/>
      <c r="M1936" s="210"/>
      <c r="N1936" s="210"/>
      <c r="O1936" s="210"/>
      <c r="P1936" s="210"/>
      <c r="Q1936" s="210"/>
      <c r="R1936" s="210"/>
      <c r="S1936" s="210"/>
      <c r="T1936" s="210"/>
      <c r="U1936" s="210"/>
      <c r="V1936" s="210"/>
      <c r="W1936" s="210"/>
      <c r="X1936" s="210"/>
      <c r="Y1936" s="210"/>
      <c r="Z1936" s="210"/>
    </row>
    <row r="1937" ht="21.75" customHeight="1">
      <c r="A1937" s="228"/>
      <c r="B1937" s="221"/>
      <c r="C1937" s="222">
        <v>105.0</v>
      </c>
      <c r="D1937" s="223" t="s">
        <v>507</v>
      </c>
      <c r="E1937" s="223" t="s">
        <v>508</v>
      </c>
      <c r="F1937" s="223" t="s">
        <v>509</v>
      </c>
      <c r="G1937" s="223" t="s">
        <v>510</v>
      </c>
      <c r="H1937" s="225" t="s">
        <v>1907</v>
      </c>
      <c r="I1937" s="208"/>
      <c r="J1937" s="210"/>
      <c r="K1937" s="210"/>
      <c r="L1937" s="210"/>
      <c r="M1937" s="210"/>
      <c r="N1937" s="210"/>
      <c r="O1937" s="210"/>
      <c r="P1937" s="210"/>
      <c r="Q1937" s="210"/>
      <c r="R1937" s="210"/>
      <c r="S1937" s="210"/>
      <c r="T1937" s="210"/>
      <c r="U1937" s="210"/>
      <c r="V1937" s="210"/>
      <c r="W1937" s="210"/>
      <c r="X1937" s="210"/>
      <c r="Y1937" s="210"/>
      <c r="Z1937" s="210"/>
    </row>
    <row r="1938" ht="21.75" customHeight="1">
      <c r="A1938" s="214">
        <v>323.0</v>
      </c>
      <c r="B1938" s="215" t="s">
        <v>1908</v>
      </c>
      <c r="C1938" s="216"/>
      <c r="D1938" s="217"/>
      <c r="E1938" s="217"/>
      <c r="F1938" s="217"/>
      <c r="G1938" s="217"/>
      <c r="H1938" s="217"/>
      <c r="I1938" s="208"/>
      <c r="J1938" s="210"/>
      <c r="K1938" s="210"/>
      <c r="L1938" s="210"/>
      <c r="M1938" s="210"/>
      <c r="N1938" s="210"/>
      <c r="O1938" s="210"/>
      <c r="P1938" s="210"/>
      <c r="Q1938" s="210"/>
      <c r="R1938" s="210"/>
      <c r="S1938" s="210"/>
      <c r="T1938" s="210"/>
      <c r="U1938" s="210"/>
      <c r="V1938" s="210"/>
      <c r="W1938" s="210"/>
      <c r="X1938" s="210"/>
      <c r="Y1938" s="210"/>
      <c r="Z1938" s="210"/>
    </row>
    <row r="1939" ht="21.75" customHeight="1">
      <c r="A1939" s="214"/>
      <c r="B1939" s="218" t="s">
        <v>1909</v>
      </c>
      <c r="C1939" s="219">
        <v>51008.0</v>
      </c>
      <c r="D1939" s="220"/>
      <c r="E1939" s="220"/>
      <c r="F1939" s="220"/>
      <c r="G1939" s="220"/>
      <c r="H1939" s="220"/>
      <c r="I1939" s="208"/>
      <c r="J1939" s="210"/>
      <c r="K1939" s="210"/>
      <c r="L1939" s="210"/>
      <c r="M1939" s="210"/>
      <c r="N1939" s="210"/>
      <c r="O1939" s="210"/>
      <c r="P1939" s="210"/>
      <c r="Q1939" s="210"/>
      <c r="R1939" s="210"/>
      <c r="S1939" s="210"/>
      <c r="T1939" s="210"/>
      <c r="U1939" s="210"/>
      <c r="V1939" s="210"/>
      <c r="W1939" s="210"/>
      <c r="X1939" s="210"/>
      <c r="Y1939" s="210"/>
      <c r="Z1939" s="210"/>
    </row>
    <row r="1940" ht="21.75" customHeight="1">
      <c r="A1940" s="214"/>
      <c r="B1940" s="221"/>
      <c r="C1940" s="222">
        <v>100.0</v>
      </c>
      <c r="D1940" s="223" t="s">
        <v>486</v>
      </c>
      <c r="E1940" s="223" t="s">
        <v>487</v>
      </c>
      <c r="F1940" s="223" t="s">
        <v>488</v>
      </c>
      <c r="G1940" s="223" t="s">
        <v>489</v>
      </c>
      <c r="H1940" s="224" t="s">
        <v>490</v>
      </c>
      <c r="I1940" s="208"/>
      <c r="J1940" s="210"/>
      <c r="K1940" s="210"/>
      <c r="L1940" s="210"/>
      <c r="M1940" s="210"/>
      <c r="N1940" s="210"/>
      <c r="O1940" s="210"/>
      <c r="P1940" s="210"/>
      <c r="Q1940" s="210"/>
      <c r="R1940" s="210"/>
      <c r="S1940" s="210"/>
      <c r="T1940" s="210"/>
      <c r="U1940" s="210"/>
      <c r="V1940" s="210"/>
      <c r="W1940" s="210"/>
      <c r="X1940" s="210"/>
      <c r="Y1940" s="210"/>
      <c r="Z1940" s="210"/>
    </row>
    <row r="1941" ht="21.75" customHeight="1">
      <c r="A1941" s="214"/>
      <c r="B1941" s="221"/>
      <c r="C1941" s="222">
        <v>101.0</v>
      </c>
      <c r="D1941" s="223" t="s">
        <v>369</v>
      </c>
      <c r="E1941" s="223" t="s">
        <v>487</v>
      </c>
      <c r="F1941" s="223" t="s">
        <v>492</v>
      </c>
      <c r="G1941" s="223" t="s">
        <v>678</v>
      </c>
      <c r="H1941" s="225" t="s">
        <v>1910</v>
      </c>
      <c r="I1941" s="208"/>
      <c r="J1941" s="210"/>
      <c r="K1941" s="210"/>
      <c r="L1941" s="210"/>
      <c r="M1941" s="210"/>
      <c r="N1941" s="210"/>
      <c r="O1941" s="210"/>
      <c r="P1941" s="210"/>
      <c r="Q1941" s="210"/>
      <c r="R1941" s="210"/>
      <c r="S1941" s="210"/>
      <c r="T1941" s="210"/>
      <c r="U1941" s="210"/>
      <c r="V1941" s="210"/>
      <c r="W1941" s="210"/>
      <c r="X1941" s="210"/>
      <c r="Y1941" s="210"/>
      <c r="Z1941" s="210"/>
    </row>
    <row r="1942" ht="21.75" customHeight="1">
      <c r="A1942" s="214"/>
      <c r="B1942" s="221"/>
      <c r="C1942" s="222">
        <v>102.0</v>
      </c>
      <c r="D1942" s="223" t="s">
        <v>884</v>
      </c>
      <c r="E1942" s="223" t="s">
        <v>487</v>
      </c>
      <c r="F1942" s="223" t="s">
        <v>496</v>
      </c>
      <c r="G1942" s="223" t="s">
        <v>497</v>
      </c>
      <c r="H1942" s="225" t="s">
        <v>1911</v>
      </c>
      <c r="I1942" s="208"/>
      <c r="J1942" s="210"/>
      <c r="K1942" s="210"/>
      <c r="L1942" s="210"/>
      <c r="M1942" s="210"/>
      <c r="N1942" s="210"/>
      <c r="O1942" s="210"/>
      <c r="P1942" s="210"/>
      <c r="Q1942" s="210"/>
      <c r="R1942" s="210"/>
      <c r="S1942" s="210"/>
      <c r="T1942" s="210"/>
      <c r="U1942" s="210"/>
      <c r="V1942" s="210"/>
      <c r="W1942" s="210"/>
      <c r="X1942" s="210"/>
      <c r="Y1942" s="210"/>
      <c r="Z1942" s="210"/>
    </row>
    <row r="1943" ht="21.75" customHeight="1">
      <c r="A1943" s="214"/>
      <c r="B1943" s="221"/>
      <c r="C1943" s="222">
        <v>103.0</v>
      </c>
      <c r="D1943" s="223" t="s">
        <v>1912</v>
      </c>
      <c r="E1943" s="223" t="s">
        <v>487</v>
      </c>
      <c r="F1943" s="223" t="s">
        <v>500</v>
      </c>
      <c r="G1943" s="223" t="s">
        <v>501</v>
      </c>
      <c r="H1943" s="225" t="s">
        <v>1913</v>
      </c>
      <c r="I1943" s="208"/>
      <c r="J1943" s="210"/>
      <c r="K1943" s="210"/>
      <c r="L1943" s="210"/>
      <c r="M1943" s="210"/>
      <c r="N1943" s="210"/>
      <c r="O1943" s="210"/>
      <c r="P1943" s="210"/>
      <c r="Q1943" s="210"/>
      <c r="R1943" s="210"/>
      <c r="S1943" s="210"/>
      <c r="T1943" s="210"/>
      <c r="U1943" s="210"/>
      <c r="V1943" s="210"/>
      <c r="W1943" s="210"/>
      <c r="X1943" s="210"/>
      <c r="Y1943" s="210"/>
      <c r="Z1943" s="210"/>
    </row>
    <row r="1944" ht="21.75" customHeight="1">
      <c r="A1944" s="228"/>
      <c r="B1944" s="221"/>
      <c r="C1944" s="222">
        <v>104.0</v>
      </c>
      <c r="D1944" s="223" t="s">
        <v>507</v>
      </c>
      <c r="E1944" s="223" t="s">
        <v>508</v>
      </c>
      <c r="F1944" s="223" t="s">
        <v>509</v>
      </c>
      <c r="G1944" s="223" t="s">
        <v>510</v>
      </c>
      <c r="H1944" s="225" t="s">
        <v>1914</v>
      </c>
      <c r="I1944" s="208"/>
      <c r="J1944" s="210"/>
      <c r="K1944" s="210"/>
      <c r="L1944" s="210"/>
      <c r="M1944" s="210"/>
      <c r="N1944" s="210"/>
      <c r="O1944" s="210"/>
      <c r="P1944" s="210"/>
      <c r="Q1944" s="210"/>
      <c r="R1944" s="210"/>
      <c r="S1944" s="210"/>
      <c r="T1944" s="210"/>
      <c r="U1944" s="210"/>
      <c r="V1944" s="210"/>
      <c r="W1944" s="210"/>
      <c r="X1944" s="210"/>
      <c r="Y1944" s="210"/>
      <c r="Z1944" s="210"/>
    </row>
    <row r="1945" ht="21.75" customHeight="1">
      <c r="A1945" s="214">
        <v>324.0</v>
      </c>
      <c r="B1945" s="215" t="s">
        <v>1915</v>
      </c>
      <c r="C1945" s="216"/>
      <c r="D1945" s="217"/>
      <c r="E1945" s="217"/>
      <c r="F1945" s="217"/>
      <c r="G1945" s="217"/>
      <c r="H1945" s="217"/>
      <c r="I1945" s="208"/>
      <c r="J1945" s="210"/>
      <c r="K1945" s="210"/>
      <c r="L1945" s="210"/>
      <c r="M1945" s="210"/>
      <c r="N1945" s="210"/>
      <c r="O1945" s="210"/>
      <c r="P1945" s="210"/>
      <c r="Q1945" s="210"/>
      <c r="R1945" s="210"/>
      <c r="S1945" s="210"/>
      <c r="T1945" s="210"/>
      <c r="U1945" s="210"/>
      <c r="V1945" s="210"/>
      <c r="W1945" s="210"/>
      <c r="X1945" s="210"/>
      <c r="Y1945" s="210"/>
      <c r="Z1945" s="210"/>
    </row>
    <row r="1946" ht="21.75" customHeight="1">
      <c r="A1946" s="214"/>
      <c r="B1946" s="218" t="s">
        <v>1916</v>
      </c>
      <c r="C1946" s="219">
        <v>51014.0</v>
      </c>
      <c r="D1946" s="220"/>
      <c r="E1946" s="220"/>
      <c r="F1946" s="220"/>
      <c r="G1946" s="220"/>
      <c r="H1946" s="220"/>
      <c r="I1946" s="208"/>
      <c r="J1946" s="210"/>
      <c r="K1946" s="210"/>
      <c r="L1946" s="210"/>
      <c r="M1946" s="210"/>
      <c r="N1946" s="210"/>
      <c r="O1946" s="210"/>
      <c r="P1946" s="210"/>
      <c r="Q1946" s="210"/>
      <c r="R1946" s="210"/>
      <c r="S1946" s="210"/>
      <c r="T1946" s="210"/>
      <c r="U1946" s="210"/>
      <c r="V1946" s="210"/>
      <c r="W1946" s="210"/>
      <c r="X1946" s="210"/>
      <c r="Y1946" s="210"/>
      <c r="Z1946" s="210"/>
    </row>
    <row r="1947" ht="21.75" customHeight="1">
      <c r="A1947" s="214"/>
      <c r="B1947" s="221"/>
      <c r="C1947" s="222">
        <v>100.0</v>
      </c>
      <c r="D1947" s="223" t="s">
        <v>486</v>
      </c>
      <c r="E1947" s="223" t="s">
        <v>487</v>
      </c>
      <c r="F1947" s="223" t="s">
        <v>488</v>
      </c>
      <c r="G1947" s="223" t="s">
        <v>489</v>
      </c>
      <c r="H1947" s="224" t="s">
        <v>490</v>
      </c>
      <c r="I1947" s="208"/>
      <c r="J1947" s="210"/>
      <c r="K1947" s="210"/>
      <c r="L1947" s="210"/>
      <c r="M1947" s="210"/>
      <c r="N1947" s="210"/>
      <c r="O1947" s="210"/>
      <c r="P1947" s="210"/>
      <c r="Q1947" s="210"/>
      <c r="R1947" s="210"/>
      <c r="S1947" s="210"/>
      <c r="T1947" s="210"/>
      <c r="U1947" s="210"/>
      <c r="V1947" s="210"/>
      <c r="W1947" s="210"/>
      <c r="X1947" s="210"/>
      <c r="Y1947" s="210"/>
      <c r="Z1947" s="210"/>
    </row>
    <row r="1948" ht="21.75" customHeight="1">
      <c r="A1948" s="214"/>
      <c r="B1948" s="221"/>
      <c r="C1948" s="222">
        <v>101.0</v>
      </c>
      <c r="D1948" s="223" t="s">
        <v>491</v>
      </c>
      <c r="E1948" s="223" t="s">
        <v>487</v>
      </c>
      <c r="F1948" s="223" t="s">
        <v>492</v>
      </c>
      <c r="G1948" s="223" t="s">
        <v>678</v>
      </c>
      <c r="H1948" s="225" t="s">
        <v>1917</v>
      </c>
      <c r="I1948" s="208"/>
      <c r="J1948" s="210"/>
      <c r="K1948" s="210"/>
      <c r="L1948" s="210"/>
      <c r="M1948" s="210"/>
      <c r="N1948" s="210"/>
      <c r="O1948" s="210"/>
      <c r="P1948" s="210"/>
      <c r="Q1948" s="210"/>
      <c r="R1948" s="210"/>
      <c r="S1948" s="210"/>
      <c r="T1948" s="210"/>
      <c r="U1948" s="210"/>
      <c r="V1948" s="210"/>
      <c r="W1948" s="210"/>
      <c r="X1948" s="210"/>
      <c r="Y1948" s="210"/>
      <c r="Z1948" s="210"/>
    </row>
    <row r="1949" ht="21.75" customHeight="1">
      <c r="A1949" s="214"/>
      <c r="B1949" s="221"/>
      <c r="C1949" s="222">
        <v>102.0</v>
      </c>
      <c r="D1949" s="223" t="s">
        <v>1750</v>
      </c>
      <c r="E1949" s="223" t="s">
        <v>487</v>
      </c>
      <c r="F1949" s="223" t="s">
        <v>496</v>
      </c>
      <c r="G1949" s="223" t="s">
        <v>594</v>
      </c>
      <c r="H1949" s="225" t="s">
        <v>776</v>
      </c>
      <c r="I1949" s="208"/>
      <c r="J1949" s="210"/>
      <c r="K1949" s="210"/>
      <c r="L1949" s="210"/>
      <c r="M1949" s="210"/>
      <c r="N1949" s="210"/>
      <c r="O1949" s="210"/>
      <c r="P1949" s="210"/>
      <c r="Q1949" s="210"/>
      <c r="R1949" s="210"/>
      <c r="S1949" s="210"/>
      <c r="T1949" s="210"/>
      <c r="U1949" s="210"/>
      <c r="V1949" s="210"/>
      <c r="W1949" s="210"/>
      <c r="X1949" s="210"/>
      <c r="Y1949" s="210"/>
      <c r="Z1949" s="210"/>
    </row>
    <row r="1950" ht="21.75" customHeight="1">
      <c r="A1950" s="214"/>
      <c r="B1950" s="221"/>
      <c r="C1950" s="222">
        <v>103.0</v>
      </c>
      <c r="D1950" s="223" t="s">
        <v>973</v>
      </c>
      <c r="E1950" s="223" t="s">
        <v>487</v>
      </c>
      <c r="F1950" s="223" t="s">
        <v>500</v>
      </c>
      <c r="G1950" s="223" t="s">
        <v>606</v>
      </c>
      <c r="H1950" s="225" t="s">
        <v>1918</v>
      </c>
      <c r="I1950" s="208"/>
      <c r="J1950" s="210"/>
      <c r="K1950" s="210"/>
      <c r="L1950" s="210"/>
      <c r="M1950" s="210"/>
      <c r="N1950" s="210"/>
      <c r="O1950" s="210"/>
      <c r="P1950" s="210"/>
      <c r="Q1950" s="210"/>
      <c r="R1950" s="210"/>
      <c r="S1950" s="210"/>
      <c r="T1950" s="210"/>
      <c r="U1950" s="210"/>
      <c r="V1950" s="210"/>
      <c r="W1950" s="210"/>
      <c r="X1950" s="210"/>
      <c r="Y1950" s="210"/>
      <c r="Z1950" s="210"/>
    </row>
    <row r="1951" ht="21.75" customHeight="1">
      <c r="A1951" s="214"/>
      <c r="B1951" s="221"/>
      <c r="C1951" s="222">
        <v>104.0</v>
      </c>
      <c r="D1951" s="223" t="s">
        <v>1260</v>
      </c>
      <c r="E1951" s="223" t="s">
        <v>487</v>
      </c>
      <c r="F1951" s="223" t="s">
        <v>512</v>
      </c>
      <c r="G1951" s="223" t="s">
        <v>513</v>
      </c>
      <c r="H1951" s="225" t="s">
        <v>1919</v>
      </c>
      <c r="I1951" s="208"/>
      <c r="J1951" s="210"/>
      <c r="K1951" s="210"/>
      <c r="L1951" s="210"/>
      <c r="M1951" s="210"/>
      <c r="N1951" s="210"/>
      <c r="O1951" s="210"/>
      <c r="P1951" s="210"/>
      <c r="Q1951" s="210"/>
      <c r="R1951" s="210"/>
      <c r="S1951" s="210"/>
      <c r="T1951" s="210"/>
      <c r="U1951" s="210"/>
      <c r="V1951" s="210"/>
      <c r="W1951" s="210"/>
      <c r="X1951" s="210"/>
      <c r="Y1951" s="210"/>
      <c r="Z1951" s="210"/>
    </row>
    <row r="1952" ht="21.75" customHeight="1">
      <c r="A1952" s="214"/>
      <c r="B1952" s="221"/>
      <c r="C1952" s="222">
        <v>105.0</v>
      </c>
      <c r="D1952" s="223" t="s">
        <v>1780</v>
      </c>
      <c r="E1952" s="223" t="s">
        <v>487</v>
      </c>
      <c r="F1952" s="223" t="s">
        <v>532</v>
      </c>
      <c r="G1952" s="223" t="s">
        <v>501</v>
      </c>
      <c r="H1952" s="225" t="s">
        <v>1920</v>
      </c>
      <c r="I1952" s="208"/>
      <c r="J1952" s="210"/>
      <c r="K1952" s="210"/>
      <c r="L1952" s="210"/>
      <c r="M1952" s="210"/>
      <c r="N1952" s="210"/>
      <c r="O1952" s="210"/>
      <c r="P1952" s="210"/>
      <c r="Q1952" s="210"/>
      <c r="R1952" s="210"/>
      <c r="S1952" s="210"/>
      <c r="T1952" s="210"/>
      <c r="U1952" s="210"/>
      <c r="V1952" s="210"/>
      <c r="W1952" s="210"/>
      <c r="X1952" s="210"/>
      <c r="Y1952" s="210"/>
      <c r="Z1952" s="210"/>
    </row>
    <row r="1953" ht="21.75" customHeight="1">
      <c r="A1953" s="214"/>
      <c r="B1953" s="221"/>
      <c r="C1953" s="222">
        <v>106.0</v>
      </c>
      <c r="D1953" s="223" t="s">
        <v>727</v>
      </c>
      <c r="E1953" s="223" t="s">
        <v>487</v>
      </c>
      <c r="F1953" s="223" t="s">
        <v>590</v>
      </c>
      <c r="G1953" s="223" t="s">
        <v>497</v>
      </c>
      <c r="H1953" s="224" t="s">
        <v>490</v>
      </c>
      <c r="I1953" s="208"/>
      <c r="J1953" s="210"/>
      <c r="K1953" s="210"/>
      <c r="L1953" s="210"/>
      <c r="M1953" s="210"/>
      <c r="N1953" s="210"/>
      <c r="O1953" s="210"/>
      <c r="P1953" s="210"/>
      <c r="Q1953" s="210"/>
      <c r="R1953" s="210"/>
      <c r="S1953" s="210"/>
      <c r="T1953" s="210"/>
      <c r="U1953" s="210"/>
      <c r="V1953" s="210"/>
      <c r="W1953" s="210"/>
      <c r="X1953" s="210"/>
      <c r="Y1953" s="210"/>
      <c r="Z1953" s="210"/>
    </row>
    <row r="1954" ht="21.75" customHeight="1">
      <c r="A1954" s="214"/>
      <c r="B1954" s="221"/>
      <c r="C1954" s="222">
        <v>107.0</v>
      </c>
      <c r="D1954" s="223" t="s">
        <v>1755</v>
      </c>
      <c r="E1954" s="223" t="s">
        <v>487</v>
      </c>
      <c r="F1954" s="223" t="s">
        <v>603</v>
      </c>
      <c r="G1954" s="223" t="s">
        <v>591</v>
      </c>
      <c r="H1954" s="224" t="s">
        <v>490</v>
      </c>
      <c r="I1954" s="208"/>
      <c r="J1954" s="210"/>
      <c r="K1954" s="210"/>
      <c r="L1954" s="210"/>
      <c r="M1954" s="210"/>
      <c r="N1954" s="210"/>
      <c r="O1954" s="210"/>
      <c r="P1954" s="210"/>
      <c r="Q1954" s="210"/>
      <c r="R1954" s="210"/>
      <c r="S1954" s="210"/>
      <c r="T1954" s="210"/>
      <c r="U1954" s="210"/>
      <c r="V1954" s="210"/>
      <c r="W1954" s="210"/>
      <c r="X1954" s="210"/>
      <c r="Y1954" s="210"/>
      <c r="Z1954" s="210"/>
    </row>
    <row r="1955" ht="21.75" customHeight="1">
      <c r="A1955" s="214"/>
      <c r="B1955" s="221"/>
      <c r="C1955" s="222">
        <v>108.0</v>
      </c>
      <c r="D1955" s="223" t="s">
        <v>1756</v>
      </c>
      <c r="E1955" s="223" t="s">
        <v>487</v>
      </c>
      <c r="F1955" s="223" t="s">
        <v>579</v>
      </c>
      <c r="G1955" s="223" t="s">
        <v>602</v>
      </c>
      <c r="H1955" s="224" t="s">
        <v>490</v>
      </c>
      <c r="I1955" s="208"/>
      <c r="J1955" s="210"/>
      <c r="K1955" s="210"/>
      <c r="L1955" s="210"/>
      <c r="M1955" s="210"/>
      <c r="N1955" s="210"/>
      <c r="O1955" s="210"/>
      <c r="P1955" s="210"/>
      <c r="Q1955" s="210"/>
      <c r="R1955" s="210"/>
      <c r="S1955" s="210"/>
      <c r="T1955" s="210"/>
      <c r="U1955" s="210"/>
      <c r="V1955" s="210"/>
      <c r="W1955" s="210"/>
      <c r="X1955" s="210"/>
      <c r="Y1955" s="210"/>
      <c r="Z1955" s="210"/>
    </row>
    <row r="1956" ht="21.75" customHeight="1">
      <c r="A1956" s="214"/>
      <c r="B1956" s="221"/>
      <c r="C1956" s="222">
        <v>109.0</v>
      </c>
      <c r="D1956" s="223" t="s">
        <v>1757</v>
      </c>
      <c r="E1956" s="223" t="s">
        <v>487</v>
      </c>
      <c r="F1956" s="223" t="s">
        <v>583</v>
      </c>
      <c r="G1956" s="223" t="s">
        <v>608</v>
      </c>
      <c r="H1956" s="224" t="s">
        <v>490</v>
      </c>
      <c r="I1956" s="208"/>
      <c r="J1956" s="210"/>
      <c r="K1956" s="210"/>
      <c r="L1956" s="210"/>
      <c r="M1956" s="210"/>
      <c r="N1956" s="210"/>
      <c r="O1956" s="210"/>
      <c r="P1956" s="210"/>
      <c r="Q1956" s="210"/>
      <c r="R1956" s="210"/>
      <c r="S1956" s="210"/>
      <c r="T1956" s="210"/>
      <c r="U1956" s="210"/>
      <c r="V1956" s="210"/>
      <c r="W1956" s="210"/>
      <c r="X1956" s="210"/>
      <c r="Y1956" s="210"/>
      <c r="Z1956" s="210"/>
    </row>
    <row r="1957" ht="21.75" customHeight="1">
      <c r="A1957" s="214"/>
      <c r="B1957" s="221"/>
      <c r="C1957" s="222">
        <v>110.0</v>
      </c>
      <c r="D1957" s="223" t="s">
        <v>1758</v>
      </c>
      <c r="E1957" s="223" t="s">
        <v>487</v>
      </c>
      <c r="F1957" s="223" t="s">
        <v>601</v>
      </c>
      <c r="G1957" s="223" t="s">
        <v>644</v>
      </c>
      <c r="H1957" s="224" t="s">
        <v>490</v>
      </c>
      <c r="I1957" s="208"/>
      <c r="J1957" s="210"/>
      <c r="K1957" s="210"/>
      <c r="L1957" s="210"/>
      <c r="M1957" s="210"/>
      <c r="N1957" s="210"/>
      <c r="O1957" s="210"/>
      <c r="P1957" s="210"/>
      <c r="Q1957" s="210"/>
      <c r="R1957" s="210"/>
      <c r="S1957" s="210"/>
      <c r="T1957" s="210"/>
      <c r="U1957" s="210"/>
      <c r="V1957" s="210"/>
      <c r="W1957" s="210"/>
      <c r="X1957" s="210"/>
      <c r="Y1957" s="210"/>
      <c r="Z1957" s="210"/>
    </row>
    <row r="1958" ht="21.75" customHeight="1">
      <c r="A1958" s="214"/>
      <c r="B1958" s="221"/>
      <c r="C1958" s="222">
        <v>111.0</v>
      </c>
      <c r="D1958" s="223" t="s">
        <v>541</v>
      </c>
      <c r="E1958" s="223" t="s">
        <v>508</v>
      </c>
      <c r="F1958" s="223" t="s">
        <v>509</v>
      </c>
      <c r="G1958" s="223" t="s">
        <v>510</v>
      </c>
      <c r="H1958" s="225" t="s">
        <v>1921</v>
      </c>
      <c r="I1958" s="208"/>
      <c r="J1958" s="210"/>
      <c r="K1958" s="210"/>
      <c r="L1958" s="210"/>
      <c r="M1958" s="210"/>
      <c r="N1958" s="210"/>
      <c r="O1958" s="210"/>
      <c r="P1958" s="210"/>
      <c r="Q1958" s="210"/>
      <c r="R1958" s="210"/>
      <c r="S1958" s="210"/>
      <c r="T1958" s="210"/>
      <c r="U1958" s="210"/>
      <c r="V1958" s="210"/>
      <c r="W1958" s="210"/>
      <c r="X1958" s="210"/>
      <c r="Y1958" s="210"/>
      <c r="Z1958" s="210"/>
    </row>
    <row r="1959" ht="21.75" customHeight="1">
      <c r="A1959" s="214"/>
      <c r="B1959" s="221"/>
      <c r="C1959" s="233" t="s">
        <v>490</v>
      </c>
      <c r="D1959" s="223" t="s">
        <v>1023</v>
      </c>
      <c r="E1959" s="223" t="s">
        <v>744</v>
      </c>
      <c r="F1959" s="223" t="s">
        <v>1023</v>
      </c>
      <c r="G1959" s="218" t="s">
        <v>490</v>
      </c>
      <c r="H1959" s="224" t="s">
        <v>490</v>
      </c>
      <c r="I1959" s="208"/>
      <c r="J1959" s="210"/>
      <c r="K1959" s="210"/>
      <c r="L1959" s="210"/>
      <c r="M1959" s="210"/>
      <c r="N1959" s="210"/>
      <c r="O1959" s="210"/>
      <c r="P1959" s="210"/>
      <c r="Q1959" s="210"/>
      <c r="R1959" s="210"/>
      <c r="S1959" s="210"/>
      <c r="T1959" s="210"/>
      <c r="U1959" s="210"/>
      <c r="V1959" s="210"/>
      <c r="W1959" s="210"/>
      <c r="X1959" s="210"/>
      <c r="Y1959" s="210"/>
      <c r="Z1959" s="210"/>
    </row>
    <row r="1960" ht="21.75" customHeight="1">
      <c r="A1960" s="214"/>
      <c r="B1960" s="221"/>
      <c r="C1960" s="222"/>
      <c r="D1960" s="223" t="s">
        <v>1922</v>
      </c>
      <c r="E1960" s="223" t="s">
        <v>738</v>
      </c>
      <c r="F1960" s="223" t="s">
        <v>1026</v>
      </c>
      <c r="G1960" s="218" t="s">
        <v>490</v>
      </c>
      <c r="H1960" s="224" t="s">
        <v>490</v>
      </c>
      <c r="I1960" s="208"/>
      <c r="J1960" s="210"/>
      <c r="K1960" s="210"/>
      <c r="L1960" s="210"/>
      <c r="M1960" s="210"/>
      <c r="N1960" s="210"/>
      <c r="O1960" s="210"/>
      <c r="P1960" s="210"/>
      <c r="Q1960" s="210"/>
      <c r="R1960" s="210"/>
      <c r="S1960" s="210"/>
      <c r="T1960" s="210"/>
      <c r="U1960" s="210"/>
      <c r="V1960" s="210"/>
      <c r="W1960" s="210"/>
      <c r="X1960" s="210"/>
      <c r="Y1960" s="210"/>
      <c r="Z1960" s="210"/>
    </row>
    <row r="1961" ht="21.75" customHeight="1">
      <c r="A1961" s="214"/>
      <c r="B1961" s="221"/>
      <c r="C1961" s="222"/>
      <c r="D1961" s="223" t="s">
        <v>1923</v>
      </c>
      <c r="E1961" s="223" t="s">
        <v>738</v>
      </c>
      <c r="F1961" s="223" t="s">
        <v>1025</v>
      </c>
      <c r="G1961" s="218" t="s">
        <v>490</v>
      </c>
      <c r="H1961" s="224" t="s">
        <v>490</v>
      </c>
      <c r="I1961" s="208"/>
      <c r="J1961" s="210"/>
      <c r="K1961" s="210"/>
      <c r="L1961" s="210"/>
      <c r="M1961" s="210"/>
      <c r="N1961" s="210"/>
      <c r="O1961" s="210"/>
      <c r="P1961" s="210"/>
      <c r="Q1961" s="210"/>
      <c r="R1961" s="210"/>
      <c r="S1961" s="210"/>
      <c r="T1961" s="210"/>
      <c r="U1961" s="210"/>
      <c r="V1961" s="210"/>
      <c r="W1961" s="210"/>
      <c r="X1961" s="210"/>
      <c r="Y1961" s="210"/>
      <c r="Z1961" s="210"/>
    </row>
    <row r="1962" ht="21.75" customHeight="1">
      <c r="A1962" s="214"/>
      <c r="B1962" s="217"/>
      <c r="C1962" s="222"/>
      <c r="D1962" s="234" t="s">
        <v>490</v>
      </c>
      <c r="E1962" s="215" t="s">
        <v>742</v>
      </c>
      <c r="F1962" s="215" t="s">
        <v>1027</v>
      </c>
      <c r="G1962" s="234" t="s">
        <v>490</v>
      </c>
      <c r="H1962" s="224" t="s">
        <v>490</v>
      </c>
      <c r="I1962" s="208"/>
      <c r="J1962" s="210"/>
      <c r="K1962" s="210"/>
      <c r="L1962" s="210"/>
      <c r="M1962" s="210"/>
      <c r="N1962" s="210"/>
      <c r="O1962" s="210"/>
      <c r="P1962" s="210"/>
      <c r="Q1962" s="210"/>
      <c r="R1962" s="210"/>
      <c r="S1962" s="210"/>
      <c r="T1962" s="210"/>
      <c r="U1962" s="210"/>
      <c r="V1962" s="210"/>
      <c r="W1962" s="210"/>
      <c r="X1962" s="210"/>
      <c r="Y1962" s="210"/>
      <c r="Z1962" s="210"/>
    </row>
    <row r="1963" ht="21.75" customHeight="1">
      <c r="A1963" s="214"/>
      <c r="B1963" s="218" t="s">
        <v>1924</v>
      </c>
      <c r="C1963" s="226">
        <v>51015.0</v>
      </c>
      <c r="D1963" s="220"/>
      <c r="E1963" s="220"/>
      <c r="F1963" s="220"/>
      <c r="G1963" s="220"/>
      <c r="H1963" s="221"/>
      <c r="I1963" s="208"/>
      <c r="J1963" s="210"/>
      <c r="K1963" s="210"/>
      <c r="L1963" s="210"/>
      <c r="M1963" s="210"/>
      <c r="N1963" s="210"/>
      <c r="O1963" s="210"/>
      <c r="P1963" s="210"/>
      <c r="Q1963" s="210"/>
      <c r="R1963" s="210"/>
      <c r="S1963" s="210"/>
      <c r="T1963" s="210"/>
      <c r="U1963" s="210"/>
      <c r="V1963" s="210"/>
      <c r="W1963" s="210"/>
      <c r="X1963" s="210"/>
      <c r="Y1963" s="210"/>
      <c r="Z1963" s="210"/>
    </row>
    <row r="1964" ht="21.75" customHeight="1">
      <c r="A1964" s="214"/>
      <c r="B1964" s="221"/>
      <c r="C1964" s="222">
        <v>100.0</v>
      </c>
      <c r="D1964" s="223" t="s">
        <v>486</v>
      </c>
      <c r="E1964" s="223" t="s">
        <v>487</v>
      </c>
      <c r="F1964" s="223" t="s">
        <v>488</v>
      </c>
      <c r="G1964" s="223" t="s">
        <v>489</v>
      </c>
      <c r="H1964" s="224" t="s">
        <v>490</v>
      </c>
      <c r="I1964" s="208"/>
      <c r="J1964" s="210"/>
      <c r="K1964" s="210"/>
      <c r="L1964" s="210"/>
      <c r="M1964" s="210"/>
      <c r="N1964" s="210"/>
      <c r="O1964" s="210"/>
      <c r="P1964" s="210"/>
      <c r="Q1964" s="210"/>
      <c r="R1964" s="210"/>
      <c r="S1964" s="210"/>
      <c r="T1964" s="210"/>
      <c r="U1964" s="210"/>
      <c r="V1964" s="210"/>
      <c r="W1964" s="210"/>
      <c r="X1964" s="210"/>
      <c r="Y1964" s="210"/>
      <c r="Z1964" s="210"/>
    </row>
    <row r="1965" ht="21.75" customHeight="1">
      <c r="A1965" s="214"/>
      <c r="B1965" s="221"/>
      <c r="C1965" s="222">
        <v>101.0</v>
      </c>
      <c r="D1965" s="223" t="s">
        <v>491</v>
      </c>
      <c r="E1965" s="223" t="s">
        <v>487</v>
      </c>
      <c r="F1965" s="223" t="s">
        <v>492</v>
      </c>
      <c r="G1965" s="223" t="s">
        <v>678</v>
      </c>
      <c r="H1965" s="225" t="s">
        <v>1925</v>
      </c>
      <c r="I1965" s="208"/>
      <c r="J1965" s="210"/>
      <c r="K1965" s="210"/>
      <c r="L1965" s="210"/>
      <c r="M1965" s="210"/>
      <c r="N1965" s="210"/>
      <c r="O1965" s="210"/>
      <c r="P1965" s="210"/>
      <c r="Q1965" s="210"/>
      <c r="R1965" s="210"/>
      <c r="S1965" s="210"/>
      <c r="T1965" s="210"/>
      <c r="U1965" s="210"/>
      <c r="V1965" s="210"/>
      <c r="W1965" s="210"/>
      <c r="X1965" s="210"/>
      <c r="Y1965" s="210"/>
      <c r="Z1965" s="210"/>
    </row>
    <row r="1966" ht="21.75" customHeight="1">
      <c r="A1966" s="214"/>
      <c r="B1966" s="221"/>
      <c r="C1966" s="222">
        <v>102.0</v>
      </c>
      <c r="D1966" s="223" t="s">
        <v>1750</v>
      </c>
      <c r="E1966" s="223" t="s">
        <v>487</v>
      </c>
      <c r="F1966" s="223" t="s">
        <v>496</v>
      </c>
      <c r="G1966" s="223" t="s">
        <v>594</v>
      </c>
      <c r="H1966" s="225" t="s">
        <v>1926</v>
      </c>
      <c r="I1966" s="208"/>
      <c r="J1966" s="210"/>
      <c r="K1966" s="210"/>
      <c r="L1966" s="210"/>
      <c r="M1966" s="210"/>
      <c r="N1966" s="210"/>
      <c r="O1966" s="210"/>
      <c r="P1966" s="210"/>
      <c r="Q1966" s="210"/>
      <c r="R1966" s="210"/>
      <c r="S1966" s="210"/>
      <c r="T1966" s="210"/>
      <c r="U1966" s="210"/>
      <c r="V1966" s="210"/>
      <c r="W1966" s="210"/>
      <c r="X1966" s="210"/>
      <c r="Y1966" s="210"/>
      <c r="Z1966" s="210"/>
    </row>
    <row r="1967" ht="21.75" customHeight="1">
      <c r="A1967" s="214"/>
      <c r="B1967" s="221"/>
      <c r="C1967" s="222">
        <v>103.0</v>
      </c>
      <c r="D1967" s="223" t="s">
        <v>973</v>
      </c>
      <c r="E1967" s="223" t="s">
        <v>487</v>
      </c>
      <c r="F1967" s="223" t="s">
        <v>500</v>
      </c>
      <c r="G1967" s="223" t="s">
        <v>606</v>
      </c>
      <c r="H1967" s="225" t="s">
        <v>1927</v>
      </c>
      <c r="I1967" s="208"/>
      <c r="J1967" s="210"/>
      <c r="K1967" s="210"/>
      <c r="L1967" s="210"/>
      <c r="M1967" s="210"/>
      <c r="N1967" s="210"/>
      <c r="O1967" s="210"/>
      <c r="P1967" s="210"/>
      <c r="Q1967" s="210"/>
      <c r="R1967" s="210"/>
      <c r="S1967" s="210"/>
      <c r="T1967" s="210"/>
      <c r="U1967" s="210"/>
      <c r="V1967" s="210"/>
      <c r="W1967" s="210"/>
      <c r="X1967" s="210"/>
      <c r="Y1967" s="210"/>
      <c r="Z1967" s="210"/>
    </row>
    <row r="1968" ht="21.75" customHeight="1">
      <c r="A1968" s="214"/>
      <c r="B1968" s="221"/>
      <c r="C1968" s="222">
        <v>104.0</v>
      </c>
      <c r="D1968" s="223" t="s">
        <v>1260</v>
      </c>
      <c r="E1968" s="223" t="s">
        <v>487</v>
      </c>
      <c r="F1968" s="223" t="s">
        <v>512</v>
      </c>
      <c r="G1968" s="223" t="s">
        <v>513</v>
      </c>
      <c r="H1968" s="225" t="s">
        <v>1928</v>
      </c>
      <c r="I1968" s="208"/>
      <c r="J1968" s="210"/>
      <c r="K1968" s="210"/>
      <c r="L1968" s="210"/>
      <c r="M1968" s="210"/>
      <c r="N1968" s="210"/>
      <c r="O1968" s="210"/>
      <c r="P1968" s="210"/>
      <c r="Q1968" s="210"/>
      <c r="R1968" s="210"/>
      <c r="S1968" s="210"/>
      <c r="T1968" s="210"/>
      <c r="U1968" s="210"/>
      <c r="V1968" s="210"/>
      <c r="W1968" s="210"/>
      <c r="X1968" s="210"/>
      <c r="Y1968" s="210"/>
      <c r="Z1968" s="210"/>
    </row>
    <row r="1969" ht="21.75" customHeight="1">
      <c r="A1969" s="214"/>
      <c r="B1969" s="221"/>
      <c r="C1969" s="222">
        <v>105.0</v>
      </c>
      <c r="D1969" s="223" t="s">
        <v>1780</v>
      </c>
      <c r="E1969" s="223" t="s">
        <v>487</v>
      </c>
      <c r="F1969" s="223" t="s">
        <v>532</v>
      </c>
      <c r="G1969" s="223" t="s">
        <v>501</v>
      </c>
      <c r="H1969" s="225" t="s">
        <v>1929</v>
      </c>
      <c r="I1969" s="208"/>
      <c r="J1969" s="210"/>
      <c r="K1969" s="210"/>
      <c r="L1969" s="210"/>
      <c r="M1969" s="210"/>
      <c r="N1969" s="210"/>
      <c r="O1969" s="210"/>
      <c r="P1969" s="210"/>
      <c r="Q1969" s="210"/>
      <c r="R1969" s="210"/>
      <c r="S1969" s="210"/>
      <c r="T1969" s="210"/>
      <c r="U1969" s="210"/>
      <c r="V1969" s="210"/>
      <c r="W1969" s="210"/>
      <c r="X1969" s="210"/>
      <c r="Y1969" s="210"/>
      <c r="Z1969" s="210"/>
    </row>
    <row r="1970" ht="21.75" customHeight="1">
      <c r="A1970" s="214"/>
      <c r="B1970" s="221"/>
      <c r="C1970" s="222">
        <v>106.0</v>
      </c>
      <c r="D1970" s="223" t="s">
        <v>727</v>
      </c>
      <c r="E1970" s="223" t="s">
        <v>487</v>
      </c>
      <c r="F1970" s="223" t="s">
        <v>590</v>
      </c>
      <c r="G1970" s="223" t="s">
        <v>497</v>
      </c>
      <c r="H1970" s="224" t="s">
        <v>490</v>
      </c>
      <c r="I1970" s="208"/>
      <c r="J1970" s="210"/>
      <c r="K1970" s="210"/>
      <c r="L1970" s="210"/>
      <c r="M1970" s="210"/>
      <c r="N1970" s="210"/>
      <c r="O1970" s="210"/>
      <c r="P1970" s="210"/>
      <c r="Q1970" s="210"/>
      <c r="R1970" s="210"/>
      <c r="S1970" s="210"/>
      <c r="T1970" s="210"/>
      <c r="U1970" s="210"/>
      <c r="V1970" s="210"/>
      <c r="W1970" s="210"/>
      <c r="X1970" s="210"/>
      <c r="Y1970" s="210"/>
      <c r="Z1970" s="210"/>
    </row>
    <row r="1971" ht="21.75" customHeight="1">
      <c r="A1971" s="214"/>
      <c r="B1971" s="221"/>
      <c r="C1971" s="222">
        <v>107.0</v>
      </c>
      <c r="D1971" s="223" t="s">
        <v>1755</v>
      </c>
      <c r="E1971" s="223" t="s">
        <v>487</v>
      </c>
      <c r="F1971" s="223" t="s">
        <v>603</v>
      </c>
      <c r="G1971" s="223" t="s">
        <v>591</v>
      </c>
      <c r="H1971" s="224" t="s">
        <v>490</v>
      </c>
      <c r="I1971" s="208"/>
      <c r="J1971" s="210"/>
      <c r="K1971" s="210"/>
      <c r="L1971" s="210"/>
      <c r="M1971" s="210"/>
      <c r="N1971" s="210"/>
      <c r="O1971" s="210"/>
      <c r="P1971" s="210"/>
      <c r="Q1971" s="210"/>
      <c r="R1971" s="210"/>
      <c r="S1971" s="210"/>
      <c r="T1971" s="210"/>
      <c r="U1971" s="210"/>
      <c r="V1971" s="210"/>
      <c r="W1971" s="210"/>
      <c r="X1971" s="210"/>
      <c r="Y1971" s="210"/>
      <c r="Z1971" s="210"/>
    </row>
    <row r="1972" ht="21.75" customHeight="1">
      <c r="A1972" s="214"/>
      <c r="B1972" s="221"/>
      <c r="C1972" s="222">
        <v>108.0</v>
      </c>
      <c r="D1972" s="223" t="s">
        <v>1756</v>
      </c>
      <c r="E1972" s="223" t="s">
        <v>487</v>
      </c>
      <c r="F1972" s="223" t="s">
        <v>579</v>
      </c>
      <c r="G1972" s="223" t="s">
        <v>602</v>
      </c>
      <c r="H1972" s="224" t="s">
        <v>490</v>
      </c>
      <c r="I1972" s="208"/>
      <c r="J1972" s="210"/>
      <c r="K1972" s="210"/>
      <c r="L1972" s="210"/>
      <c r="M1972" s="210"/>
      <c r="N1972" s="210"/>
      <c r="O1972" s="210"/>
      <c r="P1972" s="210"/>
      <c r="Q1972" s="210"/>
      <c r="R1972" s="210"/>
      <c r="S1972" s="210"/>
      <c r="T1972" s="210"/>
      <c r="U1972" s="210"/>
      <c r="V1972" s="210"/>
      <c r="W1972" s="210"/>
      <c r="X1972" s="210"/>
      <c r="Y1972" s="210"/>
      <c r="Z1972" s="210"/>
    </row>
    <row r="1973" ht="21.75" customHeight="1">
      <c r="A1973" s="214"/>
      <c r="B1973" s="221"/>
      <c r="C1973" s="222">
        <v>109.0</v>
      </c>
      <c r="D1973" s="223" t="s">
        <v>1757</v>
      </c>
      <c r="E1973" s="223" t="s">
        <v>487</v>
      </c>
      <c r="F1973" s="223" t="s">
        <v>583</v>
      </c>
      <c r="G1973" s="223" t="s">
        <v>608</v>
      </c>
      <c r="H1973" s="224" t="s">
        <v>490</v>
      </c>
      <c r="I1973" s="208"/>
      <c r="J1973" s="210"/>
      <c r="K1973" s="210"/>
      <c r="L1973" s="210"/>
      <c r="M1973" s="210"/>
      <c r="N1973" s="210"/>
      <c r="O1973" s="210"/>
      <c r="P1973" s="210"/>
      <c r="Q1973" s="210"/>
      <c r="R1973" s="210"/>
      <c r="S1973" s="210"/>
      <c r="T1973" s="210"/>
      <c r="U1973" s="210"/>
      <c r="V1973" s="210"/>
      <c r="W1973" s="210"/>
      <c r="X1973" s="210"/>
      <c r="Y1973" s="210"/>
      <c r="Z1973" s="210"/>
    </row>
    <row r="1974" ht="21.75" customHeight="1">
      <c r="A1974" s="214"/>
      <c r="B1974" s="221"/>
      <c r="C1974" s="222">
        <v>110.0</v>
      </c>
      <c r="D1974" s="223" t="s">
        <v>1758</v>
      </c>
      <c r="E1974" s="223" t="s">
        <v>487</v>
      </c>
      <c r="F1974" s="223" t="s">
        <v>601</v>
      </c>
      <c r="G1974" s="223" t="s">
        <v>644</v>
      </c>
      <c r="H1974" s="224" t="s">
        <v>490</v>
      </c>
      <c r="I1974" s="208"/>
      <c r="J1974" s="210"/>
      <c r="K1974" s="210"/>
      <c r="L1974" s="210"/>
      <c r="M1974" s="210"/>
      <c r="N1974" s="210"/>
      <c r="O1974" s="210"/>
      <c r="P1974" s="210"/>
      <c r="Q1974" s="210"/>
      <c r="R1974" s="210"/>
      <c r="S1974" s="210"/>
      <c r="T1974" s="210"/>
      <c r="U1974" s="210"/>
      <c r="V1974" s="210"/>
      <c r="W1974" s="210"/>
      <c r="X1974" s="210"/>
      <c r="Y1974" s="210"/>
      <c r="Z1974" s="210"/>
    </row>
    <row r="1975" ht="21.75" customHeight="1">
      <c r="A1975" s="214"/>
      <c r="B1975" s="221"/>
      <c r="C1975" s="222">
        <v>111.0</v>
      </c>
      <c r="D1975" s="223" t="s">
        <v>541</v>
      </c>
      <c r="E1975" s="223" t="s">
        <v>508</v>
      </c>
      <c r="F1975" s="223" t="s">
        <v>509</v>
      </c>
      <c r="G1975" s="223" t="s">
        <v>510</v>
      </c>
      <c r="H1975" s="225" t="s">
        <v>1930</v>
      </c>
      <c r="I1975" s="208"/>
      <c r="J1975" s="210"/>
      <c r="K1975" s="210"/>
      <c r="L1975" s="210"/>
      <c r="M1975" s="210"/>
      <c r="N1975" s="210"/>
      <c r="O1975" s="210"/>
      <c r="P1975" s="210"/>
      <c r="Q1975" s="210"/>
      <c r="R1975" s="210"/>
      <c r="S1975" s="210"/>
      <c r="T1975" s="210"/>
      <c r="U1975" s="210"/>
      <c r="V1975" s="210"/>
      <c r="W1975" s="210"/>
      <c r="X1975" s="210"/>
      <c r="Y1975" s="210"/>
      <c r="Z1975" s="210"/>
    </row>
    <row r="1976" ht="21.75" customHeight="1">
      <c r="A1976" s="214"/>
      <c r="B1976" s="221"/>
      <c r="C1976" s="233" t="s">
        <v>490</v>
      </c>
      <c r="D1976" s="223" t="s">
        <v>1023</v>
      </c>
      <c r="E1976" s="223" t="s">
        <v>744</v>
      </c>
      <c r="F1976" s="223" t="s">
        <v>1023</v>
      </c>
      <c r="G1976" s="218" t="s">
        <v>490</v>
      </c>
      <c r="H1976" s="224" t="s">
        <v>490</v>
      </c>
      <c r="I1976" s="208"/>
      <c r="J1976" s="210"/>
      <c r="K1976" s="210"/>
      <c r="L1976" s="210"/>
      <c r="M1976" s="210"/>
      <c r="N1976" s="210"/>
      <c r="O1976" s="210"/>
      <c r="P1976" s="210"/>
      <c r="Q1976" s="210"/>
      <c r="R1976" s="210"/>
      <c r="S1976" s="210"/>
      <c r="T1976" s="210"/>
      <c r="U1976" s="210"/>
      <c r="V1976" s="210"/>
      <c r="W1976" s="210"/>
      <c r="X1976" s="210"/>
      <c r="Y1976" s="210"/>
      <c r="Z1976" s="210"/>
    </row>
    <row r="1977" ht="21.75" customHeight="1">
      <c r="A1977" s="214"/>
      <c r="B1977" s="221"/>
      <c r="C1977" s="222"/>
      <c r="D1977" s="223" t="s">
        <v>1922</v>
      </c>
      <c r="E1977" s="223" t="s">
        <v>738</v>
      </c>
      <c r="F1977" s="223" t="s">
        <v>1026</v>
      </c>
      <c r="G1977" s="218" t="s">
        <v>490</v>
      </c>
      <c r="H1977" s="224" t="s">
        <v>490</v>
      </c>
      <c r="I1977" s="208"/>
      <c r="J1977" s="210"/>
      <c r="K1977" s="210"/>
      <c r="L1977" s="210"/>
      <c r="M1977" s="210"/>
      <c r="N1977" s="210"/>
      <c r="O1977" s="210"/>
      <c r="P1977" s="210"/>
      <c r="Q1977" s="210"/>
      <c r="R1977" s="210"/>
      <c r="S1977" s="210"/>
      <c r="T1977" s="210"/>
      <c r="U1977" s="210"/>
      <c r="V1977" s="210"/>
      <c r="W1977" s="210"/>
      <c r="X1977" s="210"/>
      <c r="Y1977" s="210"/>
      <c r="Z1977" s="210"/>
    </row>
    <row r="1978" ht="21.75" customHeight="1">
      <c r="A1978" s="214"/>
      <c r="B1978" s="221"/>
      <c r="C1978" s="222"/>
      <c r="D1978" s="223" t="s">
        <v>1923</v>
      </c>
      <c r="E1978" s="223" t="s">
        <v>738</v>
      </c>
      <c r="F1978" s="223" t="s">
        <v>1025</v>
      </c>
      <c r="G1978" s="218" t="s">
        <v>490</v>
      </c>
      <c r="H1978" s="224" t="s">
        <v>490</v>
      </c>
      <c r="I1978" s="208"/>
      <c r="J1978" s="210"/>
      <c r="K1978" s="210"/>
      <c r="L1978" s="210"/>
      <c r="M1978" s="210"/>
      <c r="N1978" s="210"/>
      <c r="O1978" s="210"/>
      <c r="P1978" s="210"/>
      <c r="Q1978" s="210"/>
      <c r="R1978" s="210"/>
      <c r="S1978" s="210"/>
      <c r="T1978" s="210"/>
      <c r="U1978" s="210"/>
      <c r="V1978" s="210"/>
      <c r="W1978" s="210"/>
      <c r="X1978" s="210"/>
      <c r="Y1978" s="210"/>
      <c r="Z1978" s="210"/>
    </row>
    <row r="1979" ht="21.75" customHeight="1">
      <c r="A1979" s="228"/>
      <c r="B1979" s="221"/>
      <c r="C1979" s="222"/>
      <c r="D1979" s="218" t="s">
        <v>490</v>
      </c>
      <c r="E1979" s="223" t="s">
        <v>742</v>
      </c>
      <c r="F1979" s="223" t="s">
        <v>1027</v>
      </c>
      <c r="G1979" s="218" t="s">
        <v>490</v>
      </c>
      <c r="H1979" s="224" t="s">
        <v>490</v>
      </c>
      <c r="I1979" s="208"/>
      <c r="J1979" s="210"/>
      <c r="K1979" s="210"/>
      <c r="L1979" s="210"/>
      <c r="M1979" s="210"/>
      <c r="N1979" s="210"/>
      <c r="O1979" s="210"/>
      <c r="P1979" s="210"/>
      <c r="Q1979" s="210"/>
      <c r="R1979" s="210"/>
      <c r="S1979" s="210"/>
      <c r="T1979" s="210"/>
      <c r="U1979" s="210"/>
      <c r="V1979" s="210"/>
      <c r="W1979" s="210"/>
      <c r="X1979" s="210"/>
      <c r="Y1979" s="210"/>
      <c r="Z1979" s="210"/>
    </row>
    <row r="1980" ht="21.75" customHeight="1">
      <c r="A1980" s="214">
        <v>325.0</v>
      </c>
      <c r="B1980" s="229" t="s">
        <v>1931</v>
      </c>
      <c r="C1980" s="230"/>
      <c r="D1980" s="217"/>
      <c r="E1980" s="217"/>
      <c r="F1980" s="217"/>
      <c r="G1980" s="217"/>
      <c r="H1980" s="217"/>
      <c r="I1980" s="208"/>
      <c r="J1980" s="210"/>
      <c r="K1980" s="210"/>
      <c r="L1980" s="210"/>
      <c r="M1980" s="210"/>
      <c r="N1980" s="210"/>
      <c r="O1980" s="210"/>
      <c r="P1980" s="210"/>
      <c r="Q1980" s="210"/>
      <c r="R1980" s="210"/>
      <c r="S1980" s="210"/>
      <c r="T1980" s="210"/>
      <c r="U1980" s="210"/>
      <c r="V1980" s="210"/>
      <c r="W1980" s="210"/>
      <c r="X1980" s="210"/>
      <c r="Y1980" s="210"/>
      <c r="Z1980" s="210"/>
    </row>
    <row r="1981" ht="21.75" customHeight="1">
      <c r="A1981" s="214"/>
      <c r="B1981" s="218" t="s">
        <v>1932</v>
      </c>
      <c r="C1981" s="219">
        <v>51017.0</v>
      </c>
      <c r="D1981" s="220"/>
      <c r="E1981" s="220"/>
      <c r="F1981" s="220"/>
      <c r="G1981" s="220"/>
      <c r="H1981" s="220"/>
      <c r="I1981" s="208"/>
      <c r="J1981" s="210"/>
      <c r="K1981" s="210"/>
      <c r="L1981" s="210"/>
      <c r="M1981" s="210"/>
      <c r="N1981" s="210"/>
      <c r="O1981" s="210"/>
      <c r="P1981" s="210"/>
      <c r="Q1981" s="210"/>
      <c r="R1981" s="210"/>
      <c r="S1981" s="210"/>
      <c r="T1981" s="210"/>
      <c r="U1981" s="210"/>
      <c r="V1981" s="210"/>
      <c r="W1981" s="210"/>
      <c r="X1981" s="210"/>
      <c r="Y1981" s="210"/>
      <c r="Z1981" s="210"/>
    </row>
    <row r="1982" ht="21.75" customHeight="1">
      <c r="A1982" s="214"/>
      <c r="B1982" s="221"/>
      <c r="C1982" s="222">
        <v>100.0</v>
      </c>
      <c r="D1982" s="223" t="s">
        <v>486</v>
      </c>
      <c r="E1982" s="223" t="s">
        <v>487</v>
      </c>
      <c r="F1982" s="223" t="s">
        <v>488</v>
      </c>
      <c r="G1982" s="223" t="s">
        <v>489</v>
      </c>
      <c r="H1982" s="224" t="s">
        <v>490</v>
      </c>
      <c r="I1982" s="208"/>
      <c r="J1982" s="210"/>
      <c r="K1982" s="210"/>
      <c r="L1982" s="210"/>
      <c r="M1982" s="210"/>
      <c r="N1982" s="210"/>
      <c r="O1982" s="210"/>
      <c r="P1982" s="210"/>
      <c r="Q1982" s="210"/>
      <c r="R1982" s="210"/>
      <c r="S1982" s="210"/>
      <c r="T1982" s="210"/>
      <c r="U1982" s="210"/>
      <c r="V1982" s="210"/>
      <c r="W1982" s="210"/>
      <c r="X1982" s="210"/>
      <c r="Y1982" s="210"/>
      <c r="Z1982" s="210"/>
    </row>
    <row r="1983" ht="21.75" customHeight="1">
      <c r="A1983" s="214"/>
      <c r="B1983" s="221"/>
      <c r="C1983" s="222">
        <v>101.0</v>
      </c>
      <c r="D1983" s="223" t="s">
        <v>881</v>
      </c>
      <c r="E1983" s="223" t="s">
        <v>487</v>
      </c>
      <c r="F1983" s="223" t="s">
        <v>512</v>
      </c>
      <c r="G1983" s="223" t="s">
        <v>678</v>
      </c>
      <c r="H1983" s="225" t="s">
        <v>1933</v>
      </c>
      <c r="I1983" s="208"/>
      <c r="J1983" s="210"/>
      <c r="K1983" s="210"/>
      <c r="L1983" s="210"/>
      <c r="M1983" s="210"/>
      <c r="N1983" s="210"/>
      <c r="O1983" s="210"/>
      <c r="P1983" s="210"/>
      <c r="Q1983" s="210"/>
      <c r="R1983" s="210"/>
      <c r="S1983" s="210"/>
      <c r="T1983" s="210"/>
      <c r="U1983" s="210"/>
      <c r="V1983" s="210"/>
      <c r="W1983" s="210"/>
      <c r="X1983" s="210"/>
      <c r="Y1983" s="210"/>
      <c r="Z1983" s="210"/>
    </row>
    <row r="1984" ht="21.75" customHeight="1">
      <c r="A1984" s="214"/>
      <c r="B1984" s="221"/>
      <c r="C1984" s="222">
        <v>102.0</v>
      </c>
      <c r="D1984" s="223" t="s">
        <v>516</v>
      </c>
      <c r="E1984" s="223" t="s">
        <v>487</v>
      </c>
      <c r="F1984" s="223" t="s">
        <v>492</v>
      </c>
      <c r="G1984" s="223" t="s">
        <v>497</v>
      </c>
      <c r="H1984" s="225" t="s">
        <v>1934</v>
      </c>
      <c r="I1984" s="208"/>
      <c r="J1984" s="210"/>
      <c r="K1984" s="210"/>
      <c r="L1984" s="210"/>
      <c r="M1984" s="210"/>
      <c r="N1984" s="210"/>
      <c r="O1984" s="210"/>
      <c r="P1984" s="210"/>
      <c r="Q1984" s="210"/>
      <c r="R1984" s="210"/>
      <c r="S1984" s="210"/>
      <c r="T1984" s="210"/>
      <c r="U1984" s="210"/>
      <c r="V1984" s="210"/>
      <c r="W1984" s="210"/>
      <c r="X1984" s="210"/>
      <c r="Y1984" s="210"/>
      <c r="Z1984" s="210"/>
    </row>
    <row r="1985" ht="21.75" customHeight="1">
      <c r="A1985" s="214"/>
      <c r="B1985" s="221"/>
      <c r="C1985" s="222">
        <v>103.0</v>
      </c>
      <c r="D1985" s="223" t="s">
        <v>749</v>
      </c>
      <c r="E1985" s="223" t="s">
        <v>487</v>
      </c>
      <c r="F1985" s="223" t="s">
        <v>496</v>
      </c>
      <c r="G1985" s="223" t="s">
        <v>501</v>
      </c>
      <c r="H1985" s="225" t="s">
        <v>1935</v>
      </c>
      <c r="I1985" s="208"/>
      <c r="J1985" s="210"/>
      <c r="K1985" s="210"/>
      <c r="L1985" s="210"/>
      <c r="M1985" s="210"/>
      <c r="N1985" s="210"/>
      <c r="O1985" s="210"/>
      <c r="P1985" s="210"/>
      <c r="Q1985" s="210"/>
      <c r="R1985" s="210"/>
      <c r="S1985" s="210"/>
      <c r="T1985" s="210"/>
      <c r="U1985" s="210"/>
      <c r="V1985" s="210"/>
      <c r="W1985" s="210"/>
      <c r="X1985" s="210"/>
      <c r="Y1985" s="210"/>
      <c r="Z1985" s="210"/>
    </row>
    <row r="1986" ht="21.75" customHeight="1">
      <c r="A1986" s="214"/>
      <c r="B1986" s="221"/>
      <c r="C1986" s="222">
        <v>104.0</v>
      </c>
      <c r="D1986" s="223" t="s">
        <v>750</v>
      </c>
      <c r="E1986" s="223" t="s">
        <v>487</v>
      </c>
      <c r="F1986" s="223" t="s">
        <v>500</v>
      </c>
      <c r="G1986" s="223" t="s">
        <v>493</v>
      </c>
      <c r="H1986" s="225" t="s">
        <v>1936</v>
      </c>
      <c r="I1986" s="208"/>
      <c r="J1986" s="210"/>
      <c r="K1986" s="210"/>
      <c r="L1986" s="210"/>
      <c r="M1986" s="210"/>
      <c r="N1986" s="210"/>
      <c r="O1986" s="210"/>
      <c r="P1986" s="210"/>
      <c r="Q1986" s="210"/>
      <c r="R1986" s="210"/>
      <c r="S1986" s="210"/>
      <c r="T1986" s="210"/>
      <c r="U1986" s="210"/>
      <c r="V1986" s="210"/>
      <c r="W1986" s="210"/>
      <c r="X1986" s="210"/>
      <c r="Y1986" s="210"/>
      <c r="Z1986" s="210"/>
    </row>
    <row r="1987" ht="21.75" customHeight="1">
      <c r="A1987" s="228"/>
      <c r="B1987" s="221"/>
      <c r="C1987" s="222">
        <v>105.0</v>
      </c>
      <c r="D1987" s="223" t="s">
        <v>519</v>
      </c>
      <c r="E1987" s="223" t="s">
        <v>508</v>
      </c>
      <c r="F1987" s="223" t="s">
        <v>509</v>
      </c>
      <c r="G1987" s="223" t="s">
        <v>510</v>
      </c>
      <c r="H1987" s="225" t="s">
        <v>1937</v>
      </c>
      <c r="I1987" s="208"/>
      <c r="J1987" s="210"/>
      <c r="K1987" s="210"/>
      <c r="L1987" s="210"/>
      <c r="M1987" s="210"/>
      <c r="N1987" s="210"/>
      <c r="O1987" s="210"/>
      <c r="P1987" s="210"/>
      <c r="Q1987" s="210"/>
      <c r="R1987" s="210"/>
      <c r="S1987" s="210"/>
      <c r="T1987" s="210"/>
      <c r="U1987" s="210"/>
      <c r="V1987" s="210"/>
      <c r="W1987" s="210"/>
      <c r="X1987" s="210"/>
      <c r="Y1987" s="210"/>
      <c r="Z1987" s="210"/>
    </row>
    <row r="1988" ht="21.75" customHeight="1">
      <c r="A1988" s="214">
        <v>326.0</v>
      </c>
      <c r="B1988" s="229" t="s">
        <v>1931</v>
      </c>
      <c r="C1988" s="230"/>
      <c r="D1988" s="217"/>
      <c r="E1988" s="217"/>
      <c r="F1988" s="217"/>
      <c r="G1988" s="217"/>
      <c r="H1988" s="217"/>
      <c r="I1988" s="208"/>
      <c r="J1988" s="210"/>
      <c r="K1988" s="210"/>
      <c r="L1988" s="210"/>
      <c r="M1988" s="210"/>
      <c r="N1988" s="210"/>
      <c r="O1988" s="210"/>
      <c r="P1988" s="210"/>
      <c r="Q1988" s="210"/>
      <c r="R1988" s="210"/>
      <c r="S1988" s="210"/>
      <c r="T1988" s="210"/>
      <c r="U1988" s="210"/>
      <c r="V1988" s="210"/>
      <c r="W1988" s="210"/>
      <c r="X1988" s="210"/>
      <c r="Y1988" s="210"/>
      <c r="Z1988" s="210"/>
    </row>
    <row r="1989" ht="21.75" customHeight="1">
      <c r="A1989" s="214"/>
      <c r="B1989" s="218" t="s">
        <v>1938</v>
      </c>
      <c r="C1989" s="219">
        <v>51018.0</v>
      </c>
      <c r="D1989" s="220"/>
      <c r="E1989" s="220"/>
      <c r="F1989" s="220"/>
      <c r="G1989" s="220"/>
      <c r="H1989" s="220"/>
      <c r="I1989" s="208"/>
      <c r="J1989" s="210"/>
      <c r="K1989" s="210"/>
      <c r="L1989" s="210"/>
      <c r="M1989" s="210"/>
      <c r="N1989" s="210"/>
      <c r="O1989" s="210"/>
      <c r="P1989" s="210"/>
      <c r="Q1989" s="210"/>
      <c r="R1989" s="210"/>
      <c r="S1989" s="210"/>
      <c r="T1989" s="210"/>
      <c r="U1989" s="210"/>
      <c r="V1989" s="210"/>
      <c r="W1989" s="210"/>
      <c r="X1989" s="210"/>
      <c r="Y1989" s="210"/>
      <c r="Z1989" s="210"/>
    </row>
    <row r="1990" ht="21.75" customHeight="1">
      <c r="A1990" s="214"/>
      <c r="B1990" s="221"/>
      <c r="C1990" s="222">
        <v>100.0</v>
      </c>
      <c r="D1990" s="223" t="s">
        <v>486</v>
      </c>
      <c r="E1990" s="223" t="s">
        <v>487</v>
      </c>
      <c r="F1990" s="223" t="s">
        <v>488</v>
      </c>
      <c r="G1990" s="223" t="s">
        <v>489</v>
      </c>
      <c r="H1990" s="224" t="s">
        <v>490</v>
      </c>
      <c r="I1990" s="208"/>
      <c r="J1990" s="210"/>
      <c r="K1990" s="210"/>
      <c r="L1990" s="210"/>
      <c r="M1990" s="210"/>
      <c r="N1990" s="210"/>
      <c r="O1990" s="210"/>
      <c r="P1990" s="210"/>
      <c r="Q1990" s="210"/>
      <c r="R1990" s="210"/>
      <c r="S1990" s="210"/>
      <c r="T1990" s="210"/>
      <c r="U1990" s="210"/>
      <c r="V1990" s="210"/>
      <c r="W1990" s="210"/>
      <c r="X1990" s="210"/>
      <c r="Y1990" s="210"/>
      <c r="Z1990" s="210"/>
    </row>
    <row r="1991" ht="21.75" customHeight="1">
      <c r="A1991" s="214"/>
      <c r="B1991" s="221"/>
      <c r="C1991" s="222">
        <v>101.0</v>
      </c>
      <c r="D1991" s="223" t="s">
        <v>881</v>
      </c>
      <c r="E1991" s="223" t="s">
        <v>487</v>
      </c>
      <c r="F1991" s="223" t="s">
        <v>512</v>
      </c>
      <c r="G1991" s="223" t="s">
        <v>678</v>
      </c>
      <c r="H1991" s="225" t="s">
        <v>1939</v>
      </c>
      <c r="I1991" s="208"/>
      <c r="J1991" s="210"/>
      <c r="K1991" s="210"/>
      <c r="L1991" s="210"/>
      <c r="M1991" s="210"/>
      <c r="N1991" s="210"/>
      <c r="O1991" s="210"/>
      <c r="P1991" s="210"/>
      <c r="Q1991" s="210"/>
      <c r="R1991" s="210"/>
      <c r="S1991" s="210"/>
      <c r="T1991" s="210"/>
      <c r="U1991" s="210"/>
      <c r="V1991" s="210"/>
      <c r="W1991" s="210"/>
      <c r="X1991" s="210"/>
      <c r="Y1991" s="210"/>
      <c r="Z1991" s="210"/>
    </row>
    <row r="1992" ht="21.75" customHeight="1">
      <c r="A1992" s="214"/>
      <c r="B1992" s="221"/>
      <c r="C1992" s="222">
        <v>102.0</v>
      </c>
      <c r="D1992" s="223" t="s">
        <v>516</v>
      </c>
      <c r="E1992" s="223" t="s">
        <v>487</v>
      </c>
      <c r="F1992" s="223" t="s">
        <v>492</v>
      </c>
      <c r="G1992" s="223" t="s">
        <v>497</v>
      </c>
      <c r="H1992" s="225" t="s">
        <v>1940</v>
      </c>
      <c r="I1992" s="208"/>
      <c r="J1992" s="210"/>
      <c r="K1992" s="210"/>
      <c r="L1992" s="210"/>
      <c r="M1992" s="210"/>
      <c r="N1992" s="210"/>
      <c r="O1992" s="210"/>
      <c r="P1992" s="210"/>
      <c r="Q1992" s="210"/>
      <c r="R1992" s="210"/>
      <c r="S1992" s="210"/>
      <c r="T1992" s="210"/>
      <c r="U1992" s="210"/>
      <c r="V1992" s="210"/>
      <c r="W1992" s="210"/>
      <c r="X1992" s="210"/>
      <c r="Y1992" s="210"/>
      <c r="Z1992" s="210"/>
    </row>
    <row r="1993" ht="21.75" customHeight="1">
      <c r="A1993" s="214"/>
      <c r="B1993" s="221"/>
      <c r="C1993" s="222">
        <v>103.0</v>
      </c>
      <c r="D1993" s="223" t="s">
        <v>749</v>
      </c>
      <c r="E1993" s="223" t="s">
        <v>487</v>
      </c>
      <c r="F1993" s="223" t="s">
        <v>496</v>
      </c>
      <c r="G1993" s="223" t="s">
        <v>501</v>
      </c>
      <c r="H1993" s="225" t="s">
        <v>1941</v>
      </c>
      <c r="I1993" s="208"/>
      <c r="J1993" s="210"/>
      <c r="K1993" s="210"/>
      <c r="L1993" s="210"/>
      <c r="M1993" s="210"/>
      <c r="N1993" s="210"/>
      <c r="O1993" s="210"/>
      <c r="P1993" s="210"/>
      <c r="Q1993" s="210"/>
      <c r="R1993" s="210"/>
      <c r="S1993" s="210"/>
      <c r="T1993" s="210"/>
      <c r="U1993" s="210"/>
      <c r="V1993" s="210"/>
      <c r="W1993" s="210"/>
      <c r="X1993" s="210"/>
      <c r="Y1993" s="210"/>
      <c r="Z1993" s="210"/>
    </row>
    <row r="1994" ht="21.75" customHeight="1">
      <c r="A1994" s="214"/>
      <c r="B1994" s="221"/>
      <c r="C1994" s="222">
        <v>104.0</v>
      </c>
      <c r="D1994" s="223" t="s">
        <v>1942</v>
      </c>
      <c r="E1994" s="223" t="s">
        <v>487</v>
      </c>
      <c r="F1994" s="223" t="s">
        <v>500</v>
      </c>
      <c r="G1994" s="223" t="s">
        <v>493</v>
      </c>
      <c r="H1994" s="225" t="s">
        <v>1943</v>
      </c>
      <c r="I1994" s="208"/>
      <c r="J1994" s="210"/>
      <c r="K1994" s="210"/>
      <c r="L1994" s="210"/>
      <c r="M1994" s="210"/>
      <c r="N1994" s="210"/>
      <c r="O1994" s="210"/>
      <c r="P1994" s="210"/>
      <c r="Q1994" s="210"/>
      <c r="R1994" s="210"/>
      <c r="S1994" s="210"/>
      <c r="T1994" s="210"/>
      <c r="U1994" s="210"/>
      <c r="V1994" s="210"/>
      <c r="W1994" s="210"/>
      <c r="X1994" s="210"/>
      <c r="Y1994" s="210"/>
      <c r="Z1994" s="210"/>
    </row>
    <row r="1995" ht="21.75" customHeight="1">
      <c r="A1995" s="228"/>
      <c r="B1995" s="221"/>
      <c r="C1995" s="222">
        <v>105.0</v>
      </c>
      <c r="D1995" s="223" t="s">
        <v>519</v>
      </c>
      <c r="E1995" s="223" t="s">
        <v>508</v>
      </c>
      <c r="F1995" s="223" t="s">
        <v>509</v>
      </c>
      <c r="G1995" s="223" t="s">
        <v>510</v>
      </c>
      <c r="H1995" s="225" t="s">
        <v>1944</v>
      </c>
      <c r="I1995" s="208"/>
      <c r="J1995" s="210"/>
      <c r="K1995" s="210"/>
      <c r="L1995" s="210"/>
      <c r="M1995" s="210"/>
      <c r="N1995" s="210"/>
      <c r="O1995" s="210"/>
      <c r="P1995" s="210"/>
      <c r="Q1995" s="210"/>
      <c r="R1995" s="210"/>
      <c r="S1995" s="210"/>
      <c r="T1995" s="210"/>
      <c r="U1995" s="210"/>
      <c r="V1995" s="210"/>
      <c r="W1995" s="210"/>
      <c r="X1995" s="210"/>
      <c r="Y1995" s="210"/>
      <c r="Z1995" s="210"/>
    </row>
    <row r="1996" ht="21.75" customHeight="1">
      <c r="A1996" s="214">
        <v>327.0</v>
      </c>
      <c r="B1996" s="215" t="s">
        <v>1945</v>
      </c>
      <c r="C1996" s="216"/>
      <c r="D1996" s="217"/>
      <c r="E1996" s="217"/>
      <c r="F1996" s="217"/>
      <c r="G1996" s="217"/>
      <c r="H1996" s="217"/>
      <c r="I1996" s="208"/>
      <c r="J1996" s="210"/>
      <c r="K1996" s="210"/>
      <c r="L1996" s="210"/>
      <c r="M1996" s="210"/>
      <c r="N1996" s="210"/>
      <c r="O1996" s="210"/>
      <c r="P1996" s="210"/>
      <c r="Q1996" s="210"/>
      <c r="R1996" s="210"/>
      <c r="S1996" s="210"/>
      <c r="T1996" s="210"/>
      <c r="U1996" s="210"/>
      <c r="V1996" s="210"/>
      <c r="W1996" s="210"/>
      <c r="X1996" s="210"/>
      <c r="Y1996" s="210"/>
      <c r="Z1996" s="210"/>
    </row>
    <row r="1997" ht="21.75" customHeight="1">
      <c r="A1997" s="214"/>
      <c r="B1997" s="218" t="s">
        <v>1946</v>
      </c>
      <c r="C1997" s="219">
        <v>51025.0</v>
      </c>
      <c r="D1997" s="220"/>
      <c r="E1997" s="220"/>
      <c r="F1997" s="220"/>
      <c r="G1997" s="220"/>
      <c r="H1997" s="220"/>
      <c r="I1997" s="208"/>
      <c r="J1997" s="210"/>
      <c r="K1997" s="210"/>
      <c r="L1997" s="210"/>
      <c r="M1997" s="210"/>
      <c r="N1997" s="210"/>
      <c r="O1997" s="210"/>
      <c r="P1997" s="210"/>
      <c r="Q1997" s="210"/>
      <c r="R1997" s="210"/>
      <c r="S1997" s="210"/>
      <c r="T1997" s="210"/>
      <c r="U1997" s="210"/>
      <c r="V1997" s="210"/>
      <c r="W1997" s="210"/>
      <c r="X1997" s="210"/>
      <c r="Y1997" s="210"/>
      <c r="Z1997" s="210"/>
    </row>
    <row r="1998" ht="21.75" customHeight="1">
      <c r="A1998" s="214"/>
      <c r="B1998" s="221"/>
      <c r="C1998" s="222">
        <v>100.0</v>
      </c>
      <c r="D1998" s="223" t="s">
        <v>486</v>
      </c>
      <c r="E1998" s="223" t="s">
        <v>487</v>
      </c>
      <c r="F1998" s="223" t="s">
        <v>488</v>
      </c>
      <c r="G1998" s="223" t="s">
        <v>489</v>
      </c>
      <c r="H1998" s="224" t="s">
        <v>490</v>
      </c>
      <c r="I1998" s="208"/>
      <c r="J1998" s="210"/>
      <c r="K1998" s="210"/>
      <c r="L1998" s="210"/>
      <c r="M1998" s="210"/>
      <c r="N1998" s="210"/>
      <c r="O1998" s="210"/>
      <c r="P1998" s="210"/>
      <c r="Q1998" s="210"/>
      <c r="R1998" s="210"/>
      <c r="S1998" s="210"/>
      <c r="T1998" s="210"/>
      <c r="U1998" s="210"/>
      <c r="V1998" s="210"/>
      <c r="W1998" s="210"/>
      <c r="X1998" s="210"/>
      <c r="Y1998" s="210"/>
      <c r="Z1998" s="210"/>
    </row>
    <row r="1999" ht="21.75" customHeight="1">
      <c r="A1999" s="214"/>
      <c r="B1999" s="221"/>
      <c r="C1999" s="222">
        <v>101.0</v>
      </c>
      <c r="D1999" s="223" t="s">
        <v>491</v>
      </c>
      <c r="E1999" s="223" t="s">
        <v>487</v>
      </c>
      <c r="F1999" s="223" t="s">
        <v>492</v>
      </c>
      <c r="G1999" s="223" t="s">
        <v>678</v>
      </c>
      <c r="H1999" s="225" t="s">
        <v>1947</v>
      </c>
      <c r="I1999" s="208"/>
      <c r="J1999" s="210"/>
      <c r="K1999" s="210"/>
      <c r="L1999" s="210"/>
      <c r="M1999" s="210"/>
      <c r="N1999" s="210"/>
      <c r="O1999" s="210"/>
      <c r="P1999" s="210"/>
      <c r="Q1999" s="210"/>
      <c r="R1999" s="210"/>
      <c r="S1999" s="210"/>
      <c r="T1999" s="210"/>
      <c r="U1999" s="210"/>
      <c r="V1999" s="210"/>
      <c r="W1999" s="210"/>
      <c r="X1999" s="210"/>
      <c r="Y1999" s="210"/>
      <c r="Z1999" s="210"/>
    </row>
    <row r="2000" ht="21.75" customHeight="1">
      <c r="A2000" s="214"/>
      <c r="B2000" s="221"/>
      <c r="C2000" s="222">
        <v>102.0</v>
      </c>
      <c r="D2000" s="223" t="s">
        <v>1750</v>
      </c>
      <c r="E2000" s="223" t="s">
        <v>487</v>
      </c>
      <c r="F2000" s="223" t="s">
        <v>496</v>
      </c>
      <c r="G2000" s="223" t="s">
        <v>594</v>
      </c>
      <c r="H2000" s="225" t="s">
        <v>1948</v>
      </c>
      <c r="I2000" s="208"/>
      <c r="J2000" s="210"/>
      <c r="K2000" s="210"/>
      <c r="L2000" s="210"/>
      <c r="M2000" s="210"/>
      <c r="N2000" s="210"/>
      <c r="O2000" s="210"/>
      <c r="P2000" s="210"/>
      <c r="Q2000" s="210"/>
      <c r="R2000" s="210"/>
      <c r="S2000" s="210"/>
      <c r="T2000" s="210"/>
      <c r="U2000" s="210"/>
      <c r="V2000" s="210"/>
      <c r="W2000" s="210"/>
      <c r="X2000" s="210"/>
      <c r="Y2000" s="210"/>
      <c r="Z2000" s="210"/>
    </row>
    <row r="2001" ht="21.75" customHeight="1">
      <c r="A2001" s="214"/>
      <c r="B2001" s="221"/>
      <c r="C2001" s="222">
        <v>103.0</v>
      </c>
      <c r="D2001" s="223" t="s">
        <v>973</v>
      </c>
      <c r="E2001" s="223" t="s">
        <v>487</v>
      </c>
      <c r="F2001" s="223" t="s">
        <v>500</v>
      </c>
      <c r="G2001" s="223" t="s">
        <v>606</v>
      </c>
      <c r="H2001" s="225" t="s">
        <v>1949</v>
      </c>
      <c r="I2001" s="208"/>
      <c r="J2001" s="210"/>
      <c r="K2001" s="210"/>
      <c r="L2001" s="210"/>
      <c r="M2001" s="210"/>
      <c r="N2001" s="210"/>
      <c r="O2001" s="210"/>
      <c r="P2001" s="210"/>
      <c r="Q2001" s="210"/>
      <c r="R2001" s="210"/>
      <c r="S2001" s="210"/>
      <c r="T2001" s="210"/>
      <c r="U2001" s="210"/>
      <c r="V2001" s="210"/>
      <c r="W2001" s="210"/>
      <c r="X2001" s="210"/>
      <c r="Y2001" s="210"/>
      <c r="Z2001" s="210"/>
    </row>
    <row r="2002" ht="21.75" customHeight="1">
      <c r="A2002" s="214"/>
      <c r="B2002" s="221"/>
      <c r="C2002" s="222">
        <v>104.0</v>
      </c>
      <c r="D2002" s="223" t="s">
        <v>1260</v>
      </c>
      <c r="E2002" s="223" t="s">
        <v>487</v>
      </c>
      <c r="F2002" s="223" t="s">
        <v>512</v>
      </c>
      <c r="G2002" s="223" t="s">
        <v>513</v>
      </c>
      <c r="H2002" s="225" t="s">
        <v>1950</v>
      </c>
      <c r="I2002" s="208"/>
      <c r="J2002" s="210"/>
      <c r="K2002" s="210"/>
      <c r="L2002" s="210"/>
      <c r="M2002" s="210"/>
      <c r="N2002" s="210"/>
      <c r="O2002" s="210"/>
      <c r="P2002" s="210"/>
      <c r="Q2002" s="210"/>
      <c r="R2002" s="210"/>
      <c r="S2002" s="210"/>
      <c r="T2002" s="210"/>
      <c r="U2002" s="210"/>
      <c r="V2002" s="210"/>
      <c r="W2002" s="210"/>
      <c r="X2002" s="210"/>
      <c r="Y2002" s="210"/>
      <c r="Z2002" s="210"/>
    </row>
    <row r="2003" ht="21.75" customHeight="1">
      <c r="A2003" s="214"/>
      <c r="B2003" s="221"/>
      <c r="C2003" s="222">
        <v>105.0</v>
      </c>
      <c r="D2003" s="223" t="s">
        <v>1951</v>
      </c>
      <c r="E2003" s="223" t="s">
        <v>487</v>
      </c>
      <c r="F2003" s="223" t="s">
        <v>560</v>
      </c>
      <c r="G2003" s="223" t="s">
        <v>526</v>
      </c>
      <c r="H2003" s="225" t="s">
        <v>1952</v>
      </c>
      <c r="I2003" s="208"/>
      <c r="J2003" s="210"/>
      <c r="K2003" s="210"/>
      <c r="L2003" s="210"/>
      <c r="M2003" s="210"/>
      <c r="N2003" s="210"/>
      <c r="O2003" s="210"/>
      <c r="P2003" s="210"/>
      <c r="Q2003" s="210"/>
      <c r="R2003" s="210"/>
      <c r="S2003" s="210"/>
      <c r="T2003" s="210"/>
      <c r="U2003" s="210"/>
      <c r="V2003" s="210"/>
      <c r="W2003" s="210"/>
      <c r="X2003" s="210"/>
      <c r="Y2003" s="210"/>
      <c r="Z2003" s="210"/>
    </row>
    <row r="2004" ht="21.75" customHeight="1">
      <c r="A2004" s="214"/>
      <c r="B2004" s="221"/>
      <c r="C2004" s="222">
        <v>106.0</v>
      </c>
      <c r="D2004" s="223" t="s">
        <v>1953</v>
      </c>
      <c r="E2004" s="223" t="s">
        <v>487</v>
      </c>
      <c r="F2004" s="223" t="s">
        <v>532</v>
      </c>
      <c r="G2004" s="223" t="s">
        <v>501</v>
      </c>
      <c r="H2004" s="224" t="s">
        <v>490</v>
      </c>
      <c r="I2004" s="208"/>
      <c r="J2004" s="210"/>
      <c r="K2004" s="210"/>
      <c r="L2004" s="210"/>
      <c r="M2004" s="210"/>
      <c r="N2004" s="210"/>
      <c r="O2004" s="210"/>
      <c r="P2004" s="210"/>
      <c r="Q2004" s="210"/>
      <c r="R2004" s="210"/>
      <c r="S2004" s="210"/>
      <c r="T2004" s="210"/>
      <c r="U2004" s="210"/>
      <c r="V2004" s="210"/>
      <c r="W2004" s="210"/>
      <c r="X2004" s="210"/>
      <c r="Y2004" s="210"/>
      <c r="Z2004" s="210"/>
    </row>
    <row r="2005" ht="21.75" customHeight="1">
      <c r="A2005" s="214"/>
      <c r="B2005" s="221"/>
      <c r="C2005" s="222">
        <v>107.0</v>
      </c>
      <c r="D2005" s="223" t="s">
        <v>727</v>
      </c>
      <c r="E2005" s="223" t="s">
        <v>487</v>
      </c>
      <c r="F2005" s="223" t="s">
        <v>601</v>
      </c>
      <c r="G2005" s="223" t="s">
        <v>497</v>
      </c>
      <c r="H2005" s="224" t="s">
        <v>490</v>
      </c>
      <c r="I2005" s="208"/>
      <c r="J2005" s="210"/>
      <c r="K2005" s="210"/>
      <c r="L2005" s="210"/>
      <c r="M2005" s="210"/>
      <c r="N2005" s="210"/>
      <c r="O2005" s="210"/>
      <c r="P2005" s="210"/>
      <c r="Q2005" s="210"/>
      <c r="R2005" s="210"/>
      <c r="S2005" s="210"/>
      <c r="T2005" s="210"/>
      <c r="U2005" s="210"/>
      <c r="V2005" s="210"/>
      <c r="W2005" s="210"/>
      <c r="X2005" s="210"/>
      <c r="Y2005" s="210"/>
      <c r="Z2005" s="210"/>
    </row>
    <row r="2006" ht="21.75" customHeight="1">
      <c r="A2006" s="214"/>
      <c r="B2006" s="221"/>
      <c r="C2006" s="222">
        <v>108.0</v>
      </c>
      <c r="D2006" s="223" t="s">
        <v>1755</v>
      </c>
      <c r="E2006" s="223" t="s">
        <v>487</v>
      </c>
      <c r="F2006" s="223" t="s">
        <v>590</v>
      </c>
      <c r="G2006" s="223" t="s">
        <v>591</v>
      </c>
      <c r="H2006" s="224" t="s">
        <v>490</v>
      </c>
      <c r="I2006" s="208"/>
      <c r="J2006" s="210"/>
      <c r="K2006" s="210"/>
      <c r="L2006" s="210"/>
      <c r="M2006" s="210"/>
      <c r="N2006" s="210"/>
      <c r="O2006" s="210"/>
      <c r="P2006" s="210"/>
      <c r="Q2006" s="210"/>
      <c r="R2006" s="210"/>
      <c r="S2006" s="210"/>
      <c r="T2006" s="210"/>
      <c r="U2006" s="210"/>
      <c r="V2006" s="210"/>
      <c r="W2006" s="210"/>
      <c r="X2006" s="210"/>
      <c r="Y2006" s="210"/>
      <c r="Z2006" s="210"/>
    </row>
    <row r="2007" ht="21.75" customHeight="1">
      <c r="A2007" s="214"/>
      <c r="B2007" s="221"/>
      <c r="C2007" s="222">
        <v>109.0</v>
      </c>
      <c r="D2007" s="223" t="s">
        <v>1756</v>
      </c>
      <c r="E2007" s="223" t="s">
        <v>487</v>
      </c>
      <c r="F2007" s="223" t="s">
        <v>603</v>
      </c>
      <c r="G2007" s="223" t="s">
        <v>602</v>
      </c>
      <c r="H2007" s="224" t="s">
        <v>490</v>
      </c>
      <c r="I2007" s="208"/>
      <c r="J2007" s="210"/>
      <c r="K2007" s="210"/>
      <c r="L2007" s="210"/>
      <c r="M2007" s="210"/>
      <c r="N2007" s="210"/>
      <c r="O2007" s="210"/>
      <c r="P2007" s="210"/>
      <c r="Q2007" s="210"/>
      <c r="R2007" s="210"/>
      <c r="S2007" s="210"/>
      <c r="T2007" s="210"/>
      <c r="U2007" s="210"/>
      <c r="V2007" s="210"/>
      <c r="W2007" s="210"/>
      <c r="X2007" s="210"/>
      <c r="Y2007" s="210"/>
      <c r="Z2007" s="210"/>
    </row>
    <row r="2008" ht="21.75" customHeight="1">
      <c r="A2008" s="214"/>
      <c r="B2008" s="221"/>
      <c r="C2008" s="222">
        <v>110.0</v>
      </c>
      <c r="D2008" s="223" t="s">
        <v>1757</v>
      </c>
      <c r="E2008" s="223" t="s">
        <v>487</v>
      </c>
      <c r="F2008" s="223" t="s">
        <v>579</v>
      </c>
      <c r="G2008" s="223" t="s">
        <v>608</v>
      </c>
      <c r="H2008" s="224" t="s">
        <v>490</v>
      </c>
      <c r="I2008" s="208"/>
      <c r="J2008" s="210"/>
      <c r="K2008" s="210"/>
      <c r="L2008" s="210"/>
      <c r="M2008" s="210"/>
      <c r="N2008" s="210"/>
      <c r="O2008" s="210"/>
      <c r="P2008" s="210"/>
      <c r="Q2008" s="210"/>
      <c r="R2008" s="210"/>
      <c r="S2008" s="210"/>
      <c r="T2008" s="210"/>
      <c r="U2008" s="210"/>
      <c r="V2008" s="210"/>
      <c r="W2008" s="210"/>
      <c r="X2008" s="210"/>
      <c r="Y2008" s="210"/>
      <c r="Z2008" s="210"/>
    </row>
    <row r="2009" ht="21.75" customHeight="1">
      <c r="A2009" s="214"/>
      <c r="B2009" s="221"/>
      <c r="C2009" s="222">
        <v>111.0</v>
      </c>
      <c r="D2009" s="223" t="s">
        <v>1758</v>
      </c>
      <c r="E2009" s="223" t="s">
        <v>487</v>
      </c>
      <c r="F2009" s="223" t="s">
        <v>583</v>
      </c>
      <c r="G2009" s="223" t="s">
        <v>644</v>
      </c>
      <c r="H2009" s="224" t="s">
        <v>490</v>
      </c>
      <c r="I2009" s="208"/>
      <c r="J2009" s="210"/>
      <c r="K2009" s="210"/>
      <c r="L2009" s="210"/>
      <c r="M2009" s="210"/>
      <c r="N2009" s="210"/>
      <c r="O2009" s="210"/>
      <c r="P2009" s="210"/>
      <c r="Q2009" s="210"/>
      <c r="R2009" s="210"/>
      <c r="S2009" s="210"/>
      <c r="T2009" s="210"/>
      <c r="U2009" s="210"/>
      <c r="V2009" s="210"/>
      <c r="W2009" s="210"/>
      <c r="X2009" s="210"/>
      <c r="Y2009" s="210"/>
      <c r="Z2009" s="210"/>
    </row>
    <row r="2010" ht="21.75" customHeight="1">
      <c r="A2010" s="214"/>
      <c r="B2010" s="221"/>
      <c r="C2010" s="222">
        <v>112.0</v>
      </c>
      <c r="D2010" s="223" t="s">
        <v>541</v>
      </c>
      <c r="E2010" s="223" t="s">
        <v>508</v>
      </c>
      <c r="F2010" s="223" t="s">
        <v>509</v>
      </c>
      <c r="G2010" s="223" t="s">
        <v>510</v>
      </c>
      <c r="H2010" s="225" t="s">
        <v>1921</v>
      </c>
      <c r="I2010" s="208"/>
      <c r="J2010" s="210"/>
      <c r="K2010" s="210"/>
      <c r="L2010" s="210"/>
      <c r="M2010" s="210"/>
      <c r="N2010" s="210"/>
      <c r="O2010" s="210"/>
      <c r="P2010" s="210"/>
      <c r="Q2010" s="210"/>
      <c r="R2010" s="210"/>
      <c r="S2010" s="210"/>
      <c r="T2010" s="210"/>
      <c r="U2010" s="210"/>
      <c r="V2010" s="210"/>
      <c r="W2010" s="210"/>
      <c r="X2010" s="210"/>
      <c r="Y2010" s="210"/>
      <c r="Z2010" s="210"/>
    </row>
    <row r="2011" ht="21.75" customHeight="1">
      <c r="A2011" s="214"/>
      <c r="B2011" s="221"/>
      <c r="C2011" s="233" t="s">
        <v>490</v>
      </c>
      <c r="D2011" s="223" t="s">
        <v>1023</v>
      </c>
      <c r="E2011" s="223" t="s">
        <v>744</v>
      </c>
      <c r="F2011" s="223" t="s">
        <v>1023</v>
      </c>
      <c r="G2011" s="218" t="s">
        <v>490</v>
      </c>
      <c r="H2011" s="224" t="s">
        <v>490</v>
      </c>
      <c r="I2011" s="208"/>
      <c r="J2011" s="210"/>
      <c r="K2011" s="210"/>
      <c r="L2011" s="210"/>
      <c r="M2011" s="210"/>
      <c r="N2011" s="210"/>
      <c r="O2011" s="210"/>
      <c r="P2011" s="210"/>
      <c r="Q2011" s="210"/>
      <c r="R2011" s="210"/>
      <c r="S2011" s="210"/>
      <c r="T2011" s="210"/>
      <c r="U2011" s="210"/>
      <c r="V2011" s="210"/>
      <c r="W2011" s="210"/>
      <c r="X2011" s="210"/>
      <c r="Y2011" s="210"/>
      <c r="Z2011" s="210"/>
    </row>
    <row r="2012" ht="21.75" customHeight="1">
      <c r="A2012" s="214"/>
      <c r="B2012" s="221"/>
      <c r="C2012" s="222"/>
      <c r="D2012" s="223" t="s">
        <v>1954</v>
      </c>
      <c r="E2012" s="223" t="s">
        <v>738</v>
      </c>
      <c r="F2012" s="223" t="s">
        <v>1026</v>
      </c>
      <c r="G2012" s="218" t="s">
        <v>490</v>
      </c>
      <c r="H2012" s="224" t="s">
        <v>490</v>
      </c>
      <c r="I2012" s="208"/>
      <c r="J2012" s="210"/>
      <c r="K2012" s="210"/>
      <c r="L2012" s="210"/>
      <c r="M2012" s="210"/>
      <c r="N2012" s="210"/>
      <c r="O2012" s="210"/>
      <c r="P2012" s="210"/>
      <c r="Q2012" s="210"/>
      <c r="R2012" s="210"/>
      <c r="S2012" s="210"/>
      <c r="T2012" s="210"/>
      <c r="U2012" s="210"/>
      <c r="V2012" s="210"/>
      <c r="W2012" s="210"/>
      <c r="X2012" s="210"/>
      <c r="Y2012" s="210"/>
      <c r="Z2012" s="210"/>
    </row>
    <row r="2013" ht="21.75" customHeight="1">
      <c r="A2013" s="214"/>
      <c r="B2013" s="221"/>
      <c r="C2013" s="222"/>
      <c r="D2013" s="223" t="s">
        <v>1955</v>
      </c>
      <c r="E2013" s="223" t="s">
        <v>738</v>
      </c>
      <c r="F2013" s="223" t="s">
        <v>1025</v>
      </c>
      <c r="G2013" s="218" t="s">
        <v>490</v>
      </c>
      <c r="H2013" s="224" t="s">
        <v>490</v>
      </c>
      <c r="I2013" s="208"/>
      <c r="J2013" s="210"/>
      <c r="K2013" s="210"/>
      <c r="L2013" s="210"/>
      <c r="M2013" s="210"/>
      <c r="N2013" s="210"/>
      <c r="O2013" s="210"/>
      <c r="P2013" s="210"/>
      <c r="Q2013" s="210"/>
      <c r="R2013" s="210"/>
      <c r="S2013" s="210"/>
      <c r="T2013" s="210"/>
      <c r="U2013" s="210"/>
      <c r="V2013" s="210"/>
      <c r="W2013" s="210"/>
      <c r="X2013" s="210"/>
      <c r="Y2013" s="210"/>
      <c r="Z2013" s="210"/>
    </row>
    <row r="2014" ht="21.75" customHeight="1">
      <c r="A2014" s="214"/>
      <c r="B2014" s="217"/>
      <c r="C2014" s="222"/>
      <c r="D2014" s="234" t="s">
        <v>490</v>
      </c>
      <c r="E2014" s="215" t="s">
        <v>742</v>
      </c>
      <c r="F2014" s="215" t="s">
        <v>1027</v>
      </c>
      <c r="G2014" s="234" t="s">
        <v>490</v>
      </c>
      <c r="H2014" s="224" t="s">
        <v>490</v>
      </c>
      <c r="I2014" s="208"/>
      <c r="J2014" s="210"/>
      <c r="K2014" s="210"/>
      <c r="L2014" s="210"/>
      <c r="M2014" s="210"/>
      <c r="N2014" s="210"/>
      <c r="O2014" s="210"/>
      <c r="P2014" s="210"/>
      <c r="Q2014" s="210"/>
      <c r="R2014" s="210"/>
      <c r="S2014" s="210"/>
      <c r="T2014" s="210"/>
      <c r="U2014" s="210"/>
      <c r="V2014" s="210"/>
      <c r="W2014" s="210"/>
      <c r="X2014" s="210"/>
      <c r="Y2014" s="210"/>
      <c r="Z2014" s="210"/>
    </row>
    <row r="2015" ht="21.75" customHeight="1">
      <c r="A2015" s="214"/>
      <c r="B2015" s="218" t="s">
        <v>1956</v>
      </c>
      <c r="C2015" s="226">
        <v>52013.0</v>
      </c>
      <c r="D2015" s="220"/>
      <c r="E2015" s="220"/>
      <c r="F2015" s="220"/>
      <c r="G2015" s="220"/>
      <c r="H2015" s="221"/>
      <c r="I2015" s="208"/>
      <c r="J2015" s="210"/>
      <c r="K2015" s="210"/>
      <c r="L2015" s="210"/>
      <c r="M2015" s="210"/>
      <c r="N2015" s="210"/>
      <c r="O2015" s="210"/>
      <c r="P2015" s="210"/>
      <c r="Q2015" s="210"/>
      <c r="R2015" s="210"/>
      <c r="S2015" s="210"/>
      <c r="T2015" s="210"/>
      <c r="U2015" s="210"/>
      <c r="V2015" s="210"/>
      <c r="W2015" s="210"/>
      <c r="X2015" s="210"/>
      <c r="Y2015" s="210"/>
      <c r="Z2015" s="210"/>
    </row>
    <row r="2016" ht="21.75" customHeight="1">
      <c r="A2016" s="214"/>
      <c r="B2016" s="221"/>
      <c r="C2016" s="222">
        <v>100.0</v>
      </c>
      <c r="D2016" s="223" t="s">
        <v>486</v>
      </c>
      <c r="E2016" s="223" t="s">
        <v>487</v>
      </c>
      <c r="F2016" s="223" t="s">
        <v>488</v>
      </c>
      <c r="G2016" s="223" t="s">
        <v>489</v>
      </c>
      <c r="H2016" s="224" t="s">
        <v>490</v>
      </c>
      <c r="I2016" s="208"/>
      <c r="J2016" s="210"/>
      <c r="K2016" s="210"/>
      <c r="L2016" s="210"/>
      <c r="M2016" s="210"/>
      <c r="N2016" s="210"/>
      <c r="O2016" s="210"/>
      <c r="P2016" s="210"/>
      <c r="Q2016" s="210"/>
      <c r="R2016" s="210"/>
      <c r="S2016" s="210"/>
      <c r="T2016" s="210"/>
      <c r="U2016" s="210"/>
      <c r="V2016" s="210"/>
      <c r="W2016" s="210"/>
      <c r="X2016" s="210"/>
      <c r="Y2016" s="210"/>
      <c r="Z2016" s="210"/>
    </row>
    <row r="2017" ht="21.75" customHeight="1">
      <c r="A2017" s="214"/>
      <c r="B2017" s="221"/>
      <c r="C2017" s="222">
        <v>101.0</v>
      </c>
      <c r="D2017" s="223" t="s">
        <v>491</v>
      </c>
      <c r="E2017" s="223" t="s">
        <v>487</v>
      </c>
      <c r="F2017" s="223" t="s">
        <v>492</v>
      </c>
      <c r="G2017" s="223" t="s">
        <v>678</v>
      </c>
      <c r="H2017" s="225" t="s">
        <v>1957</v>
      </c>
      <c r="I2017" s="208"/>
      <c r="J2017" s="210"/>
      <c r="K2017" s="210"/>
      <c r="L2017" s="210"/>
      <c r="M2017" s="210"/>
      <c r="N2017" s="210"/>
      <c r="O2017" s="210"/>
      <c r="P2017" s="210"/>
      <c r="Q2017" s="210"/>
      <c r="R2017" s="210"/>
      <c r="S2017" s="210"/>
      <c r="T2017" s="210"/>
      <c r="U2017" s="210"/>
      <c r="V2017" s="210"/>
      <c r="W2017" s="210"/>
      <c r="X2017" s="210"/>
      <c r="Y2017" s="210"/>
      <c r="Z2017" s="210"/>
    </row>
    <row r="2018" ht="21.75" customHeight="1">
      <c r="A2018" s="214"/>
      <c r="B2018" s="221"/>
      <c r="C2018" s="222">
        <v>102.0</v>
      </c>
      <c r="D2018" s="223" t="s">
        <v>1750</v>
      </c>
      <c r="E2018" s="223" t="s">
        <v>487</v>
      </c>
      <c r="F2018" s="223" t="s">
        <v>496</v>
      </c>
      <c r="G2018" s="223" t="s">
        <v>594</v>
      </c>
      <c r="H2018" s="225" t="s">
        <v>1958</v>
      </c>
      <c r="I2018" s="208"/>
      <c r="J2018" s="210"/>
      <c r="K2018" s="210"/>
      <c r="L2018" s="210"/>
      <c r="M2018" s="210"/>
      <c r="N2018" s="210"/>
      <c r="O2018" s="210"/>
      <c r="P2018" s="210"/>
      <c r="Q2018" s="210"/>
      <c r="R2018" s="210"/>
      <c r="S2018" s="210"/>
      <c r="T2018" s="210"/>
      <c r="U2018" s="210"/>
      <c r="V2018" s="210"/>
      <c r="W2018" s="210"/>
      <c r="X2018" s="210"/>
      <c r="Y2018" s="210"/>
      <c r="Z2018" s="210"/>
    </row>
    <row r="2019" ht="21.75" customHeight="1">
      <c r="A2019" s="214"/>
      <c r="B2019" s="221"/>
      <c r="C2019" s="222">
        <v>103.0</v>
      </c>
      <c r="D2019" s="223" t="s">
        <v>973</v>
      </c>
      <c r="E2019" s="223" t="s">
        <v>487</v>
      </c>
      <c r="F2019" s="223" t="s">
        <v>500</v>
      </c>
      <c r="G2019" s="223" t="s">
        <v>606</v>
      </c>
      <c r="H2019" s="225" t="s">
        <v>1959</v>
      </c>
      <c r="I2019" s="208"/>
      <c r="J2019" s="210"/>
      <c r="K2019" s="210"/>
      <c r="L2019" s="210"/>
      <c r="M2019" s="210"/>
      <c r="N2019" s="210"/>
      <c r="O2019" s="210"/>
      <c r="P2019" s="210"/>
      <c r="Q2019" s="210"/>
      <c r="R2019" s="210"/>
      <c r="S2019" s="210"/>
      <c r="T2019" s="210"/>
      <c r="U2019" s="210"/>
      <c r="V2019" s="210"/>
      <c r="W2019" s="210"/>
      <c r="X2019" s="210"/>
      <c r="Y2019" s="210"/>
      <c r="Z2019" s="210"/>
    </row>
    <row r="2020" ht="21.75" customHeight="1">
      <c r="A2020" s="214"/>
      <c r="B2020" s="221"/>
      <c r="C2020" s="222">
        <v>104.0</v>
      </c>
      <c r="D2020" s="223" t="s">
        <v>1260</v>
      </c>
      <c r="E2020" s="223" t="s">
        <v>487</v>
      </c>
      <c r="F2020" s="223" t="s">
        <v>512</v>
      </c>
      <c r="G2020" s="223" t="s">
        <v>513</v>
      </c>
      <c r="H2020" s="225" t="s">
        <v>1960</v>
      </c>
      <c r="I2020" s="208"/>
      <c r="J2020" s="210"/>
      <c r="K2020" s="210"/>
      <c r="L2020" s="210"/>
      <c r="M2020" s="210"/>
      <c r="N2020" s="210"/>
      <c r="O2020" s="210"/>
      <c r="P2020" s="210"/>
      <c r="Q2020" s="210"/>
      <c r="R2020" s="210"/>
      <c r="S2020" s="210"/>
      <c r="T2020" s="210"/>
      <c r="U2020" s="210"/>
      <c r="V2020" s="210"/>
      <c r="W2020" s="210"/>
      <c r="X2020" s="210"/>
      <c r="Y2020" s="210"/>
      <c r="Z2020" s="210"/>
    </row>
    <row r="2021" ht="21.75" customHeight="1">
      <c r="A2021" s="214"/>
      <c r="B2021" s="221"/>
      <c r="C2021" s="222">
        <v>105.0</v>
      </c>
      <c r="D2021" s="223" t="s">
        <v>1951</v>
      </c>
      <c r="E2021" s="223" t="s">
        <v>487</v>
      </c>
      <c r="F2021" s="223" t="s">
        <v>560</v>
      </c>
      <c r="G2021" s="223" t="s">
        <v>526</v>
      </c>
      <c r="H2021" s="225" t="s">
        <v>1961</v>
      </c>
      <c r="I2021" s="208"/>
      <c r="J2021" s="210"/>
      <c r="K2021" s="210"/>
      <c r="L2021" s="210"/>
      <c r="M2021" s="210"/>
      <c r="N2021" s="210"/>
      <c r="O2021" s="210"/>
      <c r="P2021" s="210"/>
      <c r="Q2021" s="210"/>
      <c r="R2021" s="210"/>
      <c r="S2021" s="210"/>
      <c r="T2021" s="210"/>
      <c r="U2021" s="210"/>
      <c r="V2021" s="210"/>
      <c r="W2021" s="210"/>
      <c r="X2021" s="210"/>
      <c r="Y2021" s="210"/>
      <c r="Z2021" s="210"/>
    </row>
    <row r="2022" ht="21.75" customHeight="1">
      <c r="A2022" s="214"/>
      <c r="B2022" s="221"/>
      <c r="C2022" s="222">
        <v>106.0</v>
      </c>
      <c r="D2022" s="223" t="s">
        <v>1953</v>
      </c>
      <c r="E2022" s="223" t="s">
        <v>487</v>
      </c>
      <c r="F2022" s="223" t="s">
        <v>532</v>
      </c>
      <c r="G2022" s="223" t="s">
        <v>501</v>
      </c>
      <c r="H2022" s="224" t="s">
        <v>490</v>
      </c>
      <c r="I2022" s="208"/>
      <c r="J2022" s="210"/>
      <c r="K2022" s="210"/>
      <c r="L2022" s="210"/>
      <c r="M2022" s="210"/>
      <c r="N2022" s="210"/>
      <c r="O2022" s="210"/>
      <c r="P2022" s="210"/>
      <c r="Q2022" s="210"/>
      <c r="R2022" s="210"/>
      <c r="S2022" s="210"/>
      <c r="T2022" s="210"/>
      <c r="U2022" s="210"/>
      <c r="V2022" s="210"/>
      <c r="W2022" s="210"/>
      <c r="X2022" s="210"/>
      <c r="Y2022" s="210"/>
      <c r="Z2022" s="210"/>
    </row>
    <row r="2023" ht="21.75" customHeight="1">
      <c r="A2023" s="214"/>
      <c r="B2023" s="221"/>
      <c r="C2023" s="222">
        <v>107.0</v>
      </c>
      <c r="D2023" s="223" t="s">
        <v>727</v>
      </c>
      <c r="E2023" s="223" t="s">
        <v>487</v>
      </c>
      <c r="F2023" s="223" t="s">
        <v>590</v>
      </c>
      <c r="G2023" s="223" t="s">
        <v>497</v>
      </c>
      <c r="H2023" s="224" t="s">
        <v>490</v>
      </c>
      <c r="I2023" s="208"/>
      <c r="J2023" s="210"/>
      <c r="K2023" s="210"/>
      <c r="L2023" s="210"/>
      <c r="M2023" s="210"/>
      <c r="N2023" s="210"/>
      <c r="O2023" s="210"/>
      <c r="P2023" s="210"/>
      <c r="Q2023" s="210"/>
      <c r="R2023" s="210"/>
      <c r="S2023" s="210"/>
      <c r="T2023" s="210"/>
      <c r="U2023" s="210"/>
      <c r="V2023" s="210"/>
      <c r="W2023" s="210"/>
      <c r="X2023" s="210"/>
      <c r="Y2023" s="210"/>
      <c r="Z2023" s="210"/>
    </row>
    <row r="2024" ht="21.75" customHeight="1">
      <c r="A2024" s="214"/>
      <c r="B2024" s="221"/>
      <c r="C2024" s="222">
        <v>108.0</v>
      </c>
      <c r="D2024" s="223" t="s">
        <v>1755</v>
      </c>
      <c r="E2024" s="223" t="s">
        <v>487</v>
      </c>
      <c r="F2024" s="223" t="s">
        <v>603</v>
      </c>
      <c r="G2024" s="223" t="s">
        <v>591</v>
      </c>
      <c r="H2024" s="224" t="s">
        <v>490</v>
      </c>
      <c r="I2024" s="208"/>
      <c r="J2024" s="210"/>
      <c r="K2024" s="210"/>
      <c r="L2024" s="210"/>
      <c r="M2024" s="210"/>
      <c r="N2024" s="210"/>
      <c r="O2024" s="210"/>
      <c r="P2024" s="210"/>
      <c r="Q2024" s="210"/>
      <c r="R2024" s="210"/>
      <c r="S2024" s="210"/>
      <c r="T2024" s="210"/>
      <c r="U2024" s="210"/>
      <c r="V2024" s="210"/>
      <c r="W2024" s="210"/>
      <c r="X2024" s="210"/>
      <c r="Y2024" s="210"/>
      <c r="Z2024" s="210"/>
    </row>
    <row r="2025" ht="21.75" customHeight="1">
      <c r="A2025" s="214"/>
      <c r="B2025" s="221"/>
      <c r="C2025" s="222">
        <v>109.0</v>
      </c>
      <c r="D2025" s="223" t="s">
        <v>1756</v>
      </c>
      <c r="E2025" s="223" t="s">
        <v>487</v>
      </c>
      <c r="F2025" s="223" t="s">
        <v>579</v>
      </c>
      <c r="G2025" s="223" t="s">
        <v>602</v>
      </c>
      <c r="H2025" s="224" t="s">
        <v>490</v>
      </c>
      <c r="I2025" s="208"/>
      <c r="J2025" s="210"/>
      <c r="K2025" s="210"/>
      <c r="L2025" s="210"/>
      <c r="M2025" s="210"/>
      <c r="N2025" s="210"/>
      <c r="O2025" s="210"/>
      <c r="P2025" s="210"/>
      <c r="Q2025" s="210"/>
      <c r="R2025" s="210"/>
      <c r="S2025" s="210"/>
      <c r="T2025" s="210"/>
      <c r="U2025" s="210"/>
      <c r="V2025" s="210"/>
      <c r="W2025" s="210"/>
      <c r="X2025" s="210"/>
      <c r="Y2025" s="210"/>
      <c r="Z2025" s="210"/>
    </row>
    <row r="2026" ht="21.75" customHeight="1">
      <c r="A2026" s="214"/>
      <c r="B2026" s="221"/>
      <c r="C2026" s="222">
        <v>110.0</v>
      </c>
      <c r="D2026" s="223" t="s">
        <v>1757</v>
      </c>
      <c r="E2026" s="223" t="s">
        <v>487</v>
      </c>
      <c r="F2026" s="223" t="s">
        <v>583</v>
      </c>
      <c r="G2026" s="223" t="s">
        <v>608</v>
      </c>
      <c r="H2026" s="224" t="s">
        <v>490</v>
      </c>
      <c r="I2026" s="208"/>
      <c r="J2026" s="210"/>
      <c r="K2026" s="210"/>
      <c r="L2026" s="210"/>
      <c r="M2026" s="210"/>
      <c r="N2026" s="210"/>
      <c r="O2026" s="210"/>
      <c r="P2026" s="210"/>
      <c r="Q2026" s="210"/>
      <c r="R2026" s="210"/>
      <c r="S2026" s="210"/>
      <c r="T2026" s="210"/>
      <c r="U2026" s="210"/>
      <c r="V2026" s="210"/>
      <c r="W2026" s="210"/>
      <c r="X2026" s="210"/>
      <c r="Y2026" s="210"/>
      <c r="Z2026" s="210"/>
    </row>
    <row r="2027" ht="21.75" customHeight="1">
      <c r="A2027" s="214"/>
      <c r="B2027" s="221"/>
      <c r="C2027" s="222">
        <v>111.0</v>
      </c>
      <c r="D2027" s="223" t="s">
        <v>1758</v>
      </c>
      <c r="E2027" s="223" t="s">
        <v>487</v>
      </c>
      <c r="F2027" s="223" t="s">
        <v>601</v>
      </c>
      <c r="G2027" s="223" t="s">
        <v>644</v>
      </c>
      <c r="H2027" s="224" t="s">
        <v>490</v>
      </c>
      <c r="I2027" s="208"/>
      <c r="J2027" s="210"/>
      <c r="K2027" s="210"/>
      <c r="L2027" s="210"/>
      <c r="M2027" s="210"/>
      <c r="N2027" s="210"/>
      <c r="O2027" s="210"/>
      <c r="P2027" s="210"/>
      <c r="Q2027" s="210"/>
      <c r="R2027" s="210"/>
      <c r="S2027" s="210"/>
      <c r="T2027" s="210"/>
      <c r="U2027" s="210"/>
      <c r="V2027" s="210"/>
      <c r="W2027" s="210"/>
      <c r="X2027" s="210"/>
      <c r="Y2027" s="210"/>
      <c r="Z2027" s="210"/>
    </row>
    <row r="2028" ht="21.75" customHeight="1">
      <c r="A2028" s="214"/>
      <c r="B2028" s="221"/>
      <c r="C2028" s="222">
        <v>112.0</v>
      </c>
      <c r="D2028" s="223" t="s">
        <v>541</v>
      </c>
      <c r="E2028" s="223" t="s">
        <v>508</v>
      </c>
      <c r="F2028" s="223" t="s">
        <v>509</v>
      </c>
      <c r="G2028" s="223" t="s">
        <v>510</v>
      </c>
      <c r="H2028" s="224" t="s">
        <v>490</v>
      </c>
      <c r="I2028" s="208"/>
      <c r="J2028" s="210"/>
      <c r="K2028" s="210"/>
      <c r="L2028" s="210"/>
      <c r="M2028" s="210"/>
      <c r="N2028" s="210"/>
      <c r="O2028" s="210"/>
      <c r="P2028" s="210"/>
      <c r="Q2028" s="210"/>
      <c r="R2028" s="210"/>
      <c r="S2028" s="210"/>
      <c r="T2028" s="210"/>
      <c r="U2028" s="210"/>
      <c r="V2028" s="210"/>
      <c r="W2028" s="210"/>
      <c r="X2028" s="210"/>
      <c r="Y2028" s="210"/>
      <c r="Z2028" s="210"/>
    </row>
    <row r="2029" ht="21.75" customHeight="1">
      <c r="A2029" s="214"/>
      <c r="B2029" s="221"/>
      <c r="C2029" s="233" t="s">
        <v>490</v>
      </c>
      <c r="D2029" s="223" t="s">
        <v>1023</v>
      </c>
      <c r="E2029" s="223" t="s">
        <v>744</v>
      </c>
      <c r="F2029" s="223" t="s">
        <v>1023</v>
      </c>
      <c r="G2029" s="218" t="s">
        <v>490</v>
      </c>
      <c r="H2029" s="224" t="s">
        <v>490</v>
      </c>
      <c r="I2029" s="208"/>
      <c r="J2029" s="210"/>
      <c r="K2029" s="210"/>
      <c r="L2029" s="210"/>
      <c r="M2029" s="210"/>
      <c r="N2029" s="210"/>
      <c r="O2029" s="210"/>
      <c r="P2029" s="210"/>
      <c r="Q2029" s="210"/>
      <c r="R2029" s="210"/>
      <c r="S2029" s="210"/>
      <c r="T2029" s="210"/>
      <c r="U2029" s="210"/>
      <c r="V2029" s="210"/>
      <c r="W2029" s="210"/>
      <c r="X2029" s="210"/>
      <c r="Y2029" s="210"/>
      <c r="Z2029" s="210"/>
    </row>
    <row r="2030" ht="21.75" customHeight="1">
      <c r="A2030" s="214"/>
      <c r="B2030" s="221"/>
      <c r="C2030" s="222"/>
      <c r="D2030" s="223" t="s">
        <v>1954</v>
      </c>
      <c r="E2030" s="223" t="s">
        <v>738</v>
      </c>
      <c r="F2030" s="223" t="s">
        <v>1962</v>
      </c>
      <c r="G2030" s="218" t="s">
        <v>490</v>
      </c>
      <c r="H2030" s="224" t="s">
        <v>490</v>
      </c>
      <c r="I2030" s="208"/>
      <c r="J2030" s="210"/>
      <c r="K2030" s="210"/>
      <c r="L2030" s="210"/>
      <c r="M2030" s="210"/>
      <c r="N2030" s="210"/>
      <c r="O2030" s="210"/>
      <c r="P2030" s="210"/>
      <c r="Q2030" s="210"/>
      <c r="R2030" s="210"/>
      <c r="S2030" s="210"/>
      <c r="T2030" s="210"/>
      <c r="U2030" s="210"/>
      <c r="V2030" s="210"/>
      <c r="W2030" s="210"/>
      <c r="X2030" s="210"/>
      <c r="Y2030" s="210"/>
      <c r="Z2030" s="210"/>
    </row>
    <row r="2031" ht="21.75" customHeight="1">
      <c r="A2031" s="214"/>
      <c r="B2031" s="221"/>
      <c r="C2031" s="222"/>
      <c r="D2031" s="223" t="s">
        <v>1955</v>
      </c>
      <c r="E2031" s="223" t="s">
        <v>738</v>
      </c>
      <c r="F2031" s="223" t="s">
        <v>1963</v>
      </c>
      <c r="G2031" s="218" t="s">
        <v>490</v>
      </c>
      <c r="H2031" s="224" t="s">
        <v>490</v>
      </c>
      <c r="I2031" s="208"/>
      <c r="J2031" s="210"/>
      <c r="K2031" s="210"/>
      <c r="L2031" s="210"/>
      <c r="M2031" s="210"/>
      <c r="N2031" s="210"/>
      <c r="O2031" s="210"/>
      <c r="P2031" s="210"/>
      <c r="Q2031" s="210"/>
      <c r="R2031" s="210"/>
      <c r="S2031" s="210"/>
      <c r="T2031" s="210"/>
      <c r="U2031" s="210"/>
      <c r="V2031" s="210"/>
      <c r="W2031" s="210"/>
      <c r="X2031" s="210"/>
      <c r="Y2031" s="210"/>
      <c r="Z2031" s="210"/>
    </row>
    <row r="2032" ht="21.75" customHeight="1">
      <c r="A2032" s="228"/>
      <c r="B2032" s="221"/>
      <c r="C2032" s="222"/>
      <c r="D2032" s="218" t="s">
        <v>490</v>
      </c>
      <c r="E2032" s="223" t="s">
        <v>742</v>
      </c>
      <c r="F2032" s="223" t="s">
        <v>1027</v>
      </c>
      <c r="G2032" s="218" t="s">
        <v>490</v>
      </c>
      <c r="H2032" s="224" t="s">
        <v>490</v>
      </c>
      <c r="I2032" s="208"/>
      <c r="J2032" s="210"/>
      <c r="K2032" s="210"/>
      <c r="L2032" s="210"/>
      <c r="M2032" s="210"/>
      <c r="N2032" s="210"/>
      <c r="O2032" s="210"/>
      <c r="P2032" s="210"/>
      <c r="Q2032" s="210"/>
      <c r="R2032" s="210"/>
      <c r="S2032" s="210"/>
      <c r="T2032" s="210"/>
      <c r="U2032" s="210"/>
      <c r="V2032" s="210"/>
      <c r="W2032" s="210"/>
      <c r="X2032" s="210"/>
      <c r="Y2032" s="210"/>
      <c r="Z2032" s="210"/>
    </row>
    <row r="2033" ht="21.75" customHeight="1">
      <c r="A2033" s="214">
        <v>328.0</v>
      </c>
      <c r="B2033" s="215" t="s">
        <v>1964</v>
      </c>
      <c r="C2033" s="216"/>
      <c r="D2033" s="217"/>
      <c r="E2033" s="217"/>
      <c r="F2033" s="217"/>
      <c r="G2033" s="217"/>
      <c r="H2033" s="217"/>
      <c r="I2033" s="208"/>
      <c r="J2033" s="210"/>
      <c r="K2033" s="210"/>
      <c r="L2033" s="210"/>
      <c r="M2033" s="210"/>
      <c r="N2033" s="210"/>
      <c r="O2033" s="210"/>
      <c r="P2033" s="210"/>
      <c r="Q2033" s="210"/>
      <c r="R2033" s="210"/>
      <c r="S2033" s="210"/>
      <c r="T2033" s="210"/>
      <c r="U2033" s="210"/>
      <c r="V2033" s="210"/>
      <c r="W2033" s="210"/>
      <c r="X2033" s="210"/>
      <c r="Y2033" s="210"/>
      <c r="Z2033" s="210"/>
    </row>
    <row r="2034" ht="21.75" customHeight="1">
      <c r="A2034" s="214"/>
      <c r="B2034" s="218" t="s">
        <v>1965</v>
      </c>
      <c r="C2034" s="219">
        <v>51028.0</v>
      </c>
      <c r="D2034" s="220"/>
      <c r="E2034" s="220"/>
      <c r="F2034" s="220"/>
      <c r="G2034" s="220"/>
      <c r="H2034" s="220"/>
      <c r="I2034" s="208"/>
      <c r="J2034" s="210"/>
      <c r="K2034" s="210"/>
      <c r="L2034" s="210"/>
      <c r="M2034" s="210"/>
      <c r="N2034" s="210"/>
      <c r="O2034" s="210"/>
      <c r="P2034" s="210"/>
      <c r="Q2034" s="210"/>
      <c r="R2034" s="210"/>
      <c r="S2034" s="210"/>
      <c r="T2034" s="210"/>
      <c r="U2034" s="210"/>
      <c r="V2034" s="210"/>
      <c r="W2034" s="210"/>
      <c r="X2034" s="210"/>
      <c r="Y2034" s="210"/>
      <c r="Z2034" s="210"/>
    </row>
    <row r="2035" ht="21.75" customHeight="1">
      <c r="A2035" s="214"/>
      <c r="B2035" s="221"/>
      <c r="C2035" s="222">
        <v>100.0</v>
      </c>
      <c r="D2035" s="223" t="s">
        <v>486</v>
      </c>
      <c r="E2035" s="223" t="s">
        <v>487</v>
      </c>
      <c r="F2035" s="223" t="s">
        <v>488</v>
      </c>
      <c r="G2035" s="223" t="s">
        <v>489</v>
      </c>
      <c r="H2035" s="224" t="s">
        <v>490</v>
      </c>
      <c r="I2035" s="208"/>
      <c r="J2035" s="210"/>
      <c r="K2035" s="210"/>
      <c r="L2035" s="210"/>
      <c r="M2035" s="210"/>
      <c r="N2035" s="210"/>
      <c r="O2035" s="210"/>
      <c r="P2035" s="210"/>
      <c r="Q2035" s="210"/>
      <c r="R2035" s="210"/>
      <c r="S2035" s="210"/>
      <c r="T2035" s="210"/>
      <c r="U2035" s="210"/>
      <c r="V2035" s="210"/>
      <c r="W2035" s="210"/>
      <c r="X2035" s="210"/>
      <c r="Y2035" s="210"/>
      <c r="Z2035" s="210"/>
    </row>
    <row r="2036" ht="21.75" customHeight="1">
      <c r="A2036" s="214"/>
      <c r="B2036" s="221"/>
      <c r="C2036" s="222">
        <v>101.0</v>
      </c>
      <c r="D2036" s="223" t="s">
        <v>491</v>
      </c>
      <c r="E2036" s="223" t="s">
        <v>487</v>
      </c>
      <c r="F2036" s="223" t="s">
        <v>492</v>
      </c>
      <c r="G2036" s="223" t="s">
        <v>678</v>
      </c>
      <c r="H2036" s="225" t="s">
        <v>1966</v>
      </c>
      <c r="I2036" s="208"/>
      <c r="J2036" s="210"/>
      <c r="K2036" s="210"/>
      <c r="L2036" s="210"/>
      <c r="M2036" s="210"/>
      <c r="N2036" s="210"/>
      <c r="O2036" s="210"/>
      <c r="P2036" s="210"/>
      <c r="Q2036" s="210"/>
      <c r="R2036" s="210"/>
      <c r="S2036" s="210"/>
      <c r="T2036" s="210"/>
      <c r="U2036" s="210"/>
      <c r="V2036" s="210"/>
      <c r="W2036" s="210"/>
      <c r="X2036" s="210"/>
      <c r="Y2036" s="210"/>
      <c r="Z2036" s="210"/>
    </row>
    <row r="2037" ht="21.75" customHeight="1">
      <c r="A2037" s="214"/>
      <c r="B2037" s="221"/>
      <c r="C2037" s="222">
        <v>102.0</v>
      </c>
      <c r="D2037" s="223" t="s">
        <v>973</v>
      </c>
      <c r="E2037" s="223" t="s">
        <v>487</v>
      </c>
      <c r="F2037" s="223" t="s">
        <v>496</v>
      </c>
      <c r="G2037" s="223" t="s">
        <v>497</v>
      </c>
      <c r="H2037" s="225" t="s">
        <v>1967</v>
      </c>
      <c r="I2037" s="208"/>
      <c r="J2037" s="210"/>
      <c r="K2037" s="210"/>
      <c r="L2037" s="210"/>
      <c r="M2037" s="210"/>
      <c r="N2037" s="210"/>
      <c r="O2037" s="210"/>
      <c r="P2037" s="210"/>
      <c r="Q2037" s="210"/>
      <c r="R2037" s="210"/>
      <c r="S2037" s="210"/>
      <c r="T2037" s="210"/>
      <c r="U2037" s="210"/>
      <c r="V2037" s="210"/>
      <c r="W2037" s="210"/>
      <c r="X2037" s="210"/>
      <c r="Y2037" s="210"/>
      <c r="Z2037" s="210"/>
    </row>
    <row r="2038" ht="21.75" customHeight="1">
      <c r="A2038" s="214"/>
      <c r="B2038" s="221"/>
      <c r="C2038" s="222">
        <v>103.0</v>
      </c>
      <c r="D2038" s="223" t="s">
        <v>1470</v>
      </c>
      <c r="E2038" s="223" t="s">
        <v>487</v>
      </c>
      <c r="F2038" s="223" t="s">
        <v>500</v>
      </c>
      <c r="G2038" s="223" t="s">
        <v>501</v>
      </c>
      <c r="H2038" s="224" t="s">
        <v>490</v>
      </c>
      <c r="I2038" s="208"/>
      <c r="J2038" s="210"/>
      <c r="K2038" s="210"/>
      <c r="L2038" s="210"/>
      <c r="M2038" s="210"/>
      <c r="N2038" s="210"/>
      <c r="O2038" s="210"/>
      <c r="P2038" s="210"/>
      <c r="Q2038" s="210"/>
      <c r="R2038" s="210"/>
      <c r="S2038" s="210"/>
      <c r="T2038" s="210"/>
      <c r="U2038" s="210"/>
      <c r="V2038" s="210"/>
      <c r="W2038" s="210"/>
      <c r="X2038" s="210"/>
      <c r="Y2038" s="210"/>
      <c r="Z2038" s="210"/>
    </row>
    <row r="2039" ht="21.75" customHeight="1">
      <c r="A2039" s="228"/>
      <c r="B2039" s="221"/>
      <c r="C2039" s="222">
        <v>104.0</v>
      </c>
      <c r="D2039" s="223" t="s">
        <v>507</v>
      </c>
      <c r="E2039" s="223" t="s">
        <v>508</v>
      </c>
      <c r="F2039" s="223" t="s">
        <v>509</v>
      </c>
      <c r="G2039" s="223" t="s">
        <v>510</v>
      </c>
      <c r="H2039" s="225" t="s">
        <v>1968</v>
      </c>
      <c r="I2039" s="208"/>
      <c r="J2039" s="210"/>
      <c r="K2039" s="210"/>
      <c r="L2039" s="210"/>
      <c r="M2039" s="210"/>
      <c r="N2039" s="210"/>
      <c r="O2039" s="210"/>
      <c r="P2039" s="210"/>
      <c r="Q2039" s="210"/>
      <c r="R2039" s="210"/>
      <c r="S2039" s="210"/>
      <c r="T2039" s="210"/>
      <c r="U2039" s="210"/>
      <c r="V2039" s="210"/>
      <c r="W2039" s="210"/>
      <c r="X2039" s="210"/>
      <c r="Y2039" s="210"/>
      <c r="Z2039" s="210"/>
    </row>
    <row r="2040" ht="21.75" customHeight="1">
      <c r="A2040" s="214">
        <v>33.0</v>
      </c>
      <c r="B2040" s="229" t="s">
        <v>706</v>
      </c>
      <c r="C2040" s="230"/>
      <c r="D2040" s="217"/>
      <c r="E2040" s="217"/>
      <c r="F2040" s="217"/>
      <c r="G2040" s="217"/>
      <c r="H2040" s="217"/>
      <c r="I2040" s="208"/>
      <c r="J2040" s="210"/>
      <c r="K2040" s="210"/>
      <c r="L2040" s="210"/>
      <c r="M2040" s="210"/>
      <c r="N2040" s="210"/>
      <c r="O2040" s="210"/>
      <c r="P2040" s="210"/>
      <c r="Q2040" s="210"/>
      <c r="R2040" s="210"/>
      <c r="S2040" s="210"/>
      <c r="T2040" s="210"/>
      <c r="U2040" s="210"/>
      <c r="V2040" s="210"/>
      <c r="W2040" s="210"/>
      <c r="X2040" s="210"/>
      <c r="Y2040" s="210"/>
      <c r="Z2040" s="210"/>
    </row>
    <row r="2041" ht="21.75" customHeight="1">
      <c r="A2041" s="214"/>
      <c r="B2041" s="218" t="s">
        <v>1969</v>
      </c>
      <c r="C2041" s="219">
        <v>50113.0</v>
      </c>
      <c r="D2041" s="220"/>
      <c r="E2041" s="220"/>
      <c r="F2041" s="220"/>
      <c r="G2041" s="220"/>
      <c r="H2041" s="220"/>
      <c r="I2041" s="208"/>
      <c r="J2041" s="210"/>
      <c r="K2041" s="210"/>
      <c r="L2041" s="210"/>
      <c r="M2041" s="210"/>
      <c r="N2041" s="210"/>
      <c r="O2041" s="210"/>
      <c r="P2041" s="210"/>
      <c r="Q2041" s="210"/>
      <c r="R2041" s="210"/>
      <c r="S2041" s="210"/>
      <c r="T2041" s="210"/>
      <c r="U2041" s="210"/>
      <c r="V2041" s="210"/>
      <c r="W2041" s="210"/>
      <c r="X2041" s="210"/>
      <c r="Y2041" s="210"/>
      <c r="Z2041" s="210"/>
    </row>
    <row r="2042" ht="21.75" customHeight="1">
      <c r="A2042" s="214"/>
      <c r="B2042" s="221"/>
      <c r="C2042" s="222">
        <v>100.0</v>
      </c>
      <c r="D2042" s="223" t="s">
        <v>486</v>
      </c>
      <c r="E2042" s="223" t="s">
        <v>487</v>
      </c>
      <c r="F2042" s="223" t="s">
        <v>488</v>
      </c>
      <c r="G2042" s="223" t="s">
        <v>489</v>
      </c>
      <c r="H2042" s="224" t="s">
        <v>490</v>
      </c>
      <c r="I2042" s="208"/>
      <c r="J2042" s="210"/>
      <c r="K2042" s="210"/>
      <c r="L2042" s="210"/>
      <c r="M2042" s="210"/>
      <c r="N2042" s="210"/>
      <c r="O2042" s="210"/>
      <c r="P2042" s="210"/>
      <c r="Q2042" s="210"/>
      <c r="R2042" s="210"/>
      <c r="S2042" s="210"/>
      <c r="T2042" s="210"/>
      <c r="U2042" s="210"/>
      <c r="V2042" s="210"/>
      <c r="W2042" s="210"/>
      <c r="X2042" s="210"/>
      <c r="Y2042" s="210"/>
      <c r="Z2042" s="210"/>
    </row>
    <row r="2043" ht="21.75" customHeight="1">
      <c r="A2043" s="214"/>
      <c r="B2043" s="221"/>
      <c r="C2043" s="222">
        <v>101.0</v>
      </c>
      <c r="D2043" s="223" t="s">
        <v>369</v>
      </c>
      <c r="E2043" s="223" t="s">
        <v>487</v>
      </c>
      <c r="F2043" s="223" t="s">
        <v>492</v>
      </c>
      <c r="G2043" s="223" t="s">
        <v>678</v>
      </c>
      <c r="H2043" s="225" t="s">
        <v>1970</v>
      </c>
      <c r="I2043" s="208"/>
      <c r="J2043" s="210"/>
      <c r="K2043" s="210"/>
      <c r="L2043" s="210"/>
      <c r="M2043" s="210"/>
      <c r="N2043" s="210"/>
      <c r="O2043" s="210"/>
      <c r="P2043" s="210"/>
      <c r="Q2043" s="210"/>
      <c r="R2043" s="210"/>
      <c r="S2043" s="210"/>
      <c r="T2043" s="210"/>
      <c r="U2043" s="210"/>
      <c r="V2043" s="210"/>
      <c r="W2043" s="210"/>
      <c r="X2043" s="210"/>
      <c r="Y2043" s="210"/>
      <c r="Z2043" s="210"/>
    </row>
    <row r="2044" ht="21.75" customHeight="1">
      <c r="A2044" s="214"/>
      <c r="B2044" s="221"/>
      <c r="C2044" s="222">
        <v>102.0</v>
      </c>
      <c r="D2044" s="223" t="s">
        <v>1457</v>
      </c>
      <c r="E2044" s="223" t="s">
        <v>487</v>
      </c>
      <c r="F2044" s="223" t="s">
        <v>496</v>
      </c>
      <c r="G2044" s="223" t="s">
        <v>497</v>
      </c>
      <c r="H2044" s="225" t="s">
        <v>1971</v>
      </c>
      <c r="I2044" s="208"/>
      <c r="J2044" s="210"/>
      <c r="K2044" s="210"/>
      <c r="L2044" s="210"/>
      <c r="M2044" s="210"/>
      <c r="N2044" s="210"/>
      <c r="O2044" s="210"/>
      <c r="P2044" s="210"/>
      <c r="Q2044" s="210"/>
      <c r="R2044" s="210"/>
      <c r="S2044" s="210"/>
      <c r="T2044" s="210"/>
      <c r="U2044" s="210"/>
      <c r="V2044" s="210"/>
      <c r="W2044" s="210"/>
      <c r="X2044" s="210"/>
      <c r="Y2044" s="210"/>
      <c r="Z2044" s="210"/>
    </row>
    <row r="2045" ht="21.75" customHeight="1">
      <c r="A2045" s="228"/>
      <c r="B2045" s="221"/>
      <c r="C2045" s="222">
        <v>103.0</v>
      </c>
      <c r="D2045" s="223" t="s">
        <v>507</v>
      </c>
      <c r="E2045" s="223" t="s">
        <v>508</v>
      </c>
      <c r="F2045" s="223" t="s">
        <v>509</v>
      </c>
      <c r="G2045" s="223" t="s">
        <v>510</v>
      </c>
      <c r="H2045" s="225" t="s">
        <v>1972</v>
      </c>
      <c r="I2045" s="208"/>
      <c r="J2045" s="210"/>
      <c r="K2045" s="210"/>
      <c r="L2045" s="210"/>
      <c r="M2045" s="210"/>
      <c r="N2045" s="210"/>
      <c r="O2045" s="210"/>
      <c r="P2045" s="210"/>
      <c r="Q2045" s="210"/>
      <c r="R2045" s="210"/>
      <c r="S2045" s="210"/>
      <c r="T2045" s="210"/>
      <c r="U2045" s="210"/>
      <c r="V2045" s="210"/>
      <c r="W2045" s="210"/>
      <c r="X2045" s="210"/>
      <c r="Y2045" s="210"/>
      <c r="Z2045" s="210"/>
    </row>
    <row r="2046" ht="21.75" customHeight="1">
      <c r="A2046" s="214">
        <v>330.0</v>
      </c>
      <c r="B2046" s="215" t="s">
        <v>1973</v>
      </c>
      <c r="C2046" s="216"/>
      <c r="D2046" s="217"/>
      <c r="E2046" s="217"/>
      <c r="F2046" s="217"/>
      <c r="G2046" s="217"/>
      <c r="H2046" s="217"/>
      <c r="I2046" s="208"/>
      <c r="J2046" s="210"/>
      <c r="K2046" s="210"/>
      <c r="L2046" s="210"/>
      <c r="M2046" s="210"/>
      <c r="N2046" s="210"/>
      <c r="O2046" s="210"/>
      <c r="P2046" s="210"/>
      <c r="Q2046" s="210"/>
      <c r="R2046" s="210"/>
      <c r="S2046" s="210"/>
      <c r="T2046" s="210"/>
      <c r="U2046" s="210"/>
      <c r="V2046" s="210"/>
      <c r="W2046" s="210"/>
      <c r="X2046" s="210"/>
      <c r="Y2046" s="210"/>
      <c r="Z2046" s="210"/>
    </row>
    <row r="2047" ht="21.75" customHeight="1">
      <c r="A2047" s="214"/>
      <c r="B2047" s="218" t="s">
        <v>1974</v>
      </c>
      <c r="C2047" s="219">
        <v>70047.0</v>
      </c>
      <c r="D2047" s="220"/>
      <c r="E2047" s="220"/>
      <c r="F2047" s="220"/>
      <c r="G2047" s="220"/>
      <c r="H2047" s="220"/>
      <c r="I2047" s="208"/>
      <c r="J2047" s="210"/>
      <c r="K2047" s="210"/>
      <c r="L2047" s="210"/>
      <c r="M2047" s="210"/>
      <c r="N2047" s="210"/>
      <c r="O2047" s="210"/>
      <c r="P2047" s="210"/>
      <c r="Q2047" s="210"/>
      <c r="R2047" s="210"/>
      <c r="S2047" s="210"/>
      <c r="T2047" s="210"/>
      <c r="U2047" s="210"/>
      <c r="V2047" s="210"/>
      <c r="W2047" s="210"/>
      <c r="X2047" s="210"/>
      <c r="Y2047" s="210"/>
      <c r="Z2047" s="210"/>
    </row>
    <row r="2048" ht="21.75" customHeight="1">
      <c r="A2048" s="214"/>
      <c r="B2048" s="221"/>
      <c r="C2048" s="222">
        <v>100.0</v>
      </c>
      <c r="D2048" s="223" t="s">
        <v>1975</v>
      </c>
      <c r="E2048" s="223" t="s">
        <v>487</v>
      </c>
      <c r="F2048" s="223" t="s">
        <v>488</v>
      </c>
      <c r="G2048" s="223" t="s">
        <v>678</v>
      </c>
      <c r="H2048" s="225" t="s">
        <v>1976</v>
      </c>
      <c r="I2048" s="208"/>
      <c r="J2048" s="210"/>
      <c r="K2048" s="210"/>
      <c r="L2048" s="210"/>
      <c r="M2048" s="210"/>
      <c r="N2048" s="210"/>
      <c r="O2048" s="210"/>
      <c r="P2048" s="210"/>
      <c r="Q2048" s="210"/>
      <c r="R2048" s="210"/>
      <c r="S2048" s="210"/>
      <c r="T2048" s="210"/>
      <c r="U2048" s="210"/>
      <c r="V2048" s="210"/>
      <c r="W2048" s="210"/>
      <c r="X2048" s="210"/>
      <c r="Y2048" s="210"/>
      <c r="Z2048" s="210"/>
    </row>
    <row r="2049" ht="21.75" customHeight="1">
      <c r="A2049" s="214"/>
      <c r="B2049" s="221"/>
      <c r="C2049" s="222">
        <v>101.0</v>
      </c>
      <c r="D2049" s="223" t="s">
        <v>1385</v>
      </c>
      <c r="E2049" s="223" t="s">
        <v>487</v>
      </c>
      <c r="F2049" s="223" t="s">
        <v>492</v>
      </c>
      <c r="G2049" s="223" t="s">
        <v>501</v>
      </c>
      <c r="H2049" s="224" t="s">
        <v>490</v>
      </c>
      <c r="I2049" s="208"/>
      <c r="J2049" s="210"/>
      <c r="K2049" s="210"/>
      <c r="L2049" s="210"/>
      <c r="M2049" s="210"/>
      <c r="N2049" s="210"/>
      <c r="O2049" s="210"/>
      <c r="P2049" s="210"/>
      <c r="Q2049" s="210"/>
      <c r="R2049" s="210"/>
      <c r="S2049" s="210"/>
      <c r="T2049" s="210"/>
      <c r="U2049" s="210"/>
      <c r="V2049" s="210"/>
      <c r="W2049" s="210"/>
      <c r="X2049" s="210"/>
      <c r="Y2049" s="210"/>
      <c r="Z2049" s="210"/>
    </row>
    <row r="2050" ht="21.75" customHeight="1">
      <c r="A2050" s="214"/>
      <c r="B2050" s="221"/>
      <c r="C2050" s="222">
        <v>102.0</v>
      </c>
      <c r="D2050" s="223" t="s">
        <v>1977</v>
      </c>
      <c r="E2050" s="223" t="s">
        <v>487</v>
      </c>
      <c r="F2050" s="223" t="s">
        <v>590</v>
      </c>
      <c r="G2050" s="223" t="s">
        <v>497</v>
      </c>
      <c r="H2050" s="224" t="s">
        <v>490</v>
      </c>
      <c r="I2050" s="208"/>
      <c r="J2050" s="210"/>
      <c r="K2050" s="210"/>
      <c r="L2050" s="210"/>
      <c r="M2050" s="210"/>
      <c r="N2050" s="210"/>
      <c r="O2050" s="210"/>
      <c r="P2050" s="210"/>
      <c r="Q2050" s="210"/>
      <c r="R2050" s="210"/>
      <c r="S2050" s="210"/>
      <c r="T2050" s="210"/>
      <c r="U2050" s="210"/>
      <c r="V2050" s="210"/>
      <c r="W2050" s="210"/>
      <c r="X2050" s="210"/>
      <c r="Y2050" s="210"/>
      <c r="Z2050" s="210"/>
    </row>
    <row r="2051" ht="21.75" customHeight="1">
      <c r="A2051" s="214"/>
      <c r="B2051" s="221"/>
      <c r="C2051" s="222">
        <v>103.0</v>
      </c>
      <c r="D2051" s="223" t="s">
        <v>486</v>
      </c>
      <c r="E2051" s="223" t="s">
        <v>487</v>
      </c>
      <c r="F2051" s="223" t="s">
        <v>1978</v>
      </c>
      <c r="G2051" s="218" t="s">
        <v>490</v>
      </c>
      <c r="H2051" s="224" t="s">
        <v>490</v>
      </c>
      <c r="I2051" s="208"/>
      <c r="J2051" s="210"/>
      <c r="K2051" s="210"/>
      <c r="L2051" s="210"/>
      <c r="M2051" s="210"/>
      <c r="N2051" s="210"/>
      <c r="O2051" s="210"/>
      <c r="P2051" s="210"/>
      <c r="Q2051" s="210"/>
      <c r="R2051" s="210"/>
      <c r="S2051" s="210"/>
      <c r="T2051" s="210"/>
      <c r="U2051" s="210"/>
      <c r="V2051" s="210"/>
      <c r="W2051" s="210"/>
      <c r="X2051" s="210"/>
      <c r="Y2051" s="210"/>
      <c r="Z2051" s="210"/>
    </row>
    <row r="2052" ht="21.75" customHeight="1">
      <c r="A2052" s="214"/>
      <c r="B2052" s="221"/>
      <c r="C2052" s="222">
        <v>104.0</v>
      </c>
      <c r="D2052" s="223" t="s">
        <v>376</v>
      </c>
      <c r="E2052" s="223" t="s">
        <v>539</v>
      </c>
      <c r="F2052" s="223" t="s">
        <v>1979</v>
      </c>
      <c r="G2052" s="223" t="s">
        <v>513</v>
      </c>
      <c r="H2052" s="224" t="s">
        <v>490</v>
      </c>
      <c r="I2052" s="208"/>
      <c r="J2052" s="210"/>
      <c r="K2052" s="210"/>
      <c r="L2052" s="210"/>
      <c r="M2052" s="210"/>
      <c r="N2052" s="210"/>
      <c r="O2052" s="210"/>
      <c r="P2052" s="210"/>
      <c r="Q2052" s="210"/>
      <c r="R2052" s="210"/>
      <c r="S2052" s="210"/>
      <c r="T2052" s="210"/>
      <c r="U2052" s="210"/>
      <c r="V2052" s="210"/>
      <c r="W2052" s="210"/>
      <c r="X2052" s="210"/>
      <c r="Y2052" s="210"/>
      <c r="Z2052" s="210"/>
    </row>
    <row r="2053" ht="21.75" customHeight="1">
      <c r="A2053" s="214"/>
      <c r="B2053" s="221"/>
      <c r="C2053" s="222">
        <v>105.0</v>
      </c>
      <c r="D2053" s="223" t="s">
        <v>1012</v>
      </c>
      <c r="E2053" s="223" t="s">
        <v>539</v>
      </c>
      <c r="F2053" s="223" t="s">
        <v>1980</v>
      </c>
      <c r="G2053" s="218" t="s">
        <v>490</v>
      </c>
      <c r="H2053" s="224" t="s">
        <v>490</v>
      </c>
      <c r="I2053" s="208"/>
      <c r="J2053" s="210"/>
      <c r="K2053" s="210"/>
      <c r="L2053" s="210"/>
      <c r="M2053" s="210"/>
      <c r="N2053" s="210"/>
      <c r="O2053" s="210"/>
      <c r="P2053" s="210"/>
      <c r="Q2053" s="210"/>
      <c r="R2053" s="210"/>
      <c r="S2053" s="210"/>
      <c r="T2053" s="210"/>
      <c r="U2053" s="210"/>
      <c r="V2053" s="210"/>
      <c r="W2053" s="210"/>
      <c r="X2053" s="210"/>
      <c r="Y2053" s="210"/>
      <c r="Z2053" s="210"/>
    </row>
    <row r="2054" ht="21.75" customHeight="1">
      <c r="A2054" s="214"/>
      <c r="B2054" s="221"/>
      <c r="C2054" s="222">
        <v>106.0</v>
      </c>
      <c r="D2054" s="223" t="s">
        <v>1981</v>
      </c>
      <c r="E2054" s="223" t="s">
        <v>508</v>
      </c>
      <c r="F2054" s="223" t="s">
        <v>1982</v>
      </c>
      <c r="G2054" s="223" t="s">
        <v>510</v>
      </c>
      <c r="H2054" s="225" t="s">
        <v>1983</v>
      </c>
      <c r="I2054" s="208"/>
      <c r="J2054" s="210"/>
      <c r="K2054" s="210"/>
      <c r="L2054" s="210"/>
      <c r="M2054" s="210"/>
      <c r="N2054" s="210"/>
      <c r="O2054" s="210"/>
      <c r="P2054" s="210"/>
      <c r="Q2054" s="210"/>
      <c r="R2054" s="210"/>
      <c r="S2054" s="210"/>
      <c r="T2054" s="210"/>
      <c r="U2054" s="210"/>
      <c r="V2054" s="210"/>
      <c r="W2054" s="210"/>
      <c r="X2054" s="210"/>
      <c r="Y2054" s="210"/>
      <c r="Z2054" s="210"/>
    </row>
    <row r="2055" ht="21.75" customHeight="1">
      <c r="A2055" s="214"/>
      <c r="B2055" s="221"/>
      <c r="C2055" s="222">
        <v>107.0</v>
      </c>
      <c r="D2055" s="223" t="s">
        <v>1984</v>
      </c>
      <c r="E2055" s="223" t="s">
        <v>487</v>
      </c>
      <c r="F2055" s="223" t="s">
        <v>496</v>
      </c>
      <c r="G2055" s="223" t="s">
        <v>526</v>
      </c>
      <c r="H2055" s="224" t="s">
        <v>490</v>
      </c>
      <c r="I2055" s="208"/>
      <c r="J2055" s="210"/>
      <c r="K2055" s="210"/>
      <c r="L2055" s="210"/>
      <c r="M2055" s="210"/>
      <c r="N2055" s="210"/>
      <c r="O2055" s="210"/>
      <c r="P2055" s="210"/>
      <c r="Q2055" s="210"/>
      <c r="R2055" s="210"/>
      <c r="S2055" s="210"/>
      <c r="T2055" s="210"/>
      <c r="U2055" s="210"/>
      <c r="V2055" s="210"/>
      <c r="W2055" s="210"/>
      <c r="X2055" s="210"/>
      <c r="Y2055" s="210"/>
      <c r="Z2055" s="210"/>
    </row>
    <row r="2056" ht="21.75" customHeight="1">
      <c r="A2056" s="214"/>
      <c r="B2056" s="221"/>
      <c r="C2056" s="222">
        <v>108.0</v>
      </c>
      <c r="D2056" s="223" t="s">
        <v>1985</v>
      </c>
      <c r="E2056" s="223" t="s">
        <v>487</v>
      </c>
      <c r="F2056" s="223" t="s">
        <v>500</v>
      </c>
      <c r="G2056" s="223" t="s">
        <v>493</v>
      </c>
      <c r="H2056" s="224" t="s">
        <v>490</v>
      </c>
      <c r="I2056" s="208"/>
      <c r="J2056" s="210"/>
      <c r="K2056" s="210"/>
      <c r="L2056" s="210"/>
      <c r="M2056" s="210"/>
      <c r="N2056" s="210"/>
      <c r="O2056" s="210"/>
      <c r="P2056" s="210"/>
      <c r="Q2056" s="210"/>
      <c r="R2056" s="210"/>
      <c r="S2056" s="210"/>
      <c r="T2056" s="210"/>
      <c r="U2056" s="210"/>
      <c r="V2056" s="210"/>
      <c r="W2056" s="210"/>
      <c r="X2056" s="210"/>
      <c r="Y2056" s="210"/>
      <c r="Z2056" s="210"/>
    </row>
    <row r="2057" ht="21.75" customHeight="1">
      <c r="A2057" s="214"/>
      <c r="B2057" s="217"/>
      <c r="C2057" s="222">
        <v>200.0</v>
      </c>
      <c r="D2057" s="215" t="s">
        <v>696</v>
      </c>
      <c r="E2057" s="215" t="s">
        <v>673</v>
      </c>
      <c r="F2057" s="215" t="s">
        <v>696</v>
      </c>
      <c r="G2057" s="234" t="s">
        <v>490</v>
      </c>
      <c r="H2057" s="224" t="s">
        <v>490</v>
      </c>
      <c r="I2057" s="208"/>
      <c r="J2057" s="210"/>
      <c r="K2057" s="210"/>
      <c r="L2057" s="210"/>
      <c r="M2057" s="210"/>
      <c r="N2057" s="210"/>
      <c r="O2057" s="210"/>
      <c r="P2057" s="210"/>
      <c r="Q2057" s="210"/>
      <c r="R2057" s="210"/>
      <c r="S2057" s="210"/>
      <c r="T2057" s="210"/>
      <c r="U2057" s="210"/>
      <c r="V2057" s="210"/>
      <c r="W2057" s="210"/>
      <c r="X2057" s="210"/>
      <c r="Y2057" s="210"/>
      <c r="Z2057" s="210"/>
    </row>
    <row r="2058" ht="21.75" customHeight="1">
      <c r="A2058" s="214"/>
      <c r="B2058" s="218" t="s">
        <v>1986</v>
      </c>
      <c r="C2058" s="226">
        <v>70051.0</v>
      </c>
      <c r="D2058" s="220"/>
      <c r="E2058" s="220"/>
      <c r="F2058" s="220"/>
      <c r="G2058" s="220"/>
      <c r="H2058" s="221"/>
      <c r="I2058" s="208"/>
      <c r="J2058" s="210"/>
      <c r="K2058" s="210"/>
      <c r="L2058" s="210"/>
      <c r="M2058" s="210"/>
      <c r="N2058" s="210"/>
      <c r="O2058" s="210"/>
      <c r="P2058" s="210"/>
      <c r="Q2058" s="210"/>
      <c r="R2058" s="210"/>
      <c r="S2058" s="210"/>
      <c r="T2058" s="210"/>
      <c r="U2058" s="210"/>
      <c r="V2058" s="210"/>
      <c r="W2058" s="210"/>
      <c r="X2058" s="210"/>
      <c r="Y2058" s="210"/>
      <c r="Z2058" s="210"/>
    </row>
    <row r="2059" ht="21.75" customHeight="1">
      <c r="A2059" s="214"/>
      <c r="B2059" s="221"/>
      <c r="C2059" s="222">
        <v>100.0</v>
      </c>
      <c r="D2059" s="223" t="s">
        <v>964</v>
      </c>
      <c r="E2059" s="223" t="s">
        <v>487</v>
      </c>
      <c r="F2059" s="223" t="s">
        <v>488</v>
      </c>
      <c r="G2059" s="223" t="s">
        <v>497</v>
      </c>
      <c r="H2059" s="224" t="s">
        <v>490</v>
      </c>
      <c r="I2059" s="208"/>
      <c r="J2059" s="210"/>
      <c r="K2059" s="210"/>
      <c r="L2059" s="210"/>
      <c r="M2059" s="210"/>
      <c r="N2059" s="210"/>
      <c r="O2059" s="210"/>
      <c r="P2059" s="210"/>
      <c r="Q2059" s="210"/>
      <c r="R2059" s="210"/>
      <c r="S2059" s="210"/>
      <c r="T2059" s="210"/>
      <c r="U2059" s="210"/>
      <c r="V2059" s="210"/>
      <c r="W2059" s="210"/>
      <c r="X2059" s="210"/>
      <c r="Y2059" s="210"/>
      <c r="Z2059" s="210"/>
    </row>
    <row r="2060" ht="21.75" customHeight="1">
      <c r="A2060" s="214"/>
      <c r="B2060" s="221"/>
      <c r="C2060" s="222">
        <v>101.0</v>
      </c>
      <c r="D2060" s="223" t="s">
        <v>376</v>
      </c>
      <c r="E2060" s="223" t="s">
        <v>508</v>
      </c>
      <c r="F2060" s="223" t="s">
        <v>509</v>
      </c>
      <c r="G2060" s="223" t="s">
        <v>510</v>
      </c>
      <c r="H2060" s="224" t="s">
        <v>490</v>
      </c>
      <c r="I2060" s="208"/>
      <c r="J2060" s="210"/>
      <c r="K2060" s="210"/>
      <c r="L2060" s="210"/>
      <c r="M2060" s="210"/>
      <c r="N2060" s="210"/>
      <c r="O2060" s="210"/>
      <c r="P2060" s="210"/>
      <c r="Q2060" s="210"/>
      <c r="R2060" s="210"/>
      <c r="S2060" s="210"/>
      <c r="T2060" s="210"/>
      <c r="U2060" s="210"/>
      <c r="V2060" s="210"/>
      <c r="W2060" s="210"/>
      <c r="X2060" s="210"/>
      <c r="Y2060" s="210"/>
      <c r="Z2060" s="210"/>
    </row>
    <row r="2061" ht="21.75" customHeight="1">
      <c r="A2061" s="214"/>
      <c r="B2061" s="221"/>
      <c r="C2061" s="222">
        <v>102.0</v>
      </c>
      <c r="D2061" s="223" t="s">
        <v>1987</v>
      </c>
      <c r="E2061" s="223" t="s">
        <v>487</v>
      </c>
      <c r="F2061" s="223" t="s">
        <v>492</v>
      </c>
      <c r="G2061" s="218" t="s">
        <v>490</v>
      </c>
      <c r="H2061" s="224" t="s">
        <v>490</v>
      </c>
      <c r="I2061" s="208"/>
      <c r="J2061" s="210"/>
      <c r="K2061" s="210"/>
      <c r="L2061" s="210"/>
      <c r="M2061" s="210"/>
      <c r="N2061" s="210"/>
      <c r="O2061" s="210"/>
      <c r="P2061" s="210"/>
      <c r="Q2061" s="210"/>
      <c r="R2061" s="210"/>
      <c r="S2061" s="210"/>
      <c r="T2061" s="210"/>
      <c r="U2061" s="210"/>
      <c r="V2061" s="210"/>
      <c r="W2061" s="210"/>
      <c r="X2061" s="210"/>
      <c r="Y2061" s="210"/>
      <c r="Z2061" s="210"/>
    </row>
    <row r="2062" ht="21.75" customHeight="1">
      <c r="A2062" s="214"/>
      <c r="B2062" s="221"/>
      <c r="C2062" s="222">
        <v>103.0</v>
      </c>
      <c r="D2062" s="223" t="s">
        <v>253</v>
      </c>
      <c r="E2062" s="223" t="s">
        <v>487</v>
      </c>
      <c r="F2062" s="223" t="s">
        <v>496</v>
      </c>
      <c r="G2062" s="218" t="s">
        <v>490</v>
      </c>
      <c r="H2062" s="224" t="s">
        <v>490</v>
      </c>
      <c r="I2062" s="208"/>
      <c r="J2062" s="210"/>
      <c r="K2062" s="210"/>
      <c r="L2062" s="210"/>
      <c r="M2062" s="210"/>
      <c r="N2062" s="210"/>
      <c r="O2062" s="210"/>
      <c r="P2062" s="210"/>
      <c r="Q2062" s="210"/>
      <c r="R2062" s="210"/>
      <c r="S2062" s="210"/>
      <c r="T2062" s="210"/>
      <c r="U2062" s="210"/>
      <c r="V2062" s="210"/>
      <c r="W2062" s="210"/>
      <c r="X2062" s="210"/>
      <c r="Y2062" s="210"/>
      <c r="Z2062" s="210"/>
    </row>
    <row r="2063" ht="21.75" customHeight="1">
      <c r="A2063" s="214"/>
      <c r="B2063" s="221"/>
      <c r="C2063" s="222">
        <v>104.0</v>
      </c>
      <c r="D2063" s="223" t="s">
        <v>1000</v>
      </c>
      <c r="E2063" s="223" t="s">
        <v>487</v>
      </c>
      <c r="F2063" s="223" t="s">
        <v>500</v>
      </c>
      <c r="G2063" s="218" t="s">
        <v>490</v>
      </c>
      <c r="H2063" s="224" t="s">
        <v>490</v>
      </c>
      <c r="I2063" s="208"/>
      <c r="J2063" s="210"/>
      <c r="K2063" s="210"/>
      <c r="L2063" s="210"/>
      <c r="M2063" s="210"/>
      <c r="N2063" s="210"/>
      <c r="O2063" s="210"/>
      <c r="P2063" s="210"/>
      <c r="Q2063" s="210"/>
      <c r="R2063" s="210"/>
      <c r="S2063" s="210"/>
      <c r="T2063" s="210"/>
      <c r="U2063" s="210"/>
      <c r="V2063" s="210"/>
      <c r="W2063" s="210"/>
      <c r="X2063" s="210"/>
      <c r="Y2063" s="210"/>
      <c r="Z2063" s="210"/>
    </row>
    <row r="2064" ht="21.75" customHeight="1">
      <c r="A2064" s="214"/>
      <c r="B2064" s="221"/>
      <c r="C2064" s="222">
        <v>105.0</v>
      </c>
      <c r="D2064" s="223" t="s">
        <v>1988</v>
      </c>
      <c r="E2064" s="223" t="s">
        <v>487</v>
      </c>
      <c r="F2064" s="223" t="s">
        <v>512</v>
      </c>
      <c r="G2064" s="218" t="s">
        <v>490</v>
      </c>
      <c r="H2064" s="224" t="s">
        <v>490</v>
      </c>
      <c r="I2064" s="208"/>
      <c r="J2064" s="210"/>
      <c r="K2064" s="210"/>
      <c r="L2064" s="210"/>
      <c r="M2064" s="210"/>
      <c r="N2064" s="210"/>
      <c r="O2064" s="210"/>
      <c r="P2064" s="210"/>
      <c r="Q2064" s="210"/>
      <c r="R2064" s="210"/>
      <c r="S2064" s="210"/>
      <c r="T2064" s="210"/>
      <c r="U2064" s="210"/>
      <c r="V2064" s="210"/>
      <c r="W2064" s="210"/>
      <c r="X2064" s="210"/>
      <c r="Y2064" s="210"/>
      <c r="Z2064" s="210"/>
    </row>
    <row r="2065" ht="21.75" customHeight="1">
      <c r="A2065" s="228"/>
      <c r="B2065" s="221"/>
      <c r="C2065" s="222">
        <v>200.0</v>
      </c>
      <c r="D2065" s="223" t="s">
        <v>696</v>
      </c>
      <c r="E2065" s="223" t="s">
        <v>673</v>
      </c>
      <c r="F2065" s="223" t="s">
        <v>696</v>
      </c>
      <c r="G2065" s="218" t="s">
        <v>490</v>
      </c>
      <c r="H2065" s="224" t="s">
        <v>490</v>
      </c>
      <c r="I2065" s="208"/>
      <c r="J2065" s="210"/>
      <c r="K2065" s="210"/>
      <c r="L2065" s="210"/>
      <c r="M2065" s="210"/>
      <c r="N2065" s="210"/>
      <c r="O2065" s="210"/>
      <c r="P2065" s="210"/>
      <c r="Q2065" s="210"/>
      <c r="R2065" s="210"/>
      <c r="S2065" s="210"/>
      <c r="T2065" s="210"/>
      <c r="U2065" s="210"/>
      <c r="V2065" s="210"/>
      <c r="W2065" s="210"/>
      <c r="X2065" s="210"/>
      <c r="Y2065" s="210"/>
      <c r="Z2065" s="210"/>
    </row>
    <row r="2066" ht="21.75" customHeight="1">
      <c r="A2066" s="214">
        <v>331.0</v>
      </c>
      <c r="B2066" s="215" t="s">
        <v>1989</v>
      </c>
      <c r="C2066" s="216"/>
      <c r="D2066" s="217"/>
      <c r="E2066" s="217"/>
      <c r="F2066" s="217"/>
      <c r="G2066" s="217"/>
      <c r="H2066" s="217"/>
      <c r="I2066" s="208"/>
      <c r="J2066" s="210"/>
      <c r="K2066" s="210"/>
      <c r="L2066" s="210"/>
      <c r="M2066" s="210"/>
      <c r="N2066" s="210"/>
      <c r="O2066" s="210"/>
      <c r="P2066" s="210"/>
      <c r="Q2066" s="210"/>
      <c r="R2066" s="210"/>
      <c r="S2066" s="210"/>
      <c r="T2066" s="210"/>
      <c r="U2066" s="210"/>
      <c r="V2066" s="210"/>
      <c r="W2066" s="210"/>
      <c r="X2066" s="210"/>
      <c r="Y2066" s="210"/>
      <c r="Z2066" s="210"/>
    </row>
    <row r="2067" ht="21.75" customHeight="1">
      <c r="A2067" s="214"/>
      <c r="B2067" s="218" t="s">
        <v>1990</v>
      </c>
      <c r="C2067" s="219">
        <v>51041.0</v>
      </c>
      <c r="D2067" s="220"/>
      <c r="E2067" s="220"/>
      <c r="F2067" s="220"/>
      <c r="G2067" s="220"/>
      <c r="H2067" s="220"/>
      <c r="I2067" s="208"/>
      <c r="J2067" s="210"/>
      <c r="K2067" s="210"/>
      <c r="L2067" s="210"/>
      <c r="M2067" s="210"/>
      <c r="N2067" s="210"/>
      <c r="O2067" s="210"/>
      <c r="P2067" s="210"/>
      <c r="Q2067" s="210"/>
      <c r="R2067" s="210"/>
      <c r="S2067" s="210"/>
      <c r="T2067" s="210"/>
      <c r="U2067" s="210"/>
      <c r="V2067" s="210"/>
      <c r="W2067" s="210"/>
      <c r="X2067" s="210"/>
      <c r="Y2067" s="210"/>
      <c r="Z2067" s="210"/>
    </row>
    <row r="2068" ht="21.75" customHeight="1">
      <c r="A2068" s="214"/>
      <c r="B2068" s="221"/>
      <c r="C2068" s="222">
        <v>100.0</v>
      </c>
      <c r="D2068" s="223" t="s">
        <v>486</v>
      </c>
      <c r="E2068" s="223" t="s">
        <v>487</v>
      </c>
      <c r="F2068" s="223" t="s">
        <v>488</v>
      </c>
      <c r="G2068" s="223" t="s">
        <v>489</v>
      </c>
      <c r="H2068" s="224" t="s">
        <v>490</v>
      </c>
      <c r="I2068" s="208"/>
      <c r="J2068" s="210"/>
      <c r="K2068" s="210"/>
      <c r="L2068" s="210"/>
      <c r="M2068" s="210"/>
      <c r="N2068" s="210"/>
      <c r="O2068" s="210"/>
      <c r="P2068" s="210"/>
      <c r="Q2068" s="210"/>
      <c r="R2068" s="210"/>
      <c r="S2068" s="210"/>
      <c r="T2068" s="210"/>
      <c r="U2068" s="210"/>
      <c r="V2068" s="210"/>
      <c r="W2068" s="210"/>
      <c r="X2068" s="210"/>
      <c r="Y2068" s="210"/>
      <c r="Z2068" s="210"/>
    </row>
    <row r="2069" ht="21.75" customHeight="1">
      <c r="A2069" s="214"/>
      <c r="B2069" s="221"/>
      <c r="C2069" s="222">
        <v>101.0</v>
      </c>
      <c r="D2069" s="223" t="s">
        <v>491</v>
      </c>
      <c r="E2069" s="223" t="s">
        <v>487</v>
      </c>
      <c r="F2069" s="223" t="s">
        <v>492</v>
      </c>
      <c r="G2069" s="223" t="s">
        <v>678</v>
      </c>
      <c r="H2069" s="225" t="s">
        <v>1991</v>
      </c>
      <c r="I2069" s="208"/>
      <c r="J2069" s="210"/>
      <c r="K2069" s="210"/>
      <c r="L2069" s="210"/>
      <c r="M2069" s="210"/>
      <c r="N2069" s="210"/>
      <c r="O2069" s="210"/>
      <c r="P2069" s="210"/>
      <c r="Q2069" s="210"/>
      <c r="R2069" s="210"/>
      <c r="S2069" s="210"/>
      <c r="T2069" s="210"/>
      <c r="U2069" s="210"/>
      <c r="V2069" s="210"/>
      <c r="W2069" s="210"/>
      <c r="X2069" s="210"/>
      <c r="Y2069" s="210"/>
      <c r="Z2069" s="210"/>
    </row>
    <row r="2070" ht="21.75" customHeight="1">
      <c r="A2070" s="214"/>
      <c r="B2070" s="221"/>
      <c r="C2070" s="222">
        <v>102.0</v>
      </c>
      <c r="D2070" s="223" t="s">
        <v>516</v>
      </c>
      <c r="E2070" s="223" t="s">
        <v>487</v>
      </c>
      <c r="F2070" s="223" t="s">
        <v>496</v>
      </c>
      <c r="G2070" s="223" t="s">
        <v>493</v>
      </c>
      <c r="H2070" s="225" t="s">
        <v>776</v>
      </c>
      <c r="I2070" s="208"/>
      <c r="J2070" s="210"/>
      <c r="K2070" s="210"/>
      <c r="L2070" s="210"/>
      <c r="M2070" s="210"/>
      <c r="N2070" s="210"/>
      <c r="O2070" s="210"/>
      <c r="P2070" s="210"/>
      <c r="Q2070" s="210"/>
      <c r="R2070" s="210"/>
      <c r="S2070" s="210"/>
      <c r="T2070" s="210"/>
      <c r="U2070" s="210"/>
      <c r="V2070" s="210"/>
      <c r="W2070" s="210"/>
      <c r="X2070" s="210"/>
      <c r="Y2070" s="210"/>
      <c r="Z2070" s="210"/>
    </row>
    <row r="2071" ht="21.75" customHeight="1">
      <c r="A2071" s="214"/>
      <c r="B2071" s="221"/>
      <c r="C2071" s="222">
        <v>103.0</v>
      </c>
      <c r="D2071" s="223" t="s">
        <v>928</v>
      </c>
      <c r="E2071" s="223" t="s">
        <v>487</v>
      </c>
      <c r="F2071" s="223" t="s">
        <v>500</v>
      </c>
      <c r="G2071" s="223" t="s">
        <v>497</v>
      </c>
      <c r="H2071" s="224" t="s">
        <v>490</v>
      </c>
      <c r="I2071" s="208"/>
      <c r="J2071" s="210"/>
      <c r="K2071" s="210"/>
      <c r="L2071" s="210"/>
      <c r="M2071" s="210"/>
      <c r="N2071" s="210"/>
      <c r="O2071" s="210"/>
      <c r="P2071" s="210"/>
      <c r="Q2071" s="210"/>
      <c r="R2071" s="210"/>
      <c r="S2071" s="210"/>
      <c r="T2071" s="210"/>
      <c r="U2071" s="210"/>
      <c r="V2071" s="210"/>
      <c r="W2071" s="210"/>
      <c r="X2071" s="210"/>
      <c r="Y2071" s="210"/>
      <c r="Z2071" s="210"/>
    </row>
    <row r="2072" ht="21.75" customHeight="1">
      <c r="A2072" s="214"/>
      <c r="B2072" s="221"/>
      <c r="C2072" s="222">
        <v>104.0</v>
      </c>
      <c r="D2072" s="223" t="s">
        <v>779</v>
      </c>
      <c r="E2072" s="223" t="s">
        <v>487</v>
      </c>
      <c r="F2072" s="223" t="s">
        <v>512</v>
      </c>
      <c r="G2072" s="223" t="s">
        <v>501</v>
      </c>
      <c r="H2072" s="224" t="s">
        <v>490</v>
      </c>
      <c r="I2072" s="208"/>
      <c r="J2072" s="210"/>
      <c r="K2072" s="210"/>
      <c r="L2072" s="210"/>
      <c r="M2072" s="210"/>
      <c r="N2072" s="210"/>
      <c r="O2072" s="210"/>
      <c r="P2072" s="210"/>
      <c r="Q2072" s="210"/>
      <c r="R2072" s="210"/>
      <c r="S2072" s="210"/>
      <c r="T2072" s="210"/>
      <c r="U2072" s="210"/>
      <c r="V2072" s="210"/>
      <c r="W2072" s="210"/>
      <c r="X2072" s="210"/>
      <c r="Y2072" s="210"/>
      <c r="Z2072" s="210"/>
    </row>
    <row r="2073" ht="21.75" customHeight="1">
      <c r="A2073" s="228"/>
      <c r="B2073" s="221"/>
      <c r="C2073" s="222">
        <v>105.0</v>
      </c>
      <c r="D2073" s="223" t="s">
        <v>376</v>
      </c>
      <c r="E2073" s="223" t="s">
        <v>508</v>
      </c>
      <c r="F2073" s="223" t="s">
        <v>509</v>
      </c>
      <c r="G2073" s="223" t="s">
        <v>510</v>
      </c>
      <c r="H2073" s="225" t="s">
        <v>1992</v>
      </c>
      <c r="I2073" s="208"/>
      <c r="J2073" s="210"/>
      <c r="K2073" s="210"/>
      <c r="L2073" s="210"/>
      <c r="M2073" s="210"/>
      <c r="N2073" s="210"/>
      <c r="O2073" s="210"/>
      <c r="P2073" s="210"/>
      <c r="Q2073" s="210"/>
      <c r="R2073" s="210"/>
      <c r="S2073" s="210"/>
      <c r="T2073" s="210"/>
      <c r="U2073" s="210"/>
      <c r="V2073" s="210"/>
      <c r="W2073" s="210"/>
      <c r="X2073" s="210"/>
      <c r="Y2073" s="210"/>
      <c r="Z2073" s="210"/>
    </row>
    <row r="2074" ht="21.75" customHeight="1">
      <c r="A2074" s="214">
        <v>332.0</v>
      </c>
      <c r="B2074" s="215" t="s">
        <v>1993</v>
      </c>
      <c r="C2074" s="216"/>
      <c r="D2074" s="217"/>
      <c r="E2074" s="217"/>
      <c r="F2074" s="217"/>
      <c r="G2074" s="217"/>
      <c r="H2074" s="217"/>
      <c r="I2074" s="208"/>
      <c r="J2074" s="210"/>
      <c r="K2074" s="210"/>
      <c r="L2074" s="210"/>
      <c r="M2074" s="210"/>
      <c r="N2074" s="210"/>
      <c r="O2074" s="210"/>
      <c r="P2074" s="210"/>
      <c r="Q2074" s="210"/>
      <c r="R2074" s="210"/>
      <c r="S2074" s="210"/>
      <c r="T2074" s="210"/>
      <c r="U2074" s="210"/>
      <c r="V2074" s="210"/>
      <c r="W2074" s="210"/>
      <c r="X2074" s="210"/>
      <c r="Y2074" s="210"/>
      <c r="Z2074" s="210"/>
    </row>
    <row r="2075" ht="21.75" customHeight="1">
      <c r="A2075" s="214"/>
      <c r="B2075" s="218" t="s">
        <v>1994</v>
      </c>
      <c r="C2075" s="219">
        <v>51043.0</v>
      </c>
      <c r="D2075" s="220"/>
      <c r="E2075" s="220"/>
      <c r="F2075" s="220"/>
      <c r="G2075" s="220"/>
      <c r="H2075" s="220"/>
      <c r="I2075" s="208"/>
      <c r="J2075" s="210"/>
      <c r="K2075" s="210"/>
      <c r="L2075" s="210"/>
      <c r="M2075" s="210"/>
      <c r="N2075" s="210"/>
      <c r="O2075" s="210"/>
      <c r="P2075" s="210"/>
      <c r="Q2075" s="210"/>
      <c r="R2075" s="210"/>
      <c r="S2075" s="210"/>
      <c r="T2075" s="210"/>
      <c r="U2075" s="210"/>
      <c r="V2075" s="210"/>
      <c r="W2075" s="210"/>
      <c r="X2075" s="210"/>
      <c r="Y2075" s="210"/>
      <c r="Z2075" s="210"/>
    </row>
    <row r="2076" ht="21.75" customHeight="1">
      <c r="A2076" s="214"/>
      <c r="B2076" s="221"/>
      <c r="C2076" s="222">
        <v>100.0</v>
      </c>
      <c r="D2076" s="223" t="s">
        <v>486</v>
      </c>
      <c r="E2076" s="223" t="s">
        <v>487</v>
      </c>
      <c r="F2076" s="223" t="s">
        <v>488</v>
      </c>
      <c r="G2076" s="223" t="s">
        <v>489</v>
      </c>
      <c r="H2076" s="224" t="s">
        <v>490</v>
      </c>
      <c r="I2076" s="208"/>
      <c r="J2076" s="210"/>
      <c r="K2076" s="210"/>
      <c r="L2076" s="210"/>
      <c r="M2076" s="210"/>
      <c r="N2076" s="210"/>
      <c r="O2076" s="210"/>
      <c r="P2076" s="210"/>
      <c r="Q2076" s="210"/>
      <c r="R2076" s="210"/>
      <c r="S2076" s="210"/>
      <c r="T2076" s="210"/>
      <c r="U2076" s="210"/>
      <c r="V2076" s="210"/>
      <c r="W2076" s="210"/>
      <c r="X2076" s="210"/>
      <c r="Y2076" s="210"/>
      <c r="Z2076" s="210"/>
    </row>
    <row r="2077" ht="21.75" customHeight="1">
      <c r="A2077" s="214"/>
      <c r="B2077" s="221"/>
      <c r="C2077" s="222">
        <v>101.0</v>
      </c>
      <c r="D2077" s="223" t="s">
        <v>491</v>
      </c>
      <c r="E2077" s="223" t="s">
        <v>487</v>
      </c>
      <c r="F2077" s="223" t="s">
        <v>492</v>
      </c>
      <c r="G2077" s="223" t="s">
        <v>678</v>
      </c>
      <c r="H2077" s="225" t="s">
        <v>1995</v>
      </c>
      <c r="I2077" s="208"/>
      <c r="J2077" s="210"/>
      <c r="K2077" s="210"/>
      <c r="L2077" s="210"/>
      <c r="M2077" s="210"/>
      <c r="N2077" s="210"/>
      <c r="O2077" s="210"/>
      <c r="P2077" s="210"/>
      <c r="Q2077" s="210"/>
      <c r="R2077" s="210"/>
      <c r="S2077" s="210"/>
      <c r="T2077" s="210"/>
      <c r="U2077" s="210"/>
      <c r="V2077" s="210"/>
      <c r="W2077" s="210"/>
      <c r="X2077" s="210"/>
      <c r="Y2077" s="210"/>
      <c r="Z2077" s="210"/>
    </row>
    <row r="2078" ht="21.75" customHeight="1">
      <c r="A2078" s="214"/>
      <c r="B2078" s="221"/>
      <c r="C2078" s="222">
        <v>102.0</v>
      </c>
      <c r="D2078" s="223" t="s">
        <v>928</v>
      </c>
      <c r="E2078" s="223" t="s">
        <v>487</v>
      </c>
      <c r="F2078" s="223" t="s">
        <v>496</v>
      </c>
      <c r="G2078" s="223" t="s">
        <v>497</v>
      </c>
      <c r="H2078" s="225" t="s">
        <v>1996</v>
      </c>
      <c r="I2078" s="208"/>
      <c r="J2078" s="210"/>
      <c r="K2078" s="210"/>
      <c r="L2078" s="210"/>
      <c r="M2078" s="210"/>
      <c r="N2078" s="210"/>
      <c r="O2078" s="210"/>
      <c r="P2078" s="210"/>
      <c r="Q2078" s="210"/>
      <c r="R2078" s="210"/>
      <c r="S2078" s="210"/>
      <c r="T2078" s="210"/>
      <c r="U2078" s="210"/>
      <c r="V2078" s="210"/>
      <c r="W2078" s="210"/>
      <c r="X2078" s="210"/>
      <c r="Y2078" s="210"/>
      <c r="Z2078" s="210"/>
    </row>
    <row r="2079" ht="21.75" customHeight="1">
      <c r="A2079" s="214"/>
      <c r="B2079" s="221"/>
      <c r="C2079" s="222">
        <v>103.0</v>
      </c>
      <c r="D2079" s="223" t="s">
        <v>779</v>
      </c>
      <c r="E2079" s="223" t="s">
        <v>487</v>
      </c>
      <c r="F2079" s="223" t="s">
        <v>500</v>
      </c>
      <c r="G2079" s="223" t="s">
        <v>501</v>
      </c>
      <c r="H2079" s="225" t="s">
        <v>1997</v>
      </c>
      <c r="I2079" s="208"/>
      <c r="J2079" s="210"/>
      <c r="K2079" s="210"/>
      <c r="L2079" s="210"/>
      <c r="M2079" s="210"/>
      <c r="N2079" s="210"/>
      <c r="O2079" s="210"/>
      <c r="P2079" s="210"/>
      <c r="Q2079" s="210"/>
      <c r="R2079" s="210"/>
      <c r="S2079" s="210"/>
      <c r="T2079" s="210"/>
      <c r="U2079" s="210"/>
      <c r="V2079" s="210"/>
      <c r="W2079" s="210"/>
      <c r="X2079" s="210"/>
      <c r="Y2079" s="210"/>
      <c r="Z2079" s="210"/>
    </row>
    <row r="2080" ht="21.75" customHeight="1">
      <c r="A2080" s="214"/>
      <c r="B2080" s="221"/>
      <c r="C2080" s="222">
        <v>104.0</v>
      </c>
      <c r="D2080" s="223" t="s">
        <v>516</v>
      </c>
      <c r="E2080" s="223" t="s">
        <v>487</v>
      </c>
      <c r="F2080" s="223" t="s">
        <v>512</v>
      </c>
      <c r="G2080" s="223" t="s">
        <v>493</v>
      </c>
      <c r="H2080" s="225" t="s">
        <v>1998</v>
      </c>
      <c r="I2080" s="208"/>
      <c r="J2080" s="210"/>
      <c r="K2080" s="210"/>
      <c r="L2080" s="210"/>
      <c r="M2080" s="210"/>
      <c r="N2080" s="210"/>
      <c r="O2080" s="210"/>
      <c r="P2080" s="210"/>
      <c r="Q2080" s="210"/>
      <c r="R2080" s="210"/>
      <c r="S2080" s="210"/>
      <c r="T2080" s="210"/>
      <c r="U2080" s="210"/>
      <c r="V2080" s="210"/>
      <c r="W2080" s="210"/>
      <c r="X2080" s="210"/>
      <c r="Y2080" s="210"/>
      <c r="Z2080" s="210"/>
    </row>
    <row r="2081" ht="21.75" customHeight="1">
      <c r="A2081" s="228"/>
      <c r="B2081" s="221"/>
      <c r="C2081" s="222">
        <v>105.0</v>
      </c>
      <c r="D2081" s="223" t="s">
        <v>376</v>
      </c>
      <c r="E2081" s="223" t="s">
        <v>508</v>
      </c>
      <c r="F2081" s="223" t="s">
        <v>509</v>
      </c>
      <c r="G2081" s="223" t="s">
        <v>510</v>
      </c>
      <c r="H2081" s="225" t="s">
        <v>1999</v>
      </c>
      <c r="I2081" s="208"/>
      <c r="J2081" s="210"/>
      <c r="K2081" s="210"/>
      <c r="L2081" s="210"/>
      <c r="M2081" s="210"/>
      <c r="N2081" s="210"/>
      <c r="O2081" s="210"/>
      <c r="P2081" s="210"/>
      <c r="Q2081" s="210"/>
      <c r="R2081" s="210"/>
      <c r="S2081" s="210"/>
      <c r="T2081" s="210"/>
      <c r="U2081" s="210"/>
      <c r="V2081" s="210"/>
      <c r="W2081" s="210"/>
      <c r="X2081" s="210"/>
      <c r="Y2081" s="210"/>
      <c r="Z2081" s="210"/>
    </row>
    <row r="2082" ht="21.75" customHeight="1">
      <c r="A2082" s="214">
        <v>333.0</v>
      </c>
      <c r="B2082" s="215" t="s">
        <v>2000</v>
      </c>
      <c r="C2082" s="216"/>
      <c r="D2082" s="217"/>
      <c r="E2082" s="217"/>
      <c r="F2082" s="217"/>
      <c r="G2082" s="217"/>
      <c r="H2082" s="217"/>
      <c r="I2082" s="208"/>
      <c r="J2082" s="210"/>
      <c r="K2082" s="210"/>
      <c r="L2082" s="210"/>
      <c r="M2082" s="210"/>
      <c r="N2082" s="210"/>
      <c r="O2082" s="210"/>
      <c r="P2082" s="210"/>
      <c r="Q2082" s="210"/>
      <c r="R2082" s="210"/>
      <c r="S2082" s="210"/>
      <c r="T2082" s="210"/>
      <c r="U2082" s="210"/>
      <c r="V2082" s="210"/>
      <c r="W2082" s="210"/>
      <c r="X2082" s="210"/>
      <c r="Y2082" s="210"/>
      <c r="Z2082" s="210"/>
    </row>
    <row r="2083" ht="21.75" customHeight="1">
      <c r="A2083" s="214"/>
      <c r="B2083" s="218" t="s">
        <v>2001</v>
      </c>
      <c r="C2083" s="219">
        <v>51045.0</v>
      </c>
      <c r="D2083" s="220"/>
      <c r="E2083" s="220"/>
      <c r="F2083" s="220"/>
      <c r="G2083" s="220"/>
      <c r="H2083" s="220"/>
      <c r="I2083" s="208"/>
      <c r="J2083" s="210"/>
      <c r="K2083" s="210"/>
      <c r="L2083" s="210"/>
      <c r="M2083" s="210"/>
      <c r="N2083" s="210"/>
      <c r="O2083" s="210"/>
      <c r="P2083" s="210"/>
      <c r="Q2083" s="210"/>
      <c r="R2083" s="210"/>
      <c r="S2083" s="210"/>
      <c r="T2083" s="210"/>
      <c r="U2083" s="210"/>
      <c r="V2083" s="210"/>
      <c r="W2083" s="210"/>
      <c r="X2083" s="210"/>
      <c r="Y2083" s="210"/>
      <c r="Z2083" s="210"/>
    </row>
    <row r="2084" ht="21.75" customHeight="1">
      <c r="A2084" s="214"/>
      <c r="B2084" s="221"/>
      <c r="C2084" s="222">
        <v>100.0</v>
      </c>
      <c r="D2084" s="223" t="s">
        <v>486</v>
      </c>
      <c r="E2084" s="223" t="s">
        <v>487</v>
      </c>
      <c r="F2084" s="223" t="s">
        <v>488</v>
      </c>
      <c r="G2084" s="223" t="s">
        <v>489</v>
      </c>
      <c r="H2084" s="224" t="s">
        <v>490</v>
      </c>
      <c r="I2084" s="208"/>
      <c r="J2084" s="210"/>
      <c r="K2084" s="210"/>
      <c r="L2084" s="210"/>
      <c r="M2084" s="210"/>
      <c r="N2084" s="210"/>
      <c r="O2084" s="210"/>
      <c r="P2084" s="210"/>
      <c r="Q2084" s="210"/>
      <c r="R2084" s="210"/>
      <c r="S2084" s="210"/>
      <c r="T2084" s="210"/>
      <c r="U2084" s="210"/>
      <c r="V2084" s="210"/>
      <c r="W2084" s="210"/>
      <c r="X2084" s="210"/>
      <c r="Y2084" s="210"/>
      <c r="Z2084" s="210"/>
    </row>
    <row r="2085" ht="21.75" customHeight="1">
      <c r="A2085" s="214"/>
      <c r="B2085" s="221"/>
      <c r="C2085" s="222">
        <v>101.0</v>
      </c>
      <c r="D2085" s="223" t="s">
        <v>491</v>
      </c>
      <c r="E2085" s="223" t="s">
        <v>487</v>
      </c>
      <c r="F2085" s="223" t="s">
        <v>492</v>
      </c>
      <c r="G2085" s="223" t="s">
        <v>678</v>
      </c>
      <c r="H2085" s="225" t="s">
        <v>2002</v>
      </c>
      <c r="I2085" s="208"/>
      <c r="J2085" s="210"/>
      <c r="K2085" s="210"/>
      <c r="L2085" s="210"/>
      <c r="M2085" s="210"/>
      <c r="N2085" s="210"/>
      <c r="O2085" s="210"/>
      <c r="P2085" s="210"/>
      <c r="Q2085" s="210"/>
      <c r="R2085" s="210"/>
      <c r="S2085" s="210"/>
      <c r="T2085" s="210"/>
      <c r="U2085" s="210"/>
      <c r="V2085" s="210"/>
      <c r="W2085" s="210"/>
      <c r="X2085" s="210"/>
      <c r="Y2085" s="210"/>
      <c r="Z2085" s="210"/>
    </row>
    <row r="2086" ht="21.75" customHeight="1">
      <c r="A2086" s="214"/>
      <c r="B2086" s="221"/>
      <c r="C2086" s="222">
        <v>102.0</v>
      </c>
      <c r="D2086" s="223" t="s">
        <v>516</v>
      </c>
      <c r="E2086" s="223" t="s">
        <v>487</v>
      </c>
      <c r="F2086" s="223" t="s">
        <v>496</v>
      </c>
      <c r="G2086" s="223" t="s">
        <v>493</v>
      </c>
      <c r="H2086" s="225" t="s">
        <v>2003</v>
      </c>
      <c r="I2086" s="208"/>
      <c r="J2086" s="210"/>
      <c r="K2086" s="210"/>
      <c r="L2086" s="210"/>
      <c r="M2086" s="210"/>
      <c r="N2086" s="210"/>
      <c r="O2086" s="210"/>
      <c r="P2086" s="210"/>
      <c r="Q2086" s="210"/>
      <c r="R2086" s="210"/>
      <c r="S2086" s="210"/>
      <c r="T2086" s="210"/>
      <c r="U2086" s="210"/>
      <c r="V2086" s="210"/>
      <c r="W2086" s="210"/>
      <c r="X2086" s="210"/>
      <c r="Y2086" s="210"/>
      <c r="Z2086" s="210"/>
    </row>
    <row r="2087" ht="21.75" customHeight="1">
      <c r="A2087" s="214"/>
      <c r="B2087" s="221"/>
      <c r="C2087" s="222">
        <v>103.0</v>
      </c>
      <c r="D2087" s="223" t="s">
        <v>937</v>
      </c>
      <c r="E2087" s="223" t="s">
        <v>487</v>
      </c>
      <c r="F2087" s="223" t="s">
        <v>500</v>
      </c>
      <c r="G2087" s="223" t="s">
        <v>497</v>
      </c>
      <c r="H2087" s="224" t="s">
        <v>490</v>
      </c>
      <c r="I2087" s="208"/>
      <c r="J2087" s="210"/>
      <c r="K2087" s="210"/>
      <c r="L2087" s="210"/>
      <c r="M2087" s="210"/>
      <c r="N2087" s="210"/>
      <c r="O2087" s="210"/>
      <c r="P2087" s="210"/>
      <c r="Q2087" s="210"/>
      <c r="R2087" s="210"/>
      <c r="S2087" s="210"/>
      <c r="T2087" s="210"/>
      <c r="U2087" s="210"/>
      <c r="V2087" s="210"/>
      <c r="W2087" s="210"/>
      <c r="X2087" s="210"/>
      <c r="Y2087" s="210"/>
      <c r="Z2087" s="210"/>
    </row>
    <row r="2088" ht="21.75" customHeight="1">
      <c r="A2088" s="228"/>
      <c r="B2088" s="221"/>
      <c r="C2088" s="222">
        <v>104.0</v>
      </c>
      <c r="D2088" s="223" t="s">
        <v>376</v>
      </c>
      <c r="E2088" s="223" t="s">
        <v>508</v>
      </c>
      <c r="F2088" s="223" t="s">
        <v>509</v>
      </c>
      <c r="G2088" s="223" t="s">
        <v>510</v>
      </c>
      <c r="H2088" s="225" t="s">
        <v>2004</v>
      </c>
      <c r="I2088" s="208"/>
      <c r="J2088" s="210"/>
      <c r="K2088" s="210"/>
      <c r="L2088" s="210"/>
      <c r="M2088" s="210"/>
      <c r="N2088" s="210"/>
      <c r="O2088" s="210"/>
      <c r="P2088" s="210"/>
      <c r="Q2088" s="210"/>
      <c r="R2088" s="210"/>
      <c r="S2088" s="210"/>
      <c r="T2088" s="210"/>
      <c r="U2088" s="210"/>
      <c r="V2088" s="210"/>
      <c r="W2088" s="210"/>
      <c r="X2088" s="210"/>
      <c r="Y2088" s="210"/>
      <c r="Z2088" s="210"/>
    </row>
    <row r="2089" ht="21.75" customHeight="1">
      <c r="A2089" s="214">
        <v>335.0</v>
      </c>
      <c r="B2089" s="215" t="s">
        <v>2005</v>
      </c>
      <c r="C2089" s="216"/>
      <c r="D2089" s="217"/>
      <c r="E2089" s="217"/>
      <c r="F2089" s="217"/>
      <c r="G2089" s="217"/>
      <c r="H2089" s="217"/>
      <c r="I2089" s="208"/>
      <c r="J2089" s="210"/>
      <c r="K2089" s="210"/>
      <c r="L2089" s="210"/>
      <c r="M2089" s="210"/>
      <c r="N2089" s="210"/>
      <c r="O2089" s="210"/>
      <c r="P2089" s="210"/>
      <c r="Q2089" s="210"/>
      <c r="R2089" s="210"/>
      <c r="S2089" s="210"/>
      <c r="T2089" s="210"/>
      <c r="U2089" s="210"/>
      <c r="V2089" s="210"/>
      <c r="W2089" s="210"/>
      <c r="X2089" s="210"/>
      <c r="Y2089" s="210"/>
      <c r="Z2089" s="210"/>
    </row>
    <row r="2090" ht="21.75" customHeight="1">
      <c r="A2090" s="214"/>
      <c r="B2090" s="218" t="s">
        <v>2006</v>
      </c>
      <c r="C2090" s="219">
        <v>51049.0</v>
      </c>
      <c r="D2090" s="220"/>
      <c r="E2090" s="220"/>
      <c r="F2090" s="220"/>
      <c r="G2090" s="220"/>
      <c r="H2090" s="220"/>
      <c r="I2090" s="208"/>
      <c r="J2090" s="210"/>
      <c r="K2090" s="210"/>
      <c r="L2090" s="210"/>
      <c r="M2090" s="210"/>
      <c r="N2090" s="210"/>
      <c r="O2090" s="210"/>
      <c r="P2090" s="210"/>
      <c r="Q2090" s="210"/>
      <c r="R2090" s="210"/>
      <c r="S2090" s="210"/>
      <c r="T2090" s="210"/>
      <c r="U2090" s="210"/>
      <c r="V2090" s="210"/>
      <c r="W2090" s="210"/>
      <c r="X2090" s="210"/>
      <c r="Y2090" s="210"/>
      <c r="Z2090" s="210"/>
    </row>
    <row r="2091" ht="21.75" customHeight="1">
      <c r="A2091" s="214"/>
      <c r="B2091" s="221"/>
      <c r="C2091" s="222">
        <v>100.0</v>
      </c>
      <c r="D2091" s="223" t="s">
        <v>486</v>
      </c>
      <c r="E2091" s="223" t="s">
        <v>487</v>
      </c>
      <c r="F2091" s="223" t="s">
        <v>488</v>
      </c>
      <c r="G2091" s="223" t="s">
        <v>489</v>
      </c>
      <c r="H2091" s="224" t="s">
        <v>490</v>
      </c>
      <c r="I2091" s="208"/>
      <c r="J2091" s="210"/>
      <c r="K2091" s="210"/>
      <c r="L2091" s="210"/>
      <c r="M2091" s="210"/>
      <c r="N2091" s="210"/>
      <c r="O2091" s="210"/>
      <c r="P2091" s="210"/>
      <c r="Q2091" s="210"/>
      <c r="R2091" s="210"/>
      <c r="S2091" s="210"/>
      <c r="T2091" s="210"/>
      <c r="U2091" s="210"/>
      <c r="V2091" s="210"/>
      <c r="W2091" s="210"/>
      <c r="X2091" s="210"/>
      <c r="Y2091" s="210"/>
      <c r="Z2091" s="210"/>
    </row>
    <row r="2092" ht="21.75" customHeight="1">
      <c r="A2092" s="214"/>
      <c r="B2092" s="221"/>
      <c r="C2092" s="222">
        <v>101.0</v>
      </c>
      <c r="D2092" s="223" t="s">
        <v>491</v>
      </c>
      <c r="E2092" s="223" t="s">
        <v>487</v>
      </c>
      <c r="F2092" s="223" t="s">
        <v>492</v>
      </c>
      <c r="G2092" s="223" t="s">
        <v>678</v>
      </c>
      <c r="H2092" s="225" t="s">
        <v>2007</v>
      </c>
      <c r="I2092" s="208"/>
      <c r="J2092" s="210"/>
      <c r="K2092" s="210"/>
      <c r="L2092" s="210"/>
      <c r="M2092" s="210"/>
      <c r="N2092" s="210"/>
      <c r="O2092" s="210"/>
      <c r="P2092" s="210"/>
      <c r="Q2092" s="210"/>
      <c r="R2092" s="210"/>
      <c r="S2092" s="210"/>
      <c r="T2092" s="210"/>
      <c r="U2092" s="210"/>
      <c r="V2092" s="210"/>
      <c r="W2092" s="210"/>
      <c r="X2092" s="210"/>
      <c r="Y2092" s="210"/>
      <c r="Z2092" s="210"/>
    </row>
    <row r="2093" ht="21.75" customHeight="1">
      <c r="A2093" s="214"/>
      <c r="B2093" s="221"/>
      <c r="C2093" s="222">
        <v>102.0</v>
      </c>
      <c r="D2093" s="223" t="s">
        <v>516</v>
      </c>
      <c r="E2093" s="223" t="s">
        <v>487</v>
      </c>
      <c r="F2093" s="223" t="s">
        <v>496</v>
      </c>
      <c r="G2093" s="223" t="s">
        <v>493</v>
      </c>
      <c r="H2093" s="225" t="s">
        <v>2008</v>
      </c>
      <c r="I2093" s="208"/>
      <c r="J2093" s="210"/>
      <c r="K2093" s="210"/>
      <c r="L2093" s="210"/>
      <c r="M2093" s="210"/>
      <c r="N2093" s="210"/>
      <c r="O2093" s="210"/>
      <c r="P2093" s="210"/>
      <c r="Q2093" s="210"/>
      <c r="R2093" s="210"/>
      <c r="S2093" s="210"/>
      <c r="T2093" s="210"/>
      <c r="U2093" s="210"/>
      <c r="V2093" s="210"/>
      <c r="W2093" s="210"/>
      <c r="X2093" s="210"/>
      <c r="Y2093" s="210"/>
      <c r="Z2093" s="210"/>
    </row>
    <row r="2094" ht="21.75" customHeight="1">
      <c r="A2094" s="214"/>
      <c r="B2094" s="221"/>
      <c r="C2094" s="222">
        <v>103.0</v>
      </c>
      <c r="D2094" s="223" t="s">
        <v>837</v>
      </c>
      <c r="E2094" s="223" t="s">
        <v>529</v>
      </c>
      <c r="F2094" s="223" t="s">
        <v>530</v>
      </c>
      <c r="G2094" s="218" t="s">
        <v>490</v>
      </c>
      <c r="H2094" s="225" t="s">
        <v>2009</v>
      </c>
      <c r="I2094" s="208"/>
      <c r="J2094" s="210"/>
      <c r="K2094" s="210"/>
      <c r="L2094" s="210"/>
      <c r="M2094" s="210"/>
      <c r="N2094" s="210"/>
      <c r="O2094" s="210"/>
      <c r="P2094" s="210"/>
      <c r="Q2094" s="210"/>
      <c r="R2094" s="210"/>
      <c r="S2094" s="210"/>
      <c r="T2094" s="210"/>
      <c r="U2094" s="210"/>
      <c r="V2094" s="210"/>
      <c r="W2094" s="210"/>
      <c r="X2094" s="210"/>
      <c r="Y2094" s="210"/>
      <c r="Z2094" s="210"/>
    </row>
    <row r="2095" ht="21.75" customHeight="1">
      <c r="A2095" s="214"/>
      <c r="B2095" s="221"/>
      <c r="C2095" s="222">
        <v>104.0</v>
      </c>
      <c r="D2095" s="223" t="s">
        <v>928</v>
      </c>
      <c r="E2095" s="223" t="s">
        <v>487</v>
      </c>
      <c r="F2095" s="223" t="s">
        <v>512</v>
      </c>
      <c r="G2095" s="223" t="s">
        <v>497</v>
      </c>
      <c r="H2095" s="225" t="s">
        <v>2010</v>
      </c>
      <c r="I2095" s="208"/>
      <c r="J2095" s="210"/>
      <c r="K2095" s="210"/>
      <c r="L2095" s="210"/>
      <c r="M2095" s="210"/>
      <c r="N2095" s="210"/>
      <c r="O2095" s="210"/>
      <c r="P2095" s="210"/>
      <c r="Q2095" s="210"/>
      <c r="R2095" s="210"/>
      <c r="S2095" s="210"/>
      <c r="T2095" s="210"/>
      <c r="U2095" s="210"/>
      <c r="V2095" s="210"/>
      <c r="W2095" s="210"/>
      <c r="X2095" s="210"/>
      <c r="Y2095" s="210"/>
      <c r="Z2095" s="210"/>
    </row>
    <row r="2096" ht="21.75" customHeight="1">
      <c r="A2096" s="214"/>
      <c r="B2096" s="221"/>
      <c r="C2096" s="222">
        <v>105.0</v>
      </c>
      <c r="D2096" s="223" t="s">
        <v>779</v>
      </c>
      <c r="E2096" s="223" t="s">
        <v>487</v>
      </c>
      <c r="F2096" s="223" t="s">
        <v>532</v>
      </c>
      <c r="G2096" s="223" t="s">
        <v>501</v>
      </c>
      <c r="H2096" s="225" t="s">
        <v>2010</v>
      </c>
      <c r="I2096" s="208"/>
      <c r="J2096" s="210"/>
      <c r="K2096" s="210"/>
      <c r="L2096" s="210"/>
      <c r="M2096" s="210"/>
      <c r="N2096" s="210"/>
      <c r="O2096" s="210"/>
      <c r="P2096" s="210"/>
      <c r="Q2096" s="210"/>
      <c r="R2096" s="210"/>
      <c r="S2096" s="210"/>
      <c r="T2096" s="210"/>
      <c r="U2096" s="210"/>
      <c r="V2096" s="210"/>
      <c r="W2096" s="210"/>
      <c r="X2096" s="210"/>
      <c r="Y2096" s="210"/>
      <c r="Z2096" s="210"/>
    </row>
    <row r="2097" ht="21.75" customHeight="1">
      <c r="A2097" s="214"/>
      <c r="B2097" s="221"/>
      <c r="C2097" s="222">
        <v>106.0</v>
      </c>
      <c r="D2097" s="223" t="s">
        <v>376</v>
      </c>
      <c r="E2097" s="223" t="s">
        <v>508</v>
      </c>
      <c r="F2097" s="223" t="s">
        <v>509</v>
      </c>
      <c r="G2097" s="223" t="s">
        <v>510</v>
      </c>
      <c r="H2097" s="225" t="s">
        <v>2011</v>
      </c>
      <c r="I2097" s="208"/>
      <c r="J2097" s="210"/>
      <c r="K2097" s="210"/>
      <c r="L2097" s="210"/>
      <c r="M2097" s="210"/>
      <c r="N2097" s="210"/>
      <c r="O2097" s="210"/>
      <c r="P2097" s="210"/>
      <c r="Q2097" s="210"/>
      <c r="R2097" s="210"/>
      <c r="S2097" s="210"/>
      <c r="T2097" s="210"/>
      <c r="U2097" s="210"/>
      <c r="V2097" s="210"/>
      <c r="W2097" s="210"/>
      <c r="X2097" s="210"/>
      <c r="Y2097" s="210"/>
      <c r="Z2097" s="210"/>
    </row>
    <row r="2098" ht="21.75" customHeight="1">
      <c r="A2098" s="228"/>
      <c r="B2098" s="221"/>
      <c r="C2098" s="222">
        <v>107.0</v>
      </c>
      <c r="D2098" s="223" t="s">
        <v>837</v>
      </c>
      <c r="E2098" s="223" t="s">
        <v>487</v>
      </c>
      <c r="F2098" s="223" t="s">
        <v>826</v>
      </c>
      <c r="G2098" s="223" t="s">
        <v>526</v>
      </c>
      <c r="H2098" s="224" t="s">
        <v>490</v>
      </c>
      <c r="I2098" s="208"/>
      <c r="J2098" s="210"/>
      <c r="K2098" s="210"/>
      <c r="L2098" s="210"/>
      <c r="M2098" s="210"/>
      <c r="N2098" s="210"/>
      <c r="O2098" s="210"/>
      <c r="P2098" s="210"/>
      <c r="Q2098" s="210"/>
      <c r="R2098" s="210"/>
      <c r="S2098" s="210"/>
      <c r="T2098" s="210"/>
      <c r="U2098" s="210"/>
      <c r="V2098" s="210"/>
      <c r="W2098" s="210"/>
      <c r="X2098" s="210"/>
      <c r="Y2098" s="210"/>
      <c r="Z2098" s="210"/>
    </row>
    <row r="2099" ht="21.75" customHeight="1">
      <c r="A2099" s="214">
        <v>336.0</v>
      </c>
      <c r="B2099" s="215" t="s">
        <v>2012</v>
      </c>
      <c r="C2099" s="216"/>
      <c r="D2099" s="217"/>
      <c r="E2099" s="217"/>
      <c r="F2099" s="217"/>
      <c r="G2099" s="217"/>
      <c r="H2099" s="217"/>
      <c r="I2099" s="208"/>
      <c r="J2099" s="210"/>
      <c r="K2099" s="210"/>
      <c r="L2099" s="210"/>
      <c r="M2099" s="210"/>
      <c r="N2099" s="210"/>
      <c r="O2099" s="210"/>
      <c r="P2099" s="210"/>
      <c r="Q2099" s="210"/>
      <c r="R2099" s="210"/>
      <c r="S2099" s="210"/>
      <c r="T2099" s="210"/>
      <c r="U2099" s="210"/>
      <c r="V2099" s="210"/>
      <c r="W2099" s="210"/>
      <c r="X2099" s="210"/>
      <c r="Y2099" s="210"/>
      <c r="Z2099" s="210"/>
    </row>
    <row r="2100" ht="21.75" customHeight="1">
      <c r="A2100" s="214"/>
      <c r="B2100" s="218" t="s">
        <v>2013</v>
      </c>
      <c r="C2100" s="219">
        <v>52031.0</v>
      </c>
      <c r="D2100" s="220"/>
      <c r="E2100" s="220"/>
      <c r="F2100" s="220"/>
      <c r="G2100" s="220"/>
      <c r="H2100" s="220"/>
      <c r="I2100" s="208"/>
      <c r="J2100" s="210"/>
      <c r="K2100" s="210"/>
      <c r="L2100" s="210"/>
      <c r="M2100" s="210"/>
      <c r="N2100" s="210"/>
      <c r="O2100" s="210"/>
      <c r="P2100" s="210"/>
      <c r="Q2100" s="210"/>
      <c r="R2100" s="210"/>
      <c r="S2100" s="210"/>
      <c r="T2100" s="210"/>
      <c r="U2100" s="210"/>
      <c r="V2100" s="210"/>
      <c r="W2100" s="210"/>
      <c r="X2100" s="210"/>
      <c r="Y2100" s="210"/>
      <c r="Z2100" s="210"/>
    </row>
    <row r="2101" ht="21.75" customHeight="1">
      <c r="A2101" s="214"/>
      <c r="B2101" s="221"/>
      <c r="C2101" s="222">
        <v>100.0</v>
      </c>
      <c r="D2101" s="223" t="s">
        <v>486</v>
      </c>
      <c r="E2101" s="223" t="s">
        <v>487</v>
      </c>
      <c r="F2101" s="223" t="s">
        <v>488</v>
      </c>
      <c r="G2101" s="223" t="s">
        <v>489</v>
      </c>
      <c r="H2101" s="224" t="s">
        <v>490</v>
      </c>
      <c r="I2101" s="208"/>
      <c r="J2101" s="210"/>
      <c r="K2101" s="210"/>
      <c r="L2101" s="210"/>
      <c r="M2101" s="210"/>
      <c r="N2101" s="210"/>
      <c r="O2101" s="210"/>
      <c r="P2101" s="210"/>
      <c r="Q2101" s="210"/>
      <c r="R2101" s="210"/>
      <c r="S2101" s="210"/>
      <c r="T2101" s="210"/>
      <c r="U2101" s="210"/>
      <c r="V2101" s="210"/>
      <c r="W2101" s="210"/>
      <c r="X2101" s="210"/>
      <c r="Y2101" s="210"/>
      <c r="Z2101" s="210"/>
    </row>
    <row r="2102" ht="21.75" customHeight="1">
      <c r="A2102" s="214"/>
      <c r="B2102" s="221"/>
      <c r="C2102" s="222">
        <v>101.0</v>
      </c>
      <c r="D2102" s="223" t="s">
        <v>689</v>
      </c>
      <c r="E2102" s="223" t="s">
        <v>487</v>
      </c>
      <c r="F2102" s="223" t="s">
        <v>492</v>
      </c>
      <c r="G2102" s="223" t="s">
        <v>678</v>
      </c>
      <c r="H2102" s="225" t="s">
        <v>2014</v>
      </c>
      <c r="I2102" s="208"/>
      <c r="J2102" s="210"/>
      <c r="K2102" s="210"/>
      <c r="L2102" s="210"/>
      <c r="M2102" s="210"/>
      <c r="N2102" s="210"/>
      <c r="O2102" s="210"/>
      <c r="P2102" s="210"/>
      <c r="Q2102" s="210"/>
      <c r="R2102" s="210"/>
      <c r="S2102" s="210"/>
      <c r="T2102" s="210"/>
      <c r="U2102" s="210"/>
      <c r="V2102" s="210"/>
      <c r="W2102" s="210"/>
      <c r="X2102" s="210"/>
      <c r="Y2102" s="210"/>
      <c r="Z2102" s="210"/>
    </row>
    <row r="2103" ht="21.75" customHeight="1">
      <c r="A2103" s="214"/>
      <c r="B2103" s="221"/>
      <c r="C2103" s="222">
        <v>102.0</v>
      </c>
      <c r="D2103" s="223" t="s">
        <v>2015</v>
      </c>
      <c r="E2103" s="223" t="s">
        <v>487</v>
      </c>
      <c r="F2103" s="223" t="s">
        <v>496</v>
      </c>
      <c r="G2103" s="223" t="s">
        <v>497</v>
      </c>
      <c r="H2103" s="224" t="s">
        <v>490</v>
      </c>
      <c r="I2103" s="208"/>
      <c r="J2103" s="210"/>
      <c r="K2103" s="210"/>
      <c r="L2103" s="210"/>
      <c r="M2103" s="210"/>
      <c r="N2103" s="210"/>
      <c r="O2103" s="210"/>
      <c r="P2103" s="210"/>
      <c r="Q2103" s="210"/>
      <c r="R2103" s="210"/>
      <c r="S2103" s="210"/>
      <c r="T2103" s="210"/>
      <c r="U2103" s="210"/>
      <c r="V2103" s="210"/>
      <c r="W2103" s="210"/>
      <c r="X2103" s="210"/>
      <c r="Y2103" s="210"/>
      <c r="Z2103" s="210"/>
    </row>
    <row r="2104" ht="21.75" customHeight="1">
      <c r="A2104" s="214"/>
      <c r="B2104" s="221"/>
      <c r="C2104" s="222">
        <v>103.0</v>
      </c>
      <c r="D2104" s="223" t="s">
        <v>2016</v>
      </c>
      <c r="E2104" s="223" t="s">
        <v>487</v>
      </c>
      <c r="F2104" s="223" t="s">
        <v>500</v>
      </c>
      <c r="G2104" s="223" t="s">
        <v>594</v>
      </c>
      <c r="H2104" s="224" t="s">
        <v>490</v>
      </c>
      <c r="I2104" s="208"/>
      <c r="J2104" s="210"/>
      <c r="K2104" s="210"/>
      <c r="L2104" s="210"/>
      <c r="M2104" s="210"/>
      <c r="N2104" s="210"/>
      <c r="O2104" s="210"/>
      <c r="P2104" s="210"/>
      <c r="Q2104" s="210"/>
      <c r="R2104" s="210"/>
      <c r="S2104" s="210"/>
      <c r="T2104" s="210"/>
      <c r="U2104" s="210"/>
      <c r="V2104" s="210"/>
      <c r="W2104" s="210"/>
      <c r="X2104" s="210"/>
      <c r="Y2104" s="210"/>
      <c r="Z2104" s="210"/>
    </row>
    <row r="2105" ht="21.75" customHeight="1">
      <c r="A2105" s="214"/>
      <c r="B2105" s="221"/>
      <c r="C2105" s="222">
        <v>104.0</v>
      </c>
      <c r="D2105" s="223" t="s">
        <v>516</v>
      </c>
      <c r="E2105" s="223" t="s">
        <v>487</v>
      </c>
      <c r="F2105" s="223" t="s">
        <v>512</v>
      </c>
      <c r="G2105" s="223" t="s">
        <v>526</v>
      </c>
      <c r="H2105" s="224" t="s">
        <v>490</v>
      </c>
      <c r="I2105" s="208"/>
      <c r="J2105" s="210"/>
      <c r="K2105" s="210"/>
      <c r="L2105" s="210"/>
      <c r="M2105" s="210"/>
      <c r="N2105" s="210"/>
      <c r="O2105" s="210"/>
      <c r="P2105" s="210"/>
      <c r="Q2105" s="210"/>
      <c r="R2105" s="210"/>
      <c r="S2105" s="210"/>
      <c r="T2105" s="210"/>
      <c r="U2105" s="210"/>
      <c r="V2105" s="210"/>
      <c r="W2105" s="210"/>
      <c r="X2105" s="210"/>
      <c r="Y2105" s="210"/>
      <c r="Z2105" s="210"/>
    </row>
    <row r="2106" ht="21.75" customHeight="1">
      <c r="A2106" s="214"/>
      <c r="B2106" s="221"/>
      <c r="C2106" s="222">
        <v>105.0</v>
      </c>
      <c r="D2106" s="223" t="s">
        <v>507</v>
      </c>
      <c r="E2106" s="223" t="s">
        <v>508</v>
      </c>
      <c r="F2106" s="223" t="s">
        <v>509</v>
      </c>
      <c r="G2106" s="223" t="s">
        <v>510</v>
      </c>
      <c r="H2106" s="224" t="s">
        <v>490</v>
      </c>
      <c r="I2106" s="208"/>
      <c r="J2106" s="210"/>
      <c r="K2106" s="210"/>
      <c r="L2106" s="210"/>
      <c r="M2106" s="210"/>
      <c r="N2106" s="210"/>
      <c r="O2106" s="210"/>
      <c r="P2106" s="210"/>
      <c r="Q2106" s="210"/>
      <c r="R2106" s="210"/>
      <c r="S2106" s="210"/>
      <c r="T2106" s="210"/>
      <c r="U2106" s="210"/>
      <c r="V2106" s="210"/>
      <c r="W2106" s="210"/>
      <c r="X2106" s="210"/>
      <c r="Y2106" s="210"/>
      <c r="Z2106" s="210"/>
    </row>
    <row r="2107" ht="21.75" customHeight="1">
      <c r="A2107" s="214"/>
      <c r="B2107" s="221"/>
      <c r="C2107" s="233" t="s">
        <v>490</v>
      </c>
      <c r="D2107" s="223" t="s">
        <v>2017</v>
      </c>
      <c r="E2107" s="223" t="s">
        <v>738</v>
      </c>
      <c r="F2107" s="223" t="s">
        <v>741</v>
      </c>
      <c r="G2107" s="218" t="s">
        <v>490</v>
      </c>
      <c r="H2107" s="224" t="s">
        <v>490</v>
      </c>
      <c r="I2107" s="208"/>
      <c r="J2107" s="210"/>
      <c r="K2107" s="210"/>
      <c r="L2107" s="210"/>
      <c r="M2107" s="210"/>
      <c r="N2107" s="210"/>
      <c r="O2107" s="210"/>
      <c r="P2107" s="210"/>
      <c r="Q2107" s="210"/>
      <c r="R2107" s="210"/>
      <c r="S2107" s="210"/>
      <c r="T2107" s="210"/>
      <c r="U2107" s="210"/>
      <c r="V2107" s="210"/>
      <c r="W2107" s="210"/>
      <c r="X2107" s="210"/>
      <c r="Y2107" s="210"/>
      <c r="Z2107" s="210"/>
    </row>
    <row r="2108" ht="21.75" customHeight="1">
      <c r="A2108" s="214"/>
      <c r="B2108" s="221"/>
      <c r="C2108" s="222"/>
      <c r="D2108" s="223" t="s">
        <v>2018</v>
      </c>
      <c r="E2108" s="223" t="s">
        <v>738</v>
      </c>
      <c r="F2108" s="223" t="s">
        <v>739</v>
      </c>
      <c r="G2108" s="218" t="s">
        <v>490</v>
      </c>
      <c r="H2108" s="224" t="s">
        <v>490</v>
      </c>
      <c r="I2108" s="208"/>
      <c r="J2108" s="210"/>
      <c r="K2108" s="210"/>
      <c r="L2108" s="210"/>
      <c r="M2108" s="210"/>
      <c r="N2108" s="210"/>
      <c r="O2108" s="210"/>
      <c r="P2108" s="210"/>
      <c r="Q2108" s="210"/>
      <c r="R2108" s="210"/>
      <c r="S2108" s="210"/>
      <c r="T2108" s="210"/>
      <c r="U2108" s="210"/>
      <c r="V2108" s="210"/>
      <c r="W2108" s="210"/>
      <c r="X2108" s="210"/>
      <c r="Y2108" s="210"/>
      <c r="Z2108" s="210"/>
    </row>
    <row r="2109" ht="21.75" customHeight="1">
      <c r="A2109" s="214"/>
      <c r="B2109" s="221"/>
      <c r="C2109" s="222"/>
      <c r="D2109" s="218" t="s">
        <v>490</v>
      </c>
      <c r="E2109" s="223" t="s">
        <v>742</v>
      </c>
      <c r="F2109" s="223" t="s">
        <v>743</v>
      </c>
      <c r="G2109" s="218" t="s">
        <v>490</v>
      </c>
      <c r="H2109" s="224" t="s">
        <v>490</v>
      </c>
      <c r="I2109" s="208"/>
      <c r="J2109" s="210"/>
      <c r="K2109" s="210"/>
      <c r="L2109" s="210"/>
      <c r="M2109" s="210"/>
      <c r="N2109" s="210"/>
      <c r="O2109" s="210"/>
      <c r="P2109" s="210"/>
      <c r="Q2109" s="210"/>
      <c r="R2109" s="210"/>
      <c r="S2109" s="210"/>
      <c r="T2109" s="210"/>
      <c r="U2109" s="210"/>
      <c r="V2109" s="210"/>
      <c r="W2109" s="210"/>
      <c r="X2109" s="210"/>
      <c r="Y2109" s="210"/>
      <c r="Z2109" s="210"/>
    </row>
    <row r="2110" ht="21.75" customHeight="1">
      <c r="A2110" s="228"/>
      <c r="B2110" s="221"/>
      <c r="C2110" s="222"/>
      <c r="D2110" s="221"/>
      <c r="E2110" s="223" t="s">
        <v>744</v>
      </c>
      <c r="F2110" s="223" t="s">
        <v>745</v>
      </c>
      <c r="G2110" s="218" t="s">
        <v>490</v>
      </c>
      <c r="H2110" s="224" t="s">
        <v>490</v>
      </c>
      <c r="I2110" s="208"/>
      <c r="J2110" s="210"/>
      <c r="K2110" s="210"/>
      <c r="L2110" s="210"/>
      <c r="M2110" s="210"/>
      <c r="N2110" s="210"/>
      <c r="O2110" s="210"/>
      <c r="P2110" s="210"/>
      <c r="Q2110" s="210"/>
      <c r="R2110" s="210"/>
      <c r="S2110" s="210"/>
      <c r="T2110" s="210"/>
      <c r="U2110" s="210"/>
      <c r="V2110" s="210"/>
      <c r="W2110" s="210"/>
      <c r="X2110" s="210"/>
      <c r="Y2110" s="210"/>
      <c r="Z2110" s="210"/>
    </row>
    <row r="2111" ht="21.75" customHeight="1">
      <c r="A2111" s="214">
        <v>34.0</v>
      </c>
      <c r="B2111" s="215" t="s">
        <v>2019</v>
      </c>
      <c r="C2111" s="216"/>
      <c r="D2111" s="217"/>
      <c r="E2111" s="217"/>
      <c r="F2111" s="217"/>
      <c r="G2111" s="217"/>
      <c r="H2111" s="217"/>
      <c r="I2111" s="208"/>
      <c r="J2111" s="210"/>
      <c r="K2111" s="210"/>
      <c r="L2111" s="210"/>
      <c r="M2111" s="210"/>
      <c r="N2111" s="210"/>
      <c r="O2111" s="210"/>
      <c r="P2111" s="210"/>
      <c r="Q2111" s="210"/>
      <c r="R2111" s="210"/>
      <c r="S2111" s="210"/>
      <c r="T2111" s="210"/>
      <c r="U2111" s="210"/>
      <c r="V2111" s="210"/>
      <c r="W2111" s="210"/>
      <c r="X2111" s="210"/>
      <c r="Y2111" s="210"/>
      <c r="Z2111" s="210"/>
    </row>
    <row r="2112" ht="21.75" customHeight="1">
      <c r="A2112" s="214"/>
      <c r="B2112" s="218" t="s">
        <v>2020</v>
      </c>
      <c r="C2112" s="219">
        <v>50557.0</v>
      </c>
      <c r="D2112" s="220"/>
      <c r="E2112" s="220"/>
      <c r="F2112" s="220"/>
      <c r="G2112" s="220"/>
      <c r="H2112" s="220"/>
      <c r="I2112" s="208"/>
      <c r="J2112" s="210"/>
      <c r="K2112" s="210"/>
      <c r="L2112" s="210"/>
      <c r="M2112" s="210"/>
      <c r="N2112" s="210"/>
      <c r="O2112" s="210"/>
      <c r="P2112" s="210"/>
      <c r="Q2112" s="210"/>
      <c r="R2112" s="210"/>
      <c r="S2112" s="210"/>
      <c r="T2112" s="210"/>
      <c r="U2112" s="210"/>
      <c r="V2112" s="210"/>
      <c r="W2112" s="210"/>
      <c r="X2112" s="210"/>
      <c r="Y2112" s="210"/>
      <c r="Z2112" s="210"/>
    </row>
    <row r="2113" ht="21.75" customHeight="1">
      <c r="A2113" s="214"/>
      <c r="B2113" s="221"/>
      <c r="C2113" s="222">
        <v>100.0</v>
      </c>
      <c r="D2113" s="223" t="s">
        <v>486</v>
      </c>
      <c r="E2113" s="223" t="s">
        <v>487</v>
      </c>
      <c r="F2113" s="223" t="s">
        <v>488</v>
      </c>
      <c r="G2113" s="223" t="s">
        <v>489</v>
      </c>
      <c r="H2113" s="224" t="s">
        <v>490</v>
      </c>
      <c r="I2113" s="208"/>
      <c r="J2113" s="210"/>
      <c r="K2113" s="210"/>
      <c r="L2113" s="210"/>
      <c r="M2113" s="210"/>
      <c r="N2113" s="210"/>
      <c r="O2113" s="210"/>
      <c r="P2113" s="210"/>
      <c r="Q2113" s="210"/>
      <c r="R2113" s="210"/>
      <c r="S2113" s="210"/>
      <c r="T2113" s="210"/>
      <c r="U2113" s="210"/>
      <c r="V2113" s="210"/>
      <c r="W2113" s="210"/>
      <c r="X2113" s="210"/>
      <c r="Y2113" s="210"/>
      <c r="Z2113" s="210"/>
    </row>
    <row r="2114" ht="21.75" customHeight="1">
      <c r="A2114" s="214"/>
      <c r="B2114" s="221"/>
      <c r="C2114" s="222">
        <v>101.0</v>
      </c>
      <c r="D2114" s="223" t="s">
        <v>491</v>
      </c>
      <c r="E2114" s="223" t="s">
        <v>487</v>
      </c>
      <c r="F2114" s="223" t="s">
        <v>492</v>
      </c>
      <c r="G2114" s="223" t="s">
        <v>678</v>
      </c>
      <c r="H2114" s="225" t="s">
        <v>2021</v>
      </c>
      <c r="I2114" s="208"/>
      <c r="J2114" s="210"/>
      <c r="K2114" s="210"/>
      <c r="L2114" s="210"/>
      <c r="M2114" s="210"/>
      <c r="N2114" s="210"/>
      <c r="O2114" s="210"/>
      <c r="P2114" s="210"/>
      <c r="Q2114" s="210"/>
      <c r="R2114" s="210"/>
      <c r="S2114" s="210"/>
      <c r="T2114" s="210"/>
      <c r="U2114" s="210"/>
      <c r="V2114" s="210"/>
      <c r="W2114" s="210"/>
      <c r="X2114" s="210"/>
      <c r="Y2114" s="210"/>
      <c r="Z2114" s="210"/>
    </row>
    <row r="2115" ht="21.75" customHeight="1">
      <c r="A2115" s="214"/>
      <c r="B2115" s="221"/>
      <c r="C2115" s="222">
        <v>102.0</v>
      </c>
      <c r="D2115" s="223" t="s">
        <v>1350</v>
      </c>
      <c r="E2115" s="223" t="s">
        <v>487</v>
      </c>
      <c r="F2115" s="223" t="s">
        <v>496</v>
      </c>
      <c r="G2115" s="223" t="s">
        <v>497</v>
      </c>
      <c r="H2115" s="224" t="s">
        <v>490</v>
      </c>
      <c r="I2115" s="208"/>
      <c r="J2115" s="210"/>
      <c r="K2115" s="210"/>
      <c r="L2115" s="210"/>
      <c r="M2115" s="210"/>
      <c r="N2115" s="210"/>
      <c r="O2115" s="210"/>
      <c r="P2115" s="210"/>
      <c r="Q2115" s="210"/>
      <c r="R2115" s="210"/>
      <c r="S2115" s="210"/>
      <c r="T2115" s="210"/>
      <c r="U2115" s="210"/>
      <c r="V2115" s="210"/>
      <c r="W2115" s="210"/>
      <c r="X2115" s="210"/>
      <c r="Y2115" s="210"/>
      <c r="Z2115" s="210"/>
    </row>
    <row r="2116" ht="21.75" customHeight="1">
      <c r="A2116" s="214"/>
      <c r="B2116" s="221"/>
      <c r="C2116" s="222">
        <v>103.0</v>
      </c>
      <c r="D2116" s="223" t="s">
        <v>923</v>
      </c>
      <c r="E2116" s="223" t="s">
        <v>539</v>
      </c>
      <c r="F2116" s="223" t="s">
        <v>542</v>
      </c>
      <c r="G2116" s="223" t="s">
        <v>526</v>
      </c>
      <c r="H2116" s="224" t="s">
        <v>490</v>
      </c>
      <c r="I2116" s="208"/>
      <c r="J2116" s="210"/>
      <c r="K2116" s="210"/>
      <c r="L2116" s="210"/>
      <c r="M2116" s="210"/>
      <c r="N2116" s="210"/>
      <c r="O2116" s="210"/>
      <c r="P2116" s="210"/>
      <c r="Q2116" s="210"/>
      <c r="R2116" s="210"/>
      <c r="S2116" s="210"/>
      <c r="T2116" s="210"/>
      <c r="U2116" s="210"/>
      <c r="V2116" s="210"/>
      <c r="W2116" s="210"/>
      <c r="X2116" s="210"/>
      <c r="Y2116" s="210"/>
      <c r="Z2116" s="210"/>
    </row>
    <row r="2117" ht="21.75" customHeight="1">
      <c r="A2117" s="214"/>
      <c r="B2117" s="217"/>
      <c r="C2117" s="222">
        <v>104.0</v>
      </c>
      <c r="D2117" s="215" t="s">
        <v>507</v>
      </c>
      <c r="E2117" s="215" t="s">
        <v>508</v>
      </c>
      <c r="F2117" s="215" t="s">
        <v>509</v>
      </c>
      <c r="G2117" s="215" t="s">
        <v>510</v>
      </c>
      <c r="H2117" s="225" t="s">
        <v>2022</v>
      </c>
      <c r="I2117" s="208"/>
      <c r="J2117" s="210"/>
      <c r="K2117" s="210"/>
      <c r="L2117" s="210"/>
      <c r="M2117" s="210"/>
      <c r="N2117" s="210"/>
      <c r="O2117" s="210"/>
      <c r="P2117" s="210"/>
      <c r="Q2117" s="210"/>
      <c r="R2117" s="210"/>
      <c r="S2117" s="210"/>
      <c r="T2117" s="210"/>
      <c r="U2117" s="210"/>
      <c r="V2117" s="210"/>
      <c r="W2117" s="210"/>
      <c r="X2117" s="210"/>
      <c r="Y2117" s="210"/>
      <c r="Z2117" s="210"/>
    </row>
    <row r="2118" ht="21.75" customHeight="1">
      <c r="A2118" s="214"/>
      <c r="B2118" s="218" t="s">
        <v>2023</v>
      </c>
      <c r="C2118" s="226">
        <v>50280.0</v>
      </c>
      <c r="D2118" s="220"/>
      <c r="E2118" s="220"/>
      <c r="F2118" s="220"/>
      <c r="G2118" s="220"/>
      <c r="H2118" s="221"/>
      <c r="I2118" s="208"/>
      <c r="J2118" s="210"/>
      <c r="K2118" s="210"/>
      <c r="L2118" s="210"/>
      <c r="M2118" s="210"/>
      <c r="N2118" s="210"/>
      <c r="O2118" s="210"/>
      <c r="P2118" s="210"/>
      <c r="Q2118" s="210"/>
      <c r="R2118" s="210"/>
      <c r="S2118" s="210"/>
      <c r="T2118" s="210"/>
      <c r="U2118" s="210"/>
      <c r="V2118" s="210"/>
      <c r="W2118" s="210"/>
      <c r="X2118" s="210"/>
      <c r="Y2118" s="210"/>
      <c r="Z2118" s="210"/>
    </row>
    <row r="2119" ht="21.75" customHeight="1">
      <c r="A2119" s="214"/>
      <c r="B2119" s="221"/>
      <c r="C2119" s="222">
        <v>100.0</v>
      </c>
      <c r="D2119" s="223" t="s">
        <v>486</v>
      </c>
      <c r="E2119" s="223" t="s">
        <v>487</v>
      </c>
      <c r="F2119" s="223" t="s">
        <v>488</v>
      </c>
      <c r="G2119" s="223" t="s">
        <v>489</v>
      </c>
      <c r="H2119" s="224" t="s">
        <v>490</v>
      </c>
      <c r="I2119" s="208"/>
      <c r="J2119" s="210"/>
      <c r="K2119" s="210"/>
      <c r="L2119" s="210"/>
      <c r="M2119" s="210"/>
      <c r="N2119" s="210"/>
      <c r="O2119" s="210"/>
      <c r="P2119" s="210"/>
      <c r="Q2119" s="210"/>
      <c r="R2119" s="210"/>
      <c r="S2119" s="210"/>
      <c r="T2119" s="210"/>
      <c r="U2119" s="210"/>
      <c r="V2119" s="210"/>
      <c r="W2119" s="210"/>
      <c r="X2119" s="210"/>
      <c r="Y2119" s="210"/>
      <c r="Z2119" s="210"/>
    </row>
    <row r="2120" ht="21.75" customHeight="1">
      <c r="A2120" s="214"/>
      <c r="B2120" s="221"/>
      <c r="C2120" s="222">
        <v>101.0</v>
      </c>
      <c r="D2120" s="223" t="s">
        <v>369</v>
      </c>
      <c r="E2120" s="223" t="s">
        <v>487</v>
      </c>
      <c r="F2120" s="223" t="s">
        <v>492</v>
      </c>
      <c r="G2120" s="223" t="s">
        <v>678</v>
      </c>
      <c r="H2120" s="225" t="s">
        <v>2024</v>
      </c>
      <c r="I2120" s="208"/>
      <c r="J2120" s="210"/>
      <c r="K2120" s="210"/>
      <c r="L2120" s="210"/>
      <c r="M2120" s="210"/>
      <c r="N2120" s="210"/>
      <c r="O2120" s="210"/>
      <c r="P2120" s="210"/>
      <c r="Q2120" s="210"/>
      <c r="R2120" s="210"/>
      <c r="S2120" s="210"/>
      <c r="T2120" s="210"/>
      <c r="U2120" s="210"/>
      <c r="V2120" s="210"/>
      <c r="W2120" s="210"/>
      <c r="X2120" s="210"/>
      <c r="Y2120" s="210"/>
      <c r="Z2120" s="210"/>
    </row>
    <row r="2121" ht="21.75" customHeight="1">
      <c r="A2121" s="214"/>
      <c r="B2121" s="221"/>
      <c r="C2121" s="222">
        <v>102.0</v>
      </c>
      <c r="D2121" s="223" t="s">
        <v>2025</v>
      </c>
      <c r="E2121" s="223" t="s">
        <v>487</v>
      </c>
      <c r="F2121" s="223" t="s">
        <v>496</v>
      </c>
      <c r="G2121" s="223" t="s">
        <v>497</v>
      </c>
      <c r="H2121" s="225" t="s">
        <v>2026</v>
      </c>
      <c r="I2121" s="208"/>
      <c r="J2121" s="210"/>
      <c r="K2121" s="210"/>
      <c r="L2121" s="210"/>
      <c r="M2121" s="210"/>
      <c r="N2121" s="210"/>
      <c r="O2121" s="210"/>
      <c r="P2121" s="210"/>
      <c r="Q2121" s="210"/>
      <c r="R2121" s="210"/>
      <c r="S2121" s="210"/>
      <c r="T2121" s="210"/>
      <c r="U2121" s="210"/>
      <c r="V2121" s="210"/>
      <c r="W2121" s="210"/>
      <c r="X2121" s="210"/>
      <c r="Y2121" s="210"/>
      <c r="Z2121" s="210"/>
    </row>
    <row r="2122" ht="21.75" customHeight="1">
      <c r="A2122" s="214"/>
      <c r="B2122" s="217"/>
      <c r="C2122" s="222">
        <v>103.0</v>
      </c>
      <c r="D2122" s="215" t="s">
        <v>507</v>
      </c>
      <c r="E2122" s="215" t="s">
        <v>508</v>
      </c>
      <c r="F2122" s="215" t="s">
        <v>509</v>
      </c>
      <c r="G2122" s="215" t="s">
        <v>510</v>
      </c>
      <c r="H2122" s="225" t="s">
        <v>2027</v>
      </c>
      <c r="I2122" s="208"/>
      <c r="J2122" s="210"/>
      <c r="K2122" s="210"/>
      <c r="L2122" s="210"/>
      <c r="M2122" s="210"/>
      <c r="N2122" s="210"/>
      <c r="O2122" s="210"/>
      <c r="P2122" s="210"/>
      <c r="Q2122" s="210"/>
      <c r="R2122" s="210"/>
      <c r="S2122" s="210"/>
      <c r="T2122" s="210"/>
      <c r="U2122" s="210"/>
      <c r="V2122" s="210"/>
      <c r="W2122" s="210"/>
      <c r="X2122" s="210"/>
      <c r="Y2122" s="210"/>
      <c r="Z2122" s="210"/>
    </row>
    <row r="2123" ht="21.75" customHeight="1">
      <c r="A2123" s="214"/>
      <c r="B2123" s="218" t="s">
        <v>2028</v>
      </c>
      <c r="C2123" s="226">
        <v>50419.0</v>
      </c>
      <c r="D2123" s="220"/>
      <c r="E2123" s="220"/>
      <c r="F2123" s="220"/>
      <c r="G2123" s="220"/>
      <c r="H2123" s="221"/>
      <c r="I2123" s="208"/>
      <c r="J2123" s="210"/>
      <c r="K2123" s="210"/>
      <c r="L2123" s="210"/>
      <c r="M2123" s="210"/>
      <c r="N2123" s="210"/>
      <c r="O2123" s="210"/>
      <c r="P2123" s="210"/>
      <c r="Q2123" s="210"/>
      <c r="R2123" s="210"/>
      <c r="S2123" s="210"/>
      <c r="T2123" s="210"/>
      <c r="U2123" s="210"/>
      <c r="V2123" s="210"/>
      <c r="W2123" s="210"/>
      <c r="X2123" s="210"/>
      <c r="Y2123" s="210"/>
      <c r="Z2123" s="210"/>
    </row>
    <row r="2124" ht="21.75" customHeight="1">
      <c r="A2124" s="214"/>
      <c r="B2124" s="221"/>
      <c r="C2124" s="222">
        <v>100.0</v>
      </c>
      <c r="D2124" s="223" t="s">
        <v>486</v>
      </c>
      <c r="E2124" s="223" t="s">
        <v>487</v>
      </c>
      <c r="F2124" s="223" t="s">
        <v>488</v>
      </c>
      <c r="G2124" s="223" t="s">
        <v>489</v>
      </c>
      <c r="H2124" s="224" t="s">
        <v>490</v>
      </c>
      <c r="I2124" s="208"/>
      <c r="J2124" s="210"/>
      <c r="K2124" s="210"/>
      <c r="L2124" s="210"/>
      <c r="M2124" s="210"/>
      <c r="N2124" s="210"/>
      <c r="O2124" s="210"/>
      <c r="P2124" s="210"/>
      <c r="Q2124" s="210"/>
      <c r="R2124" s="210"/>
      <c r="S2124" s="210"/>
      <c r="T2124" s="210"/>
      <c r="U2124" s="210"/>
      <c r="V2124" s="210"/>
      <c r="W2124" s="210"/>
      <c r="X2124" s="210"/>
      <c r="Y2124" s="210"/>
      <c r="Z2124" s="210"/>
    </row>
    <row r="2125" ht="21.75" customHeight="1">
      <c r="A2125" s="214"/>
      <c r="B2125" s="221"/>
      <c r="C2125" s="222">
        <v>101.0</v>
      </c>
      <c r="D2125" s="223" t="s">
        <v>491</v>
      </c>
      <c r="E2125" s="223" t="s">
        <v>487</v>
      </c>
      <c r="F2125" s="223" t="s">
        <v>492</v>
      </c>
      <c r="G2125" s="223" t="s">
        <v>678</v>
      </c>
      <c r="H2125" s="225" t="s">
        <v>2029</v>
      </c>
      <c r="I2125" s="208"/>
      <c r="J2125" s="210"/>
      <c r="K2125" s="210"/>
      <c r="L2125" s="210"/>
      <c r="M2125" s="210"/>
      <c r="N2125" s="210"/>
      <c r="O2125" s="210"/>
      <c r="P2125" s="210"/>
      <c r="Q2125" s="210"/>
      <c r="R2125" s="210"/>
      <c r="S2125" s="210"/>
      <c r="T2125" s="210"/>
      <c r="U2125" s="210"/>
      <c r="V2125" s="210"/>
      <c r="W2125" s="210"/>
      <c r="X2125" s="210"/>
      <c r="Y2125" s="210"/>
      <c r="Z2125" s="210"/>
    </row>
    <row r="2126" ht="21.75" customHeight="1">
      <c r="A2126" s="214"/>
      <c r="B2126" s="221"/>
      <c r="C2126" s="222">
        <v>102.0</v>
      </c>
      <c r="D2126" s="223" t="s">
        <v>1350</v>
      </c>
      <c r="E2126" s="223" t="s">
        <v>487</v>
      </c>
      <c r="F2126" s="223" t="s">
        <v>496</v>
      </c>
      <c r="G2126" s="223" t="s">
        <v>497</v>
      </c>
      <c r="H2126" s="224" t="s">
        <v>490</v>
      </c>
      <c r="I2126" s="208"/>
      <c r="J2126" s="210"/>
      <c r="K2126" s="210"/>
      <c r="L2126" s="210"/>
      <c r="M2126" s="210"/>
      <c r="N2126" s="210"/>
      <c r="O2126" s="210"/>
      <c r="P2126" s="210"/>
      <c r="Q2126" s="210"/>
      <c r="R2126" s="210"/>
      <c r="S2126" s="210"/>
      <c r="T2126" s="210"/>
      <c r="U2126" s="210"/>
      <c r="V2126" s="210"/>
      <c r="W2126" s="210"/>
      <c r="X2126" s="210"/>
      <c r="Y2126" s="210"/>
      <c r="Z2126" s="210"/>
    </row>
    <row r="2127" ht="21.75" customHeight="1">
      <c r="A2127" s="214"/>
      <c r="B2127" s="221"/>
      <c r="C2127" s="222">
        <v>103.0</v>
      </c>
      <c r="D2127" s="223" t="s">
        <v>923</v>
      </c>
      <c r="E2127" s="223" t="s">
        <v>539</v>
      </c>
      <c r="F2127" s="223" t="s">
        <v>542</v>
      </c>
      <c r="G2127" s="223" t="s">
        <v>526</v>
      </c>
      <c r="H2127" s="224" t="s">
        <v>490</v>
      </c>
      <c r="I2127" s="208"/>
      <c r="J2127" s="210"/>
      <c r="K2127" s="210"/>
      <c r="L2127" s="210"/>
      <c r="M2127" s="210"/>
      <c r="N2127" s="210"/>
      <c r="O2127" s="210"/>
      <c r="P2127" s="210"/>
      <c r="Q2127" s="210"/>
      <c r="R2127" s="210"/>
      <c r="S2127" s="210"/>
      <c r="T2127" s="210"/>
      <c r="U2127" s="210"/>
      <c r="V2127" s="210"/>
      <c r="W2127" s="210"/>
      <c r="X2127" s="210"/>
      <c r="Y2127" s="210"/>
      <c r="Z2127" s="210"/>
    </row>
    <row r="2128" ht="21.75" customHeight="1">
      <c r="A2128" s="228"/>
      <c r="B2128" s="221"/>
      <c r="C2128" s="222">
        <v>104.0</v>
      </c>
      <c r="D2128" s="223" t="s">
        <v>507</v>
      </c>
      <c r="E2128" s="223" t="s">
        <v>508</v>
      </c>
      <c r="F2128" s="223" t="s">
        <v>509</v>
      </c>
      <c r="G2128" s="223" t="s">
        <v>510</v>
      </c>
      <c r="H2128" s="225" t="s">
        <v>2030</v>
      </c>
      <c r="I2128" s="208"/>
      <c r="J2128" s="210"/>
      <c r="K2128" s="210"/>
      <c r="L2128" s="210"/>
      <c r="M2128" s="210"/>
      <c r="N2128" s="210"/>
      <c r="O2128" s="210"/>
      <c r="P2128" s="210"/>
      <c r="Q2128" s="210"/>
      <c r="R2128" s="210"/>
      <c r="S2128" s="210"/>
      <c r="T2128" s="210"/>
      <c r="U2128" s="210"/>
      <c r="V2128" s="210"/>
      <c r="W2128" s="210"/>
      <c r="X2128" s="210"/>
      <c r="Y2128" s="210"/>
      <c r="Z2128" s="210"/>
    </row>
    <row r="2129" ht="21.75" customHeight="1">
      <c r="A2129" s="214">
        <v>342.0</v>
      </c>
      <c r="B2129" s="215" t="s">
        <v>2031</v>
      </c>
      <c r="C2129" s="216"/>
      <c r="D2129" s="217"/>
      <c r="E2129" s="217"/>
      <c r="F2129" s="217"/>
      <c r="G2129" s="217"/>
      <c r="H2129" s="217"/>
      <c r="I2129" s="208"/>
      <c r="J2129" s="210"/>
      <c r="K2129" s="210"/>
      <c r="L2129" s="210"/>
      <c r="M2129" s="210"/>
      <c r="N2129" s="210"/>
      <c r="O2129" s="210"/>
      <c r="P2129" s="210"/>
      <c r="Q2129" s="210"/>
      <c r="R2129" s="210"/>
      <c r="S2129" s="210"/>
      <c r="T2129" s="210"/>
      <c r="U2129" s="210"/>
      <c r="V2129" s="210"/>
      <c r="W2129" s="210"/>
      <c r="X2129" s="210"/>
      <c r="Y2129" s="210"/>
      <c r="Z2129" s="210"/>
    </row>
    <row r="2130" ht="21.75" customHeight="1">
      <c r="A2130" s="214"/>
      <c r="B2130" s="218" t="s">
        <v>2032</v>
      </c>
      <c r="C2130" s="219">
        <v>51081.0</v>
      </c>
      <c r="D2130" s="220"/>
      <c r="E2130" s="220"/>
      <c r="F2130" s="220"/>
      <c r="G2130" s="220"/>
      <c r="H2130" s="220"/>
      <c r="I2130" s="208"/>
      <c r="J2130" s="210"/>
      <c r="K2130" s="210"/>
      <c r="L2130" s="210"/>
      <c r="M2130" s="210"/>
      <c r="N2130" s="210"/>
      <c r="O2130" s="210"/>
      <c r="P2130" s="210"/>
      <c r="Q2130" s="210"/>
      <c r="R2130" s="210"/>
      <c r="S2130" s="210"/>
      <c r="T2130" s="210"/>
      <c r="U2130" s="210"/>
      <c r="V2130" s="210"/>
      <c r="W2130" s="210"/>
      <c r="X2130" s="210"/>
      <c r="Y2130" s="210"/>
      <c r="Z2130" s="210"/>
    </row>
    <row r="2131" ht="21.75" customHeight="1">
      <c r="A2131" s="214"/>
      <c r="B2131" s="221"/>
      <c r="C2131" s="222">
        <v>100.0</v>
      </c>
      <c r="D2131" s="223" t="s">
        <v>486</v>
      </c>
      <c r="E2131" s="223" t="s">
        <v>487</v>
      </c>
      <c r="F2131" s="223" t="s">
        <v>488</v>
      </c>
      <c r="G2131" s="223" t="s">
        <v>489</v>
      </c>
      <c r="H2131" s="224" t="s">
        <v>490</v>
      </c>
      <c r="I2131" s="208"/>
      <c r="J2131" s="210"/>
      <c r="K2131" s="210"/>
      <c r="L2131" s="210"/>
      <c r="M2131" s="210"/>
      <c r="N2131" s="210"/>
      <c r="O2131" s="210"/>
      <c r="P2131" s="210"/>
      <c r="Q2131" s="210"/>
      <c r="R2131" s="210"/>
      <c r="S2131" s="210"/>
      <c r="T2131" s="210"/>
      <c r="U2131" s="210"/>
      <c r="V2131" s="210"/>
      <c r="W2131" s="210"/>
      <c r="X2131" s="210"/>
      <c r="Y2131" s="210"/>
      <c r="Z2131" s="210"/>
    </row>
    <row r="2132" ht="21.75" customHeight="1">
      <c r="A2132" s="214"/>
      <c r="B2132" s="221"/>
      <c r="C2132" s="222">
        <v>101.0</v>
      </c>
      <c r="D2132" s="223" t="s">
        <v>2033</v>
      </c>
      <c r="E2132" s="223" t="s">
        <v>487</v>
      </c>
      <c r="F2132" s="223" t="s">
        <v>492</v>
      </c>
      <c r="G2132" s="223" t="s">
        <v>678</v>
      </c>
      <c r="H2132" s="225" t="s">
        <v>2034</v>
      </c>
      <c r="I2132" s="208"/>
      <c r="J2132" s="210"/>
      <c r="K2132" s="210"/>
      <c r="L2132" s="210"/>
      <c r="M2132" s="210"/>
      <c r="N2132" s="210"/>
      <c r="O2132" s="210"/>
      <c r="P2132" s="210"/>
      <c r="Q2132" s="210"/>
      <c r="R2132" s="210"/>
      <c r="S2132" s="210"/>
      <c r="T2132" s="210"/>
      <c r="U2132" s="210"/>
      <c r="V2132" s="210"/>
      <c r="W2132" s="210"/>
      <c r="X2132" s="210"/>
      <c r="Y2132" s="210"/>
      <c r="Z2132" s="210"/>
    </row>
    <row r="2133" ht="21.75" customHeight="1">
      <c r="A2133" s="214"/>
      <c r="B2133" s="221"/>
      <c r="C2133" s="222">
        <v>102.0</v>
      </c>
      <c r="D2133" s="223" t="s">
        <v>749</v>
      </c>
      <c r="E2133" s="223" t="s">
        <v>487</v>
      </c>
      <c r="F2133" s="223" t="s">
        <v>496</v>
      </c>
      <c r="G2133" s="223" t="s">
        <v>497</v>
      </c>
      <c r="H2133" s="224" t="s">
        <v>490</v>
      </c>
      <c r="I2133" s="208"/>
      <c r="J2133" s="210"/>
      <c r="K2133" s="210"/>
      <c r="L2133" s="210"/>
      <c r="M2133" s="210"/>
      <c r="N2133" s="210"/>
      <c r="O2133" s="210"/>
      <c r="P2133" s="210"/>
      <c r="Q2133" s="210"/>
      <c r="R2133" s="210"/>
      <c r="S2133" s="210"/>
      <c r="T2133" s="210"/>
      <c r="U2133" s="210"/>
      <c r="V2133" s="210"/>
      <c r="W2133" s="210"/>
      <c r="X2133" s="210"/>
      <c r="Y2133" s="210"/>
      <c r="Z2133" s="210"/>
    </row>
    <row r="2134" ht="21.75" customHeight="1">
      <c r="A2134" s="214"/>
      <c r="B2134" s="221"/>
      <c r="C2134" s="222">
        <v>103.0</v>
      </c>
      <c r="D2134" s="223" t="s">
        <v>750</v>
      </c>
      <c r="E2134" s="223" t="s">
        <v>487</v>
      </c>
      <c r="F2134" s="223" t="s">
        <v>500</v>
      </c>
      <c r="G2134" s="223" t="s">
        <v>594</v>
      </c>
      <c r="H2134" s="224" t="s">
        <v>490</v>
      </c>
      <c r="I2134" s="208"/>
      <c r="J2134" s="210"/>
      <c r="K2134" s="210"/>
      <c r="L2134" s="210"/>
      <c r="M2134" s="210"/>
      <c r="N2134" s="210"/>
      <c r="O2134" s="210"/>
      <c r="P2134" s="210"/>
      <c r="Q2134" s="210"/>
      <c r="R2134" s="210"/>
      <c r="S2134" s="210"/>
      <c r="T2134" s="210"/>
      <c r="U2134" s="210"/>
      <c r="V2134" s="210"/>
      <c r="W2134" s="210"/>
      <c r="X2134" s="210"/>
      <c r="Y2134" s="210"/>
      <c r="Z2134" s="210"/>
    </row>
    <row r="2135" ht="21.75" customHeight="1">
      <c r="A2135" s="214"/>
      <c r="B2135" s="221"/>
      <c r="C2135" s="222">
        <v>104.0</v>
      </c>
      <c r="D2135" s="223" t="s">
        <v>516</v>
      </c>
      <c r="E2135" s="223" t="s">
        <v>487</v>
      </c>
      <c r="F2135" s="223" t="s">
        <v>512</v>
      </c>
      <c r="G2135" s="223" t="s">
        <v>526</v>
      </c>
      <c r="H2135" s="224" t="s">
        <v>490</v>
      </c>
      <c r="I2135" s="208"/>
      <c r="J2135" s="210"/>
      <c r="K2135" s="210"/>
      <c r="L2135" s="210"/>
      <c r="M2135" s="210"/>
      <c r="N2135" s="210"/>
      <c r="O2135" s="210"/>
      <c r="P2135" s="210"/>
      <c r="Q2135" s="210"/>
      <c r="R2135" s="210"/>
      <c r="S2135" s="210"/>
      <c r="T2135" s="210"/>
      <c r="U2135" s="210"/>
      <c r="V2135" s="210"/>
      <c r="W2135" s="210"/>
      <c r="X2135" s="210"/>
      <c r="Y2135" s="210"/>
      <c r="Z2135" s="210"/>
    </row>
    <row r="2136" ht="21.75" customHeight="1">
      <c r="A2136" s="214"/>
      <c r="B2136" s="221"/>
      <c r="C2136" s="222">
        <v>105.0</v>
      </c>
      <c r="D2136" s="223" t="s">
        <v>2035</v>
      </c>
      <c r="E2136" s="223" t="s">
        <v>487</v>
      </c>
      <c r="F2136" s="223" t="s">
        <v>532</v>
      </c>
      <c r="G2136" s="218" t="s">
        <v>490</v>
      </c>
      <c r="H2136" s="224" t="s">
        <v>490</v>
      </c>
      <c r="I2136" s="208"/>
      <c r="J2136" s="210"/>
      <c r="K2136" s="210"/>
      <c r="L2136" s="210"/>
      <c r="M2136" s="210"/>
      <c r="N2136" s="210"/>
      <c r="O2136" s="210"/>
      <c r="P2136" s="210"/>
      <c r="Q2136" s="210"/>
      <c r="R2136" s="210"/>
      <c r="S2136" s="210"/>
      <c r="T2136" s="210"/>
      <c r="U2136" s="210"/>
      <c r="V2136" s="210"/>
      <c r="W2136" s="210"/>
      <c r="X2136" s="210"/>
      <c r="Y2136" s="210"/>
      <c r="Z2136" s="210"/>
    </row>
    <row r="2137" ht="21.75" customHeight="1">
      <c r="A2137" s="214"/>
      <c r="B2137" s="221"/>
      <c r="C2137" s="222">
        <v>106.0</v>
      </c>
      <c r="D2137" s="223" t="s">
        <v>736</v>
      </c>
      <c r="E2137" s="223" t="s">
        <v>487</v>
      </c>
      <c r="F2137" s="223" t="s">
        <v>590</v>
      </c>
      <c r="G2137" s="223" t="s">
        <v>513</v>
      </c>
      <c r="H2137" s="224" t="s">
        <v>490</v>
      </c>
      <c r="I2137" s="208"/>
      <c r="J2137" s="210"/>
      <c r="K2137" s="210"/>
      <c r="L2137" s="210"/>
      <c r="M2137" s="210"/>
      <c r="N2137" s="210"/>
      <c r="O2137" s="210"/>
      <c r="P2137" s="210"/>
      <c r="Q2137" s="210"/>
      <c r="R2137" s="210"/>
      <c r="S2137" s="210"/>
      <c r="T2137" s="210"/>
      <c r="U2137" s="210"/>
      <c r="V2137" s="210"/>
      <c r="W2137" s="210"/>
      <c r="X2137" s="210"/>
      <c r="Y2137" s="210"/>
      <c r="Z2137" s="210"/>
    </row>
    <row r="2138" ht="21.75" customHeight="1">
      <c r="A2138" s="214"/>
      <c r="B2138" s="221"/>
      <c r="C2138" s="222">
        <v>107.0</v>
      </c>
      <c r="D2138" s="223" t="s">
        <v>2036</v>
      </c>
      <c r="E2138" s="223" t="s">
        <v>487</v>
      </c>
      <c r="F2138" s="223" t="s">
        <v>603</v>
      </c>
      <c r="G2138" s="223" t="s">
        <v>501</v>
      </c>
      <c r="H2138" s="224" t="s">
        <v>490</v>
      </c>
      <c r="I2138" s="208"/>
      <c r="J2138" s="210"/>
      <c r="K2138" s="210"/>
      <c r="L2138" s="210"/>
      <c r="M2138" s="210"/>
      <c r="N2138" s="210"/>
      <c r="O2138" s="210"/>
      <c r="P2138" s="210"/>
      <c r="Q2138" s="210"/>
      <c r="R2138" s="210"/>
      <c r="S2138" s="210"/>
      <c r="T2138" s="210"/>
      <c r="U2138" s="210"/>
      <c r="V2138" s="210"/>
      <c r="W2138" s="210"/>
      <c r="X2138" s="210"/>
      <c r="Y2138" s="210"/>
      <c r="Z2138" s="210"/>
    </row>
    <row r="2139" ht="21.75" customHeight="1">
      <c r="A2139" s="214"/>
      <c r="B2139" s="221"/>
      <c r="C2139" s="222">
        <v>108.0</v>
      </c>
      <c r="D2139" s="223" t="s">
        <v>507</v>
      </c>
      <c r="E2139" s="223" t="s">
        <v>508</v>
      </c>
      <c r="F2139" s="223" t="s">
        <v>509</v>
      </c>
      <c r="G2139" s="223" t="s">
        <v>510</v>
      </c>
      <c r="H2139" s="224" t="s">
        <v>490</v>
      </c>
      <c r="I2139" s="208"/>
      <c r="J2139" s="210"/>
      <c r="K2139" s="210"/>
      <c r="L2139" s="210"/>
      <c r="M2139" s="210"/>
      <c r="N2139" s="210"/>
      <c r="O2139" s="210"/>
      <c r="P2139" s="210"/>
      <c r="Q2139" s="210"/>
      <c r="R2139" s="210"/>
      <c r="S2139" s="210"/>
      <c r="T2139" s="210"/>
      <c r="U2139" s="210"/>
      <c r="V2139" s="210"/>
      <c r="W2139" s="210"/>
      <c r="X2139" s="210"/>
      <c r="Y2139" s="210"/>
      <c r="Z2139" s="210"/>
    </row>
    <row r="2140" ht="21.75" customHeight="1">
      <c r="A2140" s="214"/>
      <c r="B2140" s="221"/>
      <c r="C2140" s="222">
        <v>109.0</v>
      </c>
      <c r="D2140" s="223" t="s">
        <v>696</v>
      </c>
      <c r="E2140" s="223" t="s">
        <v>673</v>
      </c>
      <c r="F2140" s="223" t="s">
        <v>696</v>
      </c>
      <c r="G2140" s="218" t="s">
        <v>490</v>
      </c>
      <c r="H2140" s="224" t="s">
        <v>490</v>
      </c>
      <c r="I2140" s="208"/>
      <c r="J2140" s="210"/>
      <c r="K2140" s="210"/>
      <c r="L2140" s="210"/>
      <c r="M2140" s="210"/>
      <c r="N2140" s="210"/>
      <c r="O2140" s="210"/>
      <c r="P2140" s="210"/>
      <c r="Q2140" s="210"/>
      <c r="R2140" s="210"/>
      <c r="S2140" s="210"/>
      <c r="T2140" s="210"/>
      <c r="U2140" s="210"/>
      <c r="V2140" s="210"/>
      <c r="W2140" s="210"/>
      <c r="X2140" s="210"/>
      <c r="Y2140" s="210"/>
      <c r="Z2140" s="210"/>
    </row>
    <row r="2141" ht="21.75" customHeight="1">
      <c r="A2141" s="214"/>
      <c r="B2141" s="221"/>
      <c r="C2141" s="222">
        <v>110.0</v>
      </c>
      <c r="D2141" s="223" t="s">
        <v>2037</v>
      </c>
      <c r="E2141" s="223" t="s">
        <v>487</v>
      </c>
      <c r="F2141" s="223" t="s">
        <v>579</v>
      </c>
      <c r="G2141" s="218" t="s">
        <v>490</v>
      </c>
      <c r="H2141" s="224" t="s">
        <v>490</v>
      </c>
      <c r="I2141" s="208"/>
      <c r="J2141" s="210"/>
      <c r="K2141" s="210"/>
      <c r="L2141" s="210"/>
      <c r="M2141" s="210"/>
      <c r="N2141" s="210"/>
      <c r="O2141" s="210"/>
      <c r="P2141" s="210"/>
      <c r="Q2141" s="210"/>
      <c r="R2141" s="210"/>
      <c r="S2141" s="210"/>
      <c r="T2141" s="210"/>
      <c r="U2141" s="210"/>
      <c r="V2141" s="210"/>
      <c r="W2141" s="210"/>
      <c r="X2141" s="210"/>
      <c r="Y2141" s="210"/>
      <c r="Z2141" s="210"/>
    </row>
    <row r="2142" ht="21.75" customHeight="1">
      <c r="A2142" s="214"/>
      <c r="B2142" s="221"/>
      <c r="C2142" s="222">
        <v>111.0</v>
      </c>
      <c r="D2142" s="223" t="s">
        <v>2038</v>
      </c>
      <c r="E2142" s="223" t="s">
        <v>487</v>
      </c>
      <c r="F2142" s="223" t="s">
        <v>583</v>
      </c>
      <c r="G2142" s="218" t="s">
        <v>490</v>
      </c>
      <c r="H2142" s="224" t="s">
        <v>490</v>
      </c>
      <c r="I2142" s="208"/>
      <c r="J2142" s="210"/>
      <c r="K2142" s="210"/>
      <c r="L2142" s="210"/>
      <c r="M2142" s="210"/>
      <c r="N2142" s="210"/>
      <c r="O2142" s="210"/>
      <c r="P2142" s="210"/>
      <c r="Q2142" s="210"/>
      <c r="R2142" s="210"/>
      <c r="S2142" s="210"/>
      <c r="T2142" s="210"/>
      <c r="U2142" s="210"/>
      <c r="V2142" s="210"/>
      <c r="W2142" s="210"/>
      <c r="X2142" s="210"/>
      <c r="Y2142" s="210"/>
      <c r="Z2142" s="210"/>
    </row>
    <row r="2143" ht="21.75" customHeight="1">
      <c r="A2143" s="214"/>
      <c r="B2143" s="221"/>
      <c r="C2143" s="222">
        <v>112.0</v>
      </c>
      <c r="D2143" s="223" t="s">
        <v>2039</v>
      </c>
      <c r="E2143" s="223" t="s">
        <v>487</v>
      </c>
      <c r="F2143" s="223" t="s">
        <v>601</v>
      </c>
      <c r="G2143" s="218" t="s">
        <v>490</v>
      </c>
      <c r="H2143" s="224" t="s">
        <v>490</v>
      </c>
      <c r="I2143" s="208"/>
      <c r="J2143" s="210"/>
      <c r="K2143" s="210"/>
      <c r="L2143" s="210"/>
      <c r="M2143" s="210"/>
      <c r="N2143" s="210"/>
      <c r="O2143" s="210"/>
      <c r="P2143" s="210"/>
      <c r="Q2143" s="210"/>
      <c r="R2143" s="210"/>
      <c r="S2143" s="210"/>
      <c r="T2143" s="210"/>
      <c r="U2143" s="210"/>
      <c r="V2143" s="210"/>
      <c r="W2143" s="210"/>
      <c r="X2143" s="210"/>
      <c r="Y2143" s="210"/>
      <c r="Z2143" s="210"/>
    </row>
    <row r="2144" ht="21.75" customHeight="1">
      <c r="A2144" s="214"/>
      <c r="B2144" s="221"/>
      <c r="C2144" s="222">
        <v>113.0</v>
      </c>
      <c r="D2144" s="223" t="s">
        <v>2040</v>
      </c>
      <c r="E2144" s="223" t="s">
        <v>487</v>
      </c>
      <c r="F2144" s="223" t="s">
        <v>560</v>
      </c>
      <c r="G2144" s="218" t="s">
        <v>490</v>
      </c>
      <c r="H2144" s="224" t="s">
        <v>490</v>
      </c>
      <c r="I2144" s="208"/>
      <c r="J2144" s="210"/>
      <c r="K2144" s="210"/>
      <c r="L2144" s="210"/>
      <c r="M2144" s="210"/>
      <c r="N2144" s="210"/>
      <c r="O2144" s="210"/>
      <c r="P2144" s="210"/>
      <c r="Q2144" s="210"/>
      <c r="R2144" s="210"/>
      <c r="S2144" s="210"/>
      <c r="T2144" s="210"/>
      <c r="U2144" s="210"/>
      <c r="V2144" s="210"/>
      <c r="W2144" s="210"/>
      <c r="X2144" s="210"/>
      <c r="Y2144" s="210"/>
      <c r="Z2144" s="210"/>
    </row>
    <row r="2145" ht="21.75" customHeight="1">
      <c r="A2145" s="214"/>
      <c r="B2145" s="221"/>
      <c r="C2145" s="222">
        <v>114.0</v>
      </c>
      <c r="D2145" s="223" t="s">
        <v>2041</v>
      </c>
      <c r="E2145" s="223" t="s">
        <v>487</v>
      </c>
      <c r="F2145" s="223" t="s">
        <v>593</v>
      </c>
      <c r="G2145" s="218" t="s">
        <v>490</v>
      </c>
      <c r="H2145" s="224" t="s">
        <v>490</v>
      </c>
      <c r="I2145" s="208"/>
      <c r="J2145" s="210"/>
      <c r="K2145" s="210"/>
      <c r="L2145" s="210"/>
      <c r="M2145" s="210"/>
      <c r="N2145" s="210"/>
      <c r="O2145" s="210"/>
      <c r="P2145" s="210"/>
      <c r="Q2145" s="210"/>
      <c r="R2145" s="210"/>
      <c r="S2145" s="210"/>
      <c r="T2145" s="210"/>
      <c r="U2145" s="210"/>
      <c r="V2145" s="210"/>
      <c r="W2145" s="210"/>
      <c r="X2145" s="210"/>
      <c r="Y2145" s="210"/>
      <c r="Z2145" s="210"/>
    </row>
    <row r="2146" ht="21.75" customHeight="1">
      <c r="A2146" s="214"/>
      <c r="B2146" s="221"/>
      <c r="C2146" s="222">
        <v>115.0</v>
      </c>
      <c r="D2146" s="223" t="s">
        <v>2042</v>
      </c>
      <c r="E2146" s="223" t="s">
        <v>487</v>
      </c>
      <c r="F2146" s="223" t="s">
        <v>613</v>
      </c>
      <c r="G2146" s="223" t="s">
        <v>561</v>
      </c>
      <c r="H2146" s="224" t="s">
        <v>490</v>
      </c>
      <c r="I2146" s="208"/>
      <c r="J2146" s="210"/>
      <c r="K2146" s="210"/>
      <c r="L2146" s="210"/>
      <c r="M2146" s="210"/>
      <c r="N2146" s="210"/>
      <c r="O2146" s="210"/>
      <c r="P2146" s="210"/>
      <c r="Q2146" s="210"/>
      <c r="R2146" s="210"/>
      <c r="S2146" s="210"/>
      <c r="T2146" s="210"/>
      <c r="U2146" s="210"/>
      <c r="V2146" s="210"/>
      <c r="W2146" s="210"/>
      <c r="X2146" s="210"/>
      <c r="Y2146" s="210"/>
      <c r="Z2146" s="210"/>
    </row>
    <row r="2147" ht="21.75" customHeight="1">
      <c r="A2147" s="228"/>
      <c r="B2147" s="221"/>
      <c r="C2147" s="222">
        <v>116.0</v>
      </c>
      <c r="D2147" s="223" t="s">
        <v>2043</v>
      </c>
      <c r="E2147" s="223" t="s">
        <v>487</v>
      </c>
      <c r="F2147" s="223" t="s">
        <v>605</v>
      </c>
      <c r="G2147" s="223" t="s">
        <v>608</v>
      </c>
      <c r="H2147" s="224" t="s">
        <v>490</v>
      </c>
      <c r="I2147" s="208"/>
      <c r="J2147" s="210"/>
      <c r="K2147" s="210"/>
      <c r="L2147" s="210"/>
      <c r="M2147" s="210"/>
      <c r="N2147" s="210"/>
      <c r="O2147" s="210"/>
      <c r="P2147" s="210"/>
      <c r="Q2147" s="210"/>
      <c r="R2147" s="210"/>
      <c r="S2147" s="210"/>
      <c r="T2147" s="210"/>
      <c r="U2147" s="210"/>
      <c r="V2147" s="210"/>
      <c r="W2147" s="210"/>
      <c r="X2147" s="210"/>
      <c r="Y2147" s="210"/>
      <c r="Z2147" s="210"/>
    </row>
    <row r="2148" ht="21.75" customHeight="1">
      <c r="A2148" s="214">
        <v>346.0</v>
      </c>
      <c r="B2148" s="215" t="s">
        <v>2044</v>
      </c>
      <c r="C2148" s="216"/>
      <c r="D2148" s="217"/>
      <c r="E2148" s="217"/>
      <c r="F2148" s="217"/>
      <c r="G2148" s="217"/>
      <c r="H2148" s="217"/>
      <c r="I2148" s="208"/>
      <c r="J2148" s="210"/>
      <c r="K2148" s="210"/>
      <c r="L2148" s="210"/>
      <c r="M2148" s="210"/>
      <c r="N2148" s="210"/>
      <c r="O2148" s="210"/>
      <c r="P2148" s="210"/>
      <c r="Q2148" s="210"/>
      <c r="R2148" s="210"/>
      <c r="S2148" s="210"/>
      <c r="T2148" s="210"/>
      <c r="U2148" s="210"/>
      <c r="V2148" s="210"/>
      <c r="W2148" s="210"/>
      <c r="X2148" s="210"/>
      <c r="Y2148" s="210"/>
      <c r="Z2148" s="210"/>
    </row>
    <row r="2149" ht="21.75" customHeight="1">
      <c r="A2149" s="214"/>
      <c r="B2149" s="218" t="s">
        <v>2045</v>
      </c>
      <c r="C2149" s="219">
        <v>51089.0</v>
      </c>
      <c r="D2149" s="220"/>
      <c r="E2149" s="220"/>
      <c r="F2149" s="220"/>
      <c r="G2149" s="220"/>
      <c r="H2149" s="220"/>
      <c r="I2149" s="208"/>
      <c r="J2149" s="210"/>
      <c r="K2149" s="210"/>
      <c r="L2149" s="210"/>
      <c r="M2149" s="210"/>
      <c r="N2149" s="210"/>
      <c r="O2149" s="210"/>
      <c r="P2149" s="210"/>
      <c r="Q2149" s="210"/>
      <c r="R2149" s="210"/>
      <c r="S2149" s="210"/>
      <c r="T2149" s="210"/>
      <c r="U2149" s="210"/>
      <c r="V2149" s="210"/>
      <c r="W2149" s="210"/>
      <c r="X2149" s="210"/>
      <c r="Y2149" s="210"/>
      <c r="Z2149" s="210"/>
    </row>
    <row r="2150" ht="21.75" customHeight="1">
      <c r="A2150" s="214"/>
      <c r="B2150" s="221"/>
      <c r="C2150" s="222">
        <v>100.0</v>
      </c>
      <c r="D2150" s="223" t="s">
        <v>491</v>
      </c>
      <c r="E2150" s="223" t="s">
        <v>487</v>
      </c>
      <c r="F2150" s="223" t="s">
        <v>488</v>
      </c>
      <c r="G2150" s="223" t="s">
        <v>678</v>
      </c>
      <c r="H2150" s="225" t="s">
        <v>2046</v>
      </c>
      <c r="I2150" s="208"/>
      <c r="J2150" s="210"/>
      <c r="K2150" s="210"/>
      <c r="L2150" s="210"/>
      <c r="M2150" s="210"/>
      <c r="N2150" s="210"/>
      <c r="O2150" s="210"/>
      <c r="P2150" s="210"/>
      <c r="Q2150" s="210"/>
      <c r="R2150" s="210"/>
      <c r="S2150" s="210"/>
      <c r="T2150" s="210"/>
      <c r="U2150" s="210"/>
      <c r="V2150" s="210"/>
      <c r="W2150" s="210"/>
      <c r="X2150" s="210"/>
      <c r="Y2150" s="210"/>
      <c r="Z2150" s="210"/>
    </row>
    <row r="2151" ht="21.75" customHeight="1">
      <c r="A2151" s="214"/>
      <c r="B2151" s="221"/>
      <c r="C2151" s="222">
        <v>101.0</v>
      </c>
      <c r="D2151" s="223" t="s">
        <v>1465</v>
      </c>
      <c r="E2151" s="223" t="s">
        <v>487</v>
      </c>
      <c r="F2151" s="223" t="s">
        <v>492</v>
      </c>
      <c r="G2151" s="223" t="s">
        <v>497</v>
      </c>
      <c r="H2151" s="224" t="s">
        <v>490</v>
      </c>
      <c r="I2151" s="208"/>
      <c r="J2151" s="210"/>
      <c r="K2151" s="210"/>
      <c r="L2151" s="210"/>
      <c r="M2151" s="210"/>
      <c r="N2151" s="210"/>
      <c r="O2151" s="210"/>
      <c r="P2151" s="210"/>
      <c r="Q2151" s="210"/>
      <c r="R2151" s="210"/>
      <c r="S2151" s="210"/>
      <c r="T2151" s="210"/>
      <c r="U2151" s="210"/>
      <c r="V2151" s="210"/>
      <c r="W2151" s="210"/>
      <c r="X2151" s="210"/>
      <c r="Y2151" s="210"/>
      <c r="Z2151" s="210"/>
    </row>
    <row r="2152" ht="21.75" customHeight="1">
      <c r="A2152" s="214"/>
      <c r="B2152" s="221"/>
      <c r="C2152" s="222">
        <v>102.0</v>
      </c>
      <c r="D2152" s="223" t="s">
        <v>1466</v>
      </c>
      <c r="E2152" s="223" t="s">
        <v>487</v>
      </c>
      <c r="F2152" s="223" t="s">
        <v>496</v>
      </c>
      <c r="G2152" s="223" t="s">
        <v>501</v>
      </c>
      <c r="H2152" s="224" t="s">
        <v>490</v>
      </c>
      <c r="I2152" s="208"/>
      <c r="J2152" s="210"/>
      <c r="K2152" s="210"/>
      <c r="L2152" s="210"/>
      <c r="M2152" s="210"/>
      <c r="N2152" s="210"/>
      <c r="O2152" s="210"/>
      <c r="P2152" s="210"/>
      <c r="Q2152" s="210"/>
      <c r="R2152" s="210"/>
      <c r="S2152" s="210"/>
      <c r="T2152" s="210"/>
      <c r="U2152" s="210"/>
      <c r="V2152" s="210"/>
      <c r="W2152" s="210"/>
      <c r="X2152" s="210"/>
      <c r="Y2152" s="210"/>
      <c r="Z2152" s="210"/>
    </row>
    <row r="2153" ht="21.75" customHeight="1">
      <c r="A2153" s="214"/>
      <c r="B2153" s="221"/>
      <c r="C2153" s="222">
        <v>103.0</v>
      </c>
      <c r="D2153" s="223" t="s">
        <v>519</v>
      </c>
      <c r="E2153" s="223" t="s">
        <v>508</v>
      </c>
      <c r="F2153" s="223" t="s">
        <v>509</v>
      </c>
      <c r="G2153" s="223" t="s">
        <v>510</v>
      </c>
      <c r="H2153" s="225" t="s">
        <v>2047</v>
      </c>
      <c r="I2153" s="208"/>
      <c r="J2153" s="210"/>
      <c r="K2153" s="210"/>
      <c r="L2153" s="210"/>
      <c r="M2153" s="210"/>
      <c r="N2153" s="210"/>
      <c r="O2153" s="210"/>
      <c r="P2153" s="210"/>
      <c r="Q2153" s="210"/>
      <c r="R2153" s="210"/>
      <c r="S2153" s="210"/>
      <c r="T2153" s="210"/>
      <c r="U2153" s="210"/>
      <c r="V2153" s="210"/>
      <c r="W2153" s="210"/>
      <c r="X2153" s="210"/>
      <c r="Y2153" s="210"/>
      <c r="Z2153" s="210"/>
    </row>
    <row r="2154" ht="21.75" customHeight="1">
      <c r="A2154" s="214"/>
      <c r="B2154" s="221"/>
      <c r="C2154" s="222">
        <v>104.0</v>
      </c>
      <c r="D2154" s="223" t="s">
        <v>862</v>
      </c>
      <c r="E2154" s="223" t="s">
        <v>539</v>
      </c>
      <c r="F2154" s="223" t="s">
        <v>863</v>
      </c>
      <c r="G2154" s="218" t="s">
        <v>490</v>
      </c>
      <c r="H2154" s="224" t="s">
        <v>490</v>
      </c>
      <c r="I2154" s="208"/>
      <c r="J2154" s="210"/>
      <c r="K2154" s="210"/>
      <c r="L2154" s="210"/>
      <c r="M2154" s="210"/>
      <c r="N2154" s="210"/>
      <c r="O2154" s="210"/>
      <c r="P2154" s="210"/>
      <c r="Q2154" s="210"/>
      <c r="R2154" s="210"/>
      <c r="S2154" s="210"/>
      <c r="T2154" s="210"/>
      <c r="U2154" s="210"/>
      <c r="V2154" s="210"/>
      <c r="W2154" s="210"/>
      <c r="X2154" s="210"/>
      <c r="Y2154" s="210"/>
      <c r="Z2154" s="210"/>
    </row>
    <row r="2155" ht="21.75" customHeight="1">
      <c r="A2155" s="214"/>
      <c r="B2155" s="221"/>
      <c r="C2155" s="222">
        <v>105.0</v>
      </c>
      <c r="D2155" s="223" t="s">
        <v>912</v>
      </c>
      <c r="E2155" s="223" t="s">
        <v>487</v>
      </c>
      <c r="F2155" s="223" t="s">
        <v>500</v>
      </c>
      <c r="G2155" s="223" t="s">
        <v>493</v>
      </c>
      <c r="H2155" s="224" t="s">
        <v>490</v>
      </c>
      <c r="I2155" s="208"/>
      <c r="J2155" s="210"/>
      <c r="K2155" s="210"/>
      <c r="L2155" s="210"/>
      <c r="M2155" s="210"/>
      <c r="N2155" s="210"/>
      <c r="O2155" s="210"/>
      <c r="P2155" s="210"/>
      <c r="Q2155" s="210"/>
      <c r="R2155" s="210"/>
      <c r="S2155" s="210"/>
      <c r="T2155" s="210"/>
      <c r="U2155" s="210"/>
      <c r="V2155" s="210"/>
      <c r="W2155" s="210"/>
      <c r="X2155" s="210"/>
      <c r="Y2155" s="210"/>
      <c r="Z2155" s="210"/>
    </row>
    <row r="2156" ht="21.75" customHeight="1">
      <c r="A2156" s="214"/>
      <c r="B2156" s="221"/>
      <c r="C2156" s="222">
        <v>106.0</v>
      </c>
      <c r="D2156" s="223" t="s">
        <v>1417</v>
      </c>
      <c r="E2156" s="223" t="s">
        <v>487</v>
      </c>
      <c r="F2156" s="223" t="s">
        <v>532</v>
      </c>
      <c r="G2156" s="223" t="s">
        <v>602</v>
      </c>
      <c r="H2156" s="224" t="s">
        <v>490</v>
      </c>
      <c r="I2156" s="208"/>
      <c r="J2156" s="210"/>
      <c r="K2156" s="210"/>
      <c r="L2156" s="210"/>
      <c r="M2156" s="210"/>
      <c r="N2156" s="210"/>
      <c r="O2156" s="210"/>
      <c r="P2156" s="210"/>
      <c r="Q2156" s="210"/>
      <c r="R2156" s="210"/>
      <c r="S2156" s="210"/>
      <c r="T2156" s="210"/>
      <c r="U2156" s="210"/>
      <c r="V2156" s="210"/>
      <c r="W2156" s="210"/>
      <c r="X2156" s="210"/>
      <c r="Y2156" s="210"/>
      <c r="Z2156" s="210"/>
    </row>
    <row r="2157" ht="21.75" customHeight="1">
      <c r="A2157" s="214"/>
      <c r="B2157" s="221"/>
      <c r="C2157" s="222">
        <v>107.0</v>
      </c>
      <c r="D2157" s="223" t="s">
        <v>2048</v>
      </c>
      <c r="E2157" s="223" t="s">
        <v>487</v>
      </c>
      <c r="F2157" s="223" t="s">
        <v>512</v>
      </c>
      <c r="G2157" s="223" t="s">
        <v>526</v>
      </c>
      <c r="H2157" s="224" t="s">
        <v>490</v>
      </c>
      <c r="I2157" s="208"/>
      <c r="J2157" s="210"/>
      <c r="K2157" s="210"/>
      <c r="L2157" s="210"/>
      <c r="M2157" s="210"/>
      <c r="N2157" s="210"/>
      <c r="O2157" s="210"/>
      <c r="P2157" s="210"/>
      <c r="Q2157" s="210"/>
      <c r="R2157" s="210"/>
      <c r="S2157" s="210"/>
      <c r="T2157" s="210"/>
      <c r="U2157" s="210"/>
      <c r="V2157" s="210"/>
      <c r="W2157" s="210"/>
      <c r="X2157" s="210"/>
      <c r="Y2157" s="210"/>
      <c r="Z2157" s="210"/>
    </row>
    <row r="2158" ht="21.75" customHeight="1">
      <c r="A2158" s="214"/>
      <c r="B2158" s="221"/>
      <c r="C2158" s="222">
        <v>108.0</v>
      </c>
      <c r="D2158" s="223" t="s">
        <v>507</v>
      </c>
      <c r="E2158" s="223" t="s">
        <v>539</v>
      </c>
      <c r="F2158" s="223" t="s">
        <v>621</v>
      </c>
      <c r="G2158" s="223" t="s">
        <v>561</v>
      </c>
      <c r="H2158" s="224" t="s">
        <v>490</v>
      </c>
      <c r="I2158" s="208"/>
      <c r="J2158" s="210"/>
      <c r="K2158" s="210"/>
      <c r="L2158" s="210"/>
      <c r="M2158" s="210"/>
      <c r="N2158" s="210"/>
      <c r="O2158" s="210"/>
      <c r="P2158" s="210"/>
      <c r="Q2158" s="210"/>
      <c r="R2158" s="210"/>
      <c r="S2158" s="210"/>
      <c r="T2158" s="210"/>
      <c r="U2158" s="210"/>
      <c r="V2158" s="210"/>
      <c r="W2158" s="210"/>
      <c r="X2158" s="210"/>
      <c r="Y2158" s="210"/>
      <c r="Z2158" s="210"/>
    </row>
    <row r="2159" ht="21.75" customHeight="1">
      <c r="A2159" s="214"/>
      <c r="B2159" s="221"/>
      <c r="C2159" s="222">
        <v>109.0</v>
      </c>
      <c r="D2159" s="223" t="s">
        <v>369</v>
      </c>
      <c r="E2159" s="223" t="s">
        <v>487</v>
      </c>
      <c r="F2159" s="223" t="s">
        <v>603</v>
      </c>
      <c r="G2159" s="223" t="s">
        <v>513</v>
      </c>
      <c r="H2159" s="224" t="s">
        <v>490</v>
      </c>
      <c r="I2159" s="208"/>
      <c r="J2159" s="210"/>
      <c r="K2159" s="210"/>
      <c r="L2159" s="210"/>
      <c r="M2159" s="210"/>
      <c r="N2159" s="210"/>
      <c r="O2159" s="210"/>
      <c r="P2159" s="210"/>
      <c r="Q2159" s="210"/>
      <c r="R2159" s="210"/>
      <c r="S2159" s="210"/>
      <c r="T2159" s="210"/>
      <c r="U2159" s="210"/>
      <c r="V2159" s="210"/>
      <c r="W2159" s="210"/>
      <c r="X2159" s="210"/>
      <c r="Y2159" s="210"/>
      <c r="Z2159" s="210"/>
    </row>
    <row r="2160" ht="21.75" customHeight="1">
      <c r="A2160" s="214"/>
      <c r="B2160" s="221"/>
      <c r="C2160" s="222">
        <v>110.0</v>
      </c>
      <c r="D2160" s="223" t="s">
        <v>1418</v>
      </c>
      <c r="E2160" s="223" t="s">
        <v>487</v>
      </c>
      <c r="F2160" s="223" t="s">
        <v>579</v>
      </c>
      <c r="G2160" s="223" t="s">
        <v>606</v>
      </c>
      <c r="H2160" s="224" t="s">
        <v>490</v>
      </c>
      <c r="I2160" s="208"/>
      <c r="J2160" s="210"/>
      <c r="K2160" s="210"/>
      <c r="L2160" s="210"/>
      <c r="M2160" s="210"/>
      <c r="N2160" s="210"/>
      <c r="O2160" s="210"/>
      <c r="P2160" s="210"/>
      <c r="Q2160" s="210"/>
      <c r="R2160" s="210"/>
      <c r="S2160" s="210"/>
      <c r="T2160" s="210"/>
      <c r="U2160" s="210"/>
      <c r="V2160" s="210"/>
      <c r="W2160" s="210"/>
      <c r="X2160" s="210"/>
      <c r="Y2160" s="210"/>
      <c r="Z2160" s="210"/>
    </row>
    <row r="2161" ht="21.75" customHeight="1">
      <c r="A2161" s="214"/>
      <c r="B2161" s="221"/>
      <c r="C2161" s="222">
        <v>111.0</v>
      </c>
      <c r="D2161" s="223" t="s">
        <v>862</v>
      </c>
      <c r="E2161" s="223" t="s">
        <v>539</v>
      </c>
      <c r="F2161" s="223" t="s">
        <v>542</v>
      </c>
      <c r="G2161" s="223" t="s">
        <v>864</v>
      </c>
      <c r="H2161" s="224" t="s">
        <v>490</v>
      </c>
      <c r="I2161" s="208"/>
      <c r="J2161" s="210"/>
      <c r="K2161" s="210"/>
      <c r="L2161" s="210"/>
      <c r="M2161" s="210"/>
      <c r="N2161" s="210"/>
      <c r="O2161" s="210"/>
      <c r="P2161" s="210"/>
      <c r="Q2161" s="210"/>
      <c r="R2161" s="210"/>
      <c r="S2161" s="210"/>
      <c r="T2161" s="210"/>
      <c r="U2161" s="210"/>
      <c r="V2161" s="210"/>
      <c r="W2161" s="210"/>
      <c r="X2161" s="210"/>
      <c r="Y2161" s="210"/>
      <c r="Z2161" s="210"/>
    </row>
    <row r="2162" ht="21.75" customHeight="1">
      <c r="A2162" s="214"/>
      <c r="B2162" s="221"/>
      <c r="C2162" s="222">
        <v>200.0</v>
      </c>
      <c r="D2162" s="223" t="s">
        <v>1420</v>
      </c>
      <c r="E2162" s="223" t="s">
        <v>487</v>
      </c>
      <c r="F2162" s="223" t="s">
        <v>560</v>
      </c>
      <c r="G2162" s="218" t="s">
        <v>490</v>
      </c>
      <c r="H2162" s="224" t="s">
        <v>490</v>
      </c>
      <c r="I2162" s="208"/>
      <c r="J2162" s="210"/>
      <c r="K2162" s="210"/>
      <c r="L2162" s="210"/>
      <c r="M2162" s="210"/>
      <c r="N2162" s="210"/>
      <c r="O2162" s="210"/>
      <c r="P2162" s="210"/>
      <c r="Q2162" s="210"/>
      <c r="R2162" s="210"/>
      <c r="S2162" s="210"/>
      <c r="T2162" s="210"/>
      <c r="U2162" s="210"/>
      <c r="V2162" s="210"/>
      <c r="W2162" s="210"/>
      <c r="X2162" s="210"/>
      <c r="Y2162" s="210"/>
      <c r="Z2162" s="210"/>
    </row>
    <row r="2163" ht="21.75" customHeight="1">
      <c r="A2163" s="214"/>
      <c r="B2163" s="221"/>
      <c r="C2163" s="222">
        <v>201.0</v>
      </c>
      <c r="D2163" s="223" t="s">
        <v>1421</v>
      </c>
      <c r="E2163" s="223" t="s">
        <v>487</v>
      </c>
      <c r="F2163" s="223" t="s">
        <v>613</v>
      </c>
      <c r="G2163" s="218" t="s">
        <v>490</v>
      </c>
      <c r="H2163" s="224" t="s">
        <v>490</v>
      </c>
      <c r="I2163" s="208"/>
      <c r="J2163" s="210"/>
      <c r="K2163" s="210"/>
      <c r="L2163" s="210"/>
      <c r="M2163" s="210"/>
      <c r="N2163" s="210"/>
      <c r="O2163" s="210"/>
      <c r="P2163" s="210"/>
      <c r="Q2163" s="210"/>
      <c r="R2163" s="210"/>
      <c r="S2163" s="210"/>
      <c r="T2163" s="210"/>
      <c r="U2163" s="210"/>
      <c r="V2163" s="210"/>
      <c r="W2163" s="210"/>
      <c r="X2163" s="210"/>
      <c r="Y2163" s="210"/>
      <c r="Z2163" s="210"/>
    </row>
    <row r="2164" ht="21.75" customHeight="1">
      <c r="A2164" s="214"/>
      <c r="B2164" s="221"/>
      <c r="C2164" s="222">
        <v>202.0</v>
      </c>
      <c r="D2164" s="223" t="s">
        <v>1419</v>
      </c>
      <c r="E2164" s="223" t="s">
        <v>487</v>
      </c>
      <c r="F2164" s="223" t="s">
        <v>601</v>
      </c>
      <c r="G2164" s="218" t="s">
        <v>490</v>
      </c>
      <c r="H2164" s="224" t="s">
        <v>490</v>
      </c>
      <c r="I2164" s="208"/>
      <c r="J2164" s="210"/>
      <c r="K2164" s="210"/>
      <c r="L2164" s="210"/>
      <c r="M2164" s="210"/>
      <c r="N2164" s="210"/>
      <c r="O2164" s="210"/>
      <c r="P2164" s="210"/>
      <c r="Q2164" s="210"/>
      <c r="R2164" s="210"/>
      <c r="S2164" s="210"/>
      <c r="T2164" s="210"/>
      <c r="U2164" s="210"/>
      <c r="V2164" s="210"/>
      <c r="W2164" s="210"/>
      <c r="X2164" s="210"/>
      <c r="Y2164" s="210"/>
      <c r="Z2164" s="210"/>
    </row>
    <row r="2165" ht="21.75" customHeight="1">
      <c r="A2165" s="214"/>
      <c r="B2165" s="221"/>
      <c r="C2165" s="222">
        <v>203.0</v>
      </c>
      <c r="D2165" s="223" t="s">
        <v>1423</v>
      </c>
      <c r="E2165" s="223" t="s">
        <v>529</v>
      </c>
      <c r="F2165" s="223" t="s">
        <v>1367</v>
      </c>
      <c r="G2165" s="218" t="s">
        <v>490</v>
      </c>
      <c r="H2165" s="224" t="s">
        <v>490</v>
      </c>
      <c r="I2165" s="208"/>
      <c r="J2165" s="210"/>
      <c r="K2165" s="210"/>
      <c r="L2165" s="210"/>
      <c r="M2165" s="210"/>
      <c r="N2165" s="210"/>
      <c r="O2165" s="210"/>
      <c r="P2165" s="210"/>
      <c r="Q2165" s="210"/>
      <c r="R2165" s="210"/>
      <c r="S2165" s="210"/>
      <c r="T2165" s="210"/>
      <c r="U2165" s="210"/>
      <c r="V2165" s="210"/>
      <c r="W2165" s="210"/>
      <c r="X2165" s="210"/>
      <c r="Y2165" s="210"/>
      <c r="Z2165" s="210"/>
    </row>
    <row r="2166" ht="21.75" customHeight="1">
      <c r="A2166" s="214"/>
      <c r="B2166" s="221"/>
      <c r="C2166" s="222">
        <v>204.0</v>
      </c>
      <c r="D2166" s="223" t="s">
        <v>1424</v>
      </c>
      <c r="E2166" s="223" t="s">
        <v>487</v>
      </c>
      <c r="F2166" s="223" t="s">
        <v>593</v>
      </c>
      <c r="G2166" s="218" t="s">
        <v>490</v>
      </c>
      <c r="H2166" s="224" t="s">
        <v>490</v>
      </c>
      <c r="I2166" s="208"/>
      <c r="J2166" s="210"/>
      <c r="K2166" s="210"/>
      <c r="L2166" s="210"/>
      <c r="M2166" s="210"/>
      <c r="N2166" s="210"/>
      <c r="O2166" s="210"/>
      <c r="P2166" s="210"/>
      <c r="Q2166" s="210"/>
      <c r="R2166" s="210"/>
      <c r="S2166" s="210"/>
      <c r="T2166" s="210"/>
      <c r="U2166" s="210"/>
      <c r="V2166" s="210"/>
      <c r="W2166" s="210"/>
      <c r="X2166" s="210"/>
      <c r="Y2166" s="210"/>
      <c r="Z2166" s="210"/>
    </row>
    <row r="2167" ht="21.75" customHeight="1">
      <c r="A2167" s="214"/>
      <c r="B2167" s="221"/>
      <c r="C2167" s="222">
        <v>205.0</v>
      </c>
      <c r="D2167" s="223" t="s">
        <v>1422</v>
      </c>
      <c r="E2167" s="223" t="s">
        <v>529</v>
      </c>
      <c r="F2167" s="223" t="s">
        <v>530</v>
      </c>
      <c r="G2167" s="218" t="s">
        <v>490</v>
      </c>
      <c r="H2167" s="224" t="s">
        <v>490</v>
      </c>
      <c r="I2167" s="208"/>
      <c r="J2167" s="210"/>
      <c r="K2167" s="210"/>
      <c r="L2167" s="210"/>
      <c r="M2167" s="210"/>
      <c r="N2167" s="210"/>
      <c r="O2167" s="210"/>
      <c r="P2167" s="210"/>
      <c r="Q2167" s="210"/>
      <c r="R2167" s="210"/>
      <c r="S2167" s="210"/>
      <c r="T2167" s="210"/>
      <c r="U2167" s="210"/>
      <c r="V2167" s="210"/>
      <c r="W2167" s="210"/>
      <c r="X2167" s="210"/>
      <c r="Y2167" s="210"/>
      <c r="Z2167" s="210"/>
    </row>
    <row r="2168" ht="21.75" customHeight="1">
      <c r="A2168" s="214"/>
      <c r="B2168" s="221"/>
      <c r="C2168" s="222">
        <v>206.0</v>
      </c>
      <c r="D2168" s="223" t="s">
        <v>555</v>
      </c>
      <c r="E2168" s="223" t="s">
        <v>487</v>
      </c>
      <c r="F2168" s="223" t="s">
        <v>605</v>
      </c>
      <c r="G2168" s="218" t="s">
        <v>490</v>
      </c>
      <c r="H2168" s="224" t="s">
        <v>490</v>
      </c>
      <c r="I2168" s="208"/>
      <c r="J2168" s="210"/>
      <c r="K2168" s="210"/>
      <c r="L2168" s="210"/>
      <c r="M2168" s="210"/>
      <c r="N2168" s="210"/>
      <c r="O2168" s="210"/>
      <c r="P2168" s="210"/>
      <c r="Q2168" s="210"/>
      <c r="R2168" s="210"/>
      <c r="S2168" s="210"/>
      <c r="T2168" s="210"/>
      <c r="U2168" s="210"/>
      <c r="V2168" s="210"/>
      <c r="W2168" s="210"/>
      <c r="X2168" s="210"/>
      <c r="Y2168" s="210"/>
      <c r="Z2168" s="210"/>
    </row>
    <row r="2169" ht="21.75" customHeight="1">
      <c r="A2169" s="214"/>
      <c r="B2169" s="221"/>
      <c r="C2169" s="222">
        <v>207.0</v>
      </c>
      <c r="D2169" s="223" t="s">
        <v>1426</v>
      </c>
      <c r="E2169" s="223" t="s">
        <v>487</v>
      </c>
      <c r="F2169" s="223" t="s">
        <v>583</v>
      </c>
      <c r="G2169" s="218" t="s">
        <v>490</v>
      </c>
      <c r="H2169" s="224" t="s">
        <v>490</v>
      </c>
      <c r="I2169" s="208"/>
      <c r="J2169" s="210"/>
      <c r="K2169" s="210"/>
      <c r="L2169" s="210"/>
      <c r="M2169" s="210"/>
      <c r="N2169" s="210"/>
      <c r="O2169" s="210"/>
      <c r="P2169" s="210"/>
      <c r="Q2169" s="210"/>
      <c r="R2169" s="210"/>
      <c r="S2169" s="210"/>
      <c r="T2169" s="210"/>
      <c r="U2169" s="210"/>
      <c r="V2169" s="210"/>
      <c r="W2169" s="210"/>
      <c r="X2169" s="210"/>
      <c r="Y2169" s="210"/>
      <c r="Z2169" s="210"/>
    </row>
    <row r="2170" ht="21.75" customHeight="1">
      <c r="A2170" s="214"/>
      <c r="B2170" s="221"/>
      <c r="C2170" s="222">
        <v>208.0</v>
      </c>
      <c r="D2170" s="223" t="s">
        <v>1425</v>
      </c>
      <c r="E2170" s="223" t="s">
        <v>539</v>
      </c>
      <c r="F2170" s="223" t="s">
        <v>625</v>
      </c>
      <c r="G2170" s="218" t="s">
        <v>490</v>
      </c>
      <c r="H2170" s="224" t="s">
        <v>490</v>
      </c>
      <c r="I2170" s="208"/>
      <c r="J2170" s="210"/>
      <c r="K2170" s="210"/>
      <c r="L2170" s="210"/>
      <c r="M2170" s="210"/>
      <c r="N2170" s="210"/>
      <c r="O2170" s="210"/>
      <c r="P2170" s="210"/>
      <c r="Q2170" s="210"/>
      <c r="R2170" s="210"/>
      <c r="S2170" s="210"/>
      <c r="T2170" s="210"/>
      <c r="U2170" s="210"/>
      <c r="V2170" s="210"/>
      <c r="W2170" s="210"/>
      <c r="X2170" s="210"/>
      <c r="Y2170" s="210"/>
      <c r="Z2170" s="210"/>
    </row>
    <row r="2171" ht="21.75" customHeight="1">
      <c r="A2171" s="214"/>
      <c r="B2171" s="221"/>
      <c r="C2171" s="222">
        <v>209.0</v>
      </c>
      <c r="D2171" s="223" t="s">
        <v>1427</v>
      </c>
      <c r="E2171" s="223" t="s">
        <v>487</v>
      </c>
      <c r="F2171" s="223" t="s">
        <v>638</v>
      </c>
      <c r="G2171" s="218" t="s">
        <v>490</v>
      </c>
      <c r="H2171" s="224" t="s">
        <v>490</v>
      </c>
      <c r="I2171" s="208"/>
      <c r="J2171" s="210"/>
      <c r="K2171" s="210"/>
      <c r="L2171" s="210"/>
      <c r="M2171" s="210"/>
      <c r="N2171" s="210"/>
      <c r="O2171" s="210"/>
      <c r="P2171" s="210"/>
      <c r="Q2171" s="210"/>
      <c r="R2171" s="210"/>
      <c r="S2171" s="210"/>
      <c r="T2171" s="210"/>
      <c r="U2171" s="210"/>
      <c r="V2171" s="210"/>
      <c r="W2171" s="210"/>
      <c r="X2171" s="210"/>
      <c r="Y2171" s="210"/>
      <c r="Z2171" s="210"/>
    </row>
    <row r="2172" ht="21.75" customHeight="1">
      <c r="A2172" s="228"/>
      <c r="B2172" s="221"/>
      <c r="C2172" s="222">
        <v>300.0</v>
      </c>
      <c r="D2172" s="223" t="s">
        <v>696</v>
      </c>
      <c r="E2172" s="223" t="s">
        <v>673</v>
      </c>
      <c r="F2172" s="223" t="s">
        <v>696</v>
      </c>
      <c r="G2172" s="218" t="s">
        <v>490</v>
      </c>
      <c r="H2172" s="224" t="s">
        <v>490</v>
      </c>
      <c r="I2172" s="208"/>
      <c r="J2172" s="210"/>
      <c r="K2172" s="210"/>
      <c r="L2172" s="210"/>
      <c r="M2172" s="210"/>
      <c r="N2172" s="210"/>
      <c r="O2172" s="210"/>
      <c r="P2172" s="210"/>
      <c r="Q2172" s="210"/>
      <c r="R2172" s="210"/>
      <c r="S2172" s="210"/>
      <c r="T2172" s="210"/>
      <c r="U2172" s="210"/>
      <c r="V2172" s="210"/>
      <c r="W2172" s="210"/>
      <c r="X2172" s="210"/>
      <c r="Y2172" s="210"/>
      <c r="Z2172" s="210"/>
    </row>
    <row r="2173" ht="21.75" customHeight="1">
      <c r="A2173" s="214">
        <v>348.0</v>
      </c>
      <c r="B2173" s="215" t="s">
        <v>2049</v>
      </c>
      <c r="C2173" s="216"/>
      <c r="D2173" s="217"/>
      <c r="E2173" s="217"/>
      <c r="F2173" s="217"/>
      <c r="G2173" s="217"/>
      <c r="H2173" s="217"/>
      <c r="I2173" s="208"/>
      <c r="J2173" s="210"/>
      <c r="K2173" s="210"/>
      <c r="L2173" s="210"/>
      <c r="M2173" s="210"/>
      <c r="N2173" s="210"/>
      <c r="O2173" s="210"/>
      <c r="P2173" s="210"/>
      <c r="Q2173" s="210"/>
      <c r="R2173" s="210"/>
      <c r="S2173" s="210"/>
      <c r="T2173" s="210"/>
      <c r="U2173" s="210"/>
      <c r="V2173" s="210"/>
      <c r="W2173" s="210"/>
      <c r="X2173" s="210"/>
      <c r="Y2173" s="210"/>
      <c r="Z2173" s="210"/>
    </row>
    <row r="2174" ht="21.75" customHeight="1">
      <c r="A2174" s="214"/>
      <c r="B2174" s="218" t="s">
        <v>2050</v>
      </c>
      <c r="C2174" s="219">
        <v>50991.0</v>
      </c>
      <c r="D2174" s="220"/>
      <c r="E2174" s="220"/>
      <c r="F2174" s="220"/>
      <c r="G2174" s="220"/>
      <c r="H2174" s="220"/>
      <c r="I2174" s="208"/>
      <c r="J2174" s="210"/>
      <c r="K2174" s="210"/>
      <c r="L2174" s="210"/>
      <c r="M2174" s="210"/>
      <c r="N2174" s="210"/>
      <c r="O2174" s="210"/>
      <c r="P2174" s="210"/>
      <c r="Q2174" s="210"/>
      <c r="R2174" s="210"/>
      <c r="S2174" s="210"/>
      <c r="T2174" s="210"/>
      <c r="U2174" s="210"/>
      <c r="V2174" s="210"/>
      <c r="W2174" s="210"/>
      <c r="X2174" s="210"/>
      <c r="Y2174" s="210"/>
      <c r="Z2174" s="210"/>
    </row>
    <row r="2175" ht="21.75" customHeight="1">
      <c r="A2175" s="214"/>
      <c r="B2175" s="221"/>
      <c r="C2175" s="222">
        <v>100.0</v>
      </c>
      <c r="D2175" s="223" t="s">
        <v>486</v>
      </c>
      <c r="E2175" s="223" t="s">
        <v>487</v>
      </c>
      <c r="F2175" s="223" t="s">
        <v>488</v>
      </c>
      <c r="G2175" s="223" t="s">
        <v>489</v>
      </c>
      <c r="H2175" s="224" t="s">
        <v>490</v>
      </c>
      <c r="I2175" s="208"/>
      <c r="J2175" s="210"/>
      <c r="K2175" s="210"/>
      <c r="L2175" s="210"/>
      <c r="M2175" s="210"/>
      <c r="N2175" s="210"/>
      <c r="O2175" s="210"/>
      <c r="P2175" s="210"/>
      <c r="Q2175" s="210"/>
      <c r="R2175" s="210"/>
      <c r="S2175" s="210"/>
      <c r="T2175" s="210"/>
      <c r="U2175" s="210"/>
      <c r="V2175" s="210"/>
      <c r="W2175" s="210"/>
      <c r="X2175" s="210"/>
      <c r="Y2175" s="210"/>
      <c r="Z2175" s="210"/>
    </row>
    <row r="2176" ht="21.75" customHeight="1">
      <c r="A2176" s="214"/>
      <c r="B2176" s="221"/>
      <c r="C2176" s="222">
        <v>101.0</v>
      </c>
      <c r="D2176" s="223" t="s">
        <v>491</v>
      </c>
      <c r="E2176" s="223" t="s">
        <v>487</v>
      </c>
      <c r="F2176" s="223" t="s">
        <v>492</v>
      </c>
      <c r="G2176" s="223" t="s">
        <v>678</v>
      </c>
      <c r="H2176" s="225" t="s">
        <v>2051</v>
      </c>
      <c r="I2176" s="208"/>
      <c r="J2176" s="210"/>
      <c r="K2176" s="210"/>
      <c r="L2176" s="210"/>
      <c r="M2176" s="210"/>
      <c r="N2176" s="210"/>
      <c r="O2176" s="210"/>
      <c r="P2176" s="210"/>
      <c r="Q2176" s="210"/>
      <c r="R2176" s="210"/>
      <c r="S2176" s="210"/>
      <c r="T2176" s="210"/>
      <c r="U2176" s="210"/>
      <c r="V2176" s="210"/>
      <c r="W2176" s="210"/>
      <c r="X2176" s="210"/>
      <c r="Y2176" s="210"/>
      <c r="Z2176" s="210"/>
    </row>
    <row r="2177" ht="21.75" customHeight="1">
      <c r="A2177" s="214"/>
      <c r="B2177" s="221"/>
      <c r="C2177" s="222">
        <v>102.0</v>
      </c>
      <c r="D2177" s="223" t="s">
        <v>973</v>
      </c>
      <c r="E2177" s="223" t="s">
        <v>487</v>
      </c>
      <c r="F2177" s="223" t="s">
        <v>496</v>
      </c>
      <c r="G2177" s="223" t="s">
        <v>497</v>
      </c>
      <c r="H2177" s="225" t="s">
        <v>1895</v>
      </c>
      <c r="I2177" s="208"/>
      <c r="J2177" s="210"/>
      <c r="K2177" s="210"/>
      <c r="L2177" s="210"/>
      <c r="M2177" s="210"/>
      <c r="N2177" s="210"/>
      <c r="O2177" s="210"/>
      <c r="P2177" s="210"/>
      <c r="Q2177" s="210"/>
      <c r="R2177" s="210"/>
      <c r="S2177" s="210"/>
      <c r="T2177" s="210"/>
      <c r="U2177" s="210"/>
      <c r="V2177" s="210"/>
      <c r="W2177" s="210"/>
      <c r="X2177" s="210"/>
      <c r="Y2177" s="210"/>
      <c r="Z2177" s="210"/>
    </row>
    <row r="2178" ht="21.75" customHeight="1">
      <c r="A2178" s="214"/>
      <c r="B2178" s="221"/>
      <c r="C2178" s="222">
        <v>103.0</v>
      </c>
      <c r="D2178" s="223" t="s">
        <v>716</v>
      </c>
      <c r="E2178" s="223" t="s">
        <v>487</v>
      </c>
      <c r="F2178" s="223" t="s">
        <v>500</v>
      </c>
      <c r="G2178" s="223" t="s">
        <v>501</v>
      </c>
      <c r="H2178" s="224" t="s">
        <v>490</v>
      </c>
      <c r="I2178" s="208"/>
      <c r="J2178" s="210"/>
      <c r="K2178" s="210"/>
      <c r="L2178" s="210"/>
      <c r="M2178" s="210"/>
      <c r="N2178" s="210"/>
      <c r="O2178" s="210"/>
      <c r="P2178" s="210"/>
      <c r="Q2178" s="210"/>
      <c r="R2178" s="210"/>
      <c r="S2178" s="210"/>
      <c r="T2178" s="210"/>
      <c r="U2178" s="210"/>
      <c r="V2178" s="210"/>
      <c r="W2178" s="210"/>
      <c r="X2178" s="210"/>
      <c r="Y2178" s="210"/>
      <c r="Z2178" s="210"/>
    </row>
    <row r="2179" ht="21.75" customHeight="1">
      <c r="A2179" s="214"/>
      <c r="B2179" s="221"/>
      <c r="C2179" s="222">
        <v>104.0</v>
      </c>
      <c r="D2179" s="223" t="s">
        <v>765</v>
      </c>
      <c r="E2179" s="223" t="s">
        <v>487</v>
      </c>
      <c r="F2179" s="223" t="s">
        <v>512</v>
      </c>
      <c r="G2179" s="223" t="s">
        <v>493</v>
      </c>
      <c r="H2179" s="225" t="s">
        <v>2052</v>
      </c>
      <c r="I2179" s="208"/>
      <c r="J2179" s="210"/>
      <c r="K2179" s="210"/>
      <c r="L2179" s="210"/>
      <c r="M2179" s="210"/>
      <c r="N2179" s="210"/>
      <c r="O2179" s="210"/>
      <c r="P2179" s="210"/>
      <c r="Q2179" s="210"/>
      <c r="R2179" s="210"/>
      <c r="S2179" s="210"/>
      <c r="T2179" s="210"/>
      <c r="U2179" s="210"/>
      <c r="V2179" s="210"/>
      <c r="W2179" s="210"/>
      <c r="X2179" s="210"/>
      <c r="Y2179" s="210"/>
      <c r="Z2179" s="210"/>
    </row>
    <row r="2180" ht="21.75" customHeight="1">
      <c r="A2180" s="214"/>
      <c r="B2180" s="221"/>
      <c r="C2180" s="222">
        <v>105.0</v>
      </c>
      <c r="D2180" s="223" t="s">
        <v>1260</v>
      </c>
      <c r="E2180" s="223" t="s">
        <v>487</v>
      </c>
      <c r="F2180" s="223" t="s">
        <v>532</v>
      </c>
      <c r="G2180" s="223" t="s">
        <v>526</v>
      </c>
      <c r="H2180" s="224" t="s">
        <v>490</v>
      </c>
      <c r="I2180" s="208"/>
      <c r="J2180" s="210"/>
      <c r="K2180" s="210"/>
      <c r="L2180" s="210"/>
      <c r="M2180" s="210"/>
      <c r="N2180" s="210"/>
      <c r="O2180" s="210"/>
      <c r="P2180" s="210"/>
      <c r="Q2180" s="210"/>
      <c r="R2180" s="210"/>
      <c r="S2180" s="210"/>
      <c r="T2180" s="210"/>
      <c r="U2180" s="210"/>
      <c r="V2180" s="210"/>
      <c r="W2180" s="210"/>
      <c r="X2180" s="210"/>
      <c r="Y2180" s="210"/>
      <c r="Z2180" s="210"/>
    </row>
    <row r="2181" ht="21.75" customHeight="1">
      <c r="A2181" s="228"/>
      <c r="B2181" s="221"/>
      <c r="C2181" s="222">
        <v>106.0</v>
      </c>
      <c r="D2181" s="223" t="s">
        <v>519</v>
      </c>
      <c r="E2181" s="223" t="s">
        <v>508</v>
      </c>
      <c r="F2181" s="223" t="s">
        <v>509</v>
      </c>
      <c r="G2181" s="223" t="s">
        <v>510</v>
      </c>
      <c r="H2181" s="225" t="s">
        <v>2053</v>
      </c>
      <c r="I2181" s="208"/>
      <c r="J2181" s="210"/>
      <c r="K2181" s="210"/>
      <c r="L2181" s="210"/>
      <c r="M2181" s="210"/>
      <c r="N2181" s="210"/>
      <c r="O2181" s="210"/>
      <c r="P2181" s="210"/>
      <c r="Q2181" s="210"/>
      <c r="R2181" s="210"/>
      <c r="S2181" s="210"/>
      <c r="T2181" s="210"/>
      <c r="U2181" s="210"/>
      <c r="V2181" s="210"/>
      <c r="W2181" s="210"/>
      <c r="X2181" s="210"/>
      <c r="Y2181" s="210"/>
      <c r="Z2181" s="210"/>
    </row>
    <row r="2182" ht="21.75" customHeight="1">
      <c r="A2182" s="214">
        <v>349.0</v>
      </c>
      <c r="B2182" s="215" t="s">
        <v>2054</v>
      </c>
      <c r="C2182" s="216"/>
      <c r="D2182" s="217"/>
      <c r="E2182" s="217"/>
      <c r="F2182" s="217"/>
      <c r="G2182" s="217"/>
      <c r="H2182" s="217"/>
      <c r="I2182" s="208"/>
      <c r="J2182" s="210"/>
      <c r="K2182" s="210"/>
      <c r="L2182" s="210"/>
      <c r="M2182" s="210"/>
      <c r="N2182" s="210"/>
      <c r="O2182" s="210"/>
      <c r="P2182" s="210"/>
      <c r="Q2182" s="210"/>
      <c r="R2182" s="210"/>
      <c r="S2182" s="210"/>
      <c r="T2182" s="210"/>
      <c r="U2182" s="210"/>
      <c r="V2182" s="210"/>
      <c r="W2182" s="210"/>
      <c r="X2182" s="210"/>
      <c r="Y2182" s="210"/>
      <c r="Z2182" s="210"/>
    </row>
    <row r="2183" ht="21.75" customHeight="1">
      <c r="A2183" s="214"/>
      <c r="B2183" s="218" t="s">
        <v>2055</v>
      </c>
      <c r="C2183" s="219">
        <v>50997.0</v>
      </c>
      <c r="D2183" s="220"/>
      <c r="E2183" s="220"/>
      <c r="F2183" s="220"/>
      <c r="G2183" s="220"/>
      <c r="H2183" s="220"/>
      <c r="I2183" s="208"/>
      <c r="J2183" s="210"/>
      <c r="K2183" s="210"/>
      <c r="L2183" s="210"/>
      <c r="M2183" s="210"/>
      <c r="N2183" s="210"/>
      <c r="O2183" s="210"/>
      <c r="P2183" s="210"/>
      <c r="Q2183" s="210"/>
      <c r="R2183" s="210"/>
      <c r="S2183" s="210"/>
      <c r="T2183" s="210"/>
      <c r="U2183" s="210"/>
      <c r="V2183" s="210"/>
      <c r="W2183" s="210"/>
      <c r="X2183" s="210"/>
      <c r="Y2183" s="210"/>
      <c r="Z2183" s="210"/>
    </row>
    <row r="2184" ht="21.75" customHeight="1">
      <c r="A2184" s="214"/>
      <c r="B2184" s="221"/>
      <c r="C2184" s="222">
        <v>100.0</v>
      </c>
      <c r="D2184" s="223" t="s">
        <v>486</v>
      </c>
      <c r="E2184" s="223" t="s">
        <v>487</v>
      </c>
      <c r="F2184" s="223" t="s">
        <v>488</v>
      </c>
      <c r="G2184" s="223" t="s">
        <v>489</v>
      </c>
      <c r="H2184" s="224" t="s">
        <v>490</v>
      </c>
      <c r="I2184" s="208"/>
      <c r="J2184" s="210"/>
      <c r="K2184" s="210"/>
      <c r="L2184" s="210"/>
      <c r="M2184" s="210"/>
      <c r="N2184" s="210"/>
      <c r="O2184" s="210"/>
      <c r="P2184" s="210"/>
      <c r="Q2184" s="210"/>
      <c r="R2184" s="210"/>
      <c r="S2184" s="210"/>
      <c r="T2184" s="210"/>
      <c r="U2184" s="210"/>
      <c r="V2184" s="210"/>
      <c r="W2184" s="210"/>
      <c r="X2184" s="210"/>
      <c r="Y2184" s="210"/>
      <c r="Z2184" s="210"/>
    </row>
    <row r="2185" ht="21.75" customHeight="1">
      <c r="A2185" s="214"/>
      <c r="B2185" s="221"/>
      <c r="C2185" s="222">
        <v>101.0</v>
      </c>
      <c r="D2185" s="223" t="s">
        <v>491</v>
      </c>
      <c r="E2185" s="223" t="s">
        <v>487</v>
      </c>
      <c r="F2185" s="223" t="s">
        <v>492</v>
      </c>
      <c r="G2185" s="223" t="s">
        <v>678</v>
      </c>
      <c r="H2185" s="225" t="s">
        <v>2056</v>
      </c>
      <c r="I2185" s="208"/>
      <c r="J2185" s="210"/>
      <c r="K2185" s="210"/>
      <c r="L2185" s="210"/>
      <c r="M2185" s="210"/>
      <c r="N2185" s="210"/>
      <c r="O2185" s="210"/>
      <c r="P2185" s="210"/>
      <c r="Q2185" s="210"/>
      <c r="R2185" s="210"/>
      <c r="S2185" s="210"/>
      <c r="T2185" s="210"/>
      <c r="U2185" s="210"/>
      <c r="V2185" s="210"/>
      <c r="W2185" s="210"/>
      <c r="X2185" s="210"/>
      <c r="Y2185" s="210"/>
      <c r="Z2185" s="210"/>
    </row>
    <row r="2186" ht="21.75" customHeight="1">
      <c r="A2186" s="214"/>
      <c r="B2186" s="221"/>
      <c r="C2186" s="222">
        <v>102.0</v>
      </c>
      <c r="D2186" s="223" t="s">
        <v>973</v>
      </c>
      <c r="E2186" s="223" t="s">
        <v>487</v>
      </c>
      <c r="F2186" s="223" t="s">
        <v>496</v>
      </c>
      <c r="G2186" s="223" t="s">
        <v>497</v>
      </c>
      <c r="H2186" s="225" t="s">
        <v>1895</v>
      </c>
      <c r="I2186" s="208"/>
      <c r="J2186" s="210"/>
      <c r="K2186" s="210"/>
      <c r="L2186" s="210"/>
      <c r="M2186" s="210"/>
      <c r="N2186" s="210"/>
      <c r="O2186" s="210"/>
      <c r="P2186" s="210"/>
      <c r="Q2186" s="210"/>
      <c r="R2186" s="210"/>
      <c r="S2186" s="210"/>
      <c r="T2186" s="210"/>
      <c r="U2186" s="210"/>
      <c r="V2186" s="210"/>
      <c r="W2186" s="210"/>
      <c r="X2186" s="210"/>
      <c r="Y2186" s="210"/>
      <c r="Z2186" s="210"/>
    </row>
    <row r="2187" ht="21.75" customHeight="1">
      <c r="A2187" s="214"/>
      <c r="B2187" s="221"/>
      <c r="C2187" s="222">
        <v>103.0</v>
      </c>
      <c r="D2187" s="223" t="s">
        <v>716</v>
      </c>
      <c r="E2187" s="223" t="s">
        <v>487</v>
      </c>
      <c r="F2187" s="223" t="s">
        <v>500</v>
      </c>
      <c r="G2187" s="223" t="s">
        <v>501</v>
      </c>
      <c r="H2187" s="224" t="s">
        <v>490</v>
      </c>
      <c r="I2187" s="208"/>
      <c r="J2187" s="210"/>
      <c r="K2187" s="210"/>
      <c r="L2187" s="210"/>
      <c r="M2187" s="210"/>
      <c r="N2187" s="210"/>
      <c r="O2187" s="210"/>
      <c r="P2187" s="210"/>
      <c r="Q2187" s="210"/>
      <c r="R2187" s="210"/>
      <c r="S2187" s="210"/>
      <c r="T2187" s="210"/>
      <c r="U2187" s="210"/>
      <c r="V2187" s="210"/>
      <c r="W2187" s="210"/>
      <c r="X2187" s="210"/>
      <c r="Y2187" s="210"/>
      <c r="Z2187" s="210"/>
    </row>
    <row r="2188" ht="21.75" customHeight="1">
      <c r="A2188" s="214"/>
      <c r="B2188" s="221"/>
      <c r="C2188" s="222">
        <v>104.0</v>
      </c>
      <c r="D2188" s="223" t="s">
        <v>765</v>
      </c>
      <c r="E2188" s="223" t="s">
        <v>487</v>
      </c>
      <c r="F2188" s="223" t="s">
        <v>512</v>
      </c>
      <c r="G2188" s="223" t="s">
        <v>493</v>
      </c>
      <c r="H2188" s="225" t="s">
        <v>2057</v>
      </c>
      <c r="I2188" s="208"/>
      <c r="J2188" s="210"/>
      <c r="K2188" s="210"/>
      <c r="L2188" s="210"/>
      <c r="M2188" s="210"/>
      <c r="N2188" s="210"/>
      <c r="O2188" s="210"/>
      <c r="P2188" s="210"/>
      <c r="Q2188" s="210"/>
      <c r="R2188" s="210"/>
      <c r="S2188" s="210"/>
      <c r="T2188" s="210"/>
      <c r="U2188" s="210"/>
      <c r="V2188" s="210"/>
      <c r="W2188" s="210"/>
      <c r="X2188" s="210"/>
      <c r="Y2188" s="210"/>
      <c r="Z2188" s="210"/>
    </row>
    <row r="2189" ht="21.75" customHeight="1">
      <c r="A2189" s="214"/>
      <c r="B2189" s="221"/>
      <c r="C2189" s="222">
        <v>105.0</v>
      </c>
      <c r="D2189" s="223" t="s">
        <v>1260</v>
      </c>
      <c r="E2189" s="223" t="s">
        <v>487</v>
      </c>
      <c r="F2189" s="223" t="s">
        <v>532</v>
      </c>
      <c r="G2189" s="223" t="s">
        <v>526</v>
      </c>
      <c r="H2189" s="224" t="s">
        <v>490</v>
      </c>
      <c r="I2189" s="208"/>
      <c r="J2189" s="210"/>
      <c r="K2189" s="210"/>
      <c r="L2189" s="210"/>
      <c r="M2189" s="210"/>
      <c r="N2189" s="210"/>
      <c r="O2189" s="210"/>
      <c r="P2189" s="210"/>
      <c r="Q2189" s="210"/>
      <c r="R2189" s="210"/>
      <c r="S2189" s="210"/>
      <c r="T2189" s="210"/>
      <c r="U2189" s="210"/>
      <c r="V2189" s="210"/>
      <c r="W2189" s="210"/>
      <c r="X2189" s="210"/>
      <c r="Y2189" s="210"/>
      <c r="Z2189" s="210"/>
    </row>
    <row r="2190" ht="21.75" customHeight="1">
      <c r="A2190" s="228"/>
      <c r="B2190" s="221"/>
      <c r="C2190" s="222">
        <v>106.0</v>
      </c>
      <c r="D2190" s="223" t="s">
        <v>519</v>
      </c>
      <c r="E2190" s="223" t="s">
        <v>508</v>
      </c>
      <c r="F2190" s="223" t="s">
        <v>509</v>
      </c>
      <c r="G2190" s="223" t="s">
        <v>510</v>
      </c>
      <c r="H2190" s="225" t="s">
        <v>2058</v>
      </c>
      <c r="I2190" s="208"/>
      <c r="J2190" s="210"/>
      <c r="K2190" s="210"/>
      <c r="L2190" s="210"/>
      <c r="M2190" s="210"/>
      <c r="N2190" s="210"/>
      <c r="O2190" s="210"/>
      <c r="P2190" s="210"/>
      <c r="Q2190" s="210"/>
      <c r="R2190" s="210"/>
      <c r="S2190" s="210"/>
      <c r="T2190" s="210"/>
      <c r="U2190" s="210"/>
      <c r="V2190" s="210"/>
      <c r="W2190" s="210"/>
      <c r="X2190" s="210"/>
      <c r="Y2190" s="210"/>
      <c r="Z2190" s="210"/>
    </row>
    <row r="2191" ht="21.75" customHeight="1">
      <c r="A2191" s="214">
        <v>35.0</v>
      </c>
      <c r="B2191" s="229" t="s">
        <v>2059</v>
      </c>
      <c r="C2191" s="230"/>
      <c r="D2191" s="217"/>
      <c r="E2191" s="217"/>
      <c r="F2191" s="217"/>
      <c r="G2191" s="217"/>
      <c r="H2191" s="217"/>
      <c r="I2191" s="208"/>
      <c r="J2191" s="210"/>
      <c r="K2191" s="210"/>
      <c r="L2191" s="210"/>
      <c r="M2191" s="210"/>
      <c r="N2191" s="210"/>
      <c r="O2191" s="210"/>
      <c r="P2191" s="210"/>
      <c r="Q2191" s="210"/>
      <c r="R2191" s="210"/>
      <c r="S2191" s="210"/>
      <c r="T2191" s="210"/>
      <c r="U2191" s="210"/>
      <c r="V2191" s="210"/>
      <c r="W2191" s="210"/>
      <c r="X2191" s="210"/>
      <c r="Y2191" s="210"/>
      <c r="Z2191" s="210"/>
    </row>
    <row r="2192" ht="21.75" customHeight="1">
      <c r="A2192" s="214"/>
      <c r="B2192" s="218" t="s">
        <v>2060</v>
      </c>
      <c r="C2192" s="219">
        <v>50117.0</v>
      </c>
      <c r="D2192" s="220"/>
      <c r="E2192" s="220"/>
      <c r="F2192" s="220"/>
      <c r="G2192" s="220"/>
      <c r="H2192" s="220"/>
      <c r="I2192" s="208"/>
      <c r="J2192" s="210"/>
      <c r="K2192" s="210"/>
      <c r="L2192" s="210"/>
      <c r="M2192" s="210"/>
      <c r="N2192" s="210"/>
      <c r="O2192" s="210"/>
      <c r="P2192" s="210"/>
      <c r="Q2192" s="210"/>
      <c r="R2192" s="210"/>
      <c r="S2192" s="210"/>
      <c r="T2192" s="210"/>
      <c r="U2192" s="210"/>
      <c r="V2192" s="210"/>
      <c r="W2192" s="210"/>
      <c r="X2192" s="210"/>
      <c r="Y2192" s="210"/>
      <c r="Z2192" s="210"/>
    </row>
    <row r="2193" ht="21.75" customHeight="1">
      <c r="A2193" s="214"/>
      <c r="B2193" s="221"/>
      <c r="C2193" s="222">
        <v>101.0</v>
      </c>
      <c r="D2193" s="223" t="s">
        <v>486</v>
      </c>
      <c r="E2193" s="223" t="s">
        <v>487</v>
      </c>
      <c r="F2193" s="223" t="s">
        <v>488</v>
      </c>
      <c r="G2193" s="223" t="s">
        <v>489</v>
      </c>
      <c r="H2193" s="224" t="s">
        <v>490</v>
      </c>
      <c r="I2193" s="208"/>
      <c r="J2193" s="210"/>
      <c r="K2193" s="210"/>
      <c r="L2193" s="210"/>
      <c r="M2193" s="210"/>
      <c r="N2193" s="210"/>
      <c r="O2193" s="210"/>
      <c r="P2193" s="210"/>
      <c r="Q2193" s="210"/>
      <c r="R2193" s="210"/>
      <c r="S2193" s="210"/>
      <c r="T2193" s="210"/>
      <c r="U2193" s="210"/>
      <c r="V2193" s="210"/>
      <c r="W2193" s="210"/>
      <c r="X2193" s="210"/>
      <c r="Y2193" s="210"/>
      <c r="Z2193" s="210"/>
    </row>
    <row r="2194" ht="21.75" customHeight="1">
      <c r="A2194" s="214"/>
      <c r="B2194" s="221"/>
      <c r="C2194" s="222">
        <v>103.0</v>
      </c>
      <c r="D2194" s="223" t="s">
        <v>369</v>
      </c>
      <c r="E2194" s="223" t="s">
        <v>487</v>
      </c>
      <c r="F2194" s="223" t="s">
        <v>492</v>
      </c>
      <c r="G2194" s="223" t="s">
        <v>678</v>
      </c>
      <c r="H2194" s="225" t="s">
        <v>2061</v>
      </c>
      <c r="I2194" s="208"/>
      <c r="J2194" s="210"/>
      <c r="K2194" s="210"/>
      <c r="L2194" s="210"/>
      <c r="M2194" s="210"/>
      <c r="N2194" s="210"/>
      <c r="O2194" s="210"/>
      <c r="P2194" s="210"/>
      <c r="Q2194" s="210"/>
      <c r="R2194" s="210"/>
      <c r="S2194" s="210"/>
      <c r="T2194" s="210"/>
      <c r="U2194" s="210"/>
      <c r="V2194" s="210"/>
      <c r="W2194" s="210"/>
      <c r="X2194" s="210"/>
      <c r="Y2194" s="210"/>
      <c r="Z2194" s="210"/>
    </row>
    <row r="2195" ht="21.75" customHeight="1">
      <c r="A2195" s="214"/>
      <c r="B2195" s="221"/>
      <c r="C2195" s="222">
        <v>105.0</v>
      </c>
      <c r="D2195" s="223" t="s">
        <v>884</v>
      </c>
      <c r="E2195" s="223" t="s">
        <v>487</v>
      </c>
      <c r="F2195" s="223" t="s">
        <v>496</v>
      </c>
      <c r="G2195" s="223" t="s">
        <v>497</v>
      </c>
      <c r="H2195" s="225" t="s">
        <v>2062</v>
      </c>
      <c r="I2195" s="208"/>
      <c r="J2195" s="210"/>
      <c r="K2195" s="210"/>
      <c r="L2195" s="210"/>
      <c r="M2195" s="210"/>
      <c r="N2195" s="210"/>
      <c r="O2195" s="210"/>
      <c r="P2195" s="210"/>
      <c r="Q2195" s="210"/>
      <c r="R2195" s="210"/>
      <c r="S2195" s="210"/>
      <c r="T2195" s="210"/>
      <c r="U2195" s="210"/>
      <c r="V2195" s="210"/>
      <c r="W2195" s="210"/>
      <c r="X2195" s="210"/>
      <c r="Y2195" s="210"/>
      <c r="Z2195" s="210"/>
    </row>
    <row r="2196" ht="21.75" customHeight="1">
      <c r="A2196" s="214"/>
      <c r="B2196" s="221"/>
      <c r="C2196" s="222">
        <v>107.0</v>
      </c>
      <c r="D2196" s="223" t="s">
        <v>1912</v>
      </c>
      <c r="E2196" s="223" t="s">
        <v>487</v>
      </c>
      <c r="F2196" s="223" t="s">
        <v>500</v>
      </c>
      <c r="G2196" s="223" t="s">
        <v>501</v>
      </c>
      <c r="H2196" s="225" t="s">
        <v>2063</v>
      </c>
      <c r="I2196" s="208"/>
      <c r="J2196" s="210"/>
      <c r="K2196" s="210"/>
      <c r="L2196" s="210"/>
      <c r="M2196" s="210"/>
      <c r="N2196" s="210"/>
      <c r="O2196" s="210"/>
      <c r="P2196" s="210"/>
      <c r="Q2196" s="210"/>
      <c r="R2196" s="210"/>
      <c r="S2196" s="210"/>
      <c r="T2196" s="210"/>
      <c r="U2196" s="210"/>
      <c r="V2196" s="210"/>
      <c r="W2196" s="210"/>
      <c r="X2196" s="210"/>
      <c r="Y2196" s="210"/>
      <c r="Z2196" s="210"/>
    </row>
    <row r="2197" ht="21.75" customHeight="1">
      <c r="A2197" s="228"/>
      <c r="B2197" s="221"/>
      <c r="C2197" s="222">
        <v>109.0</v>
      </c>
      <c r="D2197" s="223" t="s">
        <v>507</v>
      </c>
      <c r="E2197" s="223" t="s">
        <v>508</v>
      </c>
      <c r="F2197" s="223" t="s">
        <v>509</v>
      </c>
      <c r="G2197" s="223" t="s">
        <v>510</v>
      </c>
      <c r="H2197" s="225" t="s">
        <v>2064</v>
      </c>
      <c r="I2197" s="208"/>
      <c r="J2197" s="210"/>
      <c r="K2197" s="210"/>
      <c r="L2197" s="210"/>
      <c r="M2197" s="210"/>
      <c r="N2197" s="210"/>
      <c r="O2197" s="210"/>
      <c r="P2197" s="210"/>
      <c r="Q2197" s="210"/>
      <c r="R2197" s="210"/>
      <c r="S2197" s="210"/>
      <c r="T2197" s="210"/>
      <c r="U2197" s="210"/>
      <c r="V2197" s="210"/>
      <c r="W2197" s="210"/>
      <c r="X2197" s="210"/>
      <c r="Y2197" s="210"/>
      <c r="Z2197" s="210"/>
    </row>
    <row r="2198" ht="21.75" customHeight="1">
      <c r="A2198" s="214">
        <v>352.0</v>
      </c>
      <c r="B2198" s="215" t="s">
        <v>2065</v>
      </c>
      <c r="C2198" s="216"/>
      <c r="D2198" s="217"/>
      <c r="E2198" s="217"/>
      <c r="F2198" s="217"/>
      <c r="G2198" s="217"/>
      <c r="H2198" s="217"/>
      <c r="I2198" s="208"/>
      <c r="J2198" s="210"/>
      <c r="K2198" s="210"/>
      <c r="L2198" s="210"/>
      <c r="M2198" s="210"/>
      <c r="N2198" s="210"/>
      <c r="O2198" s="210"/>
      <c r="P2198" s="210"/>
      <c r="Q2198" s="210"/>
      <c r="R2198" s="210"/>
      <c r="S2198" s="210"/>
      <c r="T2198" s="210"/>
      <c r="U2198" s="210"/>
      <c r="V2198" s="210"/>
      <c r="W2198" s="210"/>
      <c r="X2198" s="210"/>
      <c r="Y2198" s="210"/>
      <c r="Z2198" s="210"/>
    </row>
    <row r="2199" ht="21.75" customHeight="1">
      <c r="A2199" s="214"/>
      <c r="B2199" s="218" t="s">
        <v>2066</v>
      </c>
      <c r="C2199" s="219">
        <v>51099.0</v>
      </c>
      <c r="D2199" s="220"/>
      <c r="E2199" s="220"/>
      <c r="F2199" s="220"/>
      <c r="G2199" s="220"/>
      <c r="H2199" s="220"/>
      <c r="I2199" s="208"/>
      <c r="J2199" s="210"/>
      <c r="K2199" s="210"/>
      <c r="L2199" s="210"/>
      <c r="M2199" s="210"/>
      <c r="N2199" s="210"/>
      <c r="O2199" s="210"/>
      <c r="P2199" s="210"/>
      <c r="Q2199" s="210"/>
      <c r="R2199" s="210"/>
      <c r="S2199" s="210"/>
      <c r="T2199" s="210"/>
      <c r="U2199" s="210"/>
      <c r="V2199" s="210"/>
      <c r="W2199" s="210"/>
      <c r="X2199" s="210"/>
      <c r="Y2199" s="210"/>
      <c r="Z2199" s="210"/>
    </row>
    <row r="2200" ht="21.75" customHeight="1">
      <c r="A2200" s="214"/>
      <c r="B2200" s="221"/>
      <c r="C2200" s="222">
        <v>100.0</v>
      </c>
      <c r="D2200" s="223" t="s">
        <v>486</v>
      </c>
      <c r="E2200" s="223" t="s">
        <v>487</v>
      </c>
      <c r="F2200" s="223" t="s">
        <v>488</v>
      </c>
      <c r="G2200" s="223" t="s">
        <v>489</v>
      </c>
      <c r="H2200" s="224" t="s">
        <v>490</v>
      </c>
      <c r="I2200" s="208"/>
      <c r="J2200" s="210"/>
      <c r="K2200" s="210"/>
      <c r="L2200" s="210"/>
      <c r="M2200" s="210"/>
      <c r="N2200" s="210"/>
      <c r="O2200" s="210"/>
      <c r="P2200" s="210"/>
      <c r="Q2200" s="210"/>
      <c r="R2200" s="210"/>
      <c r="S2200" s="210"/>
      <c r="T2200" s="210"/>
      <c r="U2200" s="210"/>
      <c r="V2200" s="210"/>
      <c r="W2200" s="210"/>
      <c r="X2200" s="210"/>
      <c r="Y2200" s="210"/>
      <c r="Z2200" s="210"/>
    </row>
    <row r="2201" ht="21.75" customHeight="1">
      <c r="A2201" s="214"/>
      <c r="B2201" s="221"/>
      <c r="C2201" s="222">
        <v>101.0</v>
      </c>
      <c r="D2201" s="223" t="s">
        <v>2067</v>
      </c>
      <c r="E2201" s="223" t="s">
        <v>487</v>
      </c>
      <c r="F2201" s="223" t="s">
        <v>492</v>
      </c>
      <c r="G2201" s="223" t="s">
        <v>678</v>
      </c>
      <c r="H2201" s="225" t="s">
        <v>2068</v>
      </c>
      <c r="I2201" s="208"/>
      <c r="J2201" s="210"/>
      <c r="K2201" s="210"/>
      <c r="L2201" s="210"/>
      <c r="M2201" s="210"/>
      <c r="N2201" s="210"/>
      <c r="O2201" s="210"/>
      <c r="P2201" s="210"/>
      <c r="Q2201" s="210"/>
      <c r="R2201" s="210"/>
      <c r="S2201" s="210"/>
      <c r="T2201" s="210"/>
      <c r="U2201" s="210"/>
      <c r="V2201" s="210"/>
      <c r="W2201" s="210"/>
      <c r="X2201" s="210"/>
      <c r="Y2201" s="210"/>
      <c r="Z2201" s="210"/>
    </row>
    <row r="2202" ht="21.75" customHeight="1">
      <c r="A2202" s="214"/>
      <c r="B2202" s="221"/>
      <c r="C2202" s="222">
        <v>102.0</v>
      </c>
      <c r="D2202" s="223" t="s">
        <v>2069</v>
      </c>
      <c r="E2202" s="223" t="s">
        <v>487</v>
      </c>
      <c r="F2202" s="223" t="s">
        <v>496</v>
      </c>
      <c r="G2202" s="223" t="s">
        <v>526</v>
      </c>
      <c r="H2202" s="225" t="s">
        <v>2070</v>
      </c>
      <c r="I2202" s="208"/>
      <c r="J2202" s="210"/>
      <c r="K2202" s="210"/>
      <c r="L2202" s="210"/>
      <c r="M2202" s="210"/>
      <c r="N2202" s="210"/>
      <c r="O2202" s="210"/>
      <c r="P2202" s="210"/>
      <c r="Q2202" s="210"/>
      <c r="R2202" s="210"/>
      <c r="S2202" s="210"/>
      <c r="T2202" s="210"/>
      <c r="U2202" s="210"/>
      <c r="V2202" s="210"/>
      <c r="W2202" s="210"/>
      <c r="X2202" s="210"/>
      <c r="Y2202" s="210"/>
      <c r="Z2202" s="210"/>
    </row>
    <row r="2203" ht="21.75" customHeight="1">
      <c r="A2203" s="214"/>
      <c r="B2203" s="221"/>
      <c r="C2203" s="222">
        <v>103.0</v>
      </c>
      <c r="D2203" s="223" t="s">
        <v>2071</v>
      </c>
      <c r="E2203" s="223" t="s">
        <v>487</v>
      </c>
      <c r="F2203" s="223" t="s">
        <v>500</v>
      </c>
      <c r="G2203" s="223" t="s">
        <v>497</v>
      </c>
      <c r="H2203" s="224" t="s">
        <v>490</v>
      </c>
      <c r="I2203" s="208"/>
      <c r="J2203" s="210"/>
      <c r="K2203" s="210"/>
      <c r="L2203" s="210"/>
      <c r="M2203" s="210"/>
      <c r="N2203" s="210"/>
      <c r="O2203" s="210"/>
      <c r="P2203" s="210"/>
      <c r="Q2203" s="210"/>
      <c r="R2203" s="210"/>
      <c r="S2203" s="210"/>
      <c r="T2203" s="210"/>
      <c r="U2203" s="210"/>
      <c r="V2203" s="210"/>
      <c r="W2203" s="210"/>
      <c r="X2203" s="210"/>
      <c r="Y2203" s="210"/>
      <c r="Z2203" s="210"/>
    </row>
    <row r="2204" ht="21.75" customHeight="1">
      <c r="A2204" s="214"/>
      <c r="B2204" s="221"/>
      <c r="C2204" s="222">
        <v>104.0</v>
      </c>
      <c r="D2204" s="223" t="s">
        <v>2072</v>
      </c>
      <c r="E2204" s="223" t="s">
        <v>487</v>
      </c>
      <c r="F2204" s="223" t="s">
        <v>512</v>
      </c>
      <c r="G2204" s="223" t="s">
        <v>501</v>
      </c>
      <c r="H2204" s="225" t="s">
        <v>2073</v>
      </c>
      <c r="I2204" s="208"/>
      <c r="J2204" s="210"/>
      <c r="K2204" s="210"/>
      <c r="L2204" s="210"/>
      <c r="M2204" s="210"/>
      <c r="N2204" s="210"/>
      <c r="O2204" s="210"/>
      <c r="P2204" s="210"/>
      <c r="Q2204" s="210"/>
      <c r="R2204" s="210"/>
      <c r="S2204" s="210"/>
      <c r="T2204" s="210"/>
      <c r="U2204" s="210"/>
      <c r="V2204" s="210"/>
      <c r="W2204" s="210"/>
      <c r="X2204" s="210"/>
      <c r="Y2204" s="210"/>
      <c r="Z2204" s="210"/>
    </row>
    <row r="2205" ht="21.75" customHeight="1">
      <c r="A2205" s="214"/>
      <c r="B2205" s="221"/>
      <c r="C2205" s="222">
        <v>105.0</v>
      </c>
      <c r="D2205" s="223" t="s">
        <v>2074</v>
      </c>
      <c r="E2205" s="223" t="s">
        <v>487</v>
      </c>
      <c r="F2205" s="223" t="s">
        <v>532</v>
      </c>
      <c r="G2205" s="223" t="s">
        <v>493</v>
      </c>
      <c r="H2205" s="225" t="s">
        <v>2075</v>
      </c>
      <c r="I2205" s="208"/>
      <c r="J2205" s="210"/>
      <c r="K2205" s="210"/>
      <c r="L2205" s="210"/>
      <c r="M2205" s="210"/>
      <c r="N2205" s="210"/>
      <c r="O2205" s="210"/>
      <c r="P2205" s="210"/>
      <c r="Q2205" s="210"/>
      <c r="R2205" s="210"/>
      <c r="S2205" s="210"/>
      <c r="T2205" s="210"/>
      <c r="U2205" s="210"/>
      <c r="V2205" s="210"/>
      <c r="W2205" s="210"/>
      <c r="X2205" s="210"/>
      <c r="Y2205" s="210"/>
      <c r="Z2205" s="210"/>
    </row>
    <row r="2206" ht="21.75" customHeight="1">
      <c r="A2206" s="228"/>
      <c r="B2206" s="221"/>
      <c r="C2206" s="222">
        <v>106.0</v>
      </c>
      <c r="D2206" s="223" t="s">
        <v>519</v>
      </c>
      <c r="E2206" s="223" t="s">
        <v>508</v>
      </c>
      <c r="F2206" s="223" t="s">
        <v>509</v>
      </c>
      <c r="G2206" s="223" t="s">
        <v>510</v>
      </c>
      <c r="H2206" s="225" t="s">
        <v>2076</v>
      </c>
      <c r="I2206" s="208"/>
      <c r="J2206" s="210"/>
      <c r="K2206" s="210"/>
      <c r="L2206" s="210"/>
      <c r="M2206" s="210"/>
      <c r="N2206" s="210"/>
      <c r="O2206" s="210"/>
      <c r="P2206" s="210"/>
      <c r="Q2206" s="210"/>
      <c r="R2206" s="210"/>
      <c r="S2206" s="210"/>
      <c r="T2206" s="210"/>
      <c r="U2206" s="210"/>
      <c r="V2206" s="210"/>
      <c r="W2206" s="210"/>
      <c r="X2206" s="210"/>
      <c r="Y2206" s="210"/>
      <c r="Z2206" s="210"/>
    </row>
    <row r="2207" ht="21.75" customHeight="1">
      <c r="A2207" s="214">
        <v>355.0</v>
      </c>
      <c r="B2207" s="229" t="s">
        <v>2077</v>
      </c>
      <c r="C2207" s="230"/>
      <c r="D2207" s="217"/>
      <c r="E2207" s="217"/>
      <c r="F2207" s="217"/>
      <c r="G2207" s="217"/>
      <c r="H2207" s="217"/>
      <c r="I2207" s="208"/>
      <c r="J2207" s="210"/>
      <c r="K2207" s="210"/>
      <c r="L2207" s="210"/>
      <c r="M2207" s="210"/>
      <c r="N2207" s="210"/>
      <c r="O2207" s="210"/>
      <c r="P2207" s="210"/>
      <c r="Q2207" s="210"/>
      <c r="R2207" s="210"/>
      <c r="S2207" s="210"/>
      <c r="T2207" s="210"/>
      <c r="U2207" s="210"/>
      <c r="V2207" s="210"/>
      <c r="W2207" s="210"/>
      <c r="X2207" s="210"/>
      <c r="Y2207" s="210"/>
      <c r="Z2207" s="210"/>
    </row>
    <row r="2208" ht="21.75" customHeight="1">
      <c r="A2208" s="214"/>
      <c r="B2208" s="218" t="s">
        <v>2078</v>
      </c>
      <c r="C2208" s="219">
        <v>51106.0</v>
      </c>
      <c r="D2208" s="220"/>
      <c r="E2208" s="220"/>
      <c r="F2208" s="220"/>
      <c r="G2208" s="220"/>
      <c r="H2208" s="220"/>
      <c r="I2208" s="208"/>
      <c r="J2208" s="210"/>
      <c r="K2208" s="210"/>
      <c r="L2208" s="210"/>
      <c r="M2208" s="210"/>
      <c r="N2208" s="210"/>
      <c r="O2208" s="210"/>
      <c r="P2208" s="210"/>
      <c r="Q2208" s="210"/>
      <c r="R2208" s="210"/>
      <c r="S2208" s="210"/>
      <c r="T2208" s="210"/>
      <c r="U2208" s="210"/>
      <c r="V2208" s="210"/>
      <c r="W2208" s="210"/>
      <c r="X2208" s="210"/>
      <c r="Y2208" s="210"/>
      <c r="Z2208" s="210"/>
    </row>
    <row r="2209" ht="21.75" customHeight="1">
      <c r="A2209" s="214"/>
      <c r="B2209" s="221"/>
      <c r="C2209" s="222">
        <v>1.0</v>
      </c>
      <c r="D2209" s="223" t="s">
        <v>486</v>
      </c>
      <c r="E2209" s="223" t="s">
        <v>487</v>
      </c>
      <c r="F2209" s="223" t="s">
        <v>488</v>
      </c>
      <c r="G2209" s="223" t="s">
        <v>489</v>
      </c>
      <c r="H2209" s="224" t="s">
        <v>490</v>
      </c>
      <c r="I2209" s="208"/>
      <c r="J2209" s="210"/>
      <c r="K2209" s="210"/>
      <c r="L2209" s="210"/>
      <c r="M2209" s="210"/>
      <c r="N2209" s="210"/>
      <c r="O2209" s="210"/>
      <c r="P2209" s="210"/>
      <c r="Q2209" s="210"/>
      <c r="R2209" s="210"/>
      <c r="S2209" s="210"/>
      <c r="T2209" s="210"/>
      <c r="U2209" s="210"/>
      <c r="V2209" s="210"/>
      <c r="W2209" s="210"/>
      <c r="X2209" s="210"/>
      <c r="Y2209" s="210"/>
      <c r="Z2209" s="210"/>
    </row>
    <row r="2210" ht="21.75" customHeight="1">
      <c r="A2210" s="214"/>
      <c r="B2210" s="221"/>
      <c r="C2210" s="222">
        <v>2.0</v>
      </c>
      <c r="D2210" s="223" t="s">
        <v>491</v>
      </c>
      <c r="E2210" s="223" t="s">
        <v>487</v>
      </c>
      <c r="F2210" s="223" t="s">
        <v>492</v>
      </c>
      <c r="G2210" s="223" t="s">
        <v>678</v>
      </c>
      <c r="H2210" s="225" t="s">
        <v>2079</v>
      </c>
      <c r="I2210" s="208"/>
      <c r="J2210" s="210"/>
      <c r="K2210" s="210"/>
      <c r="L2210" s="210"/>
      <c r="M2210" s="210"/>
      <c r="N2210" s="210"/>
      <c r="O2210" s="210"/>
      <c r="P2210" s="210"/>
      <c r="Q2210" s="210"/>
      <c r="R2210" s="210"/>
      <c r="S2210" s="210"/>
      <c r="T2210" s="210"/>
      <c r="U2210" s="210"/>
      <c r="V2210" s="210"/>
      <c r="W2210" s="210"/>
      <c r="X2210" s="210"/>
      <c r="Y2210" s="210"/>
      <c r="Z2210" s="210"/>
    </row>
    <row r="2211" ht="21.75" customHeight="1">
      <c r="A2211" s="214"/>
      <c r="B2211" s="221"/>
      <c r="C2211" s="222">
        <v>3.0</v>
      </c>
      <c r="D2211" s="223" t="s">
        <v>928</v>
      </c>
      <c r="E2211" s="223" t="s">
        <v>487</v>
      </c>
      <c r="F2211" s="223" t="s">
        <v>496</v>
      </c>
      <c r="G2211" s="223" t="s">
        <v>497</v>
      </c>
      <c r="H2211" s="224" t="s">
        <v>490</v>
      </c>
      <c r="I2211" s="208"/>
      <c r="J2211" s="210"/>
      <c r="K2211" s="210"/>
      <c r="L2211" s="210"/>
      <c r="M2211" s="210"/>
      <c r="N2211" s="210"/>
      <c r="O2211" s="210"/>
      <c r="P2211" s="210"/>
      <c r="Q2211" s="210"/>
      <c r="R2211" s="210"/>
      <c r="S2211" s="210"/>
      <c r="T2211" s="210"/>
      <c r="U2211" s="210"/>
      <c r="V2211" s="210"/>
      <c r="W2211" s="210"/>
      <c r="X2211" s="210"/>
      <c r="Y2211" s="210"/>
      <c r="Z2211" s="210"/>
    </row>
    <row r="2212" ht="21.75" customHeight="1">
      <c r="A2212" s="214"/>
      <c r="B2212" s="221"/>
      <c r="C2212" s="222">
        <v>4.0</v>
      </c>
      <c r="D2212" s="223" t="s">
        <v>779</v>
      </c>
      <c r="E2212" s="223" t="s">
        <v>487</v>
      </c>
      <c r="F2212" s="223" t="s">
        <v>500</v>
      </c>
      <c r="G2212" s="223" t="s">
        <v>501</v>
      </c>
      <c r="H2212" s="224" t="s">
        <v>490</v>
      </c>
      <c r="I2212" s="208"/>
      <c r="J2212" s="210"/>
      <c r="K2212" s="210"/>
      <c r="L2212" s="210"/>
      <c r="M2212" s="210"/>
      <c r="N2212" s="210"/>
      <c r="O2212" s="210"/>
      <c r="P2212" s="210"/>
      <c r="Q2212" s="210"/>
      <c r="R2212" s="210"/>
      <c r="S2212" s="210"/>
      <c r="T2212" s="210"/>
      <c r="U2212" s="210"/>
      <c r="V2212" s="210"/>
      <c r="W2212" s="210"/>
      <c r="X2212" s="210"/>
      <c r="Y2212" s="210"/>
      <c r="Z2212" s="210"/>
    </row>
    <row r="2213" ht="21.75" customHeight="1">
      <c r="A2213" s="214"/>
      <c r="B2213" s="221"/>
      <c r="C2213" s="222">
        <v>5.0</v>
      </c>
      <c r="D2213" s="223" t="s">
        <v>2080</v>
      </c>
      <c r="E2213" s="223" t="s">
        <v>487</v>
      </c>
      <c r="F2213" s="223" t="s">
        <v>512</v>
      </c>
      <c r="G2213" s="223" t="s">
        <v>493</v>
      </c>
      <c r="H2213" s="224" t="s">
        <v>490</v>
      </c>
      <c r="I2213" s="208"/>
      <c r="J2213" s="210"/>
      <c r="K2213" s="210"/>
      <c r="L2213" s="210"/>
      <c r="M2213" s="210"/>
      <c r="N2213" s="210"/>
      <c r="O2213" s="210"/>
      <c r="P2213" s="210"/>
      <c r="Q2213" s="210"/>
      <c r="R2213" s="210"/>
      <c r="S2213" s="210"/>
      <c r="T2213" s="210"/>
      <c r="U2213" s="210"/>
      <c r="V2213" s="210"/>
      <c r="W2213" s="210"/>
      <c r="X2213" s="210"/>
      <c r="Y2213" s="210"/>
      <c r="Z2213" s="210"/>
    </row>
    <row r="2214" ht="21.75" customHeight="1">
      <c r="A2214" s="214"/>
      <c r="B2214" s="221"/>
      <c r="C2214" s="222">
        <v>6.0</v>
      </c>
      <c r="D2214" s="223" t="s">
        <v>519</v>
      </c>
      <c r="E2214" s="223" t="s">
        <v>539</v>
      </c>
      <c r="F2214" s="223" t="s">
        <v>542</v>
      </c>
      <c r="G2214" s="223" t="s">
        <v>526</v>
      </c>
      <c r="H2214" s="224" t="s">
        <v>490</v>
      </c>
      <c r="I2214" s="208"/>
      <c r="J2214" s="210"/>
      <c r="K2214" s="210"/>
      <c r="L2214" s="210"/>
      <c r="M2214" s="210"/>
      <c r="N2214" s="210"/>
      <c r="O2214" s="210"/>
      <c r="P2214" s="210"/>
      <c r="Q2214" s="210"/>
      <c r="R2214" s="210"/>
      <c r="S2214" s="210"/>
      <c r="T2214" s="210"/>
      <c r="U2214" s="210"/>
      <c r="V2214" s="210"/>
      <c r="W2214" s="210"/>
      <c r="X2214" s="210"/>
      <c r="Y2214" s="210"/>
      <c r="Z2214" s="210"/>
    </row>
    <row r="2215" ht="21.75" customHeight="1">
      <c r="A2215" s="214"/>
      <c r="B2215" s="221"/>
      <c r="C2215" s="222">
        <v>7.0</v>
      </c>
      <c r="D2215" s="223" t="s">
        <v>2081</v>
      </c>
      <c r="E2215" s="223" t="s">
        <v>508</v>
      </c>
      <c r="F2215" s="223" t="s">
        <v>509</v>
      </c>
      <c r="G2215" s="223" t="s">
        <v>510</v>
      </c>
      <c r="H2215" s="225" t="s">
        <v>2082</v>
      </c>
      <c r="I2215" s="208"/>
      <c r="J2215" s="210"/>
      <c r="K2215" s="210"/>
      <c r="L2215" s="210"/>
      <c r="M2215" s="210"/>
      <c r="N2215" s="210"/>
      <c r="O2215" s="210"/>
      <c r="P2215" s="210"/>
      <c r="Q2215" s="210"/>
      <c r="R2215" s="210"/>
      <c r="S2215" s="210"/>
      <c r="T2215" s="210"/>
      <c r="U2215" s="210"/>
      <c r="V2215" s="210"/>
      <c r="W2215" s="210"/>
      <c r="X2215" s="210"/>
      <c r="Y2215" s="210"/>
      <c r="Z2215" s="210"/>
    </row>
    <row r="2216" ht="21.75" customHeight="1">
      <c r="A2216" s="214"/>
      <c r="B2216" s="221"/>
      <c r="C2216" s="222">
        <v>200.0</v>
      </c>
      <c r="D2216" s="223" t="s">
        <v>696</v>
      </c>
      <c r="E2216" s="223" t="s">
        <v>673</v>
      </c>
      <c r="F2216" s="223" t="s">
        <v>696</v>
      </c>
      <c r="G2216" s="218" t="s">
        <v>490</v>
      </c>
      <c r="H2216" s="224" t="s">
        <v>490</v>
      </c>
      <c r="I2216" s="208"/>
      <c r="J2216" s="210"/>
      <c r="K2216" s="210"/>
      <c r="L2216" s="210"/>
      <c r="M2216" s="210"/>
      <c r="N2216" s="210"/>
      <c r="O2216" s="210"/>
      <c r="P2216" s="210"/>
      <c r="Q2216" s="210"/>
      <c r="R2216" s="210"/>
      <c r="S2216" s="210"/>
      <c r="T2216" s="210"/>
      <c r="U2216" s="210"/>
      <c r="V2216" s="210"/>
      <c r="W2216" s="210"/>
      <c r="X2216" s="210"/>
      <c r="Y2216" s="210"/>
      <c r="Z2216" s="210"/>
    </row>
    <row r="2217" ht="21.75" customHeight="1">
      <c r="A2217" s="214"/>
      <c r="B2217" s="221"/>
      <c r="C2217" s="222">
        <v>201.0</v>
      </c>
      <c r="D2217" s="223" t="s">
        <v>2083</v>
      </c>
      <c r="E2217" s="223" t="s">
        <v>487</v>
      </c>
      <c r="F2217" s="223" t="s">
        <v>532</v>
      </c>
      <c r="G2217" s="218" t="s">
        <v>490</v>
      </c>
      <c r="H2217" s="224" t="s">
        <v>490</v>
      </c>
      <c r="I2217" s="208"/>
      <c r="J2217" s="210"/>
      <c r="K2217" s="210"/>
      <c r="L2217" s="210"/>
      <c r="M2217" s="210"/>
      <c r="N2217" s="210"/>
      <c r="O2217" s="210"/>
      <c r="P2217" s="210"/>
      <c r="Q2217" s="210"/>
      <c r="R2217" s="210"/>
      <c r="S2217" s="210"/>
      <c r="T2217" s="210"/>
      <c r="U2217" s="210"/>
      <c r="V2217" s="210"/>
      <c r="W2217" s="210"/>
      <c r="X2217" s="210"/>
      <c r="Y2217" s="210"/>
      <c r="Z2217" s="210"/>
    </row>
    <row r="2218" ht="21.75" customHeight="1">
      <c r="A2218" s="214"/>
      <c r="B2218" s="221"/>
      <c r="C2218" s="222">
        <v>202.0</v>
      </c>
      <c r="D2218" s="223" t="s">
        <v>2084</v>
      </c>
      <c r="E2218" s="223" t="s">
        <v>487</v>
      </c>
      <c r="F2218" s="223" t="s">
        <v>590</v>
      </c>
      <c r="G2218" s="218" t="s">
        <v>490</v>
      </c>
      <c r="H2218" s="224" t="s">
        <v>490</v>
      </c>
      <c r="I2218" s="208"/>
      <c r="J2218" s="210"/>
      <c r="K2218" s="210"/>
      <c r="L2218" s="210"/>
      <c r="M2218" s="210"/>
      <c r="N2218" s="210"/>
      <c r="O2218" s="210"/>
      <c r="P2218" s="210"/>
      <c r="Q2218" s="210"/>
      <c r="R2218" s="210"/>
      <c r="S2218" s="210"/>
      <c r="T2218" s="210"/>
      <c r="U2218" s="210"/>
      <c r="V2218" s="210"/>
      <c r="W2218" s="210"/>
      <c r="X2218" s="210"/>
      <c r="Y2218" s="210"/>
      <c r="Z2218" s="210"/>
    </row>
    <row r="2219" ht="21.75" customHeight="1">
      <c r="A2219" s="214"/>
      <c r="B2219" s="217"/>
      <c r="C2219" s="222">
        <v>203.0</v>
      </c>
      <c r="D2219" s="215" t="s">
        <v>2085</v>
      </c>
      <c r="E2219" s="215" t="s">
        <v>487</v>
      </c>
      <c r="F2219" s="215" t="s">
        <v>603</v>
      </c>
      <c r="G2219" s="234" t="s">
        <v>490</v>
      </c>
      <c r="H2219" s="224" t="s">
        <v>490</v>
      </c>
      <c r="I2219" s="208"/>
      <c r="J2219" s="210"/>
      <c r="K2219" s="210"/>
      <c r="L2219" s="210"/>
      <c r="M2219" s="210"/>
      <c r="N2219" s="210"/>
      <c r="O2219" s="210"/>
      <c r="P2219" s="210"/>
      <c r="Q2219" s="210"/>
      <c r="R2219" s="210"/>
      <c r="S2219" s="210"/>
      <c r="T2219" s="210"/>
      <c r="U2219" s="210"/>
      <c r="V2219" s="210"/>
      <c r="W2219" s="210"/>
      <c r="X2219" s="210"/>
      <c r="Y2219" s="210"/>
      <c r="Z2219" s="210"/>
    </row>
    <row r="2220" ht="21.75" customHeight="1">
      <c r="A2220" s="214"/>
      <c r="B2220" s="218" t="s">
        <v>2086</v>
      </c>
      <c r="C2220" s="226">
        <v>51107.0</v>
      </c>
      <c r="D2220" s="220"/>
      <c r="E2220" s="220"/>
      <c r="F2220" s="220"/>
      <c r="G2220" s="220"/>
      <c r="H2220" s="221"/>
      <c r="I2220" s="208"/>
      <c r="J2220" s="210"/>
      <c r="K2220" s="210"/>
      <c r="L2220" s="210"/>
      <c r="M2220" s="210"/>
      <c r="N2220" s="210"/>
      <c r="O2220" s="210"/>
      <c r="P2220" s="210"/>
      <c r="Q2220" s="210"/>
      <c r="R2220" s="210"/>
      <c r="S2220" s="210"/>
      <c r="T2220" s="210"/>
      <c r="U2220" s="210"/>
      <c r="V2220" s="210"/>
      <c r="W2220" s="210"/>
      <c r="X2220" s="210"/>
      <c r="Y2220" s="210"/>
      <c r="Z2220" s="210"/>
    </row>
    <row r="2221" ht="21.75" customHeight="1">
      <c r="A2221" s="214"/>
      <c r="B2221" s="221"/>
      <c r="C2221" s="222">
        <v>1.0</v>
      </c>
      <c r="D2221" s="223" t="s">
        <v>486</v>
      </c>
      <c r="E2221" s="223" t="s">
        <v>487</v>
      </c>
      <c r="F2221" s="223" t="s">
        <v>488</v>
      </c>
      <c r="G2221" s="223" t="s">
        <v>489</v>
      </c>
      <c r="H2221" s="224" t="s">
        <v>490</v>
      </c>
      <c r="I2221" s="208"/>
      <c r="J2221" s="210"/>
      <c r="K2221" s="210"/>
      <c r="L2221" s="210"/>
      <c r="M2221" s="210"/>
      <c r="N2221" s="210"/>
      <c r="O2221" s="210"/>
      <c r="P2221" s="210"/>
      <c r="Q2221" s="210"/>
      <c r="R2221" s="210"/>
      <c r="S2221" s="210"/>
      <c r="T2221" s="210"/>
      <c r="U2221" s="210"/>
      <c r="V2221" s="210"/>
      <c r="W2221" s="210"/>
      <c r="X2221" s="210"/>
      <c r="Y2221" s="210"/>
      <c r="Z2221" s="210"/>
    </row>
    <row r="2222" ht="21.75" customHeight="1">
      <c r="A2222" s="214"/>
      <c r="B2222" s="221"/>
      <c r="C2222" s="222">
        <v>2.0</v>
      </c>
      <c r="D2222" s="223" t="s">
        <v>928</v>
      </c>
      <c r="E2222" s="223" t="s">
        <v>487</v>
      </c>
      <c r="F2222" s="223" t="s">
        <v>492</v>
      </c>
      <c r="G2222" s="223" t="s">
        <v>497</v>
      </c>
      <c r="H2222" s="224" t="s">
        <v>490</v>
      </c>
      <c r="I2222" s="208"/>
      <c r="J2222" s="210"/>
      <c r="K2222" s="210"/>
      <c r="L2222" s="210"/>
      <c r="M2222" s="210"/>
      <c r="N2222" s="210"/>
      <c r="O2222" s="210"/>
      <c r="P2222" s="210"/>
      <c r="Q2222" s="210"/>
      <c r="R2222" s="210"/>
      <c r="S2222" s="210"/>
      <c r="T2222" s="210"/>
      <c r="U2222" s="210"/>
      <c r="V2222" s="210"/>
      <c r="W2222" s="210"/>
      <c r="X2222" s="210"/>
      <c r="Y2222" s="210"/>
      <c r="Z2222" s="210"/>
    </row>
    <row r="2223" ht="21.75" customHeight="1">
      <c r="A2223" s="214"/>
      <c r="B2223" s="221"/>
      <c r="C2223" s="222">
        <v>3.0</v>
      </c>
      <c r="D2223" s="223" t="s">
        <v>779</v>
      </c>
      <c r="E2223" s="223" t="s">
        <v>487</v>
      </c>
      <c r="F2223" s="223" t="s">
        <v>496</v>
      </c>
      <c r="G2223" s="223" t="s">
        <v>501</v>
      </c>
      <c r="H2223" s="224" t="s">
        <v>490</v>
      </c>
      <c r="I2223" s="208"/>
      <c r="J2223" s="210"/>
      <c r="K2223" s="210"/>
      <c r="L2223" s="210"/>
      <c r="M2223" s="210"/>
      <c r="N2223" s="210"/>
      <c r="O2223" s="210"/>
      <c r="P2223" s="210"/>
      <c r="Q2223" s="210"/>
      <c r="R2223" s="210"/>
      <c r="S2223" s="210"/>
      <c r="T2223" s="210"/>
      <c r="U2223" s="210"/>
      <c r="V2223" s="210"/>
      <c r="W2223" s="210"/>
      <c r="X2223" s="210"/>
      <c r="Y2223" s="210"/>
      <c r="Z2223" s="210"/>
    </row>
    <row r="2224" ht="21.75" customHeight="1">
      <c r="A2224" s="214"/>
      <c r="B2224" s="221"/>
      <c r="C2224" s="222">
        <v>4.0</v>
      </c>
      <c r="D2224" s="223" t="s">
        <v>2080</v>
      </c>
      <c r="E2224" s="223" t="s">
        <v>487</v>
      </c>
      <c r="F2224" s="223" t="s">
        <v>500</v>
      </c>
      <c r="G2224" s="223" t="s">
        <v>493</v>
      </c>
      <c r="H2224" s="224" t="s">
        <v>490</v>
      </c>
      <c r="I2224" s="208"/>
      <c r="J2224" s="210"/>
      <c r="K2224" s="210"/>
      <c r="L2224" s="210"/>
      <c r="M2224" s="210"/>
      <c r="N2224" s="210"/>
      <c r="O2224" s="210"/>
      <c r="P2224" s="210"/>
      <c r="Q2224" s="210"/>
      <c r="R2224" s="210"/>
      <c r="S2224" s="210"/>
      <c r="T2224" s="210"/>
      <c r="U2224" s="210"/>
      <c r="V2224" s="210"/>
      <c r="W2224" s="210"/>
      <c r="X2224" s="210"/>
      <c r="Y2224" s="210"/>
      <c r="Z2224" s="210"/>
    </row>
    <row r="2225" ht="21.75" customHeight="1">
      <c r="A2225" s="214"/>
      <c r="B2225" s="221"/>
      <c r="C2225" s="222">
        <v>5.0</v>
      </c>
      <c r="D2225" s="223" t="s">
        <v>519</v>
      </c>
      <c r="E2225" s="223" t="s">
        <v>539</v>
      </c>
      <c r="F2225" s="223" t="s">
        <v>542</v>
      </c>
      <c r="G2225" s="223" t="s">
        <v>526</v>
      </c>
      <c r="H2225" s="224" t="s">
        <v>490</v>
      </c>
      <c r="I2225" s="208"/>
      <c r="J2225" s="210"/>
      <c r="K2225" s="210"/>
      <c r="L2225" s="210"/>
      <c r="M2225" s="210"/>
      <c r="N2225" s="210"/>
      <c r="O2225" s="210"/>
      <c r="P2225" s="210"/>
      <c r="Q2225" s="210"/>
      <c r="R2225" s="210"/>
      <c r="S2225" s="210"/>
      <c r="T2225" s="210"/>
      <c r="U2225" s="210"/>
      <c r="V2225" s="210"/>
      <c r="W2225" s="210"/>
      <c r="X2225" s="210"/>
      <c r="Y2225" s="210"/>
      <c r="Z2225" s="210"/>
    </row>
    <row r="2226" ht="21.75" customHeight="1">
      <c r="A2226" s="214"/>
      <c r="B2226" s="221"/>
      <c r="C2226" s="222">
        <v>6.0</v>
      </c>
      <c r="D2226" s="223" t="s">
        <v>2081</v>
      </c>
      <c r="E2226" s="223" t="s">
        <v>508</v>
      </c>
      <c r="F2226" s="223" t="s">
        <v>509</v>
      </c>
      <c r="G2226" s="223" t="s">
        <v>510</v>
      </c>
      <c r="H2226" s="225" t="s">
        <v>2087</v>
      </c>
      <c r="I2226" s="208"/>
      <c r="J2226" s="210"/>
      <c r="K2226" s="210"/>
      <c r="L2226" s="210"/>
      <c r="M2226" s="210"/>
      <c r="N2226" s="210"/>
      <c r="O2226" s="210"/>
      <c r="P2226" s="210"/>
      <c r="Q2226" s="210"/>
      <c r="R2226" s="210"/>
      <c r="S2226" s="210"/>
      <c r="T2226" s="210"/>
      <c r="U2226" s="210"/>
      <c r="V2226" s="210"/>
      <c r="W2226" s="210"/>
      <c r="X2226" s="210"/>
      <c r="Y2226" s="210"/>
      <c r="Z2226" s="210"/>
    </row>
    <row r="2227" ht="21.75" customHeight="1">
      <c r="A2227" s="214"/>
      <c r="B2227" s="221"/>
      <c r="C2227" s="222">
        <v>200.0</v>
      </c>
      <c r="D2227" s="223" t="s">
        <v>696</v>
      </c>
      <c r="E2227" s="223" t="s">
        <v>673</v>
      </c>
      <c r="F2227" s="223" t="s">
        <v>696</v>
      </c>
      <c r="G2227" s="218" t="s">
        <v>490</v>
      </c>
      <c r="H2227" s="224" t="s">
        <v>490</v>
      </c>
      <c r="I2227" s="208"/>
      <c r="J2227" s="210"/>
      <c r="K2227" s="210"/>
      <c r="L2227" s="210"/>
      <c r="M2227" s="210"/>
      <c r="N2227" s="210"/>
      <c r="O2227" s="210"/>
      <c r="P2227" s="210"/>
      <c r="Q2227" s="210"/>
      <c r="R2227" s="210"/>
      <c r="S2227" s="210"/>
      <c r="T2227" s="210"/>
      <c r="U2227" s="210"/>
      <c r="V2227" s="210"/>
      <c r="W2227" s="210"/>
      <c r="X2227" s="210"/>
      <c r="Y2227" s="210"/>
      <c r="Z2227" s="210"/>
    </row>
    <row r="2228" ht="21.75" customHeight="1">
      <c r="A2228" s="214"/>
      <c r="B2228" s="221"/>
      <c r="C2228" s="222">
        <v>201.0</v>
      </c>
      <c r="D2228" s="223" t="s">
        <v>2083</v>
      </c>
      <c r="E2228" s="223" t="s">
        <v>487</v>
      </c>
      <c r="F2228" s="223" t="s">
        <v>512</v>
      </c>
      <c r="G2228" s="218" t="s">
        <v>490</v>
      </c>
      <c r="H2228" s="224" t="s">
        <v>490</v>
      </c>
      <c r="I2228" s="208"/>
      <c r="J2228" s="210"/>
      <c r="K2228" s="210"/>
      <c r="L2228" s="210"/>
      <c r="M2228" s="210"/>
      <c r="N2228" s="210"/>
      <c r="O2228" s="210"/>
      <c r="P2228" s="210"/>
      <c r="Q2228" s="210"/>
      <c r="R2228" s="210"/>
      <c r="S2228" s="210"/>
      <c r="T2228" s="210"/>
      <c r="U2228" s="210"/>
      <c r="V2228" s="210"/>
      <c r="W2228" s="210"/>
      <c r="X2228" s="210"/>
      <c r="Y2228" s="210"/>
      <c r="Z2228" s="210"/>
    </row>
    <row r="2229" ht="21.75" customHeight="1">
      <c r="A2229" s="214"/>
      <c r="B2229" s="221"/>
      <c r="C2229" s="222">
        <v>202.0</v>
      </c>
      <c r="D2229" s="223" t="s">
        <v>2084</v>
      </c>
      <c r="E2229" s="223" t="s">
        <v>487</v>
      </c>
      <c r="F2229" s="223" t="s">
        <v>532</v>
      </c>
      <c r="G2229" s="218" t="s">
        <v>490</v>
      </c>
      <c r="H2229" s="224" t="s">
        <v>490</v>
      </c>
      <c r="I2229" s="208"/>
      <c r="J2229" s="210"/>
      <c r="K2229" s="210"/>
      <c r="L2229" s="210"/>
      <c r="M2229" s="210"/>
      <c r="N2229" s="210"/>
      <c r="O2229" s="210"/>
      <c r="P2229" s="210"/>
      <c r="Q2229" s="210"/>
      <c r="R2229" s="210"/>
      <c r="S2229" s="210"/>
      <c r="T2229" s="210"/>
      <c r="U2229" s="210"/>
      <c r="V2229" s="210"/>
      <c r="W2229" s="210"/>
      <c r="X2229" s="210"/>
      <c r="Y2229" s="210"/>
      <c r="Z2229" s="210"/>
    </row>
    <row r="2230" ht="21.75" customHeight="1">
      <c r="A2230" s="228"/>
      <c r="B2230" s="221"/>
      <c r="C2230" s="222">
        <v>203.0</v>
      </c>
      <c r="D2230" s="223" t="s">
        <v>2085</v>
      </c>
      <c r="E2230" s="223" t="s">
        <v>487</v>
      </c>
      <c r="F2230" s="223" t="s">
        <v>590</v>
      </c>
      <c r="G2230" s="218" t="s">
        <v>490</v>
      </c>
      <c r="H2230" s="224" t="s">
        <v>490</v>
      </c>
      <c r="I2230" s="208"/>
      <c r="J2230" s="210"/>
      <c r="K2230" s="210"/>
      <c r="L2230" s="210"/>
      <c r="M2230" s="210"/>
      <c r="N2230" s="210"/>
      <c r="O2230" s="210"/>
      <c r="P2230" s="210"/>
      <c r="Q2230" s="210"/>
      <c r="R2230" s="210"/>
      <c r="S2230" s="210"/>
      <c r="T2230" s="210"/>
      <c r="U2230" s="210"/>
      <c r="V2230" s="210"/>
      <c r="W2230" s="210"/>
      <c r="X2230" s="210"/>
      <c r="Y2230" s="210"/>
      <c r="Z2230" s="210"/>
    </row>
    <row r="2231" ht="21.75" customHeight="1">
      <c r="A2231" s="214">
        <v>359.0</v>
      </c>
      <c r="B2231" s="215" t="s">
        <v>2088</v>
      </c>
      <c r="C2231" s="216"/>
      <c r="D2231" s="217"/>
      <c r="E2231" s="217"/>
      <c r="F2231" s="217"/>
      <c r="G2231" s="217"/>
      <c r="H2231" s="217"/>
      <c r="I2231" s="208"/>
      <c r="J2231" s="210"/>
      <c r="K2231" s="210"/>
      <c r="L2231" s="210"/>
      <c r="M2231" s="210"/>
      <c r="N2231" s="210"/>
      <c r="O2231" s="210"/>
      <c r="P2231" s="210"/>
      <c r="Q2231" s="210"/>
      <c r="R2231" s="210"/>
      <c r="S2231" s="210"/>
      <c r="T2231" s="210"/>
      <c r="U2231" s="210"/>
      <c r="V2231" s="210"/>
      <c r="W2231" s="210"/>
      <c r="X2231" s="210"/>
      <c r="Y2231" s="210"/>
      <c r="Z2231" s="210"/>
    </row>
    <row r="2232" ht="21.75" customHeight="1">
      <c r="A2232" s="214"/>
      <c r="B2232" s="218" t="s">
        <v>2089</v>
      </c>
      <c r="C2232" s="219">
        <v>51115.0</v>
      </c>
      <c r="D2232" s="220"/>
      <c r="E2232" s="220"/>
      <c r="F2232" s="220"/>
      <c r="G2232" s="220"/>
      <c r="H2232" s="220"/>
      <c r="I2232" s="208"/>
      <c r="J2232" s="210"/>
      <c r="K2232" s="210"/>
      <c r="L2232" s="210"/>
      <c r="M2232" s="210"/>
      <c r="N2232" s="210"/>
      <c r="O2232" s="210"/>
      <c r="P2232" s="210"/>
      <c r="Q2232" s="210"/>
      <c r="R2232" s="210"/>
      <c r="S2232" s="210"/>
      <c r="T2232" s="210"/>
      <c r="U2232" s="210"/>
      <c r="V2232" s="210"/>
      <c r="W2232" s="210"/>
      <c r="X2232" s="210"/>
      <c r="Y2232" s="210"/>
      <c r="Z2232" s="210"/>
    </row>
    <row r="2233" ht="21.75" customHeight="1">
      <c r="A2233" s="214"/>
      <c r="B2233" s="221"/>
      <c r="C2233" s="222">
        <v>100.0</v>
      </c>
      <c r="D2233" s="223" t="s">
        <v>486</v>
      </c>
      <c r="E2233" s="223" t="s">
        <v>487</v>
      </c>
      <c r="F2233" s="223" t="s">
        <v>488</v>
      </c>
      <c r="G2233" s="223" t="s">
        <v>489</v>
      </c>
      <c r="H2233" s="224" t="s">
        <v>490</v>
      </c>
      <c r="I2233" s="208"/>
      <c r="J2233" s="210"/>
      <c r="K2233" s="210"/>
      <c r="L2233" s="210"/>
      <c r="M2233" s="210"/>
      <c r="N2233" s="210"/>
      <c r="O2233" s="210"/>
      <c r="P2233" s="210"/>
      <c r="Q2233" s="210"/>
      <c r="R2233" s="210"/>
      <c r="S2233" s="210"/>
      <c r="T2233" s="210"/>
      <c r="U2233" s="210"/>
      <c r="V2233" s="210"/>
      <c r="W2233" s="210"/>
      <c r="X2233" s="210"/>
      <c r="Y2233" s="210"/>
      <c r="Z2233" s="210"/>
    </row>
    <row r="2234" ht="21.75" customHeight="1">
      <c r="A2234" s="214"/>
      <c r="B2234" s="221"/>
      <c r="C2234" s="222">
        <v>101.0</v>
      </c>
      <c r="D2234" s="223" t="s">
        <v>491</v>
      </c>
      <c r="E2234" s="223" t="s">
        <v>487</v>
      </c>
      <c r="F2234" s="223" t="s">
        <v>492</v>
      </c>
      <c r="G2234" s="223" t="s">
        <v>678</v>
      </c>
      <c r="H2234" s="225" t="s">
        <v>2090</v>
      </c>
      <c r="I2234" s="208"/>
      <c r="J2234" s="210"/>
      <c r="K2234" s="210"/>
      <c r="L2234" s="210"/>
      <c r="M2234" s="210"/>
      <c r="N2234" s="210"/>
      <c r="O2234" s="210"/>
      <c r="P2234" s="210"/>
      <c r="Q2234" s="210"/>
      <c r="R2234" s="210"/>
      <c r="S2234" s="210"/>
      <c r="T2234" s="210"/>
      <c r="U2234" s="210"/>
      <c r="V2234" s="210"/>
      <c r="W2234" s="210"/>
      <c r="X2234" s="210"/>
      <c r="Y2234" s="210"/>
      <c r="Z2234" s="210"/>
    </row>
    <row r="2235" ht="21.75" customHeight="1">
      <c r="A2235" s="214"/>
      <c r="B2235" s="221"/>
      <c r="C2235" s="222">
        <v>102.0</v>
      </c>
      <c r="D2235" s="223" t="s">
        <v>1750</v>
      </c>
      <c r="E2235" s="223" t="s">
        <v>487</v>
      </c>
      <c r="F2235" s="223" t="s">
        <v>496</v>
      </c>
      <c r="G2235" s="223" t="s">
        <v>493</v>
      </c>
      <c r="H2235" s="225" t="s">
        <v>2091</v>
      </c>
      <c r="I2235" s="208"/>
      <c r="J2235" s="210"/>
      <c r="K2235" s="210"/>
      <c r="L2235" s="210"/>
      <c r="M2235" s="210"/>
      <c r="N2235" s="210"/>
      <c r="O2235" s="210"/>
      <c r="P2235" s="210"/>
      <c r="Q2235" s="210"/>
      <c r="R2235" s="210"/>
      <c r="S2235" s="210"/>
      <c r="T2235" s="210"/>
      <c r="U2235" s="210"/>
      <c r="V2235" s="210"/>
      <c r="W2235" s="210"/>
      <c r="X2235" s="210"/>
      <c r="Y2235" s="210"/>
      <c r="Z2235" s="210"/>
    </row>
    <row r="2236" ht="21.75" customHeight="1">
      <c r="A2236" s="214"/>
      <c r="B2236" s="221"/>
      <c r="C2236" s="222">
        <v>103.0</v>
      </c>
      <c r="D2236" s="223" t="s">
        <v>749</v>
      </c>
      <c r="E2236" s="223" t="s">
        <v>487</v>
      </c>
      <c r="F2236" s="223" t="s">
        <v>500</v>
      </c>
      <c r="G2236" s="223" t="s">
        <v>497</v>
      </c>
      <c r="H2236" s="224" t="s">
        <v>490</v>
      </c>
      <c r="I2236" s="208"/>
      <c r="J2236" s="210"/>
      <c r="K2236" s="210"/>
      <c r="L2236" s="210"/>
      <c r="M2236" s="210"/>
      <c r="N2236" s="210"/>
      <c r="O2236" s="210"/>
      <c r="P2236" s="210"/>
      <c r="Q2236" s="210"/>
      <c r="R2236" s="210"/>
      <c r="S2236" s="210"/>
      <c r="T2236" s="210"/>
      <c r="U2236" s="210"/>
      <c r="V2236" s="210"/>
      <c r="W2236" s="210"/>
      <c r="X2236" s="210"/>
      <c r="Y2236" s="210"/>
      <c r="Z2236" s="210"/>
    </row>
    <row r="2237" ht="21.75" customHeight="1">
      <c r="A2237" s="214"/>
      <c r="B2237" s="221"/>
      <c r="C2237" s="222">
        <v>104.0</v>
      </c>
      <c r="D2237" s="223" t="s">
        <v>750</v>
      </c>
      <c r="E2237" s="223" t="s">
        <v>487</v>
      </c>
      <c r="F2237" s="223" t="s">
        <v>512</v>
      </c>
      <c r="G2237" s="223" t="s">
        <v>501</v>
      </c>
      <c r="H2237" s="224" t="s">
        <v>490</v>
      </c>
      <c r="I2237" s="208"/>
      <c r="J2237" s="210"/>
      <c r="K2237" s="210"/>
      <c r="L2237" s="210"/>
      <c r="M2237" s="210"/>
      <c r="N2237" s="210"/>
      <c r="O2237" s="210"/>
      <c r="P2237" s="210"/>
      <c r="Q2237" s="210"/>
      <c r="R2237" s="210"/>
      <c r="S2237" s="210"/>
      <c r="T2237" s="210"/>
      <c r="U2237" s="210"/>
      <c r="V2237" s="210"/>
      <c r="W2237" s="210"/>
      <c r="X2237" s="210"/>
      <c r="Y2237" s="210"/>
      <c r="Z2237" s="210"/>
    </row>
    <row r="2238" ht="21.75" customHeight="1">
      <c r="A2238" s="214"/>
      <c r="B2238" s="217"/>
      <c r="C2238" s="222">
        <v>105.0</v>
      </c>
      <c r="D2238" s="215" t="s">
        <v>541</v>
      </c>
      <c r="E2238" s="215" t="s">
        <v>508</v>
      </c>
      <c r="F2238" s="215" t="s">
        <v>509</v>
      </c>
      <c r="G2238" s="215" t="s">
        <v>510</v>
      </c>
      <c r="H2238" s="225" t="s">
        <v>2092</v>
      </c>
      <c r="I2238" s="208"/>
      <c r="J2238" s="210"/>
      <c r="K2238" s="210"/>
      <c r="L2238" s="210"/>
      <c r="M2238" s="210"/>
      <c r="N2238" s="210"/>
      <c r="O2238" s="210"/>
      <c r="P2238" s="210"/>
      <c r="Q2238" s="210"/>
      <c r="R2238" s="210"/>
      <c r="S2238" s="210"/>
      <c r="T2238" s="210"/>
      <c r="U2238" s="210"/>
      <c r="V2238" s="210"/>
      <c r="W2238" s="210"/>
      <c r="X2238" s="210"/>
      <c r="Y2238" s="210"/>
      <c r="Z2238" s="210"/>
    </row>
    <row r="2239" ht="21.75" customHeight="1">
      <c r="A2239" s="214"/>
      <c r="B2239" s="218" t="s">
        <v>2093</v>
      </c>
      <c r="C2239" s="226">
        <v>51116.0</v>
      </c>
      <c r="D2239" s="220"/>
      <c r="E2239" s="220"/>
      <c r="F2239" s="220"/>
      <c r="G2239" s="220"/>
      <c r="H2239" s="221"/>
      <c r="I2239" s="208"/>
      <c r="J2239" s="210"/>
      <c r="K2239" s="210"/>
      <c r="L2239" s="210"/>
      <c r="M2239" s="210"/>
      <c r="N2239" s="210"/>
      <c r="O2239" s="210"/>
      <c r="P2239" s="210"/>
      <c r="Q2239" s="210"/>
      <c r="R2239" s="210"/>
      <c r="S2239" s="210"/>
      <c r="T2239" s="210"/>
      <c r="U2239" s="210"/>
      <c r="V2239" s="210"/>
      <c r="W2239" s="210"/>
      <c r="X2239" s="210"/>
      <c r="Y2239" s="210"/>
      <c r="Z2239" s="210"/>
    </row>
    <row r="2240" ht="21.75" customHeight="1">
      <c r="A2240" s="214"/>
      <c r="B2240" s="221"/>
      <c r="C2240" s="222">
        <v>100.0</v>
      </c>
      <c r="D2240" s="223" t="s">
        <v>486</v>
      </c>
      <c r="E2240" s="223" t="s">
        <v>487</v>
      </c>
      <c r="F2240" s="223" t="s">
        <v>488</v>
      </c>
      <c r="G2240" s="223" t="s">
        <v>489</v>
      </c>
      <c r="H2240" s="224" t="s">
        <v>490</v>
      </c>
      <c r="I2240" s="208"/>
      <c r="J2240" s="210"/>
      <c r="K2240" s="210"/>
      <c r="L2240" s="210"/>
      <c r="M2240" s="210"/>
      <c r="N2240" s="210"/>
      <c r="O2240" s="210"/>
      <c r="P2240" s="210"/>
      <c r="Q2240" s="210"/>
      <c r="R2240" s="210"/>
      <c r="S2240" s="210"/>
      <c r="T2240" s="210"/>
      <c r="U2240" s="210"/>
      <c r="V2240" s="210"/>
      <c r="W2240" s="210"/>
      <c r="X2240" s="210"/>
      <c r="Y2240" s="210"/>
      <c r="Z2240" s="210"/>
    </row>
    <row r="2241" ht="21.75" customHeight="1">
      <c r="A2241" s="214"/>
      <c r="B2241" s="221"/>
      <c r="C2241" s="222">
        <v>101.0</v>
      </c>
      <c r="D2241" s="223" t="s">
        <v>491</v>
      </c>
      <c r="E2241" s="223" t="s">
        <v>487</v>
      </c>
      <c r="F2241" s="223" t="s">
        <v>492</v>
      </c>
      <c r="G2241" s="223" t="s">
        <v>678</v>
      </c>
      <c r="H2241" s="225" t="s">
        <v>2094</v>
      </c>
      <c r="I2241" s="208"/>
      <c r="J2241" s="210"/>
      <c r="K2241" s="210"/>
      <c r="L2241" s="210"/>
      <c r="M2241" s="210"/>
      <c r="N2241" s="210"/>
      <c r="O2241" s="210"/>
      <c r="P2241" s="210"/>
      <c r="Q2241" s="210"/>
      <c r="R2241" s="210"/>
      <c r="S2241" s="210"/>
      <c r="T2241" s="210"/>
      <c r="U2241" s="210"/>
      <c r="V2241" s="210"/>
      <c r="W2241" s="210"/>
      <c r="X2241" s="210"/>
      <c r="Y2241" s="210"/>
      <c r="Z2241" s="210"/>
    </row>
    <row r="2242" ht="21.75" customHeight="1">
      <c r="A2242" s="214"/>
      <c r="B2242" s="221"/>
      <c r="C2242" s="222">
        <v>102.0</v>
      </c>
      <c r="D2242" s="223" t="s">
        <v>1750</v>
      </c>
      <c r="E2242" s="223" t="s">
        <v>487</v>
      </c>
      <c r="F2242" s="223" t="s">
        <v>496</v>
      </c>
      <c r="G2242" s="223" t="s">
        <v>493</v>
      </c>
      <c r="H2242" s="225" t="s">
        <v>2095</v>
      </c>
      <c r="I2242" s="208"/>
      <c r="J2242" s="210"/>
      <c r="K2242" s="210"/>
      <c r="L2242" s="210"/>
      <c r="M2242" s="210"/>
      <c r="N2242" s="210"/>
      <c r="O2242" s="210"/>
      <c r="P2242" s="210"/>
      <c r="Q2242" s="210"/>
      <c r="R2242" s="210"/>
      <c r="S2242" s="210"/>
      <c r="T2242" s="210"/>
      <c r="U2242" s="210"/>
      <c r="V2242" s="210"/>
      <c r="W2242" s="210"/>
      <c r="X2242" s="210"/>
      <c r="Y2242" s="210"/>
      <c r="Z2242" s="210"/>
    </row>
    <row r="2243" ht="21.75" customHeight="1">
      <c r="A2243" s="214"/>
      <c r="B2243" s="221"/>
      <c r="C2243" s="222">
        <v>103.0</v>
      </c>
      <c r="D2243" s="223" t="s">
        <v>749</v>
      </c>
      <c r="E2243" s="223" t="s">
        <v>487</v>
      </c>
      <c r="F2243" s="223" t="s">
        <v>500</v>
      </c>
      <c r="G2243" s="223" t="s">
        <v>497</v>
      </c>
      <c r="H2243" s="224" t="s">
        <v>490</v>
      </c>
      <c r="I2243" s="208"/>
      <c r="J2243" s="210"/>
      <c r="K2243" s="210"/>
      <c r="L2243" s="210"/>
      <c r="M2243" s="210"/>
      <c r="N2243" s="210"/>
      <c r="O2243" s="210"/>
      <c r="P2243" s="210"/>
      <c r="Q2243" s="210"/>
      <c r="R2243" s="210"/>
      <c r="S2243" s="210"/>
      <c r="T2243" s="210"/>
      <c r="U2243" s="210"/>
      <c r="V2243" s="210"/>
      <c r="W2243" s="210"/>
      <c r="X2243" s="210"/>
      <c r="Y2243" s="210"/>
      <c r="Z2243" s="210"/>
    </row>
    <row r="2244" ht="21.75" customHeight="1">
      <c r="A2244" s="214"/>
      <c r="B2244" s="221"/>
      <c r="C2244" s="222">
        <v>104.0</v>
      </c>
      <c r="D2244" s="223" t="s">
        <v>750</v>
      </c>
      <c r="E2244" s="223" t="s">
        <v>487</v>
      </c>
      <c r="F2244" s="223" t="s">
        <v>512</v>
      </c>
      <c r="G2244" s="223" t="s">
        <v>501</v>
      </c>
      <c r="H2244" s="224" t="s">
        <v>490</v>
      </c>
      <c r="I2244" s="208"/>
      <c r="J2244" s="210"/>
      <c r="K2244" s="210"/>
      <c r="L2244" s="210"/>
      <c r="M2244" s="210"/>
      <c r="N2244" s="210"/>
      <c r="O2244" s="210"/>
      <c r="P2244" s="210"/>
      <c r="Q2244" s="210"/>
      <c r="R2244" s="210"/>
      <c r="S2244" s="210"/>
      <c r="T2244" s="210"/>
      <c r="U2244" s="210"/>
      <c r="V2244" s="210"/>
      <c r="W2244" s="210"/>
      <c r="X2244" s="210"/>
      <c r="Y2244" s="210"/>
      <c r="Z2244" s="210"/>
    </row>
    <row r="2245" ht="21.75" customHeight="1">
      <c r="A2245" s="228"/>
      <c r="B2245" s="221"/>
      <c r="C2245" s="222">
        <v>105.0</v>
      </c>
      <c r="D2245" s="223" t="s">
        <v>541</v>
      </c>
      <c r="E2245" s="223" t="s">
        <v>508</v>
      </c>
      <c r="F2245" s="223" t="s">
        <v>509</v>
      </c>
      <c r="G2245" s="223" t="s">
        <v>510</v>
      </c>
      <c r="H2245" s="225" t="s">
        <v>2096</v>
      </c>
      <c r="I2245" s="208"/>
      <c r="J2245" s="210"/>
      <c r="K2245" s="210"/>
      <c r="L2245" s="210"/>
      <c r="M2245" s="210"/>
      <c r="N2245" s="210"/>
      <c r="O2245" s="210"/>
      <c r="P2245" s="210"/>
      <c r="Q2245" s="210"/>
      <c r="R2245" s="210"/>
      <c r="S2245" s="210"/>
      <c r="T2245" s="210"/>
      <c r="U2245" s="210"/>
      <c r="V2245" s="210"/>
      <c r="W2245" s="210"/>
      <c r="X2245" s="210"/>
      <c r="Y2245" s="210"/>
      <c r="Z2245" s="210"/>
    </row>
    <row r="2246" ht="21.75" customHeight="1">
      <c r="A2246" s="214">
        <v>36.0</v>
      </c>
      <c r="B2246" s="215" t="s">
        <v>2097</v>
      </c>
      <c r="C2246" s="216"/>
      <c r="D2246" s="217"/>
      <c r="E2246" s="217"/>
      <c r="F2246" s="217"/>
      <c r="G2246" s="217"/>
      <c r="H2246" s="217"/>
      <c r="I2246" s="208"/>
      <c r="J2246" s="210"/>
      <c r="K2246" s="210"/>
      <c r="L2246" s="210"/>
      <c r="M2246" s="210"/>
      <c r="N2246" s="210"/>
      <c r="O2246" s="210"/>
      <c r="P2246" s="210"/>
      <c r="Q2246" s="210"/>
      <c r="R2246" s="210"/>
      <c r="S2246" s="210"/>
      <c r="T2246" s="210"/>
      <c r="U2246" s="210"/>
      <c r="V2246" s="210"/>
      <c r="W2246" s="210"/>
      <c r="X2246" s="210"/>
      <c r="Y2246" s="210"/>
      <c r="Z2246" s="210"/>
    </row>
    <row r="2247" ht="21.75" customHeight="1">
      <c r="A2247" s="214"/>
      <c r="B2247" s="218" t="s">
        <v>2098</v>
      </c>
      <c r="C2247" s="219">
        <v>50348.0</v>
      </c>
      <c r="D2247" s="220"/>
      <c r="E2247" s="220"/>
      <c r="F2247" s="220"/>
      <c r="G2247" s="220"/>
      <c r="H2247" s="220"/>
      <c r="I2247" s="208"/>
      <c r="J2247" s="210"/>
      <c r="K2247" s="210"/>
      <c r="L2247" s="210"/>
      <c r="M2247" s="210"/>
      <c r="N2247" s="210"/>
      <c r="O2247" s="210"/>
      <c r="P2247" s="210"/>
      <c r="Q2247" s="210"/>
      <c r="R2247" s="210"/>
      <c r="S2247" s="210"/>
      <c r="T2247" s="210"/>
      <c r="U2247" s="210"/>
      <c r="V2247" s="210"/>
      <c r="W2247" s="210"/>
      <c r="X2247" s="210"/>
      <c r="Y2247" s="210"/>
      <c r="Z2247" s="210"/>
    </row>
    <row r="2248" ht="21.75" customHeight="1">
      <c r="A2248" s="214"/>
      <c r="B2248" s="221"/>
      <c r="C2248" s="222">
        <v>100.0</v>
      </c>
      <c r="D2248" s="223" t="s">
        <v>486</v>
      </c>
      <c r="E2248" s="223" t="s">
        <v>487</v>
      </c>
      <c r="F2248" s="223" t="s">
        <v>488</v>
      </c>
      <c r="G2248" s="223" t="s">
        <v>489</v>
      </c>
      <c r="H2248" s="224" t="s">
        <v>490</v>
      </c>
      <c r="I2248" s="208"/>
      <c r="J2248" s="210"/>
      <c r="K2248" s="210"/>
      <c r="L2248" s="210"/>
      <c r="M2248" s="210"/>
      <c r="N2248" s="210"/>
      <c r="O2248" s="210"/>
      <c r="P2248" s="210"/>
      <c r="Q2248" s="210"/>
      <c r="R2248" s="210"/>
      <c r="S2248" s="210"/>
      <c r="T2248" s="210"/>
      <c r="U2248" s="210"/>
      <c r="V2248" s="210"/>
      <c r="W2248" s="210"/>
      <c r="X2248" s="210"/>
      <c r="Y2248" s="210"/>
      <c r="Z2248" s="210"/>
    </row>
    <row r="2249" ht="21.75" customHeight="1">
      <c r="A2249" s="214"/>
      <c r="B2249" s="221"/>
      <c r="C2249" s="222">
        <v>101.0</v>
      </c>
      <c r="D2249" s="223" t="s">
        <v>369</v>
      </c>
      <c r="E2249" s="223" t="s">
        <v>487</v>
      </c>
      <c r="F2249" s="223" t="s">
        <v>492</v>
      </c>
      <c r="G2249" s="223" t="s">
        <v>678</v>
      </c>
      <c r="H2249" s="225" t="s">
        <v>2099</v>
      </c>
      <c r="I2249" s="208"/>
      <c r="J2249" s="210"/>
      <c r="K2249" s="210"/>
      <c r="L2249" s="210"/>
      <c r="M2249" s="210"/>
      <c r="N2249" s="210"/>
      <c r="O2249" s="210"/>
      <c r="P2249" s="210"/>
      <c r="Q2249" s="210"/>
      <c r="R2249" s="210"/>
      <c r="S2249" s="210"/>
      <c r="T2249" s="210"/>
      <c r="U2249" s="210"/>
      <c r="V2249" s="210"/>
      <c r="W2249" s="210"/>
      <c r="X2249" s="210"/>
      <c r="Y2249" s="210"/>
      <c r="Z2249" s="210"/>
    </row>
    <row r="2250" ht="21.75" customHeight="1">
      <c r="A2250" s="214"/>
      <c r="B2250" s="221"/>
      <c r="C2250" s="222">
        <v>102.0</v>
      </c>
      <c r="D2250" s="223" t="s">
        <v>2100</v>
      </c>
      <c r="E2250" s="223" t="s">
        <v>487</v>
      </c>
      <c r="F2250" s="223" t="s">
        <v>496</v>
      </c>
      <c r="G2250" s="223" t="s">
        <v>497</v>
      </c>
      <c r="H2250" s="225" t="s">
        <v>2101</v>
      </c>
      <c r="I2250" s="208"/>
      <c r="J2250" s="210"/>
      <c r="K2250" s="210"/>
      <c r="L2250" s="210"/>
      <c r="M2250" s="210"/>
      <c r="N2250" s="210"/>
      <c r="O2250" s="210"/>
      <c r="P2250" s="210"/>
      <c r="Q2250" s="210"/>
      <c r="R2250" s="210"/>
      <c r="S2250" s="210"/>
      <c r="T2250" s="210"/>
      <c r="U2250" s="210"/>
      <c r="V2250" s="210"/>
      <c r="W2250" s="210"/>
      <c r="X2250" s="210"/>
      <c r="Y2250" s="210"/>
      <c r="Z2250" s="210"/>
    </row>
    <row r="2251" ht="21.75" customHeight="1">
      <c r="A2251" s="228"/>
      <c r="B2251" s="221"/>
      <c r="C2251" s="222">
        <v>103.0</v>
      </c>
      <c r="D2251" s="223" t="s">
        <v>507</v>
      </c>
      <c r="E2251" s="223" t="s">
        <v>508</v>
      </c>
      <c r="F2251" s="223" t="s">
        <v>509</v>
      </c>
      <c r="G2251" s="223" t="s">
        <v>510</v>
      </c>
      <c r="H2251" s="225" t="s">
        <v>2102</v>
      </c>
      <c r="I2251" s="208"/>
      <c r="J2251" s="210"/>
      <c r="K2251" s="210"/>
      <c r="L2251" s="210"/>
      <c r="M2251" s="210"/>
      <c r="N2251" s="210"/>
      <c r="O2251" s="210"/>
      <c r="P2251" s="210"/>
      <c r="Q2251" s="210"/>
      <c r="R2251" s="210"/>
      <c r="S2251" s="210"/>
      <c r="T2251" s="210"/>
      <c r="U2251" s="210"/>
      <c r="V2251" s="210"/>
      <c r="W2251" s="210"/>
      <c r="X2251" s="210"/>
      <c r="Y2251" s="210"/>
      <c r="Z2251" s="210"/>
    </row>
    <row r="2252" ht="21.75" customHeight="1">
      <c r="A2252" s="214">
        <v>374.0</v>
      </c>
      <c r="B2252" s="215" t="s">
        <v>2103</v>
      </c>
      <c r="C2252" s="216"/>
      <c r="D2252" s="217"/>
      <c r="E2252" s="217"/>
      <c r="F2252" s="217"/>
      <c r="G2252" s="217"/>
      <c r="H2252" s="217"/>
      <c r="I2252" s="208"/>
      <c r="J2252" s="210"/>
      <c r="K2252" s="210"/>
      <c r="L2252" s="210"/>
      <c r="M2252" s="210"/>
      <c r="N2252" s="210"/>
      <c r="O2252" s="210"/>
      <c r="P2252" s="210"/>
      <c r="Q2252" s="210"/>
      <c r="R2252" s="210"/>
      <c r="S2252" s="210"/>
      <c r="T2252" s="210"/>
      <c r="U2252" s="210"/>
      <c r="V2252" s="210"/>
      <c r="W2252" s="210"/>
      <c r="X2252" s="210"/>
      <c r="Y2252" s="210"/>
      <c r="Z2252" s="210"/>
    </row>
    <row r="2253" ht="21.75" customHeight="1">
      <c r="A2253" s="214"/>
      <c r="B2253" s="218" t="s">
        <v>2104</v>
      </c>
      <c r="C2253" s="219">
        <v>52029.0</v>
      </c>
      <c r="D2253" s="220"/>
      <c r="E2253" s="220"/>
      <c r="F2253" s="220"/>
      <c r="G2253" s="220"/>
      <c r="H2253" s="220"/>
      <c r="I2253" s="208"/>
      <c r="J2253" s="210"/>
      <c r="K2253" s="210"/>
      <c r="L2253" s="210"/>
      <c r="M2253" s="210"/>
      <c r="N2253" s="210"/>
      <c r="O2253" s="210"/>
      <c r="P2253" s="210"/>
      <c r="Q2253" s="210"/>
      <c r="R2253" s="210"/>
      <c r="S2253" s="210"/>
      <c r="T2253" s="210"/>
      <c r="U2253" s="210"/>
      <c r="V2253" s="210"/>
      <c r="W2253" s="210"/>
      <c r="X2253" s="210"/>
      <c r="Y2253" s="210"/>
      <c r="Z2253" s="210"/>
    </row>
    <row r="2254" ht="21.75" customHeight="1">
      <c r="A2254" s="214"/>
      <c r="B2254" s="221"/>
      <c r="C2254" s="222">
        <v>100.0</v>
      </c>
      <c r="D2254" s="223" t="s">
        <v>486</v>
      </c>
      <c r="E2254" s="223" t="s">
        <v>487</v>
      </c>
      <c r="F2254" s="223" t="s">
        <v>488</v>
      </c>
      <c r="G2254" s="223" t="s">
        <v>489</v>
      </c>
      <c r="H2254" s="224" t="s">
        <v>490</v>
      </c>
      <c r="I2254" s="208"/>
      <c r="J2254" s="210"/>
      <c r="K2254" s="210"/>
      <c r="L2254" s="210"/>
      <c r="M2254" s="210"/>
      <c r="N2254" s="210"/>
      <c r="O2254" s="210"/>
      <c r="P2254" s="210"/>
      <c r="Q2254" s="210"/>
      <c r="R2254" s="210"/>
      <c r="S2254" s="210"/>
      <c r="T2254" s="210"/>
      <c r="U2254" s="210"/>
      <c r="V2254" s="210"/>
      <c r="W2254" s="210"/>
      <c r="X2254" s="210"/>
      <c r="Y2254" s="210"/>
      <c r="Z2254" s="210"/>
    </row>
    <row r="2255" ht="21.75" customHeight="1">
      <c r="A2255" s="214"/>
      <c r="B2255" s="221"/>
      <c r="C2255" s="222">
        <v>101.0</v>
      </c>
      <c r="D2255" s="223" t="s">
        <v>689</v>
      </c>
      <c r="E2255" s="223" t="s">
        <v>487</v>
      </c>
      <c r="F2255" s="223" t="s">
        <v>492</v>
      </c>
      <c r="G2255" s="223" t="s">
        <v>678</v>
      </c>
      <c r="H2255" s="225" t="s">
        <v>2105</v>
      </c>
      <c r="I2255" s="208"/>
      <c r="J2255" s="210"/>
      <c r="K2255" s="210"/>
      <c r="L2255" s="210"/>
      <c r="M2255" s="210"/>
      <c r="N2255" s="210"/>
      <c r="O2255" s="210"/>
      <c r="P2255" s="210"/>
      <c r="Q2255" s="210"/>
      <c r="R2255" s="210"/>
      <c r="S2255" s="210"/>
      <c r="T2255" s="210"/>
      <c r="U2255" s="210"/>
      <c r="V2255" s="210"/>
      <c r="W2255" s="210"/>
      <c r="X2255" s="210"/>
      <c r="Y2255" s="210"/>
      <c r="Z2255" s="210"/>
    </row>
    <row r="2256" ht="21.75" customHeight="1">
      <c r="A2256" s="214"/>
      <c r="B2256" s="221"/>
      <c r="C2256" s="222">
        <v>102.0</v>
      </c>
      <c r="D2256" s="223" t="s">
        <v>2106</v>
      </c>
      <c r="E2256" s="223" t="s">
        <v>487</v>
      </c>
      <c r="F2256" s="223" t="s">
        <v>496</v>
      </c>
      <c r="G2256" s="223" t="s">
        <v>497</v>
      </c>
      <c r="H2256" s="224" t="s">
        <v>490</v>
      </c>
      <c r="I2256" s="208"/>
      <c r="J2256" s="210"/>
      <c r="K2256" s="210"/>
      <c r="L2256" s="210"/>
      <c r="M2256" s="210"/>
      <c r="N2256" s="210"/>
      <c r="O2256" s="210"/>
      <c r="P2256" s="210"/>
      <c r="Q2256" s="210"/>
      <c r="R2256" s="210"/>
      <c r="S2256" s="210"/>
      <c r="T2256" s="210"/>
      <c r="U2256" s="210"/>
      <c r="V2256" s="210"/>
      <c r="W2256" s="210"/>
      <c r="X2256" s="210"/>
      <c r="Y2256" s="210"/>
      <c r="Z2256" s="210"/>
    </row>
    <row r="2257" ht="21.75" customHeight="1">
      <c r="A2257" s="214"/>
      <c r="B2257" s="221"/>
      <c r="C2257" s="222">
        <v>103.0</v>
      </c>
      <c r="D2257" s="223" t="s">
        <v>2107</v>
      </c>
      <c r="E2257" s="223" t="s">
        <v>487</v>
      </c>
      <c r="F2257" s="223" t="s">
        <v>500</v>
      </c>
      <c r="G2257" s="223" t="s">
        <v>594</v>
      </c>
      <c r="H2257" s="224" t="s">
        <v>490</v>
      </c>
      <c r="I2257" s="208"/>
      <c r="J2257" s="210"/>
      <c r="K2257" s="210"/>
      <c r="L2257" s="210"/>
      <c r="M2257" s="210"/>
      <c r="N2257" s="210"/>
      <c r="O2257" s="210"/>
      <c r="P2257" s="210"/>
      <c r="Q2257" s="210"/>
      <c r="R2257" s="210"/>
      <c r="S2257" s="210"/>
      <c r="T2257" s="210"/>
      <c r="U2257" s="210"/>
      <c r="V2257" s="210"/>
      <c r="W2257" s="210"/>
      <c r="X2257" s="210"/>
      <c r="Y2257" s="210"/>
      <c r="Z2257" s="210"/>
    </row>
    <row r="2258" ht="21.75" customHeight="1">
      <c r="A2258" s="214"/>
      <c r="B2258" s="221"/>
      <c r="C2258" s="222">
        <v>104.0</v>
      </c>
      <c r="D2258" s="223" t="s">
        <v>516</v>
      </c>
      <c r="E2258" s="223" t="s">
        <v>487</v>
      </c>
      <c r="F2258" s="223" t="s">
        <v>512</v>
      </c>
      <c r="G2258" s="223" t="s">
        <v>526</v>
      </c>
      <c r="H2258" s="224" t="s">
        <v>490</v>
      </c>
      <c r="I2258" s="208"/>
      <c r="J2258" s="210"/>
      <c r="K2258" s="210"/>
      <c r="L2258" s="210"/>
      <c r="M2258" s="210"/>
      <c r="N2258" s="210"/>
      <c r="O2258" s="210"/>
      <c r="P2258" s="210"/>
      <c r="Q2258" s="210"/>
      <c r="R2258" s="210"/>
      <c r="S2258" s="210"/>
      <c r="T2258" s="210"/>
      <c r="U2258" s="210"/>
      <c r="V2258" s="210"/>
      <c r="W2258" s="210"/>
      <c r="X2258" s="210"/>
      <c r="Y2258" s="210"/>
      <c r="Z2258" s="210"/>
    </row>
    <row r="2259" ht="21.75" customHeight="1">
      <c r="A2259" s="214"/>
      <c r="B2259" s="221"/>
      <c r="C2259" s="222">
        <v>105.0</v>
      </c>
      <c r="D2259" s="223" t="s">
        <v>507</v>
      </c>
      <c r="E2259" s="223" t="s">
        <v>508</v>
      </c>
      <c r="F2259" s="223" t="s">
        <v>509</v>
      </c>
      <c r="G2259" s="223" t="s">
        <v>510</v>
      </c>
      <c r="H2259" s="224" t="s">
        <v>490</v>
      </c>
      <c r="I2259" s="208"/>
      <c r="J2259" s="210"/>
      <c r="K2259" s="210"/>
      <c r="L2259" s="210"/>
      <c r="M2259" s="210"/>
      <c r="N2259" s="210"/>
      <c r="O2259" s="210"/>
      <c r="P2259" s="210"/>
      <c r="Q2259" s="210"/>
      <c r="R2259" s="210"/>
      <c r="S2259" s="210"/>
      <c r="T2259" s="210"/>
      <c r="U2259" s="210"/>
      <c r="V2259" s="210"/>
      <c r="W2259" s="210"/>
      <c r="X2259" s="210"/>
      <c r="Y2259" s="210"/>
      <c r="Z2259" s="210"/>
    </row>
    <row r="2260" ht="21.75" customHeight="1">
      <c r="A2260" s="214"/>
      <c r="B2260" s="221"/>
      <c r="C2260" s="233" t="s">
        <v>490</v>
      </c>
      <c r="D2260" s="223" t="s">
        <v>2108</v>
      </c>
      <c r="E2260" s="223" t="s">
        <v>738</v>
      </c>
      <c r="F2260" s="223" t="s">
        <v>741</v>
      </c>
      <c r="G2260" s="218" t="s">
        <v>490</v>
      </c>
      <c r="H2260" s="224" t="s">
        <v>490</v>
      </c>
      <c r="I2260" s="208"/>
      <c r="J2260" s="210"/>
      <c r="K2260" s="210"/>
      <c r="L2260" s="210"/>
      <c r="M2260" s="210"/>
      <c r="N2260" s="210"/>
      <c r="O2260" s="210"/>
      <c r="P2260" s="210"/>
      <c r="Q2260" s="210"/>
      <c r="R2260" s="210"/>
      <c r="S2260" s="210"/>
      <c r="T2260" s="210"/>
      <c r="U2260" s="210"/>
      <c r="V2260" s="210"/>
      <c r="W2260" s="210"/>
      <c r="X2260" s="210"/>
      <c r="Y2260" s="210"/>
      <c r="Z2260" s="210"/>
    </row>
    <row r="2261" ht="21.75" customHeight="1">
      <c r="A2261" s="214"/>
      <c r="B2261" s="221"/>
      <c r="C2261" s="222"/>
      <c r="D2261" s="223" t="s">
        <v>2109</v>
      </c>
      <c r="E2261" s="223" t="s">
        <v>738</v>
      </c>
      <c r="F2261" s="223" t="s">
        <v>739</v>
      </c>
      <c r="G2261" s="218" t="s">
        <v>490</v>
      </c>
      <c r="H2261" s="224" t="s">
        <v>490</v>
      </c>
      <c r="I2261" s="208"/>
      <c r="J2261" s="210"/>
      <c r="K2261" s="210"/>
      <c r="L2261" s="210"/>
      <c r="M2261" s="210"/>
      <c r="N2261" s="210"/>
      <c r="O2261" s="210"/>
      <c r="P2261" s="210"/>
      <c r="Q2261" s="210"/>
      <c r="R2261" s="210"/>
      <c r="S2261" s="210"/>
      <c r="T2261" s="210"/>
      <c r="U2261" s="210"/>
      <c r="V2261" s="210"/>
      <c r="W2261" s="210"/>
      <c r="X2261" s="210"/>
      <c r="Y2261" s="210"/>
      <c r="Z2261" s="210"/>
    </row>
    <row r="2262" ht="21.75" customHeight="1">
      <c r="A2262" s="214"/>
      <c r="B2262" s="221"/>
      <c r="C2262" s="222"/>
      <c r="D2262" s="218" t="s">
        <v>490</v>
      </c>
      <c r="E2262" s="223" t="s">
        <v>742</v>
      </c>
      <c r="F2262" s="223" t="s">
        <v>743</v>
      </c>
      <c r="G2262" s="218" t="s">
        <v>490</v>
      </c>
      <c r="H2262" s="224" t="s">
        <v>490</v>
      </c>
      <c r="I2262" s="208"/>
      <c r="J2262" s="210"/>
      <c r="K2262" s="210"/>
      <c r="L2262" s="210"/>
      <c r="M2262" s="210"/>
      <c r="N2262" s="210"/>
      <c r="O2262" s="210"/>
      <c r="P2262" s="210"/>
      <c r="Q2262" s="210"/>
      <c r="R2262" s="210"/>
      <c r="S2262" s="210"/>
      <c r="T2262" s="210"/>
      <c r="U2262" s="210"/>
      <c r="V2262" s="210"/>
      <c r="W2262" s="210"/>
      <c r="X2262" s="210"/>
      <c r="Y2262" s="210"/>
      <c r="Z2262" s="210"/>
    </row>
    <row r="2263" ht="21.75" customHeight="1">
      <c r="A2263" s="228"/>
      <c r="B2263" s="221"/>
      <c r="C2263" s="222"/>
      <c r="D2263" s="221"/>
      <c r="E2263" s="223" t="s">
        <v>744</v>
      </c>
      <c r="F2263" s="223" t="s">
        <v>745</v>
      </c>
      <c r="G2263" s="218" t="s">
        <v>490</v>
      </c>
      <c r="H2263" s="224" t="s">
        <v>490</v>
      </c>
      <c r="I2263" s="208"/>
      <c r="J2263" s="210"/>
      <c r="K2263" s="210"/>
      <c r="L2263" s="210"/>
      <c r="M2263" s="210"/>
      <c r="N2263" s="210"/>
      <c r="O2263" s="210"/>
      <c r="P2263" s="210"/>
      <c r="Q2263" s="210"/>
      <c r="R2263" s="210"/>
      <c r="S2263" s="210"/>
      <c r="T2263" s="210"/>
      <c r="U2263" s="210"/>
      <c r="V2263" s="210"/>
      <c r="W2263" s="210"/>
      <c r="X2263" s="210"/>
      <c r="Y2263" s="210"/>
      <c r="Z2263" s="210"/>
    </row>
    <row r="2264" ht="21.75" customHeight="1">
      <c r="A2264" s="214">
        <v>375.0</v>
      </c>
      <c r="B2264" s="215" t="s">
        <v>2110</v>
      </c>
      <c r="C2264" s="216"/>
      <c r="D2264" s="217"/>
      <c r="E2264" s="217"/>
      <c r="F2264" s="217"/>
      <c r="G2264" s="217"/>
      <c r="H2264" s="217"/>
      <c r="I2264" s="208"/>
      <c r="J2264" s="210"/>
      <c r="K2264" s="210"/>
      <c r="L2264" s="210"/>
      <c r="M2264" s="210"/>
      <c r="N2264" s="210"/>
      <c r="O2264" s="210"/>
      <c r="P2264" s="210"/>
      <c r="Q2264" s="210"/>
      <c r="R2264" s="210"/>
      <c r="S2264" s="210"/>
      <c r="T2264" s="210"/>
      <c r="U2264" s="210"/>
      <c r="V2264" s="210"/>
      <c r="W2264" s="210"/>
      <c r="X2264" s="210"/>
      <c r="Y2264" s="210"/>
      <c r="Z2264" s="210"/>
    </row>
    <row r="2265" ht="21.75" customHeight="1">
      <c r="A2265" s="214"/>
      <c r="B2265" s="218" t="s">
        <v>2111</v>
      </c>
      <c r="C2265" s="219">
        <v>52030.0</v>
      </c>
      <c r="D2265" s="220"/>
      <c r="E2265" s="220"/>
      <c r="F2265" s="220"/>
      <c r="G2265" s="220"/>
      <c r="H2265" s="220"/>
      <c r="I2265" s="208"/>
      <c r="J2265" s="210"/>
      <c r="K2265" s="210"/>
      <c r="L2265" s="210"/>
      <c r="M2265" s="210"/>
      <c r="N2265" s="210"/>
      <c r="O2265" s="210"/>
      <c r="P2265" s="210"/>
      <c r="Q2265" s="210"/>
      <c r="R2265" s="210"/>
      <c r="S2265" s="210"/>
      <c r="T2265" s="210"/>
      <c r="U2265" s="210"/>
      <c r="V2265" s="210"/>
      <c r="W2265" s="210"/>
      <c r="X2265" s="210"/>
      <c r="Y2265" s="210"/>
      <c r="Z2265" s="210"/>
    </row>
    <row r="2266" ht="21.75" customHeight="1">
      <c r="A2266" s="214"/>
      <c r="B2266" s="221"/>
      <c r="C2266" s="222">
        <v>100.0</v>
      </c>
      <c r="D2266" s="223" t="s">
        <v>486</v>
      </c>
      <c r="E2266" s="223" t="s">
        <v>487</v>
      </c>
      <c r="F2266" s="223" t="s">
        <v>488</v>
      </c>
      <c r="G2266" s="223" t="s">
        <v>489</v>
      </c>
      <c r="H2266" s="224" t="s">
        <v>490</v>
      </c>
      <c r="I2266" s="208"/>
      <c r="J2266" s="210"/>
      <c r="K2266" s="210"/>
      <c r="L2266" s="210"/>
      <c r="M2266" s="210"/>
      <c r="N2266" s="210"/>
      <c r="O2266" s="210"/>
      <c r="P2266" s="210"/>
      <c r="Q2266" s="210"/>
      <c r="R2266" s="210"/>
      <c r="S2266" s="210"/>
      <c r="T2266" s="210"/>
      <c r="U2266" s="210"/>
      <c r="V2266" s="210"/>
      <c r="W2266" s="210"/>
      <c r="X2266" s="210"/>
      <c r="Y2266" s="210"/>
      <c r="Z2266" s="210"/>
    </row>
    <row r="2267" ht="21.75" customHeight="1">
      <c r="A2267" s="214"/>
      <c r="B2267" s="221"/>
      <c r="C2267" s="222">
        <v>101.0</v>
      </c>
      <c r="D2267" s="223" t="s">
        <v>689</v>
      </c>
      <c r="E2267" s="223" t="s">
        <v>487</v>
      </c>
      <c r="F2267" s="223" t="s">
        <v>492</v>
      </c>
      <c r="G2267" s="223" t="s">
        <v>678</v>
      </c>
      <c r="H2267" s="225" t="s">
        <v>2112</v>
      </c>
      <c r="I2267" s="208"/>
      <c r="J2267" s="210"/>
      <c r="K2267" s="210"/>
      <c r="L2267" s="210"/>
      <c r="M2267" s="210"/>
      <c r="N2267" s="210"/>
      <c r="O2267" s="210"/>
      <c r="P2267" s="210"/>
      <c r="Q2267" s="210"/>
      <c r="R2267" s="210"/>
      <c r="S2267" s="210"/>
      <c r="T2267" s="210"/>
      <c r="U2267" s="210"/>
      <c r="V2267" s="210"/>
      <c r="W2267" s="210"/>
      <c r="X2267" s="210"/>
      <c r="Y2267" s="210"/>
      <c r="Z2267" s="210"/>
    </row>
    <row r="2268" ht="21.75" customHeight="1">
      <c r="A2268" s="214"/>
      <c r="B2268" s="221"/>
      <c r="C2268" s="222">
        <v>102.0</v>
      </c>
      <c r="D2268" s="223" t="s">
        <v>749</v>
      </c>
      <c r="E2268" s="223" t="s">
        <v>487</v>
      </c>
      <c r="F2268" s="223" t="s">
        <v>496</v>
      </c>
      <c r="G2268" s="223" t="s">
        <v>497</v>
      </c>
      <c r="H2268" s="224" t="s">
        <v>490</v>
      </c>
      <c r="I2268" s="208"/>
      <c r="J2268" s="210"/>
      <c r="K2268" s="210"/>
      <c r="L2268" s="210"/>
      <c r="M2268" s="210"/>
      <c r="N2268" s="210"/>
      <c r="O2268" s="210"/>
      <c r="P2268" s="210"/>
      <c r="Q2268" s="210"/>
      <c r="R2268" s="210"/>
      <c r="S2268" s="210"/>
      <c r="T2268" s="210"/>
      <c r="U2268" s="210"/>
      <c r="V2268" s="210"/>
      <c r="W2268" s="210"/>
      <c r="X2268" s="210"/>
      <c r="Y2268" s="210"/>
      <c r="Z2268" s="210"/>
    </row>
    <row r="2269" ht="21.75" customHeight="1">
      <c r="A2269" s="214"/>
      <c r="B2269" s="221"/>
      <c r="C2269" s="222">
        <v>103.0</v>
      </c>
      <c r="D2269" s="223" t="s">
        <v>750</v>
      </c>
      <c r="E2269" s="223" t="s">
        <v>487</v>
      </c>
      <c r="F2269" s="223" t="s">
        <v>500</v>
      </c>
      <c r="G2269" s="223" t="s">
        <v>594</v>
      </c>
      <c r="H2269" s="224" t="s">
        <v>490</v>
      </c>
      <c r="I2269" s="208"/>
      <c r="J2269" s="210"/>
      <c r="K2269" s="210"/>
      <c r="L2269" s="210"/>
      <c r="M2269" s="210"/>
      <c r="N2269" s="210"/>
      <c r="O2269" s="210"/>
      <c r="P2269" s="210"/>
      <c r="Q2269" s="210"/>
      <c r="R2269" s="210"/>
      <c r="S2269" s="210"/>
      <c r="T2269" s="210"/>
      <c r="U2269" s="210"/>
      <c r="V2269" s="210"/>
      <c r="W2269" s="210"/>
      <c r="X2269" s="210"/>
      <c r="Y2269" s="210"/>
      <c r="Z2269" s="210"/>
    </row>
    <row r="2270" ht="21.75" customHeight="1">
      <c r="A2270" s="214"/>
      <c r="B2270" s="221"/>
      <c r="C2270" s="222">
        <v>104.0</v>
      </c>
      <c r="D2270" s="223" t="s">
        <v>516</v>
      </c>
      <c r="E2270" s="223" t="s">
        <v>487</v>
      </c>
      <c r="F2270" s="223" t="s">
        <v>512</v>
      </c>
      <c r="G2270" s="223" t="s">
        <v>526</v>
      </c>
      <c r="H2270" s="224" t="s">
        <v>490</v>
      </c>
      <c r="I2270" s="208"/>
      <c r="J2270" s="210"/>
      <c r="K2270" s="210"/>
      <c r="L2270" s="210"/>
      <c r="M2270" s="210"/>
      <c r="N2270" s="210"/>
      <c r="O2270" s="210"/>
      <c r="P2270" s="210"/>
      <c r="Q2270" s="210"/>
      <c r="R2270" s="210"/>
      <c r="S2270" s="210"/>
      <c r="T2270" s="210"/>
      <c r="U2270" s="210"/>
      <c r="V2270" s="210"/>
      <c r="W2270" s="210"/>
      <c r="X2270" s="210"/>
      <c r="Y2270" s="210"/>
      <c r="Z2270" s="210"/>
    </row>
    <row r="2271" ht="21.75" customHeight="1">
      <c r="A2271" s="214"/>
      <c r="B2271" s="221"/>
      <c r="C2271" s="222">
        <v>105.0</v>
      </c>
      <c r="D2271" s="223" t="s">
        <v>507</v>
      </c>
      <c r="E2271" s="223" t="s">
        <v>508</v>
      </c>
      <c r="F2271" s="223" t="s">
        <v>509</v>
      </c>
      <c r="G2271" s="223" t="s">
        <v>510</v>
      </c>
      <c r="H2271" s="224" t="s">
        <v>490</v>
      </c>
      <c r="I2271" s="208"/>
      <c r="J2271" s="210"/>
      <c r="K2271" s="210"/>
      <c r="L2271" s="210"/>
      <c r="M2271" s="210"/>
      <c r="N2271" s="210"/>
      <c r="O2271" s="210"/>
      <c r="P2271" s="210"/>
      <c r="Q2271" s="210"/>
      <c r="R2271" s="210"/>
      <c r="S2271" s="210"/>
      <c r="T2271" s="210"/>
      <c r="U2271" s="210"/>
      <c r="V2271" s="210"/>
      <c r="W2271" s="210"/>
      <c r="X2271" s="210"/>
      <c r="Y2271" s="210"/>
      <c r="Z2271" s="210"/>
    </row>
    <row r="2272" ht="21.75" customHeight="1">
      <c r="A2272" s="214"/>
      <c r="B2272" s="221"/>
      <c r="C2272" s="233" t="s">
        <v>490</v>
      </c>
      <c r="D2272" s="223" t="s">
        <v>2113</v>
      </c>
      <c r="E2272" s="223" t="s">
        <v>738</v>
      </c>
      <c r="F2272" s="223" t="s">
        <v>741</v>
      </c>
      <c r="G2272" s="218" t="s">
        <v>490</v>
      </c>
      <c r="H2272" s="224" t="s">
        <v>490</v>
      </c>
      <c r="I2272" s="208"/>
      <c r="J2272" s="210"/>
      <c r="K2272" s="210"/>
      <c r="L2272" s="210"/>
      <c r="M2272" s="210"/>
      <c r="N2272" s="210"/>
      <c r="O2272" s="210"/>
      <c r="P2272" s="210"/>
      <c r="Q2272" s="210"/>
      <c r="R2272" s="210"/>
      <c r="S2272" s="210"/>
      <c r="T2272" s="210"/>
      <c r="U2272" s="210"/>
      <c r="V2272" s="210"/>
      <c r="W2272" s="210"/>
      <c r="X2272" s="210"/>
      <c r="Y2272" s="210"/>
      <c r="Z2272" s="210"/>
    </row>
    <row r="2273" ht="21.75" customHeight="1">
      <c r="A2273" s="214"/>
      <c r="B2273" s="221"/>
      <c r="C2273" s="222"/>
      <c r="D2273" s="223" t="s">
        <v>2114</v>
      </c>
      <c r="E2273" s="223" t="s">
        <v>738</v>
      </c>
      <c r="F2273" s="223" t="s">
        <v>739</v>
      </c>
      <c r="G2273" s="218" t="s">
        <v>490</v>
      </c>
      <c r="H2273" s="224" t="s">
        <v>490</v>
      </c>
      <c r="I2273" s="208"/>
      <c r="J2273" s="210"/>
      <c r="K2273" s="210"/>
      <c r="L2273" s="210"/>
      <c r="M2273" s="210"/>
      <c r="N2273" s="210"/>
      <c r="O2273" s="210"/>
      <c r="P2273" s="210"/>
      <c r="Q2273" s="210"/>
      <c r="R2273" s="210"/>
      <c r="S2273" s="210"/>
      <c r="T2273" s="210"/>
      <c r="U2273" s="210"/>
      <c r="V2273" s="210"/>
      <c r="W2273" s="210"/>
      <c r="X2273" s="210"/>
      <c r="Y2273" s="210"/>
      <c r="Z2273" s="210"/>
    </row>
    <row r="2274" ht="21.75" customHeight="1">
      <c r="A2274" s="214"/>
      <c r="B2274" s="221"/>
      <c r="C2274" s="222"/>
      <c r="D2274" s="218" t="s">
        <v>490</v>
      </c>
      <c r="E2274" s="223" t="s">
        <v>742</v>
      </c>
      <c r="F2274" s="223" t="s">
        <v>743</v>
      </c>
      <c r="G2274" s="218" t="s">
        <v>490</v>
      </c>
      <c r="H2274" s="224" t="s">
        <v>490</v>
      </c>
      <c r="I2274" s="208"/>
      <c r="J2274" s="210"/>
      <c r="K2274" s="210"/>
      <c r="L2274" s="210"/>
      <c r="M2274" s="210"/>
      <c r="N2274" s="210"/>
      <c r="O2274" s="210"/>
      <c r="P2274" s="210"/>
      <c r="Q2274" s="210"/>
      <c r="R2274" s="210"/>
      <c r="S2274" s="210"/>
      <c r="T2274" s="210"/>
      <c r="U2274" s="210"/>
      <c r="V2274" s="210"/>
      <c r="W2274" s="210"/>
      <c r="X2274" s="210"/>
      <c r="Y2274" s="210"/>
      <c r="Z2274" s="210"/>
    </row>
    <row r="2275" ht="21.75" customHeight="1">
      <c r="A2275" s="228"/>
      <c r="B2275" s="221"/>
      <c r="C2275" s="222"/>
      <c r="D2275" s="221"/>
      <c r="E2275" s="223" t="s">
        <v>744</v>
      </c>
      <c r="F2275" s="223" t="s">
        <v>745</v>
      </c>
      <c r="G2275" s="218" t="s">
        <v>490</v>
      </c>
      <c r="H2275" s="224" t="s">
        <v>490</v>
      </c>
      <c r="I2275" s="208"/>
      <c r="J2275" s="210"/>
      <c r="K2275" s="210"/>
      <c r="L2275" s="210"/>
      <c r="M2275" s="210"/>
      <c r="N2275" s="210"/>
      <c r="O2275" s="210"/>
      <c r="P2275" s="210"/>
      <c r="Q2275" s="210"/>
      <c r="R2275" s="210"/>
      <c r="S2275" s="210"/>
      <c r="T2275" s="210"/>
      <c r="U2275" s="210"/>
      <c r="V2275" s="210"/>
      <c r="W2275" s="210"/>
      <c r="X2275" s="210"/>
      <c r="Y2275" s="210"/>
      <c r="Z2275" s="210"/>
    </row>
    <row r="2276" ht="21.75" customHeight="1">
      <c r="A2276" s="214">
        <v>377.0</v>
      </c>
      <c r="B2276" s="215" t="s">
        <v>2115</v>
      </c>
      <c r="C2276" s="216"/>
      <c r="D2276" s="217"/>
      <c r="E2276" s="217"/>
      <c r="F2276" s="217"/>
      <c r="G2276" s="217"/>
      <c r="H2276" s="217"/>
      <c r="I2276" s="208"/>
      <c r="J2276" s="210"/>
      <c r="K2276" s="210"/>
      <c r="L2276" s="210"/>
      <c r="M2276" s="210"/>
      <c r="N2276" s="210"/>
      <c r="O2276" s="210"/>
      <c r="P2276" s="210"/>
      <c r="Q2276" s="210"/>
      <c r="R2276" s="210"/>
      <c r="S2276" s="210"/>
      <c r="T2276" s="210"/>
      <c r="U2276" s="210"/>
      <c r="V2276" s="210"/>
      <c r="W2276" s="210"/>
      <c r="X2276" s="210"/>
      <c r="Y2276" s="210"/>
      <c r="Z2276" s="210"/>
    </row>
    <row r="2277" ht="21.75" customHeight="1">
      <c r="A2277" s="214"/>
      <c r="B2277" s="218" t="s">
        <v>2116</v>
      </c>
      <c r="C2277" s="219">
        <v>52038.0</v>
      </c>
      <c r="D2277" s="220"/>
      <c r="E2277" s="220"/>
      <c r="F2277" s="220"/>
      <c r="G2277" s="220"/>
      <c r="H2277" s="220"/>
      <c r="I2277" s="208"/>
      <c r="J2277" s="210"/>
      <c r="K2277" s="210"/>
      <c r="L2277" s="210"/>
      <c r="M2277" s="210"/>
      <c r="N2277" s="210"/>
      <c r="O2277" s="210"/>
      <c r="P2277" s="210"/>
      <c r="Q2277" s="210"/>
      <c r="R2277" s="210"/>
      <c r="S2277" s="210"/>
      <c r="T2277" s="210"/>
      <c r="U2277" s="210"/>
      <c r="V2277" s="210"/>
      <c r="W2277" s="210"/>
      <c r="X2277" s="210"/>
      <c r="Y2277" s="210"/>
      <c r="Z2277" s="210"/>
    </row>
    <row r="2278" ht="21.75" customHeight="1">
      <c r="A2278" s="214"/>
      <c r="B2278" s="221"/>
      <c r="C2278" s="222">
        <v>100.0</v>
      </c>
      <c r="D2278" s="223" t="s">
        <v>486</v>
      </c>
      <c r="E2278" s="223" t="s">
        <v>487</v>
      </c>
      <c r="F2278" s="223" t="s">
        <v>488</v>
      </c>
      <c r="G2278" s="223" t="s">
        <v>489</v>
      </c>
      <c r="H2278" s="224" t="s">
        <v>490</v>
      </c>
      <c r="I2278" s="208"/>
      <c r="J2278" s="210"/>
      <c r="K2278" s="210"/>
      <c r="L2278" s="210"/>
      <c r="M2278" s="210"/>
      <c r="N2278" s="210"/>
      <c r="O2278" s="210"/>
      <c r="P2278" s="210"/>
      <c r="Q2278" s="210"/>
      <c r="R2278" s="210"/>
      <c r="S2278" s="210"/>
      <c r="T2278" s="210"/>
      <c r="U2278" s="210"/>
      <c r="V2278" s="210"/>
      <c r="W2278" s="210"/>
      <c r="X2278" s="210"/>
      <c r="Y2278" s="210"/>
      <c r="Z2278" s="210"/>
    </row>
    <row r="2279" ht="21.75" customHeight="1">
      <c r="A2279" s="214"/>
      <c r="B2279" s="221"/>
      <c r="C2279" s="222">
        <v>101.0</v>
      </c>
      <c r="D2279" s="223" t="s">
        <v>2117</v>
      </c>
      <c r="E2279" s="223" t="s">
        <v>487</v>
      </c>
      <c r="F2279" s="223" t="s">
        <v>496</v>
      </c>
      <c r="G2279" s="223" t="s">
        <v>497</v>
      </c>
      <c r="H2279" s="225" t="s">
        <v>2118</v>
      </c>
      <c r="I2279" s="208"/>
      <c r="J2279" s="210"/>
      <c r="K2279" s="210"/>
      <c r="L2279" s="210"/>
      <c r="M2279" s="210"/>
      <c r="N2279" s="210"/>
      <c r="O2279" s="210"/>
      <c r="P2279" s="210"/>
      <c r="Q2279" s="210"/>
      <c r="R2279" s="210"/>
      <c r="S2279" s="210"/>
      <c r="T2279" s="210"/>
      <c r="U2279" s="210"/>
      <c r="V2279" s="210"/>
      <c r="W2279" s="210"/>
      <c r="X2279" s="210"/>
      <c r="Y2279" s="210"/>
      <c r="Z2279" s="210"/>
    </row>
    <row r="2280" ht="21.75" customHeight="1">
      <c r="A2280" s="214"/>
      <c r="B2280" s="221"/>
      <c r="C2280" s="222">
        <v>102.0</v>
      </c>
      <c r="D2280" s="223" t="s">
        <v>2119</v>
      </c>
      <c r="E2280" s="223" t="s">
        <v>487</v>
      </c>
      <c r="F2280" s="223" t="s">
        <v>500</v>
      </c>
      <c r="G2280" s="223" t="s">
        <v>501</v>
      </c>
      <c r="H2280" s="225" t="s">
        <v>2120</v>
      </c>
      <c r="I2280" s="208"/>
      <c r="J2280" s="210"/>
      <c r="K2280" s="210"/>
      <c r="L2280" s="210"/>
      <c r="M2280" s="210"/>
      <c r="N2280" s="210"/>
      <c r="O2280" s="210"/>
      <c r="P2280" s="210"/>
      <c r="Q2280" s="210"/>
      <c r="R2280" s="210"/>
      <c r="S2280" s="210"/>
      <c r="T2280" s="210"/>
      <c r="U2280" s="210"/>
      <c r="V2280" s="210"/>
      <c r="W2280" s="210"/>
      <c r="X2280" s="210"/>
      <c r="Y2280" s="210"/>
      <c r="Z2280" s="210"/>
    </row>
    <row r="2281" ht="21.75" customHeight="1">
      <c r="A2281" s="214"/>
      <c r="B2281" s="221"/>
      <c r="C2281" s="222">
        <v>103.0</v>
      </c>
      <c r="D2281" s="223" t="s">
        <v>519</v>
      </c>
      <c r="E2281" s="223" t="s">
        <v>504</v>
      </c>
      <c r="F2281" s="223" t="s">
        <v>505</v>
      </c>
      <c r="G2281" s="218" t="s">
        <v>490</v>
      </c>
      <c r="H2281" s="225" t="s">
        <v>2121</v>
      </c>
      <c r="I2281" s="208"/>
      <c r="J2281" s="210"/>
      <c r="K2281" s="210"/>
      <c r="L2281" s="210"/>
      <c r="M2281" s="210"/>
      <c r="N2281" s="210"/>
      <c r="O2281" s="210"/>
      <c r="P2281" s="210"/>
      <c r="Q2281" s="210"/>
      <c r="R2281" s="210"/>
      <c r="S2281" s="210"/>
      <c r="T2281" s="210"/>
      <c r="U2281" s="210"/>
      <c r="V2281" s="210"/>
      <c r="W2281" s="210"/>
      <c r="X2281" s="210"/>
      <c r="Y2281" s="210"/>
      <c r="Z2281" s="210"/>
    </row>
    <row r="2282" ht="21.75" customHeight="1">
      <c r="A2282" s="228"/>
      <c r="B2282" s="221"/>
      <c r="C2282" s="222">
        <v>104.0</v>
      </c>
      <c r="D2282" s="223" t="s">
        <v>519</v>
      </c>
      <c r="E2282" s="223" t="s">
        <v>508</v>
      </c>
      <c r="F2282" s="223" t="s">
        <v>509</v>
      </c>
      <c r="G2282" s="223" t="s">
        <v>510</v>
      </c>
      <c r="H2282" s="224" t="s">
        <v>490</v>
      </c>
      <c r="I2282" s="208"/>
      <c r="J2282" s="210"/>
      <c r="K2282" s="210"/>
      <c r="L2282" s="210"/>
      <c r="M2282" s="210"/>
      <c r="N2282" s="210"/>
      <c r="O2282" s="210"/>
      <c r="P2282" s="210"/>
      <c r="Q2282" s="210"/>
      <c r="R2282" s="210"/>
      <c r="S2282" s="210"/>
      <c r="T2282" s="210"/>
      <c r="U2282" s="210"/>
      <c r="V2282" s="210"/>
      <c r="W2282" s="210"/>
      <c r="X2282" s="210"/>
      <c r="Y2282" s="210"/>
      <c r="Z2282" s="210"/>
    </row>
    <row r="2283" ht="21.75" customHeight="1">
      <c r="A2283" s="214">
        <v>378.0</v>
      </c>
      <c r="B2283" s="229" t="s">
        <v>2122</v>
      </c>
      <c r="C2283" s="230"/>
      <c r="D2283" s="217"/>
      <c r="E2283" s="217"/>
      <c r="F2283" s="217"/>
      <c r="G2283" s="217"/>
      <c r="H2283" s="217"/>
      <c r="I2283" s="208"/>
      <c r="J2283" s="210"/>
      <c r="K2283" s="210"/>
      <c r="L2283" s="210"/>
      <c r="M2283" s="210"/>
      <c r="N2283" s="210"/>
      <c r="O2283" s="210"/>
      <c r="P2283" s="210"/>
      <c r="Q2283" s="210"/>
      <c r="R2283" s="210"/>
      <c r="S2283" s="210"/>
      <c r="T2283" s="210"/>
      <c r="U2283" s="210"/>
      <c r="V2283" s="210"/>
      <c r="W2283" s="210"/>
      <c r="X2283" s="210"/>
      <c r="Y2283" s="210"/>
      <c r="Z2283" s="210"/>
    </row>
    <row r="2284" ht="21.75" customHeight="1">
      <c r="A2284" s="214"/>
      <c r="B2284" s="218" t="s">
        <v>2123</v>
      </c>
      <c r="C2284" s="219">
        <v>52041.0</v>
      </c>
      <c r="D2284" s="220"/>
      <c r="E2284" s="220"/>
      <c r="F2284" s="220"/>
      <c r="G2284" s="220"/>
      <c r="H2284" s="220"/>
      <c r="I2284" s="208"/>
      <c r="J2284" s="210"/>
      <c r="K2284" s="210"/>
      <c r="L2284" s="210"/>
      <c r="M2284" s="210"/>
      <c r="N2284" s="210"/>
      <c r="O2284" s="210"/>
      <c r="P2284" s="210"/>
      <c r="Q2284" s="210"/>
      <c r="R2284" s="210"/>
      <c r="S2284" s="210"/>
      <c r="T2284" s="210"/>
      <c r="U2284" s="210"/>
      <c r="V2284" s="210"/>
      <c r="W2284" s="210"/>
      <c r="X2284" s="210"/>
      <c r="Y2284" s="210"/>
      <c r="Z2284" s="210"/>
    </row>
    <row r="2285" ht="21.75" customHeight="1">
      <c r="A2285" s="214"/>
      <c r="B2285" s="221"/>
      <c r="C2285" s="222">
        <v>100.0</v>
      </c>
      <c r="D2285" s="223" t="s">
        <v>689</v>
      </c>
      <c r="E2285" s="223" t="s">
        <v>487</v>
      </c>
      <c r="F2285" s="223" t="s">
        <v>492</v>
      </c>
      <c r="G2285" s="223" t="s">
        <v>678</v>
      </c>
      <c r="H2285" s="225" t="s">
        <v>2124</v>
      </c>
      <c r="I2285" s="208"/>
      <c r="J2285" s="210"/>
      <c r="K2285" s="210"/>
      <c r="L2285" s="210"/>
      <c r="M2285" s="210"/>
      <c r="N2285" s="210"/>
      <c r="O2285" s="210"/>
      <c r="P2285" s="210"/>
      <c r="Q2285" s="210"/>
      <c r="R2285" s="210"/>
      <c r="S2285" s="210"/>
      <c r="T2285" s="210"/>
      <c r="U2285" s="210"/>
      <c r="V2285" s="210"/>
      <c r="W2285" s="210"/>
      <c r="X2285" s="210"/>
      <c r="Y2285" s="210"/>
      <c r="Z2285" s="210"/>
    </row>
    <row r="2286" ht="21.75" customHeight="1">
      <c r="A2286" s="214"/>
      <c r="B2286" s="221"/>
      <c r="C2286" s="222">
        <v>101.0</v>
      </c>
      <c r="D2286" s="223" t="s">
        <v>2125</v>
      </c>
      <c r="E2286" s="223" t="s">
        <v>487</v>
      </c>
      <c r="F2286" s="223" t="s">
        <v>496</v>
      </c>
      <c r="G2286" s="223" t="s">
        <v>497</v>
      </c>
      <c r="H2286" s="224" t="s">
        <v>490</v>
      </c>
      <c r="I2286" s="208"/>
      <c r="J2286" s="210"/>
      <c r="K2286" s="210"/>
      <c r="L2286" s="210"/>
      <c r="M2286" s="210"/>
      <c r="N2286" s="210"/>
      <c r="O2286" s="210"/>
      <c r="P2286" s="210"/>
      <c r="Q2286" s="210"/>
      <c r="R2286" s="210"/>
      <c r="S2286" s="210"/>
      <c r="T2286" s="210"/>
      <c r="U2286" s="210"/>
      <c r="V2286" s="210"/>
      <c r="W2286" s="210"/>
      <c r="X2286" s="210"/>
      <c r="Y2286" s="210"/>
      <c r="Z2286" s="210"/>
    </row>
    <row r="2287" ht="21.75" customHeight="1">
      <c r="A2287" s="214"/>
      <c r="B2287" s="221"/>
      <c r="C2287" s="222">
        <v>102.0</v>
      </c>
      <c r="D2287" s="223" t="s">
        <v>2126</v>
      </c>
      <c r="E2287" s="223" t="s">
        <v>487</v>
      </c>
      <c r="F2287" s="223" t="s">
        <v>500</v>
      </c>
      <c r="G2287" s="223" t="s">
        <v>501</v>
      </c>
      <c r="H2287" s="225" t="s">
        <v>2127</v>
      </c>
      <c r="I2287" s="208"/>
      <c r="J2287" s="210"/>
      <c r="K2287" s="210"/>
      <c r="L2287" s="210"/>
      <c r="M2287" s="210"/>
      <c r="N2287" s="210"/>
      <c r="O2287" s="210"/>
      <c r="P2287" s="210"/>
      <c r="Q2287" s="210"/>
      <c r="R2287" s="210"/>
      <c r="S2287" s="210"/>
      <c r="T2287" s="210"/>
      <c r="U2287" s="210"/>
      <c r="V2287" s="210"/>
      <c r="W2287" s="210"/>
      <c r="X2287" s="210"/>
      <c r="Y2287" s="210"/>
      <c r="Z2287" s="210"/>
    </row>
    <row r="2288" ht="21.75" customHeight="1">
      <c r="A2288" s="228"/>
      <c r="B2288" s="221"/>
      <c r="C2288" s="222">
        <v>103.0</v>
      </c>
      <c r="D2288" s="223" t="s">
        <v>507</v>
      </c>
      <c r="E2288" s="223" t="s">
        <v>508</v>
      </c>
      <c r="F2288" s="223" t="s">
        <v>509</v>
      </c>
      <c r="G2288" s="218" t="s">
        <v>490</v>
      </c>
      <c r="H2288" s="224" t="s">
        <v>490</v>
      </c>
      <c r="I2288" s="208"/>
      <c r="J2288" s="210"/>
      <c r="K2288" s="210"/>
      <c r="L2288" s="210"/>
      <c r="M2288" s="210"/>
      <c r="N2288" s="210"/>
      <c r="O2288" s="210"/>
      <c r="P2288" s="210"/>
      <c r="Q2288" s="210"/>
      <c r="R2288" s="210"/>
      <c r="S2288" s="210"/>
      <c r="T2288" s="210"/>
      <c r="U2288" s="210"/>
      <c r="V2288" s="210"/>
      <c r="W2288" s="210"/>
      <c r="X2288" s="210"/>
      <c r="Y2288" s="210"/>
      <c r="Z2288" s="210"/>
    </row>
    <row r="2289" ht="21.75" customHeight="1">
      <c r="A2289" s="214">
        <v>379.0</v>
      </c>
      <c r="B2289" s="215" t="s">
        <v>2128</v>
      </c>
      <c r="C2289" s="216"/>
      <c r="D2289" s="217"/>
      <c r="E2289" s="217"/>
      <c r="F2289" s="217"/>
      <c r="G2289" s="217"/>
      <c r="H2289" s="217"/>
      <c r="I2289" s="208"/>
      <c r="J2289" s="210"/>
      <c r="K2289" s="210"/>
      <c r="L2289" s="210"/>
      <c r="M2289" s="210"/>
      <c r="N2289" s="210"/>
      <c r="O2289" s="210"/>
      <c r="P2289" s="210"/>
      <c r="Q2289" s="210"/>
      <c r="R2289" s="210"/>
      <c r="S2289" s="210"/>
      <c r="T2289" s="210"/>
      <c r="U2289" s="210"/>
      <c r="V2289" s="210"/>
      <c r="W2289" s="210"/>
      <c r="X2289" s="210"/>
      <c r="Y2289" s="210"/>
      <c r="Z2289" s="210"/>
    </row>
    <row r="2290" ht="21.75" customHeight="1">
      <c r="A2290" s="214"/>
      <c r="B2290" s="218" t="s">
        <v>2129</v>
      </c>
      <c r="C2290" s="219">
        <v>52043.0</v>
      </c>
      <c r="D2290" s="220"/>
      <c r="E2290" s="220"/>
      <c r="F2290" s="220"/>
      <c r="G2290" s="220"/>
      <c r="H2290" s="220"/>
      <c r="I2290" s="208"/>
      <c r="J2290" s="210"/>
      <c r="K2290" s="210"/>
      <c r="L2290" s="210"/>
      <c r="M2290" s="210"/>
      <c r="N2290" s="210"/>
      <c r="O2290" s="210"/>
      <c r="P2290" s="210"/>
      <c r="Q2290" s="210"/>
      <c r="R2290" s="210"/>
      <c r="S2290" s="210"/>
      <c r="T2290" s="210"/>
      <c r="U2290" s="210"/>
      <c r="V2290" s="210"/>
      <c r="W2290" s="210"/>
      <c r="X2290" s="210"/>
      <c r="Y2290" s="210"/>
      <c r="Z2290" s="210"/>
    </row>
    <row r="2291" ht="21.75" customHeight="1">
      <c r="A2291" s="214"/>
      <c r="B2291" s="221"/>
      <c r="C2291" s="222">
        <v>100.0</v>
      </c>
      <c r="D2291" s="223" t="s">
        <v>486</v>
      </c>
      <c r="E2291" s="223" t="s">
        <v>487</v>
      </c>
      <c r="F2291" s="223" t="s">
        <v>488</v>
      </c>
      <c r="G2291" s="223" t="s">
        <v>489</v>
      </c>
      <c r="H2291" s="224" t="s">
        <v>490</v>
      </c>
      <c r="I2291" s="208"/>
      <c r="J2291" s="210"/>
      <c r="K2291" s="210"/>
      <c r="L2291" s="210"/>
      <c r="M2291" s="210"/>
      <c r="N2291" s="210"/>
      <c r="O2291" s="210"/>
      <c r="P2291" s="210"/>
      <c r="Q2291" s="210"/>
      <c r="R2291" s="210"/>
      <c r="S2291" s="210"/>
      <c r="T2291" s="210"/>
      <c r="U2291" s="210"/>
      <c r="V2291" s="210"/>
      <c r="W2291" s="210"/>
      <c r="X2291" s="210"/>
      <c r="Y2291" s="210"/>
      <c r="Z2291" s="210"/>
    </row>
    <row r="2292" ht="21.75" customHeight="1">
      <c r="A2292" s="214"/>
      <c r="B2292" s="221"/>
      <c r="C2292" s="222">
        <v>101.0</v>
      </c>
      <c r="D2292" s="223" t="s">
        <v>723</v>
      </c>
      <c r="E2292" s="223" t="s">
        <v>487</v>
      </c>
      <c r="F2292" s="223" t="s">
        <v>492</v>
      </c>
      <c r="G2292" s="223" t="s">
        <v>678</v>
      </c>
      <c r="H2292" s="225" t="s">
        <v>2130</v>
      </c>
      <c r="I2292" s="208"/>
      <c r="J2292" s="210"/>
      <c r="K2292" s="210"/>
      <c r="L2292" s="210"/>
      <c r="M2292" s="210"/>
      <c r="N2292" s="210"/>
      <c r="O2292" s="210"/>
      <c r="P2292" s="210"/>
      <c r="Q2292" s="210"/>
      <c r="R2292" s="210"/>
      <c r="S2292" s="210"/>
      <c r="T2292" s="210"/>
      <c r="U2292" s="210"/>
      <c r="V2292" s="210"/>
      <c r="W2292" s="210"/>
      <c r="X2292" s="210"/>
      <c r="Y2292" s="210"/>
      <c r="Z2292" s="210"/>
    </row>
    <row r="2293" ht="21.75" customHeight="1">
      <c r="A2293" s="214"/>
      <c r="B2293" s="221"/>
      <c r="C2293" s="222">
        <v>102.0</v>
      </c>
      <c r="D2293" s="223" t="s">
        <v>516</v>
      </c>
      <c r="E2293" s="223" t="s">
        <v>487</v>
      </c>
      <c r="F2293" s="223" t="s">
        <v>496</v>
      </c>
      <c r="G2293" s="223" t="s">
        <v>493</v>
      </c>
      <c r="H2293" s="225" t="s">
        <v>961</v>
      </c>
      <c r="I2293" s="208"/>
      <c r="J2293" s="210"/>
      <c r="K2293" s="210"/>
      <c r="L2293" s="210"/>
      <c r="M2293" s="210"/>
      <c r="N2293" s="210"/>
      <c r="O2293" s="210"/>
      <c r="P2293" s="210"/>
      <c r="Q2293" s="210"/>
      <c r="R2293" s="210"/>
      <c r="S2293" s="210"/>
      <c r="T2293" s="210"/>
      <c r="U2293" s="210"/>
      <c r="V2293" s="210"/>
      <c r="W2293" s="210"/>
      <c r="X2293" s="210"/>
      <c r="Y2293" s="210"/>
      <c r="Z2293" s="210"/>
    </row>
    <row r="2294" ht="21.75" customHeight="1">
      <c r="A2294" s="214"/>
      <c r="B2294" s="221"/>
      <c r="C2294" s="222">
        <v>103.0</v>
      </c>
      <c r="D2294" s="223" t="s">
        <v>749</v>
      </c>
      <c r="E2294" s="223" t="s">
        <v>487</v>
      </c>
      <c r="F2294" s="223" t="s">
        <v>500</v>
      </c>
      <c r="G2294" s="223" t="s">
        <v>497</v>
      </c>
      <c r="H2294" s="225" t="s">
        <v>962</v>
      </c>
      <c r="I2294" s="208"/>
      <c r="J2294" s="210"/>
      <c r="K2294" s="210"/>
      <c r="L2294" s="210"/>
      <c r="M2294" s="210"/>
      <c r="N2294" s="210"/>
      <c r="O2294" s="210"/>
      <c r="P2294" s="210"/>
      <c r="Q2294" s="210"/>
      <c r="R2294" s="210"/>
      <c r="S2294" s="210"/>
      <c r="T2294" s="210"/>
      <c r="U2294" s="210"/>
      <c r="V2294" s="210"/>
      <c r="W2294" s="210"/>
      <c r="X2294" s="210"/>
      <c r="Y2294" s="210"/>
      <c r="Z2294" s="210"/>
    </row>
    <row r="2295" ht="21.75" customHeight="1">
      <c r="A2295" s="214"/>
      <c r="B2295" s="221"/>
      <c r="C2295" s="222">
        <v>104.0</v>
      </c>
      <c r="D2295" s="223" t="s">
        <v>750</v>
      </c>
      <c r="E2295" s="223" t="s">
        <v>487</v>
      </c>
      <c r="F2295" s="223" t="s">
        <v>512</v>
      </c>
      <c r="G2295" s="223" t="s">
        <v>501</v>
      </c>
      <c r="H2295" s="225" t="s">
        <v>963</v>
      </c>
      <c r="I2295" s="208"/>
      <c r="J2295" s="210"/>
      <c r="K2295" s="210"/>
      <c r="L2295" s="210"/>
      <c r="M2295" s="210"/>
      <c r="N2295" s="210"/>
      <c r="O2295" s="210"/>
      <c r="P2295" s="210"/>
      <c r="Q2295" s="210"/>
      <c r="R2295" s="210"/>
      <c r="S2295" s="210"/>
      <c r="T2295" s="210"/>
      <c r="U2295" s="210"/>
      <c r="V2295" s="210"/>
      <c r="W2295" s="210"/>
      <c r="X2295" s="210"/>
      <c r="Y2295" s="210"/>
      <c r="Z2295" s="210"/>
    </row>
    <row r="2296" ht="21.75" customHeight="1">
      <c r="A2296" s="214"/>
      <c r="B2296" s="221"/>
      <c r="C2296" s="222">
        <v>105.0</v>
      </c>
      <c r="D2296" s="223" t="s">
        <v>964</v>
      </c>
      <c r="E2296" s="223" t="s">
        <v>487</v>
      </c>
      <c r="F2296" s="223" t="s">
        <v>532</v>
      </c>
      <c r="G2296" s="223" t="s">
        <v>594</v>
      </c>
      <c r="H2296" s="224" t="s">
        <v>490</v>
      </c>
      <c r="I2296" s="208"/>
      <c r="J2296" s="210"/>
      <c r="K2296" s="210"/>
      <c r="L2296" s="210"/>
      <c r="M2296" s="210"/>
      <c r="N2296" s="210"/>
      <c r="O2296" s="210"/>
      <c r="P2296" s="210"/>
      <c r="Q2296" s="210"/>
      <c r="R2296" s="210"/>
      <c r="S2296" s="210"/>
      <c r="T2296" s="210"/>
      <c r="U2296" s="210"/>
      <c r="V2296" s="210"/>
      <c r="W2296" s="210"/>
      <c r="X2296" s="210"/>
      <c r="Y2296" s="210"/>
      <c r="Z2296" s="210"/>
    </row>
    <row r="2297" ht="21.75" customHeight="1">
      <c r="A2297" s="214"/>
      <c r="B2297" s="217"/>
      <c r="C2297" s="222">
        <v>106.0</v>
      </c>
      <c r="D2297" s="215" t="s">
        <v>519</v>
      </c>
      <c r="E2297" s="215" t="s">
        <v>508</v>
      </c>
      <c r="F2297" s="215" t="s">
        <v>509</v>
      </c>
      <c r="G2297" s="215" t="s">
        <v>510</v>
      </c>
      <c r="H2297" s="225" t="s">
        <v>965</v>
      </c>
      <c r="I2297" s="208"/>
      <c r="J2297" s="210"/>
      <c r="K2297" s="210"/>
      <c r="L2297" s="210"/>
      <c r="M2297" s="210"/>
      <c r="N2297" s="210"/>
      <c r="O2297" s="210"/>
      <c r="P2297" s="210"/>
      <c r="Q2297" s="210"/>
      <c r="R2297" s="210"/>
      <c r="S2297" s="210"/>
      <c r="T2297" s="210"/>
      <c r="U2297" s="210"/>
      <c r="V2297" s="210"/>
      <c r="W2297" s="210"/>
      <c r="X2297" s="210"/>
      <c r="Y2297" s="210"/>
      <c r="Z2297" s="210"/>
    </row>
    <row r="2298" ht="21.75" customHeight="1">
      <c r="A2298" s="214"/>
      <c r="B2298" s="218" t="s">
        <v>2131</v>
      </c>
      <c r="C2298" s="226">
        <v>52037.0</v>
      </c>
      <c r="D2298" s="220"/>
      <c r="E2298" s="220"/>
      <c r="F2298" s="220"/>
      <c r="G2298" s="220"/>
      <c r="H2298" s="221"/>
      <c r="I2298" s="208"/>
      <c r="J2298" s="210"/>
      <c r="K2298" s="210"/>
      <c r="L2298" s="210"/>
      <c r="M2298" s="210"/>
      <c r="N2298" s="210"/>
      <c r="O2298" s="210"/>
      <c r="P2298" s="210"/>
      <c r="Q2298" s="210"/>
      <c r="R2298" s="210"/>
      <c r="S2298" s="210"/>
      <c r="T2298" s="210"/>
      <c r="U2298" s="210"/>
      <c r="V2298" s="210"/>
      <c r="W2298" s="210"/>
      <c r="X2298" s="210"/>
      <c r="Y2298" s="210"/>
      <c r="Z2298" s="210"/>
    </row>
    <row r="2299" ht="21.75" customHeight="1">
      <c r="A2299" s="214"/>
      <c r="B2299" s="221"/>
      <c r="C2299" s="222">
        <v>100.0</v>
      </c>
      <c r="D2299" s="223" t="s">
        <v>486</v>
      </c>
      <c r="E2299" s="223" t="s">
        <v>487</v>
      </c>
      <c r="F2299" s="223" t="s">
        <v>488</v>
      </c>
      <c r="G2299" s="223" t="s">
        <v>489</v>
      </c>
      <c r="H2299" s="224" t="s">
        <v>490</v>
      </c>
      <c r="I2299" s="208"/>
      <c r="J2299" s="210"/>
      <c r="K2299" s="210"/>
      <c r="L2299" s="210"/>
      <c r="M2299" s="210"/>
      <c r="N2299" s="210"/>
      <c r="O2299" s="210"/>
      <c r="P2299" s="210"/>
      <c r="Q2299" s="210"/>
      <c r="R2299" s="210"/>
      <c r="S2299" s="210"/>
      <c r="T2299" s="210"/>
      <c r="U2299" s="210"/>
      <c r="V2299" s="210"/>
      <c r="W2299" s="210"/>
      <c r="X2299" s="210"/>
      <c r="Y2299" s="210"/>
      <c r="Z2299" s="210"/>
    </row>
    <row r="2300" ht="21.75" customHeight="1">
      <c r="A2300" s="214"/>
      <c r="B2300" s="221"/>
      <c r="C2300" s="222">
        <v>101.0</v>
      </c>
      <c r="D2300" s="223" t="s">
        <v>723</v>
      </c>
      <c r="E2300" s="223" t="s">
        <v>487</v>
      </c>
      <c r="F2300" s="223" t="s">
        <v>492</v>
      </c>
      <c r="G2300" s="223" t="s">
        <v>678</v>
      </c>
      <c r="H2300" s="225" t="s">
        <v>2132</v>
      </c>
      <c r="I2300" s="208"/>
      <c r="J2300" s="210"/>
      <c r="K2300" s="210"/>
      <c r="L2300" s="210"/>
      <c r="M2300" s="210"/>
      <c r="N2300" s="210"/>
      <c r="O2300" s="210"/>
      <c r="P2300" s="210"/>
      <c r="Q2300" s="210"/>
      <c r="R2300" s="210"/>
      <c r="S2300" s="210"/>
      <c r="T2300" s="210"/>
      <c r="U2300" s="210"/>
      <c r="V2300" s="210"/>
      <c r="W2300" s="210"/>
      <c r="X2300" s="210"/>
      <c r="Y2300" s="210"/>
      <c r="Z2300" s="210"/>
    </row>
    <row r="2301" ht="21.75" customHeight="1">
      <c r="A2301" s="214"/>
      <c r="B2301" s="221"/>
      <c r="C2301" s="222">
        <v>102.0</v>
      </c>
      <c r="D2301" s="223" t="s">
        <v>516</v>
      </c>
      <c r="E2301" s="223" t="s">
        <v>487</v>
      </c>
      <c r="F2301" s="223" t="s">
        <v>496</v>
      </c>
      <c r="G2301" s="223" t="s">
        <v>493</v>
      </c>
      <c r="H2301" s="225" t="s">
        <v>961</v>
      </c>
      <c r="I2301" s="208"/>
      <c r="J2301" s="210"/>
      <c r="K2301" s="210"/>
      <c r="L2301" s="210"/>
      <c r="M2301" s="210"/>
      <c r="N2301" s="210"/>
      <c r="O2301" s="210"/>
      <c r="P2301" s="210"/>
      <c r="Q2301" s="210"/>
      <c r="R2301" s="210"/>
      <c r="S2301" s="210"/>
      <c r="T2301" s="210"/>
      <c r="U2301" s="210"/>
      <c r="V2301" s="210"/>
      <c r="W2301" s="210"/>
      <c r="X2301" s="210"/>
      <c r="Y2301" s="210"/>
      <c r="Z2301" s="210"/>
    </row>
    <row r="2302" ht="21.75" customHeight="1">
      <c r="A2302" s="214"/>
      <c r="B2302" s="221"/>
      <c r="C2302" s="222">
        <v>103.0</v>
      </c>
      <c r="D2302" s="223" t="s">
        <v>749</v>
      </c>
      <c r="E2302" s="223" t="s">
        <v>487</v>
      </c>
      <c r="F2302" s="223" t="s">
        <v>500</v>
      </c>
      <c r="G2302" s="223" t="s">
        <v>497</v>
      </c>
      <c r="H2302" s="225" t="s">
        <v>2133</v>
      </c>
      <c r="I2302" s="208"/>
      <c r="J2302" s="210"/>
      <c r="K2302" s="210"/>
      <c r="L2302" s="210"/>
      <c r="M2302" s="210"/>
      <c r="N2302" s="210"/>
      <c r="O2302" s="210"/>
      <c r="P2302" s="210"/>
      <c r="Q2302" s="210"/>
      <c r="R2302" s="210"/>
      <c r="S2302" s="210"/>
      <c r="T2302" s="210"/>
      <c r="U2302" s="210"/>
      <c r="V2302" s="210"/>
      <c r="W2302" s="210"/>
      <c r="X2302" s="210"/>
      <c r="Y2302" s="210"/>
      <c r="Z2302" s="210"/>
    </row>
    <row r="2303" ht="21.75" customHeight="1">
      <c r="A2303" s="214"/>
      <c r="B2303" s="221"/>
      <c r="C2303" s="222">
        <v>104.0</v>
      </c>
      <c r="D2303" s="223" t="s">
        <v>964</v>
      </c>
      <c r="E2303" s="223" t="s">
        <v>487</v>
      </c>
      <c r="F2303" s="223" t="s">
        <v>532</v>
      </c>
      <c r="G2303" s="223" t="s">
        <v>594</v>
      </c>
      <c r="H2303" s="224" t="s">
        <v>490</v>
      </c>
      <c r="I2303" s="208"/>
      <c r="J2303" s="210"/>
      <c r="K2303" s="210"/>
      <c r="L2303" s="210"/>
      <c r="M2303" s="210"/>
      <c r="N2303" s="210"/>
      <c r="O2303" s="210"/>
      <c r="P2303" s="210"/>
      <c r="Q2303" s="210"/>
      <c r="R2303" s="210"/>
      <c r="S2303" s="210"/>
      <c r="T2303" s="210"/>
      <c r="U2303" s="210"/>
      <c r="V2303" s="210"/>
      <c r="W2303" s="210"/>
      <c r="X2303" s="210"/>
      <c r="Y2303" s="210"/>
      <c r="Z2303" s="210"/>
    </row>
    <row r="2304" ht="21.75" customHeight="1">
      <c r="A2304" s="214"/>
      <c r="B2304" s="217"/>
      <c r="C2304" s="222">
        <v>105.0</v>
      </c>
      <c r="D2304" s="215" t="s">
        <v>519</v>
      </c>
      <c r="E2304" s="215" t="s">
        <v>508</v>
      </c>
      <c r="F2304" s="215" t="s">
        <v>509</v>
      </c>
      <c r="G2304" s="215" t="s">
        <v>510</v>
      </c>
      <c r="H2304" s="225" t="s">
        <v>965</v>
      </c>
      <c r="I2304" s="208"/>
      <c r="J2304" s="210"/>
      <c r="K2304" s="210"/>
      <c r="L2304" s="210"/>
      <c r="M2304" s="210"/>
      <c r="N2304" s="210"/>
      <c r="O2304" s="210"/>
      <c r="P2304" s="210"/>
      <c r="Q2304" s="210"/>
      <c r="R2304" s="210"/>
      <c r="S2304" s="210"/>
      <c r="T2304" s="210"/>
      <c r="U2304" s="210"/>
      <c r="V2304" s="210"/>
      <c r="W2304" s="210"/>
      <c r="X2304" s="210"/>
      <c r="Y2304" s="210"/>
      <c r="Z2304" s="210"/>
    </row>
    <row r="2305" ht="21.75" customHeight="1">
      <c r="A2305" s="214"/>
      <c r="B2305" s="218" t="s">
        <v>2134</v>
      </c>
      <c r="C2305" s="226">
        <v>52040.0</v>
      </c>
      <c r="D2305" s="220"/>
      <c r="E2305" s="220"/>
      <c r="F2305" s="220"/>
      <c r="G2305" s="220"/>
      <c r="H2305" s="221"/>
      <c r="I2305" s="208"/>
      <c r="J2305" s="210"/>
      <c r="K2305" s="210"/>
      <c r="L2305" s="210"/>
      <c r="M2305" s="210"/>
      <c r="N2305" s="210"/>
      <c r="O2305" s="210"/>
      <c r="P2305" s="210"/>
      <c r="Q2305" s="210"/>
      <c r="R2305" s="210"/>
      <c r="S2305" s="210"/>
      <c r="T2305" s="210"/>
      <c r="U2305" s="210"/>
      <c r="V2305" s="210"/>
      <c r="W2305" s="210"/>
      <c r="X2305" s="210"/>
      <c r="Y2305" s="210"/>
      <c r="Z2305" s="210"/>
    </row>
    <row r="2306" ht="21.75" customHeight="1">
      <c r="A2306" s="214"/>
      <c r="B2306" s="221"/>
      <c r="C2306" s="222">
        <v>100.0</v>
      </c>
      <c r="D2306" s="223" t="s">
        <v>486</v>
      </c>
      <c r="E2306" s="223" t="s">
        <v>487</v>
      </c>
      <c r="F2306" s="223" t="s">
        <v>488</v>
      </c>
      <c r="G2306" s="223" t="s">
        <v>489</v>
      </c>
      <c r="H2306" s="224" t="s">
        <v>490</v>
      </c>
      <c r="I2306" s="208"/>
      <c r="J2306" s="210"/>
      <c r="K2306" s="210"/>
      <c r="L2306" s="210"/>
      <c r="M2306" s="210"/>
      <c r="N2306" s="210"/>
      <c r="O2306" s="210"/>
      <c r="P2306" s="210"/>
      <c r="Q2306" s="210"/>
      <c r="R2306" s="210"/>
      <c r="S2306" s="210"/>
      <c r="T2306" s="210"/>
      <c r="U2306" s="210"/>
      <c r="V2306" s="210"/>
      <c r="W2306" s="210"/>
      <c r="X2306" s="210"/>
      <c r="Y2306" s="210"/>
      <c r="Z2306" s="210"/>
    </row>
    <row r="2307" ht="21.75" customHeight="1">
      <c r="A2307" s="214"/>
      <c r="B2307" s="221"/>
      <c r="C2307" s="222">
        <v>101.0</v>
      </c>
      <c r="D2307" s="223" t="s">
        <v>723</v>
      </c>
      <c r="E2307" s="223" t="s">
        <v>487</v>
      </c>
      <c r="F2307" s="223" t="s">
        <v>492</v>
      </c>
      <c r="G2307" s="223" t="s">
        <v>678</v>
      </c>
      <c r="H2307" s="225" t="s">
        <v>2135</v>
      </c>
      <c r="I2307" s="208"/>
      <c r="J2307" s="210"/>
      <c r="K2307" s="210"/>
      <c r="L2307" s="210"/>
      <c r="M2307" s="210"/>
      <c r="N2307" s="210"/>
      <c r="O2307" s="210"/>
      <c r="P2307" s="210"/>
      <c r="Q2307" s="210"/>
      <c r="R2307" s="210"/>
      <c r="S2307" s="210"/>
      <c r="T2307" s="210"/>
      <c r="U2307" s="210"/>
      <c r="V2307" s="210"/>
      <c r="W2307" s="210"/>
      <c r="X2307" s="210"/>
      <c r="Y2307" s="210"/>
      <c r="Z2307" s="210"/>
    </row>
    <row r="2308" ht="21.75" customHeight="1">
      <c r="A2308" s="214"/>
      <c r="B2308" s="221"/>
      <c r="C2308" s="222">
        <v>102.0</v>
      </c>
      <c r="D2308" s="223" t="s">
        <v>516</v>
      </c>
      <c r="E2308" s="223" t="s">
        <v>487</v>
      </c>
      <c r="F2308" s="223" t="s">
        <v>496</v>
      </c>
      <c r="G2308" s="223" t="s">
        <v>493</v>
      </c>
      <c r="H2308" s="225" t="s">
        <v>961</v>
      </c>
      <c r="I2308" s="208"/>
      <c r="J2308" s="210"/>
      <c r="K2308" s="210"/>
      <c r="L2308" s="210"/>
      <c r="M2308" s="210"/>
      <c r="N2308" s="210"/>
      <c r="O2308" s="210"/>
      <c r="P2308" s="210"/>
      <c r="Q2308" s="210"/>
      <c r="R2308" s="210"/>
      <c r="S2308" s="210"/>
      <c r="T2308" s="210"/>
      <c r="U2308" s="210"/>
      <c r="V2308" s="210"/>
      <c r="W2308" s="210"/>
      <c r="X2308" s="210"/>
      <c r="Y2308" s="210"/>
      <c r="Z2308" s="210"/>
    </row>
    <row r="2309" ht="21.75" customHeight="1">
      <c r="A2309" s="214"/>
      <c r="B2309" s="221"/>
      <c r="C2309" s="222">
        <v>103.0</v>
      </c>
      <c r="D2309" s="223" t="s">
        <v>749</v>
      </c>
      <c r="E2309" s="223" t="s">
        <v>487</v>
      </c>
      <c r="F2309" s="223" t="s">
        <v>500</v>
      </c>
      <c r="G2309" s="223" t="s">
        <v>497</v>
      </c>
      <c r="H2309" s="225" t="s">
        <v>962</v>
      </c>
      <c r="I2309" s="208"/>
      <c r="J2309" s="210"/>
      <c r="K2309" s="210"/>
      <c r="L2309" s="210"/>
      <c r="M2309" s="210"/>
      <c r="N2309" s="210"/>
      <c r="O2309" s="210"/>
      <c r="P2309" s="210"/>
      <c r="Q2309" s="210"/>
      <c r="R2309" s="210"/>
      <c r="S2309" s="210"/>
      <c r="T2309" s="210"/>
      <c r="U2309" s="210"/>
      <c r="V2309" s="210"/>
      <c r="W2309" s="210"/>
      <c r="X2309" s="210"/>
      <c r="Y2309" s="210"/>
      <c r="Z2309" s="210"/>
    </row>
    <row r="2310" ht="21.75" customHeight="1">
      <c r="A2310" s="214"/>
      <c r="B2310" s="221"/>
      <c r="C2310" s="222">
        <v>104.0</v>
      </c>
      <c r="D2310" s="223" t="s">
        <v>964</v>
      </c>
      <c r="E2310" s="223" t="s">
        <v>487</v>
      </c>
      <c r="F2310" s="223" t="s">
        <v>532</v>
      </c>
      <c r="G2310" s="223" t="s">
        <v>594</v>
      </c>
      <c r="H2310" s="224" t="s">
        <v>490</v>
      </c>
      <c r="I2310" s="208"/>
      <c r="J2310" s="210"/>
      <c r="K2310" s="210"/>
      <c r="L2310" s="210"/>
      <c r="M2310" s="210"/>
      <c r="N2310" s="210"/>
      <c r="O2310" s="210"/>
      <c r="P2310" s="210"/>
      <c r="Q2310" s="210"/>
      <c r="R2310" s="210"/>
      <c r="S2310" s="210"/>
      <c r="T2310" s="210"/>
      <c r="U2310" s="210"/>
      <c r="V2310" s="210"/>
      <c r="W2310" s="210"/>
      <c r="X2310" s="210"/>
      <c r="Y2310" s="210"/>
      <c r="Z2310" s="210"/>
    </row>
    <row r="2311" ht="21.75" customHeight="1">
      <c r="A2311" s="228"/>
      <c r="B2311" s="221"/>
      <c r="C2311" s="222">
        <v>105.0</v>
      </c>
      <c r="D2311" s="223" t="s">
        <v>519</v>
      </c>
      <c r="E2311" s="223" t="s">
        <v>508</v>
      </c>
      <c r="F2311" s="223" t="s">
        <v>509</v>
      </c>
      <c r="G2311" s="223" t="s">
        <v>510</v>
      </c>
      <c r="H2311" s="225" t="s">
        <v>965</v>
      </c>
      <c r="I2311" s="208"/>
      <c r="J2311" s="210"/>
      <c r="K2311" s="210"/>
      <c r="L2311" s="210"/>
      <c r="M2311" s="210"/>
      <c r="N2311" s="210"/>
      <c r="O2311" s="210"/>
      <c r="P2311" s="210"/>
      <c r="Q2311" s="210"/>
      <c r="R2311" s="210"/>
      <c r="S2311" s="210"/>
      <c r="T2311" s="210"/>
      <c r="U2311" s="210"/>
      <c r="V2311" s="210"/>
      <c r="W2311" s="210"/>
      <c r="X2311" s="210"/>
      <c r="Y2311" s="210"/>
      <c r="Z2311" s="210"/>
    </row>
    <row r="2312" ht="21.75" customHeight="1">
      <c r="A2312" s="214">
        <v>380.0</v>
      </c>
      <c r="B2312" s="229" t="s">
        <v>2136</v>
      </c>
      <c r="C2312" s="230"/>
      <c r="D2312" s="217"/>
      <c r="E2312" s="217"/>
      <c r="F2312" s="217"/>
      <c r="G2312" s="217"/>
      <c r="H2312" s="217"/>
      <c r="I2312" s="208"/>
      <c r="J2312" s="210"/>
      <c r="K2312" s="210"/>
      <c r="L2312" s="210"/>
      <c r="M2312" s="210"/>
      <c r="N2312" s="210"/>
      <c r="O2312" s="210"/>
      <c r="P2312" s="210"/>
      <c r="Q2312" s="210"/>
      <c r="R2312" s="210"/>
      <c r="S2312" s="210"/>
      <c r="T2312" s="210"/>
      <c r="U2312" s="210"/>
      <c r="V2312" s="210"/>
      <c r="W2312" s="210"/>
      <c r="X2312" s="210"/>
      <c r="Y2312" s="210"/>
      <c r="Z2312" s="210"/>
    </row>
    <row r="2313" ht="21.75" customHeight="1">
      <c r="A2313" s="214"/>
      <c r="B2313" s="218" t="s">
        <v>2137</v>
      </c>
      <c r="C2313" s="219">
        <v>51130.0</v>
      </c>
      <c r="D2313" s="220"/>
      <c r="E2313" s="220"/>
      <c r="F2313" s="220"/>
      <c r="G2313" s="220"/>
      <c r="H2313" s="220"/>
      <c r="I2313" s="208"/>
      <c r="J2313" s="210"/>
      <c r="K2313" s="210"/>
      <c r="L2313" s="210"/>
      <c r="M2313" s="210"/>
      <c r="N2313" s="210"/>
      <c r="O2313" s="210"/>
      <c r="P2313" s="210"/>
      <c r="Q2313" s="210"/>
      <c r="R2313" s="210"/>
      <c r="S2313" s="210"/>
      <c r="T2313" s="210"/>
      <c r="U2313" s="210"/>
      <c r="V2313" s="210"/>
      <c r="W2313" s="210"/>
      <c r="X2313" s="210"/>
      <c r="Y2313" s="210"/>
      <c r="Z2313" s="210"/>
    </row>
    <row r="2314" ht="21.75" customHeight="1">
      <c r="A2314" s="214"/>
      <c r="B2314" s="221"/>
      <c r="C2314" s="222">
        <v>100.0</v>
      </c>
      <c r="D2314" s="223" t="s">
        <v>684</v>
      </c>
      <c r="E2314" s="223" t="s">
        <v>685</v>
      </c>
      <c r="F2314" s="223" t="s">
        <v>1542</v>
      </c>
      <c r="G2314" s="218" t="s">
        <v>490</v>
      </c>
      <c r="H2314" s="225" t="s">
        <v>2138</v>
      </c>
      <c r="I2314" s="208"/>
      <c r="J2314" s="210"/>
      <c r="K2314" s="210"/>
      <c r="L2314" s="210"/>
      <c r="M2314" s="210"/>
      <c r="N2314" s="210"/>
      <c r="O2314" s="210"/>
      <c r="P2314" s="210"/>
      <c r="Q2314" s="210"/>
      <c r="R2314" s="210"/>
      <c r="S2314" s="210"/>
      <c r="T2314" s="210"/>
      <c r="U2314" s="210"/>
      <c r="V2314" s="210"/>
      <c r="W2314" s="210"/>
      <c r="X2314" s="210"/>
      <c r="Y2314" s="210"/>
      <c r="Z2314" s="210"/>
    </row>
    <row r="2315" ht="21.75" customHeight="1">
      <c r="A2315" s="214"/>
      <c r="B2315" s="221"/>
      <c r="C2315" s="222">
        <v>101.0</v>
      </c>
      <c r="D2315" s="223" t="s">
        <v>2139</v>
      </c>
      <c r="E2315" s="223" t="s">
        <v>487</v>
      </c>
      <c r="F2315" s="223" t="s">
        <v>488</v>
      </c>
      <c r="G2315" s="223" t="s">
        <v>489</v>
      </c>
      <c r="H2315" s="224" t="s">
        <v>490</v>
      </c>
      <c r="I2315" s="208"/>
      <c r="J2315" s="210"/>
      <c r="K2315" s="210"/>
      <c r="L2315" s="210"/>
      <c r="M2315" s="210"/>
      <c r="N2315" s="210"/>
      <c r="O2315" s="210"/>
      <c r="P2315" s="210"/>
      <c r="Q2315" s="210"/>
      <c r="R2315" s="210"/>
      <c r="S2315" s="210"/>
      <c r="T2315" s="210"/>
      <c r="U2315" s="210"/>
      <c r="V2315" s="210"/>
      <c r="W2315" s="210"/>
      <c r="X2315" s="210"/>
      <c r="Y2315" s="210"/>
      <c r="Z2315" s="210"/>
    </row>
    <row r="2316" ht="21.75" customHeight="1">
      <c r="A2316" s="214"/>
      <c r="B2316" s="221"/>
      <c r="C2316" s="222">
        <v>102.0</v>
      </c>
      <c r="D2316" s="223" t="s">
        <v>367</v>
      </c>
      <c r="E2316" s="223" t="s">
        <v>487</v>
      </c>
      <c r="F2316" s="223" t="s">
        <v>492</v>
      </c>
      <c r="G2316" s="223" t="s">
        <v>497</v>
      </c>
      <c r="H2316" s="225" t="s">
        <v>2140</v>
      </c>
      <c r="I2316" s="208"/>
      <c r="J2316" s="210"/>
      <c r="K2316" s="210"/>
      <c r="L2316" s="210"/>
      <c r="M2316" s="210"/>
      <c r="N2316" s="210"/>
      <c r="O2316" s="210"/>
      <c r="P2316" s="210"/>
      <c r="Q2316" s="210"/>
      <c r="R2316" s="210"/>
      <c r="S2316" s="210"/>
      <c r="T2316" s="210"/>
      <c r="U2316" s="210"/>
      <c r="V2316" s="210"/>
      <c r="W2316" s="210"/>
      <c r="X2316" s="210"/>
      <c r="Y2316" s="210"/>
      <c r="Z2316" s="210"/>
    </row>
    <row r="2317" ht="21.75" customHeight="1">
      <c r="A2317" s="214"/>
      <c r="B2317" s="221"/>
      <c r="C2317" s="222">
        <v>103.0</v>
      </c>
      <c r="D2317" s="223" t="s">
        <v>1044</v>
      </c>
      <c r="E2317" s="223" t="s">
        <v>487</v>
      </c>
      <c r="F2317" s="223" t="s">
        <v>496</v>
      </c>
      <c r="G2317" s="223" t="s">
        <v>513</v>
      </c>
      <c r="H2317" s="225" t="s">
        <v>2141</v>
      </c>
      <c r="I2317" s="208"/>
      <c r="J2317" s="210"/>
      <c r="K2317" s="210"/>
      <c r="L2317" s="210"/>
      <c r="M2317" s="210"/>
      <c r="N2317" s="210"/>
      <c r="O2317" s="210"/>
      <c r="P2317" s="210"/>
      <c r="Q2317" s="210"/>
      <c r="R2317" s="210"/>
      <c r="S2317" s="210"/>
      <c r="T2317" s="210"/>
      <c r="U2317" s="210"/>
      <c r="V2317" s="210"/>
      <c r="W2317" s="210"/>
      <c r="X2317" s="210"/>
      <c r="Y2317" s="210"/>
      <c r="Z2317" s="210"/>
    </row>
    <row r="2318" ht="21.75" customHeight="1">
      <c r="A2318" s="214"/>
      <c r="B2318" s="221"/>
      <c r="C2318" s="222">
        <v>104.0</v>
      </c>
      <c r="D2318" s="223" t="s">
        <v>896</v>
      </c>
      <c r="E2318" s="223" t="s">
        <v>487</v>
      </c>
      <c r="F2318" s="223" t="s">
        <v>500</v>
      </c>
      <c r="G2318" s="223" t="s">
        <v>501</v>
      </c>
      <c r="H2318" s="224" t="s">
        <v>490</v>
      </c>
      <c r="I2318" s="208"/>
      <c r="J2318" s="210"/>
      <c r="K2318" s="210"/>
      <c r="L2318" s="210"/>
      <c r="M2318" s="210"/>
      <c r="N2318" s="210"/>
      <c r="O2318" s="210"/>
      <c r="P2318" s="210"/>
      <c r="Q2318" s="210"/>
      <c r="R2318" s="210"/>
      <c r="S2318" s="210"/>
      <c r="T2318" s="210"/>
      <c r="U2318" s="210"/>
      <c r="V2318" s="210"/>
      <c r="W2318" s="210"/>
      <c r="X2318" s="210"/>
      <c r="Y2318" s="210"/>
      <c r="Z2318" s="210"/>
    </row>
    <row r="2319" ht="21.75" customHeight="1">
      <c r="A2319" s="214"/>
      <c r="B2319" s="221"/>
      <c r="C2319" s="222">
        <v>105.0</v>
      </c>
      <c r="D2319" s="223" t="s">
        <v>376</v>
      </c>
      <c r="E2319" s="223" t="s">
        <v>508</v>
      </c>
      <c r="F2319" s="223" t="s">
        <v>509</v>
      </c>
      <c r="G2319" s="218" t="s">
        <v>490</v>
      </c>
      <c r="H2319" s="225" t="s">
        <v>2142</v>
      </c>
      <c r="I2319" s="208"/>
      <c r="J2319" s="210"/>
      <c r="K2319" s="210"/>
      <c r="L2319" s="210"/>
      <c r="M2319" s="210"/>
      <c r="N2319" s="210"/>
      <c r="O2319" s="210"/>
      <c r="P2319" s="210"/>
      <c r="Q2319" s="210"/>
      <c r="R2319" s="210"/>
      <c r="S2319" s="210"/>
      <c r="T2319" s="210"/>
      <c r="U2319" s="210"/>
      <c r="V2319" s="210"/>
      <c r="W2319" s="210"/>
      <c r="X2319" s="210"/>
      <c r="Y2319" s="210"/>
      <c r="Z2319" s="210"/>
    </row>
    <row r="2320" ht="21.75" customHeight="1">
      <c r="A2320" s="214"/>
      <c r="B2320" s="221"/>
      <c r="C2320" s="222">
        <v>201.0</v>
      </c>
      <c r="D2320" s="223" t="s">
        <v>2143</v>
      </c>
      <c r="E2320" s="223" t="s">
        <v>487</v>
      </c>
      <c r="F2320" s="223" t="s">
        <v>1001</v>
      </c>
      <c r="G2320" s="218" t="s">
        <v>490</v>
      </c>
      <c r="H2320" s="224" t="s">
        <v>490</v>
      </c>
      <c r="I2320" s="208"/>
      <c r="J2320" s="210"/>
      <c r="K2320" s="210"/>
      <c r="L2320" s="210"/>
      <c r="M2320" s="210"/>
      <c r="N2320" s="210"/>
      <c r="O2320" s="210"/>
      <c r="P2320" s="210"/>
      <c r="Q2320" s="210"/>
      <c r="R2320" s="210"/>
      <c r="S2320" s="210"/>
      <c r="T2320" s="210"/>
      <c r="U2320" s="210"/>
      <c r="V2320" s="210"/>
      <c r="W2320" s="210"/>
      <c r="X2320" s="210"/>
      <c r="Y2320" s="210"/>
      <c r="Z2320" s="210"/>
    </row>
    <row r="2321" ht="21.75" customHeight="1">
      <c r="A2321" s="214"/>
      <c r="B2321" s="221"/>
      <c r="C2321" s="222">
        <v>202.0</v>
      </c>
      <c r="D2321" s="223" t="s">
        <v>2144</v>
      </c>
      <c r="E2321" s="223" t="s">
        <v>487</v>
      </c>
      <c r="F2321" s="223" t="s">
        <v>1004</v>
      </c>
      <c r="G2321" s="223" t="s">
        <v>594</v>
      </c>
      <c r="H2321" s="224" t="s">
        <v>490</v>
      </c>
      <c r="I2321" s="208"/>
      <c r="J2321" s="210"/>
      <c r="K2321" s="210"/>
      <c r="L2321" s="210"/>
      <c r="M2321" s="210"/>
      <c r="N2321" s="210"/>
      <c r="O2321" s="210"/>
      <c r="P2321" s="210"/>
      <c r="Q2321" s="210"/>
      <c r="R2321" s="210"/>
      <c r="S2321" s="210"/>
      <c r="T2321" s="210"/>
      <c r="U2321" s="210"/>
      <c r="V2321" s="210"/>
      <c r="W2321" s="210"/>
      <c r="X2321" s="210"/>
      <c r="Y2321" s="210"/>
      <c r="Z2321" s="210"/>
    </row>
    <row r="2322" ht="21.75" customHeight="1">
      <c r="A2322" s="214"/>
      <c r="B2322" s="221"/>
      <c r="C2322" s="222">
        <v>203.0</v>
      </c>
      <c r="D2322" s="223" t="s">
        <v>2145</v>
      </c>
      <c r="E2322" s="223" t="s">
        <v>487</v>
      </c>
      <c r="F2322" s="223" t="s">
        <v>2146</v>
      </c>
      <c r="G2322" s="223" t="s">
        <v>493</v>
      </c>
      <c r="H2322" s="224" t="s">
        <v>490</v>
      </c>
      <c r="I2322" s="208"/>
      <c r="J2322" s="210"/>
      <c r="K2322" s="210"/>
      <c r="L2322" s="210"/>
      <c r="M2322" s="210"/>
      <c r="N2322" s="210"/>
      <c r="O2322" s="210"/>
      <c r="P2322" s="210"/>
      <c r="Q2322" s="210"/>
      <c r="R2322" s="210"/>
      <c r="S2322" s="210"/>
      <c r="T2322" s="210"/>
      <c r="U2322" s="210"/>
      <c r="V2322" s="210"/>
      <c r="W2322" s="210"/>
      <c r="X2322" s="210"/>
      <c r="Y2322" s="210"/>
      <c r="Z2322" s="210"/>
    </row>
    <row r="2323" ht="21.75" customHeight="1">
      <c r="A2323" s="214"/>
      <c r="B2323" s="221"/>
      <c r="C2323" s="222">
        <v>204.0</v>
      </c>
      <c r="D2323" s="223" t="s">
        <v>2147</v>
      </c>
      <c r="E2323" s="223" t="s">
        <v>487</v>
      </c>
      <c r="F2323" s="223" t="s">
        <v>2148</v>
      </c>
      <c r="G2323" s="223" t="s">
        <v>526</v>
      </c>
      <c r="H2323" s="224" t="s">
        <v>490</v>
      </c>
      <c r="I2323" s="208"/>
      <c r="J2323" s="210"/>
      <c r="K2323" s="210"/>
      <c r="L2323" s="210"/>
      <c r="M2323" s="210"/>
      <c r="N2323" s="210"/>
      <c r="O2323" s="210"/>
      <c r="P2323" s="210"/>
      <c r="Q2323" s="210"/>
      <c r="R2323" s="210"/>
      <c r="S2323" s="210"/>
      <c r="T2323" s="210"/>
      <c r="U2323" s="210"/>
      <c r="V2323" s="210"/>
      <c r="W2323" s="210"/>
      <c r="X2323" s="210"/>
      <c r="Y2323" s="210"/>
      <c r="Z2323" s="210"/>
    </row>
    <row r="2324" ht="21.75" customHeight="1">
      <c r="A2324" s="214"/>
      <c r="B2324" s="221"/>
      <c r="C2324" s="222">
        <v>205.0</v>
      </c>
      <c r="D2324" s="223" t="s">
        <v>2149</v>
      </c>
      <c r="E2324" s="223" t="s">
        <v>487</v>
      </c>
      <c r="F2324" s="223" t="s">
        <v>2150</v>
      </c>
      <c r="G2324" s="218" t="s">
        <v>490</v>
      </c>
      <c r="H2324" s="224" t="s">
        <v>490</v>
      </c>
      <c r="I2324" s="208"/>
      <c r="J2324" s="210"/>
      <c r="K2324" s="210"/>
      <c r="L2324" s="210"/>
      <c r="M2324" s="210"/>
      <c r="N2324" s="210"/>
      <c r="O2324" s="210"/>
      <c r="P2324" s="210"/>
      <c r="Q2324" s="210"/>
      <c r="R2324" s="210"/>
      <c r="S2324" s="210"/>
      <c r="T2324" s="210"/>
      <c r="U2324" s="210"/>
      <c r="V2324" s="210"/>
      <c r="W2324" s="210"/>
      <c r="X2324" s="210"/>
      <c r="Y2324" s="210"/>
      <c r="Z2324" s="210"/>
    </row>
    <row r="2325" ht="21.75" customHeight="1">
      <c r="A2325" s="214"/>
      <c r="B2325" s="221"/>
      <c r="C2325" s="222">
        <v>206.0</v>
      </c>
      <c r="D2325" s="223" t="s">
        <v>2151</v>
      </c>
      <c r="E2325" s="223" t="s">
        <v>487</v>
      </c>
      <c r="F2325" s="223" t="s">
        <v>2152</v>
      </c>
      <c r="G2325" s="218" t="s">
        <v>490</v>
      </c>
      <c r="H2325" s="224" t="s">
        <v>490</v>
      </c>
      <c r="I2325" s="208"/>
      <c r="J2325" s="210"/>
      <c r="K2325" s="210"/>
      <c r="L2325" s="210"/>
      <c r="M2325" s="210"/>
      <c r="N2325" s="210"/>
      <c r="O2325" s="210"/>
      <c r="P2325" s="210"/>
      <c r="Q2325" s="210"/>
      <c r="R2325" s="210"/>
      <c r="S2325" s="210"/>
      <c r="T2325" s="210"/>
      <c r="U2325" s="210"/>
      <c r="V2325" s="210"/>
      <c r="W2325" s="210"/>
      <c r="X2325" s="210"/>
      <c r="Y2325" s="210"/>
      <c r="Z2325" s="210"/>
    </row>
    <row r="2326" ht="21.75" customHeight="1">
      <c r="A2326" s="214"/>
      <c r="B2326" s="221"/>
      <c r="C2326" s="222">
        <v>207.0</v>
      </c>
      <c r="D2326" s="223" t="s">
        <v>2153</v>
      </c>
      <c r="E2326" s="223" t="s">
        <v>487</v>
      </c>
      <c r="F2326" s="223" t="s">
        <v>2154</v>
      </c>
      <c r="G2326" s="218" t="s">
        <v>490</v>
      </c>
      <c r="H2326" s="224" t="s">
        <v>490</v>
      </c>
      <c r="I2326" s="208"/>
      <c r="J2326" s="210"/>
      <c r="K2326" s="210"/>
      <c r="L2326" s="210"/>
      <c r="M2326" s="210"/>
      <c r="N2326" s="210"/>
      <c r="O2326" s="210"/>
      <c r="P2326" s="210"/>
      <c r="Q2326" s="210"/>
      <c r="R2326" s="210"/>
      <c r="S2326" s="210"/>
      <c r="T2326" s="210"/>
      <c r="U2326" s="210"/>
      <c r="V2326" s="210"/>
      <c r="W2326" s="210"/>
      <c r="X2326" s="210"/>
      <c r="Y2326" s="210"/>
      <c r="Z2326" s="210"/>
    </row>
    <row r="2327" ht="21.75" customHeight="1">
      <c r="A2327" s="214"/>
      <c r="B2327" s="221"/>
      <c r="C2327" s="222">
        <v>208.0</v>
      </c>
      <c r="D2327" s="223" t="s">
        <v>2155</v>
      </c>
      <c r="E2327" s="223" t="s">
        <v>487</v>
      </c>
      <c r="F2327" s="223" t="s">
        <v>2156</v>
      </c>
      <c r="G2327" s="218" t="s">
        <v>490</v>
      </c>
      <c r="H2327" s="224" t="s">
        <v>490</v>
      </c>
      <c r="I2327" s="208"/>
      <c r="J2327" s="210"/>
      <c r="K2327" s="210"/>
      <c r="L2327" s="210"/>
      <c r="M2327" s="210"/>
      <c r="N2327" s="210"/>
      <c r="O2327" s="210"/>
      <c r="P2327" s="210"/>
      <c r="Q2327" s="210"/>
      <c r="R2327" s="210"/>
      <c r="S2327" s="210"/>
      <c r="T2327" s="210"/>
      <c r="U2327" s="210"/>
      <c r="V2327" s="210"/>
      <c r="W2327" s="210"/>
      <c r="X2327" s="210"/>
      <c r="Y2327" s="210"/>
      <c r="Z2327" s="210"/>
    </row>
    <row r="2328" ht="21.75" customHeight="1">
      <c r="A2328" s="214"/>
      <c r="B2328" s="221"/>
      <c r="C2328" s="222">
        <v>209.0</v>
      </c>
      <c r="D2328" s="223" t="s">
        <v>2157</v>
      </c>
      <c r="E2328" s="223" t="s">
        <v>487</v>
      </c>
      <c r="F2328" s="223" t="s">
        <v>2158</v>
      </c>
      <c r="G2328" s="218" t="s">
        <v>490</v>
      </c>
      <c r="H2328" s="224" t="s">
        <v>490</v>
      </c>
      <c r="I2328" s="208"/>
      <c r="J2328" s="210"/>
      <c r="K2328" s="210"/>
      <c r="L2328" s="210"/>
      <c r="M2328" s="210"/>
      <c r="N2328" s="210"/>
      <c r="O2328" s="210"/>
      <c r="P2328" s="210"/>
      <c r="Q2328" s="210"/>
      <c r="R2328" s="210"/>
      <c r="S2328" s="210"/>
      <c r="T2328" s="210"/>
      <c r="U2328" s="210"/>
      <c r="V2328" s="210"/>
      <c r="W2328" s="210"/>
      <c r="X2328" s="210"/>
      <c r="Y2328" s="210"/>
      <c r="Z2328" s="210"/>
    </row>
    <row r="2329" ht="21.75" customHeight="1">
      <c r="A2329" s="228"/>
      <c r="B2329" s="221"/>
      <c r="C2329" s="222">
        <v>210.0</v>
      </c>
      <c r="D2329" s="223" t="s">
        <v>2159</v>
      </c>
      <c r="E2329" s="223" t="s">
        <v>487</v>
      </c>
      <c r="F2329" s="223" t="s">
        <v>696</v>
      </c>
      <c r="G2329" s="218" t="s">
        <v>490</v>
      </c>
      <c r="H2329" s="224" t="s">
        <v>490</v>
      </c>
      <c r="I2329" s="208"/>
      <c r="J2329" s="210"/>
      <c r="K2329" s="210"/>
      <c r="L2329" s="210"/>
      <c r="M2329" s="210"/>
      <c r="N2329" s="210"/>
      <c r="O2329" s="210"/>
      <c r="P2329" s="210"/>
      <c r="Q2329" s="210"/>
      <c r="R2329" s="210"/>
      <c r="S2329" s="210"/>
      <c r="T2329" s="210"/>
      <c r="U2329" s="210"/>
      <c r="V2329" s="210"/>
      <c r="W2329" s="210"/>
      <c r="X2329" s="210"/>
      <c r="Y2329" s="210"/>
      <c r="Z2329" s="210"/>
    </row>
    <row r="2330" ht="21.75" customHeight="1">
      <c r="A2330" s="214">
        <v>39.0</v>
      </c>
      <c r="B2330" s="215" t="s">
        <v>2160</v>
      </c>
      <c r="C2330" s="216"/>
      <c r="D2330" s="217"/>
      <c r="E2330" s="217"/>
      <c r="F2330" s="217"/>
      <c r="G2330" s="217"/>
      <c r="H2330" s="217"/>
      <c r="I2330" s="208"/>
      <c r="J2330" s="210"/>
      <c r="K2330" s="210"/>
      <c r="L2330" s="210"/>
      <c r="M2330" s="210"/>
      <c r="N2330" s="210"/>
      <c r="O2330" s="210"/>
      <c r="P2330" s="210"/>
      <c r="Q2330" s="210"/>
      <c r="R2330" s="210"/>
      <c r="S2330" s="210"/>
      <c r="T2330" s="210"/>
      <c r="U2330" s="210"/>
      <c r="V2330" s="210"/>
      <c r="W2330" s="210"/>
      <c r="X2330" s="210"/>
      <c r="Y2330" s="210"/>
      <c r="Z2330" s="210"/>
    </row>
    <row r="2331" ht="21.75" customHeight="1">
      <c r="A2331" s="214"/>
      <c r="B2331" s="218" t="s">
        <v>2161</v>
      </c>
      <c r="C2331" s="219">
        <v>50126.0</v>
      </c>
      <c r="D2331" s="220"/>
      <c r="E2331" s="220"/>
      <c r="F2331" s="220"/>
      <c r="G2331" s="220"/>
      <c r="H2331" s="220"/>
      <c r="I2331" s="208"/>
      <c r="J2331" s="210"/>
      <c r="K2331" s="210"/>
      <c r="L2331" s="210"/>
      <c r="M2331" s="210"/>
      <c r="N2331" s="210"/>
      <c r="O2331" s="210"/>
      <c r="P2331" s="210"/>
      <c r="Q2331" s="210"/>
      <c r="R2331" s="210"/>
      <c r="S2331" s="210"/>
      <c r="T2331" s="210"/>
      <c r="U2331" s="210"/>
      <c r="V2331" s="210"/>
      <c r="W2331" s="210"/>
      <c r="X2331" s="210"/>
      <c r="Y2331" s="210"/>
      <c r="Z2331" s="210"/>
    </row>
    <row r="2332" ht="21.75" customHeight="1">
      <c r="A2332" s="214"/>
      <c r="B2332" s="221"/>
      <c r="C2332" s="222">
        <v>100.0</v>
      </c>
      <c r="D2332" s="223" t="s">
        <v>486</v>
      </c>
      <c r="E2332" s="223" t="s">
        <v>487</v>
      </c>
      <c r="F2332" s="223" t="s">
        <v>488</v>
      </c>
      <c r="G2332" s="223" t="s">
        <v>489</v>
      </c>
      <c r="H2332" s="224" t="s">
        <v>490</v>
      </c>
      <c r="I2332" s="208"/>
      <c r="J2332" s="210"/>
      <c r="K2332" s="210"/>
      <c r="L2332" s="210"/>
      <c r="M2332" s="210"/>
      <c r="N2332" s="210"/>
      <c r="O2332" s="210"/>
      <c r="P2332" s="210"/>
      <c r="Q2332" s="210"/>
      <c r="R2332" s="210"/>
      <c r="S2332" s="210"/>
      <c r="T2332" s="210"/>
      <c r="U2332" s="210"/>
      <c r="V2332" s="210"/>
      <c r="W2332" s="210"/>
      <c r="X2332" s="210"/>
      <c r="Y2332" s="210"/>
      <c r="Z2332" s="210"/>
    </row>
    <row r="2333" ht="21.75" customHeight="1">
      <c r="A2333" s="214"/>
      <c r="B2333" s="221"/>
      <c r="C2333" s="222">
        <v>101.0</v>
      </c>
      <c r="D2333" s="223" t="s">
        <v>2162</v>
      </c>
      <c r="E2333" s="223" t="s">
        <v>487</v>
      </c>
      <c r="F2333" s="223" t="s">
        <v>492</v>
      </c>
      <c r="G2333" s="223" t="s">
        <v>493</v>
      </c>
      <c r="H2333" s="225" t="s">
        <v>2163</v>
      </c>
      <c r="I2333" s="208"/>
      <c r="J2333" s="210"/>
      <c r="K2333" s="210"/>
      <c r="L2333" s="210"/>
      <c r="M2333" s="210"/>
      <c r="N2333" s="210"/>
      <c r="O2333" s="210"/>
      <c r="P2333" s="210"/>
      <c r="Q2333" s="210"/>
      <c r="R2333" s="210"/>
      <c r="S2333" s="210"/>
      <c r="T2333" s="210"/>
      <c r="U2333" s="210"/>
      <c r="V2333" s="210"/>
      <c r="W2333" s="210"/>
      <c r="X2333" s="210"/>
      <c r="Y2333" s="210"/>
      <c r="Z2333" s="210"/>
    </row>
    <row r="2334" ht="21.75" customHeight="1">
      <c r="A2334" s="214"/>
      <c r="B2334" s="221"/>
      <c r="C2334" s="222">
        <v>102.0</v>
      </c>
      <c r="D2334" s="223" t="s">
        <v>2164</v>
      </c>
      <c r="E2334" s="223" t="s">
        <v>487</v>
      </c>
      <c r="F2334" s="223" t="s">
        <v>496</v>
      </c>
      <c r="G2334" s="223" t="s">
        <v>497</v>
      </c>
      <c r="H2334" s="225" t="s">
        <v>2165</v>
      </c>
      <c r="I2334" s="208"/>
      <c r="J2334" s="210"/>
      <c r="K2334" s="210"/>
      <c r="L2334" s="210"/>
      <c r="M2334" s="210"/>
      <c r="N2334" s="210"/>
      <c r="O2334" s="210"/>
      <c r="P2334" s="210"/>
      <c r="Q2334" s="210"/>
      <c r="R2334" s="210"/>
      <c r="S2334" s="210"/>
      <c r="T2334" s="210"/>
      <c r="U2334" s="210"/>
      <c r="V2334" s="210"/>
      <c r="W2334" s="210"/>
      <c r="X2334" s="210"/>
      <c r="Y2334" s="210"/>
      <c r="Z2334" s="210"/>
    </row>
    <row r="2335" ht="21.75" customHeight="1">
      <c r="A2335" s="214"/>
      <c r="B2335" s="221"/>
      <c r="C2335" s="222">
        <v>103.0</v>
      </c>
      <c r="D2335" s="223" t="s">
        <v>2166</v>
      </c>
      <c r="E2335" s="223" t="s">
        <v>487</v>
      </c>
      <c r="F2335" s="223" t="s">
        <v>500</v>
      </c>
      <c r="G2335" s="223" t="s">
        <v>501</v>
      </c>
      <c r="H2335" s="225" t="s">
        <v>2167</v>
      </c>
      <c r="I2335" s="208"/>
      <c r="J2335" s="210"/>
      <c r="K2335" s="210"/>
      <c r="L2335" s="210"/>
      <c r="M2335" s="210"/>
      <c r="N2335" s="210"/>
      <c r="O2335" s="210"/>
      <c r="P2335" s="210"/>
      <c r="Q2335" s="210"/>
      <c r="R2335" s="210"/>
      <c r="S2335" s="210"/>
      <c r="T2335" s="210"/>
      <c r="U2335" s="210"/>
      <c r="V2335" s="210"/>
      <c r="W2335" s="210"/>
      <c r="X2335" s="210"/>
      <c r="Y2335" s="210"/>
      <c r="Z2335" s="210"/>
    </row>
    <row r="2336" ht="21.75" customHeight="1">
      <c r="A2336" s="228"/>
      <c r="B2336" s="221"/>
      <c r="C2336" s="222">
        <v>104.0</v>
      </c>
      <c r="D2336" s="223" t="s">
        <v>507</v>
      </c>
      <c r="E2336" s="223" t="s">
        <v>508</v>
      </c>
      <c r="F2336" s="223" t="s">
        <v>509</v>
      </c>
      <c r="G2336" s="223" t="s">
        <v>510</v>
      </c>
      <c r="H2336" s="225" t="s">
        <v>2168</v>
      </c>
      <c r="I2336" s="208"/>
      <c r="J2336" s="210"/>
      <c r="K2336" s="210"/>
      <c r="L2336" s="210"/>
      <c r="M2336" s="210"/>
      <c r="N2336" s="210"/>
      <c r="O2336" s="210"/>
      <c r="P2336" s="210"/>
      <c r="Q2336" s="210"/>
      <c r="R2336" s="210"/>
      <c r="S2336" s="210"/>
      <c r="T2336" s="210"/>
      <c r="U2336" s="210"/>
      <c r="V2336" s="210"/>
      <c r="W2336" s="210"/>
      <c r="X2336" s="210"/>
      <c r="Y2336" s="210"/>
      <c r="Z2336" s="210"/>
    </row>
    <row r="2337" ht="21.75" customHeight="1">
      <c r="A2337" s="214">
        <v>44.0</v>
      </c>
      <c r="B2337" s="215" t="s">
        <v>2169</v>
      </c>
      <c r="C2337" s="216"/>
      <c r="D2337" s="217"/>
      <c r="E2337" s="217"/>
      <c r="F2337" s="217"/>
      <c r="G2337" s="217"/>
      <c r="H2337" s="217"/>
      <c r="I2337" s="208"/>
      <c r="J2337" s="210"/>
      <c r="K2337" s="210"/>
      <c r="L2337" s="210"/>
      <c r="M2337" s="210"/>
      <c r="N2337" s="210"/>
      <c r="O2337" s="210"/>
      <c r="P2337" s="210"/>
      <c r="Q2337" s="210"/>
      <c r="R2337" s="210"/>
      <c r="S2337" s="210"/>
      <c r="T2337" s="210"/>
      <c r="U2337" s="210"/>
      <c r="V2337" s="210"/>
      <c r="W2337" s="210"/>
      <c r="X2337" s="210"/>
      <c r="Y2337" s="210"/>
      <c r="Z2337" s="210"/>
    </row>
    <row r="2338" ht="21.75" customHeight="1">
      <c r="A2338" s="214"/>
      <c r="B2338" s="218" t="s">
        <v>2170</v>
      </c>
      <c r="C2338" s="219">
        <v>50131.0</v>
      </c>
      <c r="D2338" s="220"/>
      <c r="E2338" s="220"/>
      <c r="F2338" s="220"/>
      <c r="G2338" s="220"/>
      <c r="H2338" s="220"/>
      <c r="I2338" s="208"/>
      <c r="J2338" s="210"/>
      <c r="K2338" s="210"/>
      <c r="L2338" s="210"/>
      <c r="M2338" s="210"/>
      <c r="N2338" s="210"/>
      <c r="O2338" s="210"/>
      <c r="P2338" s="210"/>
      <c r="Q2338" s="210"/>
      <c r="R2338" s="210"/>
      <c r="S2338" s="210"/>
      <c r="T2338" s="210"/>
      <c r="U2338" s="210"/>
      <c r="V2338" s="210"/>
      <c r="W2338" s="210"/>
      <c r="X2338" s="210"/>
      <c r="Y2338" s="210"/>
      <c r="Z2338" s="210"/>
    </row>
    <row r="2339" ht="21.75" customHeight="1">
      <c r="A2339" s="214"/>
      <c r="B2339" s="221"/>
      <c r="C2339" s="222">
        <v>100.0</v>
      </c>
      <c r="D2339" s="223" t="s">
        <v>486</v>
      </c>
      <c r="E2339" s="223" t="s">
        <v>487</v>
      </c>
      <c r="F2339" s="223" t="s">
        <v>488</v>
      </c>
      <c r="G2339" s="223" t="s">
        <v>489</v>
      </c>
      <c r="H2339" s="224" t="s">
        <v>490</v>
      </c>
      <c r="I2339" s="208"/>
      <c r="J2339" s="210"/>
      <c r="K2339" s="210"/>
      <c r="L2339" s="210"/>
      <c r="M2339" s="210"/>
      <c r="N2339" s="210"/>
      <c r="O2339" s="210"/>
      <c r="P2339" s="210"/>
      <c r="Q2339" s="210"/>
      <c r="R2339" s="210"/>
      <c r="S2339" s="210"/>
      <c r="T2339" s="210"/>
      <c r="U2339" s="210"/>
      <c r="V2339" s="210"/>
      <c r="W2339" s="210"/>
      <c r="X2339" s="210"/>
      <c r="Y2339" s="210"/>
      <c r="Z2339" s="210"/>
    </row>
    <row r="2340" ht="21.75" customHeight="1">
      <c r="A2340" s="214"/>
      <c r="B2340" s="221"/>
      <c r="C2340" s="222">
        <v>101.0</v>
      </c>
      <c r="D2340" s="223" t="s">
        <v>491</v>
      </c>
      <c r="E2340" s="223" t="s">
        <v>487</v>
      </c>
      <c r="F2340" s="223" t="s">
        <v>492</v>
      </c>
      <c r="G2340" s="223" t="s">
        <v>678</v>
      </c>
      <c r="H2340" s="225" t="s">
        <v>2171</v>
      </c>
      <c r="I2340" s="208"/>
      <c r="J2340" s="210"/>
      <c r="K2340" s="210"/>
      <c r="L2340" s="210"/>
      <c r="M2340" s="210"/>
      <c r="N2340" s="210"/>
      <c r="O2340" s="210"/>
      <c r="P2340" s="210"/>
      <c r="Q2340" s="210"/>
      <c r="R2340" s="210"/>
      <c r="S2340" s="210"/>
      <c r="T2340" s="210"/>
      <c r="U2340" s="210"/>
      <c r="V2340" s="210"/>
      <c r="W2340" s="210"/>
      <c r="X2340" s="210"/>
      <c r="Y2340" s="210"/>
      <c r="Z2340" s="210"/>
    </row>
    <row r="2341" ht="21.75" customHeight="1">
      <c r="A2341" s="214"/>
      <c r="B2341" s="221"/>
      <c r="C2341" s="222">
        <v>102.0</v>
      </c>
      <c r="D2341" s="223" t="s">
        <v>2172</v>
      </c>
      <c r="E2341" s="223" t="s">
        <v>487</v>
      </c>
      <c r="F2341" s="223" t="s">
        <v>500</v>
      </c>
      <c r="G2341" s="223" t="s">
        <v>493</v>
      </c>
      <c r="H2341" s="224" t="s">
        <v>490</v>
      </c>
      <c r="I2341" s="208"/>
      <c r="J2341" s="210"/>
      <c r="K2341" s="210"/>
      <c r="L2341" s="210"/>
      <c r="M2341" s="210"/>
      <c r="N2341" s="210"/>
      <c r="O2341" s="210"/>
      <c r="P2341" s="210"/>
      <c r="Q2341" s="210"/>
      <c r="R2341" s="210"/>
      <c r="S2341" s="210"/>
      <c r="T2341" s="210"/>
      <c r="U2341" s="210"/>
      <c r="V2341" s="210"/>
      <c r="W2341" s="210"/>
      <c r="X2341" s="210"/>
      <c r="Y2341" s="210"/>
      <c r="Z2341" s="210"/>
    </row>
    <row r="2342" ht="21.75" customHeight="1">
      <c r="A2342" s="214"/>
      <c r="B2342" s="221"/>
      <c r="C2342" s="222">
        <v>103.0</v>
      </c>
      <c r="D2342" s="223" t="s">
        <v>727</v>
      </c>
      <c r="E2342" s="223" t="s">
        <v>487</v>
      </c>
      <c r="F2342" s="223" t="s">
        <v>512</v>
      </c>
      <c r="G2342" s="223" t="s">
        <v>497</v>
      </c>
      <c r="H2342" s="224" t="s">
        <v>490</v>
      </c>
      <c r="I2342" s="208"/>
      <c r="J2342" s="210"/>
      <c r="K2342" s="210"/>
      <c r="L2342" s="210"/>
      <c r="M2342" s="210"/>
      <c r="N2342" s="210"/>
      <c r="O2342" s="210"/>
      <c r="P2342" s="210"/>
      <c r="Q2342" s="210"/>
      <c r="R2342" s="210"/>
      <c r="S2342" s="210"/>
      <c r="T2342" s="210"/>
      <c r="U2342" s="210"/>
      <c r="V2342" s="210"/>
      <c r="W2342" s="210"/>
      <c r="X2342" s="210"/>
      <c r="Y2342" s="210"/>
      <c r="Z2342" s="210"/>
    </row>
    <row r="2343" ht="21.75" customHeight="1">
      <c r="A2343" s="214"/>
      <c r="B2343" s="221"/>
      <c r="C2343" s="222">
        <v>104.0</v>
      </c>
      <c r="D2343" s="223" t="s">
        <v>837</v>
      </c>
      <c r="E2343" s="223" t="s">
        <v>529</v>
      </c>
      <c r="F2343" s="223" t="s">
        <v>530</v>
      </c>
      <c r="G2343" s="218" t="s">
        <v>490</v>
      </c>
      <c r="H2343" s="225" t="s">
        <v>2173</v>
      </c>
      <c r="I2343" s="208"/>
      <c r="J2343" s="210"/>
      <c r="K2343" s="210"/>
      <c r="L2343" s="210"/>
      <c r="M2343" s="210"/>
      <c r="N2343" s="210"/>
      <c r="O2343" s="210"/>
      <c r="P2343" s="210"/>
      <c r="Q2343" s="210"/>
      <c r="R2343" s="210"/>
      <c r="S2343" s="210"/>
      <c r="T2343" s="210"/>
      <c r="U2343" s="210"/>
      <c r="V2343" s="210"/>
      <c r="W2343" s="210"/>
      <c r="X2343" s="210"/>
      <c r="Y2343" s="210"/>
      <c r="Z2343" s="210"/>
    </row>
    <row r="2344" ht="21.75" customHeight="1">
      <c r="A2344" s="214"/>
      <c r="B2344" s="221"/>
      <c r="C2344" s="222">
        <v>105.0</v>
      </c>
      <c r="D2344" s="223" t="s">
        <v>507</v>
      </c>
      <c r="E2344" s="223" t="s">
        <v>539</v>
      </c>
      <c r="F2344" s="223" t="s">
        <v>509</v>
      </c>
      <c r="G2344" s="223" t="s">
        <v>513</v>
      </c>
      <c r="H2344" s="224" t="s">
        <v>490</v>
      </c>
      <c r="I2344" s="208"/>
      <c r="J2344" s="210"/>
      <c r="K2344" s="210"/>
      <c r="L2344" s="210"/>
      <c r="M2344" s="210"/>
      <c r="N2344" s="210"/>
      <c r="O2344" s="210"/>
      <c r="P2344" s="210"/>
      <c r="Q2344" s="210"/>
      <c r="R2344" s="210"/>
      <c r="S2344" s="210"/>
      <c r="T2344" s="210"/>
      <c r="U2344" s="210"/>
      <c r="V2344" s="210"/>
      <c r="W2344" s="210"/>
      <c r="X2344" s="210"/>
      <c r="Y2344" s="210"/>
      <c r="Z2344" s="210"/>
    </row>
    <row r="2345" ht="21.75" customHeight="1">
      <c r="A2345" s="214"/>
      <c r="B2345" s="221"/>
      <c r="C2345" s="222">
        <v>106.0</v>
      </c>
      <c r="D2345" s="223" t="s">
        <v>541</v>
      </c>
      <c r="E2345" s="223" t="s">
        <v>508</v>
      </c>
      <c r="F2345" s="223" t="s">
        <v>542</v>
      </c>
      <c r="G2345" s="223" t="s">
        <v>510</v>
      </c>
      <c r="H2345" s="225" t="s">
        <v>2174</v>
      </c>
      <c r="I2345" s="208"/>
      <c r="J2345" s="210"/>
      <c r="K2345" s="210"/>
      <c r="L2345" s="210"/>
      <c r="M2345" s="210"/>
      <c r="N2345" s="210"/>
      <c r="O2345" s="210"/>
      <c r="P2345" s="210"/>
      <c r="Q2345" s="210"/>
      <c r="R2345" s="210"/>
      <c r="S2345" s="210"/>
      <c r="T2345" s="210"/>
      <c r="U2345" s="210"/>
      <c r="V2345" s="210"/>
      <c r="W2345" s="210"/>
      <c r="X2345" s="210"/>
      <c r="Y2345" s="210"/>
      <c r="Z2345" s="210"/>
    </row>
    <row r="2346" ht="21.75" customHeight="1">
      <c r="A2346" s="228"/>
      <c r="B2346" s="221"/>
      <c r="C2346" s="222">
        <v>107.0</v>
      </c>
      <c r="D2346" s="223" t="s">
        <v>837</v>
      </c>
      <c r="E2346" s="223" t="s">
        <v>487</v>
      </c>
      <c r="F2346" s="223" t="s">
        <v>826</v>
      </c>
      <c r="G2346" s="223" t="s">
        <v>501</v>
      </c>
      <c r="H2346" s="224" t="s">
        <v>490</v>
      </c>
      <c r="I2346" s="208"/>
      <c r="J2346" s="210"/>
      <c r="K2346" s="210"/>
      <c r="L2346" s="210"/>
      <c r="M2346" s="210"/>
      <c r="N2346" s="210"/>
      <c r="O2346" s="210"/>
      <c r="P2346" s="210"/>
      <c r="Q2346" s="210"/>
      <c r="R2346" s="210"/>
      <c r="S2346" s="210"/>
      <c r="T2346" s="210"/>
      <c r="U2346" s="210"/>
      <c r="V2346" s="210"/>
      <c r="W2346" s="210"/>
      <c r="X2346" s="210"/>
      <c r="Y2346" s="210"/>
      <c r="Z2346" s="210"/>
    </row>
    <row r="2347" ht="21.75" customHeight="1">
      <c r="A2347" s="214">
        <v>5.0</v>
      </c>
      <c r="B2347" s="215" t="s">
        <v>2175</v>
      </c>
      <c r="C2347" s="216"/>
      <c r="D2347" s="217"/>
      <c r="E2347" s="217"/>
      <c r="F2347" s="217"/>
      <c r="G2347" s="217"/>
      <c r="H2347" s="217"/>
      <c r="I2347" s="208"/>
      <c r="J2347" s="210"/>
      <c r="K2347" s="210"/>
      <c r="L2347" s="210"/>
      <c r="M2347" s="210"/>
      <c r="N2347" s="210"/>
      <c r="O2347" s="210"/>
      <c r="P2347" s="210"/>
      <c r="Q2347" s="210"/>
      <c r="R2347" s="210"/>
      <c r="S2347" s="210"/>
      <c r="T2347" s="210"/>
      <c r="U2347" s="210"/>
      <c r="V2347" s="210"/>
      <c r="W2347" s="210"/>
      <c r="X2347" s="210"/>
      <c r="Y2347" s="210"/>
      <c r="Z2347" s="210"/>
    </row>
    <row r="2348" ht="21.75" customHeight="1">
      <c r="A2348" s="214"/>
      <c r="B2348" s="218" t="s">
        <v>2176</v>
      </c>
      <c r="C2348" s="219">
        <v>50787.0</v>
      </c>
      <c r="D2348" s="220"/>
      <c r="E2348" s="220"/>
      <c r="F2348" s="220"/>
      <c r="G2348" s="220"/>
      <c r="H2348" s="220"/>
      <c r="I2348" s="208"/>
      <c r="J2348" s="210"/>
      <c r="K2348" s="210"/>
      <c r="L2348" s="210"/>
      <c r="M2348" s="210"/>
      <c r="N2348" s="210"/>
      <c r="O2348" s="210"/>
      <c r="P2348" s="210"/>
      <c r="Q2348" s="210"/>
      <c r="R2348" s="210"/>
      <c r="S2348" s="210"/>
      <c r="T2348" s="210"/>
      <c r="U2348" s="210"/>
      <c r="V2348" s="210"/>
      <c r="W2348" s="210"/>
      <c r="X2348" s="210"/>
      <c r="Y2348" s="210"/>
      <c r="Z2348" s="210"/>
    </row>
    <row r="2349" ht="21.75" customHeight="1">
      <c r="A2349" s="214"/>
      <c r="B2349" s="221"/>
      <c r="C2349" s="222">
        <v>100.0</v>
      </c>
      <c r="D2349" s="223" t="s">
        <v>486</v>
      </c>
      <c r="E2349" s="223" t="s">
        <v>487</v>
      </c>
      <c r="F2349" s="223" t="s">
        <v>488</v>
      </c>
      <c r="G2349" s="223" t="s">
        <v>489</v>
      </c>
      <c r="H2349" s="224" t="s">
        <v>490</v>
      </c>
      <c r="I2349" s="208"/>
      <c r="J2349" s="210"/>
      <c r="K2349" s="210"/>
      <c r="L2349" s="210"/>
      <c r="M2349" s="210"/>
      <c r="N2349" s="210"/>
      <c r="O2349" s="210"/>
      <c r="P2349" s="210"/>
      <c r="Q2349" s="210"/>
      <c r="R2349" s="210"/>
      <c r="S2349" s="210"/>
      <c r="T2349" s="210"/>
      <c r="U2349" s="210"/>
      <c r="V2349" s="210"/>
      <c r="W2349" s="210"/>
      <c r="X2349" s="210"/>
      <c r="Y2349" s="210"/>
      <c r="Z2349" s="210"/>
    </row>
    <row r="2350" ht="21.75" customHeight="1">
      <c r="A2350" s="214"/>
      <c r="B2350" s="221"/>
      <c r="C2350" s="222">
        <v>101.0</v>
      </c>
      <c r="D2350" s="223" t="s">
        <v>491</v>
      </c>
      <c r="E2350" s="223" t="s">
        <v>487</v>
      </c>
      <c r="F2350" s="223" t="s">
        <v>579</v>
      </c>
      <c r="G2350" s="223" t="s">
        <v>678</v>
      </c>
      <c r="H2350" s="225" t="s">
        <v>2177</v>
      </c>
      <c r="I2350" s="208"/>
      <c r="J2350" s="210"/>
      <c r="K2350" s="210"/>
      <c r="L2350" s="210"/>
      <c r="M2350" s="210"/>
      <c r="N2350" s="210"/>
      <c r="O2350" s="210"/>
      <c r="P2350" s="210"/>
      <c r="Q2350" s="210"/>
      <c r="R2350" s="210"/>
      <c r="S2350" s="210"/>
      <c r="T2350" s="210"/>
      <c r="U2350" s="210"/>
      <c r="V2350" s="210"/>
      <c r="W2350" s="210"/>
      <c r="X2350" s="210"/>
      <c r="Y2350" s="210"/>
      <c r="Z2350" s="210"/>
    </row>
    <row r="2351" ht="21.75" customHeight="1">
      <c r="A2351" s="214"/>
      <c r="B2351" s="221"/>
      <c r="C2351" s="222">
        <v>102.0</v>
      </c>
      <c r="D2351" s="223" t="s">
        <v>1350</v>
      </c>
      <c r="E2351" s="223" t="s">
        <v>487</v>
      </c>
      <c r="F2351" s="223" t="s">
        <v>492</v>
      </c>
      <c r="G2351" s="223" t="s">
        <v>497</v>
      </c>
      <c r="H2351" s="224" t="s">
        <v>490</v>
      </c>
      <c r="I2351" s="208"/>
      <c r="J2351" s="210"/>
      <c r="K2351" s="210"/>
      <c r="L2351" s="210"/>
      <c r="M2351" s="210"/>
      <c r="N2351" s="210"/>
      <c r="O2351" s="210"/>
      <c r="P2351" s="210"/>
      <c r="Q2351" s="210"/>
      <c r="R2351" s="210"/>
      <c r="S2351" s="210"/>
      <c r="T2351" s="210"/>
      <c r="U2351" s="210"/>
      <c r="V2351" s="210"/>
      <c r="W2351" s="210"/>
      <c r="X2351" s="210"/>
      <c r="Y2351" s="210"/>
      <c r="Z2351" s="210"/>
    </row>
    <row r="2352" ht="21.75" customHeight="1">
      <c r="A2352" s="214"/>
      <c r="B2352" s="221"/>
      <c r="C2352" s="222">
        <v>103.0</v>
      </c>
      <c r="D2352" s="223" t="s">
        <v>519</v>
      </c>
      <c r="E2352" s="223" t="s">
        <v>508</v>
      </c>
      <c r="F2352" s="223" t="s">
        <v>509</v>
      </c>
      <c r="G2352" s="223" t="s">
        <v>510</v>
      </c>
      <c r="H2352" s="225" t="s">
        <v>2178</v>
      </c>
      <c r="I2352" s="208"/>
      <c r="J2352" s="210"/>
      <c r="K2352" s="210"/>
      <c r="L2352" s="210"/>
      <c r="M2352" s="210"/>
      <c r="N2352" s="210"/>
      <c r="O2352" s="210"/>
      <c r="P2352" s="210"/>
      <c r="Q2352" s="210"/>
      <c r="R2352" s="210"/>
      <c r="S2352" s="210"/>
      <c r="T2352" s="210"/>
      <c r="U2352" s="210"/>
      <c r="V2352" s="210"/>
      <c r="W2352" s="210"/>
      <c r="X2352" s="210"/>
      <c r="Y2352" s="210"/>
      <c r="Z2352" s="210"/>
    </row>
    <row r="2353" ht="21.75" customHeight="1">
      <c r="A2353" s="214"/>
      <c r="B2353" s="221"/>
      <c r="C2353" s="222">
        <v>200.0</v>
      </c>
      <c r="D2353" s="223" t="s">
        <v>1648</v>
      </c>
      <c r="E2353" s="223" t="s">
        <v>487</v>
      </c>
      <c r="F2353" s="223" t="s">
        <v>496</v>
      </c>
      <c r="G2353" s="218" t="s">
        <v>490</v>
      </c>
      <c r="H2353" s="224" t="s">
        <v>490</v>
      </c>
      <c r="I2353" s="208"/>
      <c r="J2353" s="210"/>
      <c r="K2353" s="210"/>
      <c r="L2353" s="210"/>
      <c r="M2353" s="210"/>
      <c r="N2353" s="210"/>
      <c r="O2353" s="210"/>
      <c r="P2353" s="210"/>
      <c r="Q2353" s="210"/>
      <c r="R2353" s="210"/>
      <c r="S2353" s="210"/>
      <c r="T2353" s="210"/>
      <c r="U2353" s="210"/>
      <c r="V2353" s="210"/>
      <c r="W2353" s="210"/>
      <c r="X2353" s="210"/>
      <c r="Y2353" s="210"/>
      <c r="Z2353" s="210"/>
    </row>
    <row r="2354" ht="21.75" customHeight="1">
      <c r="A2354" s="214"/>
      <c r="B2354" s="221"/>
      <c r="C2354" s="222">
        <v>201.0</v>
      </c>
      <c r="D2354" s="223" t="s">
        <v>1649</v>
      </c>
      <c r="E2354" s="223" t="s">
        <v>487</v>
      </c>
      <c r="F2354" s="223" t="s">
        <v>500</v>
      </c>
      <c r="G2354" s="218" t="s">
        <v>490</v>
      </c>
      <c r="H2354" s="224" t="s">
        <v>490</v>
      </c>
      <c r="I2354" s="208"/>
      <c r="J2354" s="210"/>
      <c r="K2354" s="210"/>
      <c r="L2354" s="210"/>
      <c r="M2354" s="210"/>
      <c r="N2354" s="210"/>
      <c r="O2354" s="210"/>
      <c r="P2354" s="210"/>
      <c r="Q2354" s="210"/>
      <c r="R2354" s="210"/>
      <c r="S2354" s="210"/>
      <c r="T2354" s="210"/>
      <c r="U2354" s="210"/>
      <c r="V2354" s="210"/>
      <c r="W2354" s="210"/>
      <c r="X2354" s="210"/>
      <c r="Y2354" s="210"/>
      <c r="Z2354" s="210"/>
    </row>
    <row r="2355" ht="21.75" customHeight="1">
      <c r="A2355" s="214"/>
      <c r="B2355" s="221"/>
      <c r="C2355" s="222">
        <v>202.0</v>
      </c>
      <c r="D2355" s="223" t="s">
        <v>1650</v>
      </c>
      <c r="E2355" s="223" t="s">
        <v>487</v>
      </c>
      <c r="F2355" s="223" t="s">
        <v>512</v>
      </c>
      <c r="G2355" s="218" t="s">
        <v>490</v>
      </c>
      <c r="H2355" s="224" t="s">
        <v>490</v>
      </c>
      <c r="I2355" s="208"/>
      <c r="J2355" s="210"/>
      <c r="K2355" s="210"/>
      <c r="L2355" s="210"/>
      <c r="M2355" s="210"/>
      <c r="N2355" s="210"/>
      <c r="O2355" s="210"/>
      <c r="P2355" s="210"/>
      <c r="Q2355" s="210"/>
      <c r="R2355" s="210"/>
      <c r="S2355" s="210"/>
      <c r="T2355" s="210"/>
      <c r="U2355" s="210"/>
      <c r="V2355" s="210"/>
      <c r="W2355" s="210"/>
      <c r="X2355" s="210"/>
      <c r="Y2355" s="210"/>
      <c r="Z2355" s="210"/>
    </row>
    <row r="2356" ht="21.75" customHeight="1">
      <c r="A2356" s="214"/>
      <c r="B2356" s="221"/>
      <c r="C2356" s="222">
        <v>203.0</v>
      </c>
      <c r="D2356" s="223" t="s">
        <v>1479</v>
      </c>
      <c r="E2356" s="223" t="s">
        <v>487</v>
      </c>
      <c r="F2356" s="223" t="s">
        <v>532</v>
      </c>
      <c r="G2356" s="218" t="s">
        <v>490</v>
      </c>
      <c r="H2356" s="224" t="s">
        <v>490</v>
      </c>
      <c r="I2356" s="208"/>
      <c r="J2356" s="210"/>
      <c r="K2356" s="210"/>
      <c r="L2356" s="210"/>
      <c r="M2356" s="210"/>
      <c r="N2356" s="210"/>
      <c r="O2356" s="210"/>
      <c r="P2356" s="210"/>
      <c r="Q2356" s="210"/>
      <c r="R2356" s="210"/>
      <c r="S2356" s="210"/>
      <c r="T2356" s="210"/>
      <c r="U2356" s="210"/>
      <c r="V2356" s="210"/>
      <c r="W2356" s="210"/>
      <c r="X2356" s="210"/>
      <c r="Y2356" s="210"/>
      <c r="Z2356" s="210"/>
    </row>
    <row r="2357" ht="21.75" customHeight="1">
      <c r="A2357" s="214"/>
      <c r="B2357" s="221"/>
      <c r="C2357" s="222">
        <v>204.0</v>
      </c>
      <c r="D2357" s="223" t="s">
        <v>1651</v>
      </c>
      <c r="E2357" s="223" t="s">
        <v>487</v>
      </c>
      <c r="F2357" s="223" t="s">
        <v>590</v>
      </c>
      <c r="G2357" s="218" t="s">
        <v>490</v>
      </c>
      <c r="H2357" s="224" t="s">
        <v>490</v>
      </c>
      <c r="I2357" s="208"/>
      <c r="J2357" s="210"/>
      <c r="K2357" s="210"/>
      <c r="L2357" s="210"/>
      <c r="M2357" s="210"/>
      <c r="N2357" s="210"/>
      <c r="O2357" s="210"/>
      <c r="P2357" s="210"/>
      <c r="Q2357" s="210"/>
      <c r="R2357" s="210"/>
      <c r="S2357" s="210"/>
      <c r="T2357" s="210"/>
      <c r="U2357" s="210"/>
      <c r="V2357" s="210"/>
      <c r="W2357" s="210"/>
      <c r="X2357" s="210"/>
      <c r="Y2357" s="210"/>
      <c r="Z2357" s="210"/>
    </row>
    <row r="2358" ht="21.75" customHeight="1">
      <c r="A2358" s="214"/>
      <c r="B2358" s="221"/>
      <c r="C2358" s="222">
        <v>205.0</v>
      </c>
      <c r="D2358" s="223" t="s">
        <v>1652</v>
      </c>
      <c r="E2358" s="223" t="s">
        <v>487</v>
      </c>
      <c r="F2358" s="223" t="s">
        <v>603</v>
      </c>
      <c r="G2358" s="218" t="s">
        <v>490</v>
      </c>
      <c r="H2358" s="224" t="s">
        <v>490</v>
      </c>
      <c r="I2358" s="208"/>
      <c r="J2358" s="210"/>
      <c r="K2358" s="210"/>
      <c r="L2358" s="210"/>
      <c r="M2358" s="210"/>
      <c r="N2358" s="210"/>
      <c r="O2358" s="210"/>
      <c r="P2358" s="210"/>
      <c r="Q2358" s="210"/>
      <c r="R2358" s="210"/>
      <c r="S2358" s="210"/>
      <c r="T2358" s="210"/>
      <c r="U2358" s="210"/>
      <c r="V2358" s="210"/>
      <c r="W2358" s="210"/>
      <c r="X2358" s="210"/>
      <c r="Y2358" s="210"/>
      <c r="Z2358" s="210"/>
    </row>
    <row r="2359" ht="21.75" customHeight="1">
      <c r="A2359" s="214"/>
      <c r="B2359" s="221"/>
      <c r="C2359" s="222">
        <v>206.0</v>
      </c>
      <c r="D2359" s="223" t="s">
        <v>1653</v>
      </c>
      <c r="E2359" s="223" t="s">
        <v>529</v>
      </c>
      <c r="F2359" s="223" t="s">
        <v>530</v>
      </c>
      <c r="G2359" s="218" t="s">
        <v>490</v>
      </c>
      <c r="H2359" s="224" t="s">
        <v>490</v>
      </c>
      <c r="I2359" s="208"/>
      <c r="J2359" s="210"/>
      <c r="K2359" s="210"/>
      <c r="L2359" s="210"/>
      <c r="M2359" s="210"/>
      <c r="N2359" s="210"/>
      <c r="O2359" s="210"/>
      <c r="P2359" s="210"/>
      <c r="Q2359" s="210"/>
      <c r="R2359" s="210"/>
      <c r="S2359" s="210"/>
      <c r="T2359" s="210"/>
      <c r="U2359" s="210"/>
      <c r="V2359" s="210"/>
      <c r="W2359" s="210"/>
      <c r="X2359" s="210"/>
      <c r="Y2359" s="210"/>
      <c r="Z2359" s="210"/>
    </row>
    <row r="2360" ht="21.75" customHeight="1">
      <c r="A2360" s="214"/>
      <c r="B2360" s="217"/>
      <c r="C2360" s="222">
        <v>300.0</v>
      </c>
      <c r="D2360" s="215" t="s">
        <v>696</v>
      </c>
      <c r="E2360" s="215" t="s">
        <v>673</v>
      </c>
      <c r="F2360" s="215" t="s">
        <v>696</v>
      </c>
      <c r="G2360" s="234" t="s">
        <v>490</v>
      </c>
      <c r="H2360" s="224" t="s">
        <v>490</v>
      </c>
      <c r="I2360" s="208"/>
      <c r="J2360" s="210"/>
      <c r="K2360" s="210"/>
      <c r="L2360" s="210"/>
      <c r="M2360" s="210"/>
      <c r="N2360" s="210"/>
      <c r="O2360" s="210"/>
      <c r="P2360" s="210"/>
      <c r="Q2360" s="210"/>
      <c r="R2360" s="210"/>
      <c r="S2360" s="210"/>
      <c r="T2360" s="210"/>
      <c r="U2360" s="210"/>
      <c r="V2360" s="210"/>
      <c r="W2360" s="210"/>
      <c r="X2360" s="210"/>
      <c r="Y2360" s="210"/>
      <c r="Z2360" s="210"/>
    </row>
    <row r="2361" ht="21.75" customHeight="1">
      <c r="A2361" s="214"/>
      <c r="B2361" s="218" t="s">
        <v>2179</v>
      </c>
      <c r="C2361" s="226">
        <v>50786.0</v>
      </c>
      <c r="D2361" s="220"/>
      <c r="E2361" s="220"/>
      <c r="F2361" s="220"/>
      <c r="G2361" s="220"/>
      <c r="H2361" s="221"/>
      <c r="I2361" s="208"/>
      <c r="J2361" s="210"/>
      <c r="K2361" s="210"/>
      <c r="L2361" s="210"/>
      <c r="M2361" s="210"/>
      <c r="N2361" s="210"/>
      <c r="O2361" s="210"/>
      <c r="P2361" s="210"/>
      <c r="Q2361" s="210"/>
      <c r="R2361" s="210"/>
      <c r="S2361" s="210"/>
      <c r="T2361" s="210"/>
      <c r="U2361" s="210"/>
      <c r="V2361" s="210"/>
      <c r="W2361" s="210"/>
      <c r="X2361" s="210"/>
      <c r="Y2361" s="210"/>
      <c r="Z2361" s="210"/>
    </row>
    <row r="2362" ht="21.75" customHeight="1">
      <c r="A2362" s="214"/>
      <c r="B2362" s="221"/>
      <c r="C2362" s="222">
        <v>100.0</v>
      </c>
      <c r="D2362" s="223" t="s">
        <v>486</v>
      </c>
      <c r="E2362" s="223" t="s">
        <v>487</v>
      </c>
      <c r="F2362" s="223" t="s">
        <v>488</v>
      </c>
      <c r="G2362" s="223" t="s">
        <v>489</v>
      </c>
      <c r="H2362" s="224" t="s">
        <v>490</v>
      </c>
      <c r="I2362" s="208"/>
      <c r="J2362" s="210"/>
      <c r="K2362" s="210"/>
      <c r="L2362" s="210"/>
      <c r="M2362" s="210"/>
      <c r="N2362" s="210"/>
      <c r="O2362" s="210"/>
      <c r="P2362" s="210"/>
      <c r="Q2362" s="210"/>
      <c r="R2362" s="210"/>
      <c r="S2362" s="210"/>
      <c r="T2362" s="210"/>
      <c r="U2362" s="210"/>
      <c r="V2362" s="210"/>
      <c r="W2362" s="210"/>
      <c r="X2362" s="210"/>
      <c r="Y2362" s="210"/>
      <c r="Z2362" s="210"/>
    </row>
    <row r="2363" ht="21.75" customHeight="1">
      <c r="A2363" s="214"/>
      <c r="B2363" s="221"/>
      <c r="C2363" s="222">
        <v>101.0</v>
      </c>
      <c r="D2363" s="223" t="s">
        <v>1350</v>
      </c>
      <c r="E2363" s="223" t="s">
        <v>487</v>
      </c>
      <c r="F2363" s="223" t="s">
        <v>492</v>
      </c>
      <c r="G2363" s="223" t="s">
        <v>497</v>
      </c>
      <c r="H2363" s="225" t="s">
        <v>2180</v>
      </c>
      <c r="I2363" s="208"/>
      <c r="J2363" s="210"/>
      <c r="K2363" s="210"/>
      <c r="L2363" s="210"/>
      <c r="M2363" s="210"/>
      <c r="N2363" s="210"/>
      <c r="O2363" s="210"/>
      <c r="P2363" s="210"/>
      <c r="Q2363" s="210"/>
      <c r="R2363" s="210"/>
      <c r="S2363" s="210"/>
      <c r="T2363" s="210"/>
      <c r="U2363" s="210"/>
      <c r="V2363" s="210"/>
      <c r="W2363" s="210"/>
      <c r="X2363" s="210"/>
      <c r="Y2363" s="210"/>
      <c r="Z2363" s="210"/>
    </row>
    <row r="2364" ht="21.75" customHeight="1">
      <c r="A2364" s="214"/>
      <c r="B2364" s="221"/>
      <c r="C2364" s="222">
        <v>102.0</v>
      </c>
      <c r="D2364" s="223" t="s">
        <v>541</v>
      </c>
      <c r="E2364" s="223" t="s">
        <v>508</v>
      </c>
      <c r="F2364" s="223" t="s">
        <v>509</v>
      </c>
      <c r="G2364" s="223" t="s">
        <v>510</v>
      </c>
      <c r="H2364" s="225" t="s">
        <v>2181</v>
      </c>
      <c r="I2364" s="208"/>
      <c r="J2364" s="210"/>
      <c r="K2364" s="210"/>
      <c r="L2364" s="210"/>
      <c r="M2364" s="210"/>
      <c r="N2364" s="210"/>
      <c r="O2364" s="210"/>
      <c r="P2364" s="210"/>
      <c r="Q2364" s="210"/>
      <c r="R2364" s="210"/>
      <c r="S2364" s="210"/>
      <c r="T2364" s="210"/>
      <c r="U2364" s="210"/>
      <c r="V2364" s="210"/>
      <c r="W2364" s="210"/>
      <c r="X2364" s="210"/>
      <c r="Y2364" s="210"/>
      <c r="Z2364" s="210"/>
    </row>
    <row r="2365" ht="21.75" customHeight="1">
      <c r="A2365" s="214"/>
      <c r="B2365" s="221"/>
      <c r="C2365" s="222">
        <v>200.0</v>
      </c>
      <c r="D2365" s="223" t="s">
        <v>1648</v>
      </c>
      <c r="E2365" s="223" t="s">
        <v>487</v>
      </c>
      <c r="F2365" s="223" t="s">
        <v>496</v>
      </c>
      <c r="G2365" s="218" t="s">
        <v>490</v>
      </c>
      <c r="H2365" s="224" t="s">
        <v>490</v>
      </c>
      <c r="I2365" s="208"/>
      <c r="J2365" s="210"/>
      <c r="K2365" s="210"/>
      <c r="L2365" s="210"/>
      <c r="M2365" s="210"/>
      <c r="N2365" s="210"/>
      <c r="O2365" s="210"/>
      <c r="P2365" s="210"/>
      <c r="Q2365" s="210"/>
      <c r="R2365" s="210"/>
      <c r="S2365" s="210"/>
      <c r="T2365" s="210"/>
      <c r="U2365" s="210"/>
      <c r="V2365" s="210"/>
      <c r="W2365" s="210"/>
      <c r="X2365" s="210"/>
      <c r="Y2365" s="210"/>
      <c r="Z2365" s="210"/>
    </row>
    <row r="2366" ht="21.75" customHeight="1">
      <c r="A2366" s="214"/>
      <c r="B2366" s="221"/>
      <c r="C2366" s="222">
        <v>201.0</v>
      </c>
      <c r="D2366" s="223" t="s">
        <v>1649</v>
      </c>
      <c r="E2366" s="223" t="s">
        <v>487</v>
      </c>
      <c r="F2366" s="223" t="s">
        <v>500</v>
      </c>
      <c r="G2366" s="218" t="s">
        <v>490</v>
      </c>
      <c r="H2366" s="224" t="s">
        <v>490</v>
      </c>
      <c r="I2366" s="208"/>
      <c r="J2366" s="210"/>
      <c r="K2366" s="210"/>
      <c r="L2366" s="210"/>
      <c r="M2366" s="210"/>
      <c r="N2366" s="210"/>
      <c r="O2366" s="210"/>
      <c r="P2366" s="210"/>
      <c r="Q2366" s="210"/>
      <c r="R2366" s="210"/>
      <c r="S2366" s="210"/>
      <c r="T2366" s="210"/>
      <c r="U2366" s="210"/>
      <c r="V2366" s="210"/>
      <c r="W2366" s="210"/>
      <c r="X2366" s="210"/>
      <c r="Y2366" s="210"/>
      <c r="Z2366" s="210"/>
    </row>
    <row r="2367" ht="21.75" customHeight="1">
      <c r="A2367" s="214"/>
      <c r="B2367" s="221"/>
      <c r="C2367" s="222">
        <v>202.0</v>
      </c>
      <c r="D2367" s="223" t="s">
        <v>1650</v>
      </c>
      <c r="E2367" s="223" t="s">
        <v>487</v>
      </c>
      <c r="F2367" s="223" t="s">
        <v>512</v>
      </c>
      <c r="G2367" s="218" t="s">
        <v>490</v>
      </c>
      <c r="H2367" s="224" t="s">
        <v>490</v>
      </c>
      <c r="I2367" s="208"/>
      <c r="J2367" s="210"/>
      <c r="K2367" s="210"/>
      <c r="L2367" s="210"/>
      <c r="M2367" s="210"/>
      <c r="N2367" s="210"/>
      <c r="O2367" s="210"/>
      <c r="P2367" s="210"/>
      <c r="Q2367" s="210"/>
      <c r="R2367" s="210"/>
      <c r="S2367" s="210"/>
      <c r="T2367" s="210"/>
      <c r="U2367" s="210"/>
      <c r="V2367" s="210"/>
      <c r="W2367" s="210"/>
      <c r="X2367" s="210"/>
      <c r="Y2367" s="210"/>
      <c r="Z2367" s="210"/>
    </row>
    <row r="2368" ht="21.75" customHeight="1">
      <c r="A2368" s="214"/>
      <c r="B2368" s="221"/>
      <c r="C2368" s="222">
        <v>203.0</v>
      </c>
      <c r="D2368" s="223" t="s">
        <v>1479</v>
      </c>
      <c r="E2368" s="223" t="s">
        <v>487</v>
      </c>
      <c r="F2368" s="223" t="s">
        <v>532</v>
      </c>
      <c r="G2368" s="218" t="s">
        <v>490</v>
      </c>
      <c r="H2368" s="224" t="s">
        <v>490</v>
      </c>
      <c r="I2368" s="208"/>
      <c r="J2368" s="210"/>
      <c r="K2368" s="210"/>
      <c r="L2368" s="210"/>
      <c r="M2368" s="210"/>
      <c r="N2368" s="210"/>
      <c r="O2368" s="210"/>
      <c r="P2368" s="210"/>
      <c r="Q2368" s="210"/>
      <c r="R2368" s="210"/>
      <c r="S2368" s="210"/>
      <c r="T2368" s="210"/>
      <c r="U2368" s="210"/>
      <c r="V2368" s="210"/>
      <c r="W2368" s="210"/>
      <c r="X2368" s="210"/>
      <c r="Y2368" s="210"/>
      <c r="Z2368" s="210"/>
    </row>
    <row r="2369" ht="21.75" customHeight="1">
      <c r="A2369" s="214"/>
      <c r="B2369" s="221"/>
      <c r="C2369" s="222">
        <v>204.0</v>
      </c>
      <c r="D2369" s="223" t="s">
        <v>1651</v>
      </c>
      <c r="E2369" s="223" t="s">
        <v>487</v>
      </c>
      <c r="F2369" s="223" t="s">
        <v>590</v>
      </c>
      <c r="G2369" s="218" t="s">
        <v>490</v>
      </c>
      <c r="H2369" s="224" t="s">
        <v>490</v>
      </c>
      <c r="I2369" s="208"/>
      <c r="J2369" s="210"/>
      <c r="K2369" s="210"/>
      <c r="L2369" s="210"/>
      <c r="M2369" s="210"/>
      <c r="N2369" s="210"/>
      <c r="O2369" s="210"/>
      <c r="P2369" s="210"/>
      <c r="Q2369" s="210"/>
      <c r="R2369" s="210"/>
      <c r="S2369" s="210"/>
      <c r="T2369" s="210"/>
      <c r="U2369" s="210"/>
      <c r="V2369" s="210"/>
      <c r="W2369" s="210"/>
      <c r="X2369" s="210"/>
      <c r="Y2369" s="210"/>
      <c r="Z2369" s="210"/>
    </row>
    <row r="2370" ht="21.75" customHeight="1">
      <c r="A2370" s="214"/>
      <c r="B2370" s="221"/>
      <c r="C2370" s="222">
        <v>205.0</v>
      </c>
      <c r="D2370" s="223" t="s">
        <v>1652</v>
      </c>
      <c r="E2370" s="223" t="s">
        <v>487</v>
      </c>
      <c r="F2370" s="223" t="s">
        <v>603</v>
      </c>
      <c r="G2370" s="218" t="s">
        <v>490</v>
      </c>
      <c r="H2370" s="224" t="s">
        <v>490</v>
      </c>
      <c r="I2370" s="208"/>
      <c r="J2370" s="210"/>
      <c r="K2370" s="210"/>
      <c r="L2370" s="210"/>
      <c r="M2370" s="210"/>
      <c r="N2370" s="210"/>
      <c r="O2370" s="210"/>
      <c r="P2370" s="210"/>
      <c r="Q2370" s="210"/>
      <c r="R2370" s="210"/>
      <c r="S2370" s="210"/>
      <c r="T2370" s="210"/>
      <c r="U2370" s="210"/>
      <c r="V2370" s="210"/>
      <c r="W2370" s="210"/>
      <c r="X2370" s="210"/>
      <c r="Y2370" s="210"/>
      <c r="Z2370" s="210"/>
    </row>
    <row r="2371" ht="21.75" customHeight="1">
      <c r="A2371" s="214"/>
      <c r="B2371" s="221"/>
      <c r="C2371" s="222">
        <v>206.0</v>
      </c>
      <c r="D2371" s="223" t="s">
        <v>1653</v>
      </c>
      <c r="E2371" s="223" t="s">
        <v>529</v>
      </c>
      <c r="F2371" s="223" t="s">
        <v>530</v>
      </c>
      <c r="G2371" s="218" t="s">
        <v>490</v>
      </c>
      <c r="H2371" s="224" t="s">
        <v>490</v>
      </c>
      <c r="I2371" s="208"/>
      <c r="J2371" s="210"/>
      <c r="K2371" s="210"/>
      <c r="L2371" s="210"/>
      <c r="M2371" s="210"/>
      <c r="N2371" s="210"/>
      <c r="O2371" s="210"/>
      <c r="P2371" s="210"/>
      <c r="Q2371" s="210"/>
      <c r="R2371" s="210"/>
      <c r="S2371" s="210"/>
      <c r="T2371" s="210"/>
      <c r="U2371" s="210"/>
      <c r="V2371" s="210"/>
      <c r="W2371" s="210"/>
      <c r="X2371" s="210"/>
      <c r="Y2371" s="210"/>
      <c r="Z2371" s="210"/>
    </row>
    <row r="2372" ht="21.75" customHeight="1">
      <c r="A2372" s="214"/>
      <c r="B2372" s="221"/>
      <c r="C2372" s="222">
        <v>207.0</v>
      </c>
      <c r="D2372" s="223" t="s">
        <v>240</v>
      </c>
      <c r="E2372" s="223" t="s">
        <v>487</v>
      </c>
      <c r="F2372" s="223" t="s">
        <v>579</v>
      </c>
      <c r="G2372" s="218" t="s">
        <v>490</v>
      </c>
      <c r="H2372" s="224" t="s">
        <v>490</v>
      </c>
      <c r="I2372" s="208"/>
      <c r="J2372" s="210"/>
      <c r="K2372" s="210"/>
      <c r="L2372" s="210"/>
      <c r="M2372" s="210"/>
      <c r="N2372" s="210"/>
      <c r="O2372" s="210"/>
      <c r="P2372" s="210"/>
      <c r="Q2372" s="210"/>
      <c r="R2372" s="210"/>
      <c r="S2372" s="210"/>
      <c r="T2372" s="210"/>
      <c r="U2372" s="210"/>
      <c r="V2372" s="210"/>
      <c r="W2372" s="210"/>
      <c r="X2372" s="210"/>
      <c r="Y2372" s="210"/>
      <c r="Z2372" s="210"/>
    </row>
    <row r="2373" ht="21.75" customHeight="1">
      <c r="A2373" s="228"/>
      <c r="B2373" s="221"/>
      <c r="C2373" s="222">
        <v>300.0</v>
      </c>
      <c r="D2373" s="223" t="s">
        <v>696</v>
      </c>
      <c r="E2373" s="223" t="s">
        <v>673</v>
      </c>
      <c r="F2373" s="223" t="s">
        <v>696</v>
      </c>
      <c r="G2373" s="218" t="s">
        <v>490</v>
      </c>
      <c r="H2373" s="224" t="s">
        <v>490</v>
      </c>
      <c r="I2373" s="208"/>
      <c r="J2373" s="210"/>
      <c r="K2373" s="210"/>
      <c r="L2373" s="210"/>
      <c r="M2373" s="210"/>
      <c r="N2373" s="210"/>
      <c r="O2373" s="210"/>
      <c r="P2373" s="210"/>
      <c r="Q2373" s="210"/>
      <c r="R2373" s="210"/>
      <c r="S2373" s="210"/>
      <c r="T2373" s="210"/>
      <c r="U2373" s="210"/>
      <c r="V2373" s="210"/>
      <c r="W2373" s="210"/>
      <c r="X2373" s="210"/>
      <c r="Y2373" s="210"/>
      <c r="Z2373" s="210"/>
    </row>
    <row r="2374" ht="21.75" customHeight="1">
      <c r="A2374" s="214">
        <v>6.0</v>
      </c>
      <c r="B2374" s="215" t="s">
        <v>2182</v>
      </c>
      <c r="C2374" s="216"/>
      <c r="D2374" s="217"/>
      <c r="E2374" s="217"/>
      <c r="F2374" s="217"/>
      <c r="G2374" s="217"/>
      <c r="H2374" s="217"/>
      <c r="I2374" s="208"/>
      <c r="J2374" s="210"/>
      <c r="K2374" s="210"/>
      <c r="L2374" s="210"/>
      <c r="M2374" s="210"/>
      <c r="N2374" s="210"/>
      <c r="O2374" s="210"/>
      <c r="P2374" s="210"/>
      <c r="Q2374" s="210"/>
      <c r="R2374" s="210"/>
      <c r="S2374" s="210"/>
      <c r="T2374" s="210"/>
      <c r="U2374" s="210"/>
      <c r="V2374" s="210"/>
      <c r="W2374" s="210"/>
      <c r="X2374" s="210"/>
      <c r="Y2374" s="210"/>
      <c r="Z2374" s="210"/>
    </row>
    <row r="2375" ht="21.75" customHeight="1">
      <c r="A2375" s="214"/>
      <c r="B2375" s="218" t="s">
        <v>2183</v>
      </c>
      <c r="C2375" s="219">
        <v>50788.0</v>
      </c>
      <c r="D2375" s="220"/>
      <c r="E2375" s="220"/>
      <c r="F2375" s="220"/>
      <c r="G2375" s="220"/>
      <c r="H2375" s="220"/>
      <c r="I2375" s="208"/>
      <c r="J2375" s="210"/>
      <c r="K2375" s="210"/>
      <c r="L2375" s="210"/>
      <c r="M2375" s="210"/>
      <c r="N2375" s="210"/>
      <c r="O2375" s="210"/>
      <c r="P2375" s="210"/>
      <c r="Q2375" s="210"/>
      <c r="R2375" s="210"/>
      <c r="S2375" s="210"/>
      <c r="T2375" s="210"/>
      <c r="U2375" s="210"/>
      <c r="V2375" s="210"/>
      <c r="W2375" s="210"/>
      <c r="X2375" s="210"/>
      <c r="Y2375" s="210"/>
      <c r="Z2375" s="210"/>
    </row>
    <row r="2376" ht="21.75" customHeight="1">
      <c r="A2376" s="214"/>
      <c r="B2376" s="221"/>
      <c r="C2376" s="222">
        <v>100.0</v>
      </c>
      <c r="D2376" s="223" t="s">
        <v>486</v>
      </c>
      <c r="E2376" s="223" t="s">
        <v>487</v>
      </c>
      <c r="F2376" s="223" t="s">
        <v>488</v>
      </c>
      <c r="G2376" s="223" t="s">
        <v>489</v>
      </c>
      <c r="H2376" s="224" t="s">
        <v>490</v>
      </c>
      <c r="I2376" s="208"/>
      <c r="J2376" s="210"/>
      <c r="K2376" s="210"/>
      <c r="L2376" s="210"/>
      <c r="M2376" s="210"/>
      <c r="N2376" s="210"/>
      <c r="O2376" s="210"/>
      <c r="P2376" s="210"/>
      <c r="Q2376" s="210"/>
      <c r="R2376" s="210"/>
      <c r="S2376" s="210"/>
      <c r="T2376" s="210"/>
      <c r="U2376" s="210"/>
      <c r="V2376" s="210"/>
      <c r="W2376" s="210"/>
      <c r="X2376" s="210"/>
      <c r="Y2376" s="210"/>
      <c r="Z2376" s="210"/>
    </row>
    <row r="2377" ht="21.75" customHeight="1">
      <c r="A2377" s="214"/>
      <c r="B2377" s="221"/>
      <c r="C2377" s="222">
        <v>101.0</v>
      </c>
      <c r="D2377" s="223" t="s">
        <v>491</v>
      </c>
      <c r="E2377" s="223" t="s">
        <v>487</v>
      </c>
      <c r="F2377" s="223" t="s">
        <v>579</v>
      </c>
      <c r="G2377" s="223" t="s">
        <v>678</v>
      </c>
      <c r="H2377" s="225" t="s">
        <v>2184</v>
      </c>
      <c r="I2377" s="208"/>
      <c r="J2377" s="210"/>
      <c r="K2377" s="210"/>
      <c r="L2377" s="210"/>
      <c r="M2377" s="210"/>
      <c r="N2377" s="210"/>
      <c r="O2377" s="210"/>
      <c r="P2377" s="210"/>
      <c r="Q2377" s="210"/>
      <c r="R2377" s="210"/>
      <c r="S2377" s="210"/>
      <c r="T2377" s="210"/>
      <c r="U2377" s="210"/>
      <c r="V2377" s="210"/>
      <c r="W2377" s="210"/>
      <c r="X2377" s="210"/>
      <c r="Y2377" s="210"/>
      <c r="Z2377" s="210"/>
    </row>
    <row r="2378" ht="21.75" customHeight="1">
      <c r="A2378" s="214"/>
      <c r="B2378" s="221"/>
      <c r="C2378" s="222">
        <v>102.0</v>
      </c>
      <c r="D2378" s="223" t="s">
        <v>1350</v>
      </c>
      <c r="E2378" s="223" t="s">
        <v>487</v>
      </c>
      <c r="F2378" s="223" t="s">
        <v>492</v>
      </c>
      <c r="G2378" s="223" t="s">
        <v>497</v>
      </c>
      <c r="H2378" s="225" t="s">
        <v>2185</v>
      </c>
      <c r="I2378" s="208"/>
      <c r="J2378" s="210"/>
      <c r="K2378" s="210"/>
      <c r="L2378" s="210"/>
      <c r="M2378" s="210"/>
      <c r="N2378" s="210"/>
      <c r="O2378" s="210"/>
      <c r="P2378" s="210"/>
      <c r="Q2378" s="210"/>
      <c r="R2378" s="210"/>
      <c r="S2378" s="210"/>
      <c r="T2378" s="210"/>
      <c r="U2378" s="210"/>
      <c r="V2378" s="210"/>
      <c r="W2378" s="210"/>
      <c r="X2378" s="210"/>
      <c r="Y2378" s="210"/>
      <c r="Z2378" s="210"/>
    </row>
    <row r="2379" ht="21.75" customHeight="1">
      <c r="A2379" s="214"/>
      <c r="B2379" s="221"/>
      <c r="C2379" s="222">
        <v>103.0</v>
      </c>
      <c r="D2379" s="223" t="s">
        <v>519</v>
      </c>
      <c r="E2379" s="223" t="s">
        <v>508</v>
      </c>
      <c r="F2379" s="223" t="s">
        <v>509</v>
      </c>
      <c r="G2379" s="223" t="s">
        <v>510</v>
      </c>
      <c r="H2379" s="225" t="s">
        <v>2186</v>
      </c>
      <c r="I2379" s="208"/>
      <c r="J2379" s="210"/>
      <c r="K2379" s="210"/>
      <c r="L2379" s="210"/>
      <c r="M2379" s="210"/>
      <c r="N2379" s="210"/>
      <c r="O2379" s="210"/>
      <c r="P2379" s="210"/>
      <c r="Q2379" s="210"/>
      <c r="R2379" s="210"/>
      <c r="S2379" s="210"/>
      <c r="T2379" s="210"/>
      <c r="U2379" s="210"/>
      <c r="V2379" s="210"/>
      <c r="W2379" s="210"/>
      <c r="X2379" s="210"/>
      <c r="Y2379" s="210"/>
      <c r="Z2379" s="210"/>
    </row>
    <row r="2380" ht="21.75" customHeight="1">
      <c r="A2380" s="214"/>
      <c r="B2380" s="221"/>
      <c r="C2380" s="222">
        <v>200.0</v>
      </c>
      <c r="D2380" s="223" t="s">
        <v>1648</v>
      </c>
      <c r="E2380" s="223" t="s">
        <v>487</v>
      </c>
      <c r="F2380" s="223" t="s">
        <v>496</v>
      </c>
      <c r="G2380" s="218" t="s">
        <v>490</v>
      </c>
      <c r="H2380" s="224" t="s">
        <v>490</v>
      </c>
      <c r="I2380" s="208"/>
      <c r="J2380" s="210"/>
      <c r="K2380" s="210"/>
      <c r="L2380" s="210"/>
      <c r="M2380" s="210"/>
      <c r="N2380" s="210"/>
      <c r="O2380" s="210"/>
      <c r="P2380" s="210"/>
      <c r="Q2380" s="210"/>
      <c r="R2380" s="210"/>
      <c r="S2380" s="210"/>
      <c r="T2380" s="210"/>
      <c r="U2380" s="210"/>
      <c r="V2380" s="210"/>
      <c r="W2380" s="210"/>
      <c r="X2380" s="210"/>
      <c r="Y2380" s="210"/>
      <c r="Z2380" s="210"/>
    </row>
    <row r="2381" ht="21.75" customHeight="1">
      <c r="A2381" s="214"/>
      <c r="B2381" s="221"/>
      <c r="C2381" s="222">
        <v>201.0</v>
      </c>
      <c r="D2381" s="223" t="s">
        <v>1649</v>
      </c>
      <c r="E2381" s="223" t="s">
        <v>487</v>
      </c>
      <c r="F2381" s="223" t="s">
        <v>500</v>
      </c>
      <c r="G2381" s="218" t="s">
        <v>490</v>
      </c>
      <c r="H2381" s="224" t="s">
        <v>490</v>
      </c>
      <c r="I2381" s="208"/>
      <c r="J2381" s="210"/>
      <c r="K2381" s="210"/>
      <c r="L2381" s="210"/>
      <c r="M2381" s="210"/>
      <c r="N2381" s="210"/>
      <c r="O2381" s="210"/>
      <c r="P2381" s="210"/>
      <c r="Q2381" s="210"/>
      <c r="R2381" s="210"/>
      <c r="S2381" s="210"/>
      <c r="T2381" s="210"/>
      <c r="U2381" s="210"/>
      <c r="V2381" s="210"/>
      <c r="W2381" s="210"/>
      <c r="X2381" s="210"/>
      <c r="Y2381" s="210"/>
      <c r="Z2381" s="210"/>
    </row>
    <row r="2382" ht="21.75" customHeight="1">
      <c r="A2382" s="214"/>
      <c r="B2382" s="221"/>
      <c r="C2382" s="222">
        <v>202.0</v>
      </c>
      <c r="D2382" s="223" t="s">
        <v>1650</v>
      </c>
      <c r="E2382" s="223" t="s">
        <v>487</v>
      </c>
      <c r="F2382" s="223" t="s">
        <v>512</v>
      </c>
      <c r="G2382" s="218" t="s">
        <v>490</v>
      </c>
      <c r="H2382" s="224" t="s">
        <v>490</v>
      </c>
      <c r="I2382" s="208"/>
      <c r="J2382" s="210"/>
      <c r="K2382" s="210"/>
      <c r="L2382" s="210"/>
      <c r="M2382" s="210"/>
      <c r="N2382" s="210"/>
      <c r="O2382" s="210"/>
      <c r="P2382" s="210"/>
      <c r="Q2382" s="210"/>
      <c r="R2382" s="210"/>
      <c r="S2382" s="210"/>
      <c r="T2382" s="210"/>
      <c r="U2382" s="210"/>
      <c r="V2382" s="210"/>
      <c r="W2382" s="210"/>
      <c r="X2382" s="210"/>
      <c r="Y2382" s="210"/>
      <c r="Z2382" s="210"/>
    </row>
    <row r="2383" ht="21.75" customHeight="1">
      <c r="A2383" s="214"/>
      <c r="B2383" s="221"/>
      <c r="C2383" s="222">
        <v>203.0</v>
      </c>
      <c r="D2383" s="223" t="s">
        <v>1479</v>
      </c>
      <c r="E2383" s="223" t="s">
        <v>487</v>
      </c>
      <c r="F2383" s="223" t="s">
        <v>532</v>
      </c>
      <c r="G2383" s="218" t="s">
        <v>490</v>
      </c>
      <c r="H2383" s="224" t="s">
        <v>490</v>
      </c>
      <c r="I2383" s="208"/>
      <c r="J2383" s="210"/>
      <c r="K2383" s="210"/>
      <c r="L2383" s="210"/>
      <c r="M2383" s="210"/>
      <c r="N2383" s="210"/>
      <c r="O2383" s="210"/>
      <c r="P2383" s="210"/>
      <c r="Q2383" s="210"/>
      <c r="R2383" s="210"/>
      <c r="S2383" s="210"/>
      <c r="T2383" s="210"/>
      <c r="U2383" s="210"/>
      <c r="V2383" s="210"/>
      <c r="W2383" s="210"/>
      <c r="X2383" s="210"/>
      <c r="Y2383" s="210"/>
      <c r="Z2383" s="210"/>
    </row>
    <row r="2384" ht="21.75" customHeight="1">
      <c r="A2384" s="214"/>
      <c r="B2384" s="221"/>
      <c r="C2384" s="222">
        <v>204.0</v>
      </c>
      <c r="D2384" s="223" t="s">
        <v>1651</v>
      </c>
      <c r="E2384" s="223" t="s">
        <v>487</v>
      </c>
      <c r="F2384" s="223" t="s">
        <v>590</v>
      </c>
      <c r="G2384" s="218" t="s">
        <v>490</v>
      </c>
      <c r="H2384" s="224" t="s">
        <v>490</v>
      </c>
      <c r="I2384" s="208"/>
      <c r="J2384" s="210"/>
      <c r="K2384" s="210"/>
      <c r="L2384" s="210"/>
      <c r="M2384" s="210"/>
      <c r="N2384" s="210"/>
      <c r="O2384" s="210"/>
      <c r="P2384" s="210"/>
      <c r="Q2384" s="210"/>
      <c r="R2384" s="210"/>
      <c r="S2384" s="210"/>
      <c r="T2384" s="210"/>
      <c r="U2384" s="210"/>
      <c r="V2384" s="210"/>
      <c r="W2384" s="210"/>
      <c r="X2384" s="210"/>
      <c r="Y2384" s="210"/>
      <c r="Z2384" s="210"/>
    </row>
    <row r="2385" ht="21.75" customHeight="1">
      <c r="A2385" s="214"/>
      <c r="B2385" s="221"/>
      <c r="C2385" s="222">
        <v>205.0</v>
      </c>
      <c r="D2385" s="223" t="s">
        <v>1652</v>
      </c>
      <c r="E2385" s="223" t="s">
        <v>487</v>
      </c>
      <c r="F2385" s="223" t="s">
        <v>603</v>
      </c>
      <c r="G2385" s="218" t="s">
        <v>490</v>
      </c>
      <c r="H2385" s="224" t="s">
        <v>490</v>
      </c>
      <c r="I2385" s="208"/>
      <c r="J2385" s="210"/>
      <c r="K2385" s="210"/>
      <c r="L2385" s="210"/>
      <c r="M2385" s="210"/>
      <c r="N2385" s="210"/>
      <c r="O2385" s="210"/>
      <c r="P2385" s="210"/>
      <c r="Q2385" s="210"/>
      <c r="R2385" s="210"/>
      <c r="S2385" s="210"/>
      <c r="T2385" s="210"/>
      <c r="U2385" s="210"/>
      <c r="V2385" s="210"/>
      <c r="W2385" s="210"/>
      <c r="X2385" s="210"/>
      <c r="Y2385" s="210"/>
      <c r="Z2385" s="210"/>
    </row>
    <row r="2386" ht="21.75" customHeight="1">
      <c r="A2386" s="214"/>
      <c r="B2386" s="221"/>
      <c r="C2386" s="222">
        <v>206.0</v>
      </c>
      <c r="D2386" s="223" t="s">
        <v>1653</v>
      </c>
      <c r="E2386" s="223" t="s">
        <v>529</v>
      </c>
      <c r="F2386" s="223" t="s">
        <v>530</v>
      </c>
      <c r="G2386" s="218" t="s">
        <v>490</v>
      </c>
      <c r="H2386" s="224" t="s">
        <v>490</v>
      </c>
      <c r="I2386" s="208"/>
      <c r="J2386" s="210"/>
      <c r="K2386" s="210"/>
      <c r="L2386" s="210"/>
      <c r="M2386" s="210"/>
      <c r="N2386" s="210"/>
      <c r="O2386" s="210"/>
      <c r="P2386" s="210"/>
      <c r="Q2386" s="210"/>
      <c r="R2386" s="210"/>
      <c r="S2386" s="210"/>
      <c r="T2386" s="210"/>
      <c r="U2386" s="210"/>
      <c r="V2386" s="210"/>
      <c r="W2386" s="210"/>
      <c r="X2386" s="210"/>
      <c r="Y2386" s="210"/>
      <c r="Z2386" s="210"/>
    </row>
    <row r="2387" ht="21.75" customHeight="1">
      <c r="A2387" s="214"/>
      <c r="B2387" s="217"/>
      <c r="C2387" s="222">
        <v>300.0</v>
      </c>
      <c r="D2387" s="215" t="s">
        <v>696</v>
      </c>
      <c r="E2387" s="215" t="s">
        <v>673</v>
      </c>
      <c r="F2387" s="215" t="s">
        <v>696</v>
      </c>
      <c r="G2387" s="234" t="s">
        <v>490</v>
      </c>
      <c r="H2387" s="224" t="s">
        <v>490</v>
      </c>
      <c r="I2387" s="208"/>
      <c r="J2387" s="210"/>
      <c r="K2387" s="210"/>
      <c r="L2387" s="210"/>
      <c r="M2387" s="210"/>
      <c r="N2387" s="210"/>
      <c r="O2387" s="210"/>
      <c r="P2387" s="210"/>
      <c r="Q2387" s="210"/>
      <c r="R2387" s="210"/>
      <c r="S2387" s="210"/>
      <c r="T2387" s="210"/>
      <c r="U2387" s="210"/>
      <c r="V2387" s="210"/>
      <c r="W2387" s="210"/>
      <c r="X2387" s="210"/>
      <c r="Y2387" s="210"/>
      <c r="Z2387" s="210"/>
    </row>
    <row r="2388" ht="21.75" customHeight="1">
      <c r="A2388" s="214"/>
      <c r="B2388" s="218" t="s">
        <v>2187</v>
      </c>
      <c r="C2388" s="226">
        <v>50814.0</v>
      </c>
      <c r="D2388" s="220"/>
      <c r="E2388" s="220"/>
      <c r="F2388" s="220"/>
      <c r="G2388" s="220"/>
      <c r="H2388" s="221"/>
      <c r="I2388" s="208"/>
      <c r="J2388" s="210"/>
      <c r="K2388" s="210"/>
      <c r="L2388" s="210"/>
      <c r="M2388" s="210"/>
      <c r="N2388" s="210"/>
      <c r="O2388" s="210"/>
      <c r="P2388" s="210"/>
      <c r="Q2388" s="210"/>
      <c r="R2388" s="210"/>
      <c r="S2388" s="210"/>
      <c r="T2388" s="210"/>
      <c r="U2388" s="210"/>
      <c r="V2388" s="210"/>
      <c r="W2388" s="210"/>
      <c r="X2388" s="210"/>
      <c r="Y2388" s="210"/>
      <c r="Z2388" s="210"/>
    </row>
    <row r="2389" ht="21.75" customHeight="1">
      <c r="A2389" s="214"/>
      <c r="B2389" s="221"/>
      <c r="C2389" s="222">
        <v>100.0</v>
      </c>
      <c r="D2389" s="223" t="s">
        <v>486</v>
      </c>
      <c r="E2389" s="223" t="s">
        <v>487</v>
      </c>
      <c r="F2389" s="223" t="s">
        <v>488</v>
      </c>
      <c r="G2389" s="223" t="s">
        <v>489</v>
      </c>
      <c r="H2389" s="224" t="s">
        <v>490</v>
      </c>
      <c r="I2389" s="208"/>
      <c r="J2389" s="210"/>
      <c r="K2389" s="210"/>
      <c r="L2389" s="210"/>
      <c r="M2389" s="210"/>
      <c r="N2389" s="210"/>
      <c r="O2389" s="210"/>
      <c r="P2389" s="210"/>
      <c r="Q2389" s="210"/>
      <c r="R2389" s="210"/>
      <c r="S2389" s="210"/>
      <c r="T2389" s="210"/>
      <c r="U2389" s="210"/>
      <c r="V2389" s="210"/>
      <c r="W2389" s="210"/>
      <c r="X2389" s="210"/>
      <c r="Y2389" s="210"/>
      <c r="Z2389" s="210"/>
    </row>
    <row r="2390" ht="21.75" customHeight="1">
      <c r="A2390" s="214"/>
      <c r="B2390" s="221"/>
      <c r="C2390" s="222">
        <v>101.0</v>
      </c>
      <c r="D2390" s="223" t="s">
        <v>876</v>
      </c>
      <c r="E2390" s="223" t="s">
        <v>487</v>
      </c>
      <c r="F2390" s="223" t="s">
        <v>492</v>
      </c>
      <c r="G2390" s="223" t="s">
        <v>497</v>
      </c>
      <c r="H2390" s="225" t="s">
        <v>2188</v>
      </c>
      <c r="I2390" s="208"/>
      <c r="J2390" s="210"/>
      <c r="K2390" s="210"/>
      <c r="L2390" s="210"/>
      <c r="M2390" s="210"/>
      <c r="N2390" s="210"/>
      <c r="O2390" s="210"/>
      <c r="P2390" s="210"/>
      <c r="Q2390" s="210"/>
      <c r="R2390" s="210"/>
      <c r="S2390" s="210"/>
      <c r="T2390" s="210"/>
      <c r="U2390" s="210"/>
      <c r="V2390" s="210"/>
      <c r="W2390" s="210"/>
      <c r="X2390" s="210"/>
      <c r="Y2390" s="210"/>
      <c r="Z2390" s="210"/>
    </row>
    <row r="2391" ht="21.75" customHeight="1">
      <c r="A2391" s="214"/>
      <c r="B2391" s="221"/>
      <c r="C2391" s="222">
        <v>102.0</v>
      </c>
      <c r="D2391" s="223" t="s">
        <v>519</v>
      </c>
      <c r="E2391" s="223" t="s">
        <v>508</v>
      </c>
      <c r="F2391" s="223" t="s">
        <v>509</v>
      </c>
      <c r="G2391" s="223" t="s">
        <v>510</v>
      </c>
      <c r="H2391" s="225" t="s">
        <v>2189</v>
      </c>
      <c r="I2391" s="208"/>
      <c r="J2391" s="210"/>
      <c r="K2391" s="210"/>
      <c r="L2391" s="210"/>
      <c r="M2391" s="210"/>
      <c r="N2391" s="210"/>
      <c r="O2391" s="210"/>
      <c r="P2391" s="210"/>
      <c r="Q2391" s="210"/>
      <c r="R2391" s="210"/>
      <c r="S2391" s="210"/>
      <c r="T2391" s="210"/>
      <c r="U2391" s="210"/>
      <c r="V2391" s="210"/>
      <c r="W2391" s="210"/>
      <c r="X2391" s="210"/>
      <c r="Y2391" s="210"/>
      <c r="Z2391" s="210"/>
    </row>
    <row r="2392" ht="21.75" customHeight="1">
      <c r="A2392" s="214"/>
      <c r="B2392" s="221"/>
      <c r="C2392" s="222">
        <v>200.0</v>
      </c>
      <c r="D2392" s="223" t="s">
        <v>1648</v>
      </c>
      <c r="E2392" s="223" t="s">
        <v>487</v>
      </c>
      <c r="F2392" s="223" t="s">
        <v>496</v>
      </c>
      <c r="G2392" s="218" t="s">
        <v>490</v>
      </c>
      <c r="H2392" s="224" t="s">
        <v>490</v>
      </c>
      <c r="I2392" s="208"/>
      <c r="J2392" s="210"/>
      <c r="K2392" s="210"/>
      <c r="L2392" s="210"/>
      <c r="M2392" s="210"/>
      <c r="N2392" s="210"/>
      <c r="O2392" s="210"/>
      <c r="P2392" s="210"/>
      <c r="Q2392" s="210"/>
      <c r="R2392" s="210"/>
      <c r="S2392" s="210"/>
      <c r="T2392" s="210"/>
      <c r="U2392" s="210"/>
      <c r="V2392" s="210"/>
      <c r="W2392" s="210"/>
      <c r="X2392" s="210"/>
      <c r="Y2392" s="210"/>
      <c r="Z2392" s="210"/>
    </row>
    <row r="2393" ht="21.75" customHeight="1">
      <c r="A2393" s="214"/>
      <c r="B2393" s="221"/>
      <c r="C2393" s="222">
        <v>201.0</v>
      </c>
      <c r="D2393" s="223" t="s">
        <v>1649</v>
      </c>
      <c r="E2393" s="223" t="s">
        <v>487</v>
      </c>
      <c r="F2393" s="223" t="s">
        <v>500</v>
      </c>
      <c r="G2393" s="218" t="s">
        <v>490</v>
      </c>
      <c r="H2393" s="224" t="s">
        <v>490</v>
      </c>
      <c r="I2393" s="208"/>
      <c r="J2393" s="210"/>
      <c r="K2393" s="210"/>
      <c r="L2393" s="210"/>
      <c r="M2393" s="210"/>
      <c r="N2393" s="210"/>
      <c r="O2393" s="210"/>
      <c r="P2393" s="210"/>
      <c r="Q2393" s="210"/>
      <c r="R2393" s="210"/>
      <c r="S2393" s="210"/>
      <c r="T2393" s="210"/>
      <c r="U2393" s="210"/>
      <c r="V2393" s="210"/>
      <c r="W2393" s="210"/>
      <c r="X2393" s="210"/>
      <c r="Y2393" s="210"/>
      <c r="Z2393" s="210"/>
    </row>
    <row r="2394" ht="21.75" customHeight="1">
      <c r="A2394" s="214"/>
      <c r="B2394" s="221"/>
      <c r="C2394" s="222">
        <v>202.0</v>
      </c>
      <c r="D2394" s="223" t="s">
        <v>1650</v>
      </c>
      <c r="E2394" s="223" t="s">
        <v>487</v>
      </c>
      <c r="F2394" s="223" t="s">
        <v>512</v>
      </c>
      <c r="G2394" s="218" t="s">
        <v>490</v>
      </c>
      <c r="H2394" s="224" t="s">
        <v>490</v>
      </c>
      <c r="I2394" s="208"/>
      <c r="J2394" s="210"/>
      <c r="K2394" s="210"/>
      <c r="L2394" s="210"/>
      <c r="M2394" s="210"/>
      <c r="N2394" s="210"/>
      <c r="O2394" s="210"/>
      <c r="P2394" s="210"/>
      <c r="Q2394" s="210"/>
      <c r="R2394" s="210"/>
      <c r="S2394" s="210"/>
      <c r="T2394" s="210"/>
      <c r="U2394" s="210"/>
      <c r="V2394" s="210"/>
      <c r="W2394" s="210"/>
      <c r="X2394" s="210"/>
      <c r="Y2394" s="210"/>
      <c r="Z2394" s="210"/>
    </row>
    <row r="2395" ht="21.75" customHeight="1">
      <c r="A2395" s="214"/>
      <c r="B2395" s="221"/>
      <c r="C2395" s="222">
        <v>203.0</v>
      </c>
      <c r="D2395" s="223" t="s">
        <v>1479</v>
      </c>
      <c r="E2395" s="223" t="s">
        <v>487</v>
      </c>
      <c r="F2395" s="223" t="s">
        <v>532</v>
      </c>
      <c r="G2395" s="218" t="s">
        <v>490</v>
      </c>
      <c r="H2395" s="224" t="s">
        <v>490</v>
      </c>
      <c r="I2395" s="208"/>
      <c r="J2395" s="210"/>
      <c r="K2395" s="210"/>
      <c r="L2395" s="210"/>
      <c r="M2395" s="210"/>
      <c r="N2395" s="210"/>
      <c r="O2395" s="210"/>
      <c r="P2395" s="210"/>
      <c r="Q2395" s="210"/>
      <c r="R2395" s="210"/>
      <c r="S2395" s="210"/>
      <c r="T2395" s="210"/>
      <c r="U2395" s="210"/>
      <c r="V2395" s="210"/>
      <c r="W2395" s="210"/>
      <c r="X2395" s="210"/>
      <c r="Y2395" s="210"/>
      <c r="Z2395" s="210"/>
    </row>
    <row r="2396" ht="21.75" customHeight="1">
      <c r="A2396" s="214"/>
      <c r="B2396" s="221"/>
      <c r="C2396" s="222">
        <v>204.0</v>
      </c>
      <c r="D2396" s="223" t="s">
        <v>1651</v>
      </c>
      <c r="E2396" s="223" t="s">
        <v>487</v>
      </c>
      <c r="F2396" s="223" t="s">
        <v>590</v>
      </c>
      <c r="G2396" s="218" t="s">
        <v>490</v>
      </c>
      <c r="H2396" s="224" t="s">
        <v>490</v>
      </c>
      <c r="I2396" s="208"/>
      <c r="J2396" s="210"/>
      <c r="K2396" s="210"/>
      <c r="L2396" s="210"/>
      <c r="M2396" s="210"/>
      <c r="N2396" s="210"/>
      <c r="O2396" s="210"/>
      <c r="P2396" s="210"/>
      <c r="Q2396" s="210"/>
      <c r="R2396" s="210"/>
      <c r="S2396" s="210"/>
      <c r="T2396" s="210"/>
      <c r="U2396" s="210"/>
      <c r="V2396" s="210"/>
      <c r="W2396" s="210"/>
      <c r="X2396" s="210"/>
      <c r="Y2396" s="210"/>
      <c r="Z2396" s="210"/>
    </row>
    <row r="2397" ht="21.75" customHeight="1">
      <c r="A2397" s="214"/>
      <c r="B2397" s="221"/>
      <c r="C2397" s="222">
        <v>205.0</v>
      </c>
      <c r="D2397" s="223" t="s">
        <v>1652</v>
      </c>
      <c r="E2397" s="223" t="s">
        <v>487</v>
      </c>
      <c r="F2397" s="223" t="s">
        <v>603</v>
      </c>
      <c r="G2397" s="218" t="s">
        <v>490</v>
      </c>
      <c r="H2397" s="224" t="s">
        <v>490</v>
      </c>
      <c r="I2397" s="208"/>
      <c r="J2397" s="210"/>
      <c r="K2397" s="210"/>
      <c r="L2397" s="210"/>
      <c r="M2397" s="210"/>
      <c r="N2397" s="210"/>
      <c r="O2397" s="210"/>
      <c r="P2397" s="210"/>
      <c r="Q2397" s="210"/>
      <c r="R2397" s="210"/>
      <c r="S2397" s="210"/>
      <c r="T2397" s="210"/>
      <c r="U2397" s="210"/>
      <c r="V2397" s="210"/>
      <c r="W2397" s="210"/>
      <c r="X2397" s="210"/>
      <c r="Y2397" s="210"/>
      <c r="Z2397" s="210"/>
    </row>
    <row r="2398" ht="21.75" customHeight="1">
      <c r="A2398" s="214"/>
      <c r="B2398" s="221"/>
      <c r="C2398" s="222">
        <v>206.0</v>
      </c>
      <c r="D2398" s="223" t="s">
        <v>1653</v>
      </c>
      <c r="E2398" s="223" t="s">
        <v>529</v>
      </c>
      <c r="F2398" s="223" t="s">
        <v>530</v>
      </c>
      <c r="G2398" s="218" t="s">
        <v>490</v>
      </c>
      <c r="H2398" s="224" t="s">
        <v>490</v>
      </c>
      <c r="I2398" s="208"/>
      <c r="J2398" s="210"/>
      <c r="K2398" s="210"/>
      <c r="L2398" s="210"/>
      <c r="M2398" s="210"/>
      <c r="N2398" s="210"/>
      <c r="O2398" s="210"/>
      <c r="P2398" s="210"/>
      <c r="Q2398" s="210"/>
      <c r="R2398" s="210"/>
      <c r="S2398" s="210"/>
      <c r="T2398" s="210"/>
      <c r="U2398" s="210"/>
      <c r="V2398" s="210"/>
      <c r="W2398" s="210"/>
      <c r="X2398" s="210"/>
      <c r="Y2398" s="210"/>
      <c r="Z2398" s="210"/>
    </row>
    <row r="2399" ht="21.75" customHeight="1">
      <c r="A2399" s="214"/>
      <c r="B2399" s="221"/>
      <c r="C2399" s="222">
        <v>207.0</v>
      </c>
      <c r="D2399" s="223" t="s">
        <v>240</v>
      </c>
      <c r="E2399" s="223" t="s">
        <v>487</v>
      </c>
      <c r="F2399" s="223" t="s">
        <v>579</v>
      </c>
      <c r="G2399" s="218" t="s">
        <v>490</v>
      </c>
      <c r="H2399" s="224" t="s">
        <v>490</v>
      </c>
      <c r="I2399" s="208"/>
      <c r="J2399" s="210"/>
      <c r="K2399" s="210"/>
      <c r="L2399" s="210"/>
      <c r="M2399" s="210"/>
      <c r="N2399" s="210"/>
      <c r="O2399" s="210"/>
      <c r="P2399" s="210"/>
      <c r="Q2399" s="210"/>
      <c r="R2399" s="210"/>
      <c r="S2399" s="210"/>
      <c r="T2399" s="210"/>
      <c r="U2399" s="210"/>
      <c r="V2399" s="210"/>
      <c r="W2399" s="210"/>
      <c r="X2399" s="210"/>
      <c r="Y2399" s="210"/>
      <c r="Z2399" s="210"/>
    </row>
    <row r="2400" ht="21.75" customHeight="1">
      <c r="A2400" s="214"/>
      <c r="B2400" s="217"/>
      <c r="C2400" s="222">
        <v>300.0</v>
      </c>
      <c r="D2400" s="215" t="s">
        <v>696</v>
      </c>
      <c r="E2400" s="215" t="s">
        <v>673</v>
      </c>
      <c r="F2400" s="215" t="s">
        <v>696</v>
      </c>
      <c r="G2400" s="234" t="s">
        <v>490</v>
      </c>
      <c r="H2400" s="224" t="s">
        <v>490</v>
      </c>
      <c r="I2400" s="208"/>
      <c r="J2400" s="210"/>
      <c r="K2400" s="210"/>
      <c r="L2400" s="210"/>
      <c r="M2400" s="210"/>
      <c r="N2400" s="210"/>
      <c r="O2400" s="210"/>
      <c r="P2400" s="210"/>
      <c r="Q2400" s="210"/>
      <c r="R2400" s="210"/>
      <c r="S2400" s="210"/>
      <c r="T2400" s="210"/>
      <c r="U2400" s="210"/>
      <c r="V2400" s="210"/>
      <c r="W2400" s="210"/>
      <c r="X2400" s="210"/>
      <c r="Y2400" s="210"/>
      <c r="Z2400" s="210"/>
    </row>
    <row r="2401" ht="21.75" customHeight="1">
      <c r="A2401" s="214"/>
      <c r="B2401" s="218" t="s">
        <v>2190</v>
      </c>
      <c r="C2401" s="226">
        <v>50815.0</v>
      </c>
      <c r="D2401" s="220"/>
      <c r="E2401" s="220"/>
      <c r="F2401" s="220"/>
      <c r="G2401" s="220"/>
      <c r="H2401" s="221"/>
      <c r="I2401" s="208"/>
      <c r="J2401" s="210"/>
      <c r="K2401" s="210"/>
      <c r="L2401" s="210"/>
      <c r="M2401" s="210"/>
      <c r="N2401" s="210"/>
      <c r="O2401" s="210"/>
      <c r="P2401" s="210"/>
      <c r="Q2401" s="210"/>
      <c r="R2401" s="210"/>
      <c r="S2401" s="210"/>
      <c r="T2401" s="210"/>
      <c r="U2401" s="210"/>
      <c r="V2401" s="210"/>
      <c r="W2401" s="210"/>
      <c r="X2401" s="210"/>
      <c r="Y2401" s="210"/>
      <c r="Z2401" s="210"/>
    </row>
    <row r="2402" ht="21.75" customHeight="1">
      <c r="A2402" s="214"/>
      <c r="B2402" s="221"/>
      <c r="C2402" s="222">
        <v>100.0</v>
      </c>
      <c r="D2402" s="223" t="s">
        <v>486</v>
      </c>
      <c r="E2402" s="223" t="s">
        <v>487</v>
      </c>
      <c r="F2402" s="223" t="s">
        <v>488</v>
      </c>
      <c r="G2402" s="223" t="s">
        <v>489</v>
      </c>
      <c r="H2402" s="224" t="s">
        <v>490</v>
      </c>
      <c r="I2402" s="208"/>
      <c r="J2402" s="210"/>
      <c r="K2402" s="210"/>
      <c r="L2402" s="210"/>
      <c r="M2402" s="210"/>
      <c r="N2402" s="210"/>
      <c r="O2402" s="210"/>
      <c r="P2402" s="210"/>
      <c r="Q2402" s="210"/>
      <c r="R2402" s="210"/>
      <c r="S2402" s="210"/>
      <c r="T2402" s="210"/>
      <c r="U2402" s="210"/>
      <c r="V2402" s="210"/>
      <c r="W2402" s="210"/>
      <c r="X2402" s="210"/>
      <c r="Y2402" s="210"/>
      <c r="Z2402" s="210"/>
    </row>
    <row r="2403" ht="21.75" customHeight="1">
      <c r="A2403" s="214"/>
      <c r="B2403" s="221"/>
      <c r="C2403" s="222">
        <v>101.0</v>
      </c>
      <c r="D2403" s="223" t="s">
        <v>491</v>
      </c>
      <c r="E2403" s="223" t="s">
        <v>487</v>
      </c>
      <c r="F2403" s="223" t="s">
        <v>579</v>
      </c>
      <c r="G2403" s="223" t="s">
        <v>678</v>
      </c>
      <c r="H2403" s="225" t="s">
        <v>2191</v>
      </c>
      <c r="I2403" s="208"/>
      <c r="J2403" s="210"/>
      <c r="K2403" s="210"/>
      <c r="L2403" s="210"/>
      <c r="M2403" s="210"/>
      <c r="N2403" s="210"/>
      <c r="O2403" s="210"/>
      <c r="P2403" s="210"/>
      <c r="Q2403" s="210"/>
      <c r="R2403" s="210"/>
      <c r="S2403" s="210"/>
      <c r="T2403" s="210"/>
      <c r="U2403" s="210"/>
      <c r="V2403" s="210"/>
      <c r="W2403" s="210"/>
      <c r="X2403" s="210"/>
      <c r="Y2403" s="210"/>
      <c r="Z2403" s="210"/>
    </row>
    <row r="2404" ht="21.75" customHeight="1">
      <c r="A2404" s="214"/>
      <c r="B2404" s="221"/>
      <c r="C2404" s="222">
        <v>102.0</v>
      </c>
      <c r="D2404" s="223" t="s">
        <v>1350</v>
      </c>
      <c r="E2404" s="223" t="s">
        <v>487</v>
      </c>
      <c r="F2404" s="223" t="s">
        <v>492</v>
      </c>
      <c r="G2404" s="223" t="s">
        <v>497</v>
      </c>
      <c r="H2404" s="225" t="s">
        <v>2192</v>
      </c>
      <c r="I2404" s="208"/>
      <c r="J2404" s="210"/>
      <c r="K2404" s="210"/>
      <c r="L2404" s="210"/>
      <c r="M2404" s="210"/>
      <c r="N2404" s="210"/>
      <c r="O2404" s="210"/>
      <c r="P2404" s="210"/>
      <c r="Q2404" s="210"/>
      <c r="R2404" s="210"/>
      <c r="S2404" s="210"/>
      <c r="T2404" s="210"/>
      <c r="U2404" s="210"/>
      <c r="V2404" s="210"/>
      <c r="W2404" s="210"/>
      <c r="X2404" s="210"/>
      <c r="Y2404" s="210"/>
      <c r="Z2404" s="210"/>
    </row>
    <row r="2405" ht="21.75" customHeight="1">
      <c r="A2405" s="214"/>
      <c r="B2405" s="221"/>
      <c r="C2405" s="222">
        <v>103.0</v>
      </c>
      <c r="D2405" s="223" t="s">
        <v>923</v>
      </c>
      <c r="E2405" s="223" t="s">
        <v>539</v>
      </c>
      <c r="F2405" s="223" t="s">
        <v>542</v>
      </c>
      <c r="G2405" s="223" t="s">
        <v>526</v>
      </c>
      <c r="H2405" s="224" t="s">
        <v>490</v>
      </c>
      <c r="I2405" s="208"/>
      <c r="J2405" s="210"/>
      <c r="K2405" s="210"/>
      <c r="L2405" s="210"/>
      <c r="M2405" s="210"/>
      <c r="N2405" s="210"/>
      <c r="O2405" s="210"/>
      <c r="P2405" s="210"/>
      <c r="Q2405" s="210"/>
      <c r="R2405" s="210"/>
      <c r="S2405" s="210"/>
      <c r="T2405" s="210"/>
      <c r="U2405" s="210"/>
      <c r="V2405" s="210"/>
      <c r="W2405" s="210"/>
      <c r="X2405" s="210"/>
      <c r="Y2405" s="210"/>
      <c r="Z2405" s="210"/>
    </row>
    <row r="2406" ht="21.75" customHeight="1">
      <c r="A2406" s="214"/>
      <c r="B2406" s="221"/>
      <c r="C2406" s="222">
        <v>104.0</v>
      </c>
      <c r="D2406" s="223" t="s">
        <v>519</v>
      </c>
      <c r="E2406" s="223" t="s">
        <v>508</v>
      </c>
      <c r="F2406" s="223" t="s">
        <v>509</v>
      </c>
      <c r="G2406" s="223" t="s">
        <v>510</v>
      </c>
      <c r="H2406" s="225" t="s">
        <v>2186</v>
      </c>
      <c r="I2406" s="208"/>
      <c r="J2406" s="210"/>
      <c r="K2406" s="210"/>
      <c r="L2406" s="210"/>
      <c r="M2406" s="210"/>
      <c r="N2406" s="210"/>
      <c r="O2406" s="210"/>
      <c r="P2406" s="210"/>
      <c r="Q2406" s="210"/>
      <c r="R2406" s="210"/>
      <c r="S2406" s="210"/>
      <c r="T2406" s="210"/>
      <c r="U2406" s="210"/>
      <c r="V2406" s="210"/>
      <c r="W2406" s="210"/>
      <c r="X2406" s="210"/>
      <c r="Y2406" s="210"/>
      <c r="Z2406" s="210"/>
    </row>
    <row r="2407" ht="21.75" customHeight="1">
      <c r="A2407" s="214"/>
      <c r="B2407" s="221"/>
      <c r="C2407" s="222">
        <v>200.0</v>
      </c>
      <c r="D2407" s="223" t="s">
        <v>1648</v>
      </c>
      <c r="E2407" s="223" t="s">
        <v>487</v>
      </c>
      <c r="F2407" s="223" t="s">
        <v>496</v>
      </c>
      <c r="G2407" s="218" t="s">
        <v>490</v>
      </c>
      <c r="H2407" s="224" t="s">
        <v>490</v>
      </c>
      <c r="I2407" s="208"/>
      <c r="J2407" s="210"/>
      <c r="K2407" s="210"/>
      <c r="L2407" s="210"/>
      <c r="M2407" s="210"/>
      <c r="N2407" s="210"/>
      <c r="O2407" s="210"/>
      <c r="P2407" s="210"/>
      <c r="Q2407" s="210"/>
      <c r="R2407" s="210"/>
      <c r="S2407" s="210"/>
      <c r="T2407" s="210"/>
      <c r="U2407" s="210"/>
      <c r="V2407" s="210"/>
      <c r="W2407" s="210"/>
      <c r="X2407" s="210"/>
      <c r="Y2407" s="210"/>
      <c r="Z2407" s="210"/>
    </row>
    <row r="2408" ht="21.75" customHeight="1">
      <c r="A2408" s="214"/>
      <c r="B2408" s="221"/>
      <c r="C2408" s="222">
        <v>201.0</v>
      </c>
      <c r="D2408" s="223" t="s">
        <v>1649</v>
      </c>
      <c r="E2408" s="223" t="s">
        <v>487</v>
      </c>
      <c r="F2408" s="223" t="s">
        <v>500</v>
      </c>
      <c r="G2408" s="218" t="s">
        <v>490</v>
      </c>
      <c r="H2408" s="224" t="s">
        <v>490</v>
      </c>
      <c r="I2408" s="208"/>
      <c r="J2408" s="210"/>
      <c r="K2408" s="210"/>
      <c r="L2408" s="210"/>
      <c r="M2408" s="210"/>
      <c r="N2408" s="210"/>
      <c r="O2408" s="210"/>
      <c r="P2408" s="210"/>
      <c r="Q2408" s="210"/>
      <c r="R2408" s="210"/>
      <c r="S2408" s="210"/>
      <c r="T2408" s="210"/>
      <c r="U2408" s="210"/>
      <c r="V2408" s="210"/>
      <c r="W2408" s="210"/>
      <c r="X2408" s="210"/>
      <c r="Y2408" s="210"/>
      <c r="Z2408" s="210"/>
    </row>
    <row r="2409" ht="21.75" customHeight="1">
      <c r="A2409" s="214"/>
      <c r="B2409" s="221"/>
      <c r="C2409" s="222">
        <v>202.0</v>
      </c>
      <c r="D2409" s="223" t="s">
        <v>1650</v>
      </c>
      <c r="E2409" s="223" t="s">
        <v>487</v>
      </c>
      <c r="F2409" s="223" t="s">
        <v>512</v>
      </c>
      <c r="G2409" s="218" t="s">
        <v>490</v>
      </c>
      <c r="H2409" s="224" t="s">
        <v>490</v>
      </c>
      <c r="I2409" s="208"/>
      <c r="J2409" s="210"/>
      <c r="K2409" s="210"/>
      <c r="L2409" s="210"/>
      <c r="M2409" s="210"/>
      <c r="N2409" s="210"/>
      <c r="O2409" s="210"/>
      <c r="P2409" s="210"/>
      <c r="Q2409" s="210"/>
      <c r="R2409" s="210"/>
      <c r="S2409" s="210"/>
      <c r="T2409" s="210"/>
      <c r="U2409" s="210"/>
      <c r="V2409" s="210"/>
      <c r="W2409" s="210"/>
      <c r="X2409" s="210"/>
      <c r="Y2409" s="210"/>
      <c r="Z2409" s="210"/>
    </row>
    <row r="2410" ht="21.75" customHeight="1">
      <c r="A2410" s="214"/>
      <c r="B2410" s="221"/>
      <c r="C2410" s="222">
        <v>203.0</v>
      </c>
      <c r="D2410" s="223" t="s">
        <v>1479</v>
      </c>
      <c r="E2410" s="223" t="s">
        <v>487</v>
      </c>
      <c r="F2410" s="223" t="s">
        <v>532</v>
      </c>
      <c r="G2410" s="218" t="s">
        <v>490</v>
      </c>
      <c r="H2410" s="224" t="s">
        <v>490</v>
      </c>
      <c r="I2410" s="208"/>
      <c r="J2410" s="210"/>
      <c r="K2410" s="210"/>
      <c r="L2410" s="210"/>
      <c r="M2410" s="210"/>
      <c r="N2410" s="210"/>
      <c r="O2410" s="210"/>
      <c r="P2410" s="210"/>
      <c r="Q2410" s="210"/>
      <c r="R2410" s="210"/>
      <c r="S2410" s="210"/>
      <c r="T2410" s="210"/>
      <c r="U2410" s="210"/>
      <c r="V2410" s="210"/>
      <c r="W2410" s="210"/>
      <c r="X2410" s="210"/>
      <c r="Y2410" s="210"/>
      <c r="Z2410" s="210"/>
    </row>
    <row r="2411" ht="21.75" customHeight="1">
      <c r="A2411" s="214"/>
      <c r="B2411" s="221"/>
      <c r="C2411" s="222">
        <v>204.0</v>
      </c>
      <c r="D2411" s="223" t="s">
        <v>1651</v>
      </c>
      <c r="E2411" s="223" t="s">
        <v>487</v>
      </c>
      <c r="F2411" s="223" t="s">
        <v>590</v>
      </c>
      <c r="G2411" s="218" t="s">
        <v>490</v>
      </c>
      <c r="H2411" s="224" t="s">
        <v>490</v>
      </c>
      <c r="I2411" s="208"/>
      <c r="J2411" s="210"/>
      <c r="K2411" s="210"/>
      <c r="L2411" s="210"/>
      <c r="M2411" s="210"/>
      <c r="N2411" s="210"/>
      <c r="O2411" s="210"/>
      <c r="P2411" s="210"/>
      <c r="Q2411" s="210"/>
      <c r="R2411" s="210"/>
      <c r="S2411" s="210"/>
      <c r="T2411" s="210"/>
      <c r="U2411" s="210"/>
      <c r="V2411" s="210"/>
      <c r="W2411" s="210"/>
      <c r="X2411" s="210"/>
      <c r="Y2411" s="210"/>
      <c r="Z2411" s="210"/>
    </row>
    <row r="2412" ht="21.75" customHeight="1">
      <c r="A2412" s="214"/>
      <c r="B2412" s="221"/>
      <c r="C2412" s="222">
        <v>205.0</v>
      </c>
      <c r="D2412" s="223" t="s">
        <v>1652</v>
      </c>
      <c r="E2412" s="223" t="s">
        <v>487</v>
      </c>
      <c r="F2412" s="223" t="s">
        <v>603</v>
      </c>
      <c r="G2412" s="218" t="s">
        <v>490</v>
      </c>
      <c r="H2412" s="224" t="s">
        <v>490</v>
      </c>
      <c r="I2412" s="208"/>
      <c r="J2412" s="210"/>
      <c r="K2412" s="210"/>
      <c r="L2412" s="210"/>
      <c r="M2412" s="210"/>
      <c r="N2412" s="210"/>
      <c r="O2412" s="210"/>
      <c r="P2412" s="210"/>
      <c r="Q2412" s="210"/>
      <c r="R2412" s="210"/>
      <c r="S2412" s="210"/>
      <c r="T2412" s="210"/>
      <c r="U2412" s="210"/>
      <c r="V2412" s="210"/>
      <c r="W2412" s="210"/>
      <c r="X2412" s="210"/>
      <c r="Y2412" s="210"/>
      <c r="Z2412" s="210"/>
    </row>
    <row r="2413" ht="21.75" customHeight="1">
      <c r="A2413" s="214"/>
      <c r="B2413" s="221"/>
      <c r="C2413" s="222">
        <v>206.0</v>
      </c>
      <c r="D2413" s="223" t="s">
        <v>1653</v>
      </c>
      <c r="E2413" s="223" t="s">
        <v>529</v>
      </c>
      <c r="F2413" s="223" t="s">
        <v>530</v>
      </c>
      <c r="G2413" s="218" t="s">
        <v>490</v>
      </c>
      <c r="H2413" s="224" t="s">
        <v>490</v>
      </c>
      <c r="I2413" s="208"/>
      <c r="J2413" s="210"/>
      <c r="K2413" s="210"/>
      <c r="L2413" s="210"/>
      <c r="M2413" s="210"/>
      <c r="N2413" s="210"/>
      <c r="O2413" s="210"/>
      <c r="P2413" s="210"/>
      <c r="Q2413" s="210"/>
      <c r="R2413" s="210"/>
      <c r="S2413" s="210"/>
      <c r="T2413" s="210"/>
      <c r="U2413" s="210"/>
      <c r="V2413" s="210"/>
      <c r="W2413" s="210"/>
      <c r="X2413" s="210"/>
      <c r="Y2413" s="210"/>
      <c r="Z2413" s="210"/>
    </row>
    <row r="2414" ht="21.75" customHeight="1">
      <c r="A2414" s="228"/>
      <c r="B2414" s="221"/>
      <c r="C2414" s="222">
        <v>300.0</v>
      </c>
      <c r="D2414" s="223" t="s">
        <v>696</v>
      </c>
      <c r="E2414" s="223" t="s">
        <v>673</v>
      </c>
      <c r="F2414" s="223" t="s">
        <v>696</v>
      </c>
      <c r="G2414" s="218" t="s">
        <v>490</v>
      </c>
      <c r="H2414" s="224" t="s">
        <v>490</v>
      </c>
      <c r="I2414" s="208"/>
      <c r="J2414" s="210"/>
      <c r="K2414" s="210"/>
      <c r="L2414" s="210"/>
      <c r="M2414" s="210"/>
      <c r="N2414" s="210"/>
      <c r="O2414" s="210"/>
      <c r="P2414" s="210"/>
      <c r="Q2414" s="210"/>
      <c r="R2414" s="210"/>
      <c r="S2414" s="210"/>
      <c r="T2414" s="210"/>
      <c r="U2414" s="210"/>
      <c r="V2414" s="210"/>
      <c r="W2414" s="210"/>
      <c r="X2414" s="210"/>
      <c r="Y2414" s="210"/>
      <c r="Z2414" s="210"/>
    </row>
    <row r="2415" ht="21.75" customHeight="1">
      <c r="A2415" s="214">
        <v>60.0</v>
      </c>
      <c r="B2415" s="215" t="s">
        <v>2193</v>
      </c>
      <c r="C2415" s="216"/>
      <c r="D2415" s="217"/>
      <c r="E2415" s="217"/>
      <c r="F2415" s="217"/>
      <c r="G2415" s="217"/>
      <c r="H2415" s="217"/>
      <c r="I2415" s="208"/>
      <c r="J2415" s="210"/>
      <c r="K2415" s="210"/>
      <c r="L2415" s="210"/>
      <c r="M2415" s="210"/>
      <c r="N2415" s="210"/>
      <c r="O2415" s="210"/>
      <c r="P2415" s="210"/>
      <c r="Q2415" s="210"/>
      <c r="R2415" s="210"/>
      <c r="S2415" s="210"/>
      <c r="T2415" s="210"/>
      <c r="U2415" s="210"/>
      <c r="V2415" s="210"/>
      <c r="W2415" s="210"/>
      <c r="X2415" s="210"/>
      <c r="Y2415" s="210"/>
      <c r="Z2415" s="210"/>
    </row>
    <row r="2416" ht="21.75" customHeight="1">
      <c r="A2416" s="214"/>
      <c r="B2416" s="218" t="s">
        <v>2194</v>
      </c>
      <c r="C2416" s="219">
        <v>50961.0</v>
      </c>
      <c r="D2416" s="220"/>
      <c r="E2416" s="220"/>
      <c r="F2416" s="220"/>
      <c r="G2416" s="220"/>
      <c r="H2416" s="220"/>
      <c r="I2416" s="208"/>
      <c r="J2416" s="210"/>
      <c r="K2416" s="210"/>
      <c r="L2416" s="210"/>
      <c r="M2416" s="210"/>
      <c r="N2416" s="210"/>
      <c r="O2416" s="210"/>
      <c r="P2416" s="210"/>
      <c r="Q2416" s="210"/>
      <c r="R2416" s="210"/>
      <c r="S2416" s="210"/>
      <c r="T2416" s="210"/>
      <c r="U2416" s="210"/>
      <c r="V2416" s="210"/>
      <c r="W2416" s="210"/>
      <c r="X2416" s="210"/>
      <c r="Y2416" s="210"/>
      <c r="Z2416" s="210"/>
    </row>
    <row r="2417" ht="21.75" customHeight="1">
      <c r="A2417" s="214"/>
      <c r="B2417" s="221"/>
      <c r="C2417" s="222">
        <v>100.0</v>
      </c>
      <c r="D2417" s="223" t="s">
        <v>2195</v>
      </c>
      <c r="E2417" s="223" t="s">
        <v>487</v>
      </c>
      <c r="F2417" s="223" t="s">
        <v>488</v>
      </c>
      <c r="G2417" s="223" t="s">
        <v>678</v>
      </c>
      <c r="H2417" s="225" t="s">
        <v>2196</v>
      </c>
      <c r="I2417" s="208"/>
      <c r="J2417" s="210"/>
      <c r="K2417" s="210"/>
      <c r="L2417" s="210"/>
      <c r="M2417" s="210"/>
      <c r="N2417" s="210"/>
      <c r="O2417" s="210"/>
      <c r="P2417" s="210"/>
      <c r="Q2417" s="210"/>
      <c r="R2417" s="210"/>
      <c r="S2417" s="210"/>
      <c r="T2417" s="210"/>
      <c r="U2417" s="210"/>
      <c r="V2417" s="210"/>
      <c r="W2417" s="210"/>
      <c r="X2417" s="210"/>
      <c r="Y2417" s="210"/>
      <c r="Z2417" s="210"/>
    </row>
    <row r="2418" ht="21.75" customHeight="1">
      <c r="A2418" s="214"/>
      <c r="B2418" s="221"/>
      <c r="C2418" s="222">
        <v>101.0</v>
      </c>
      <c r="D2418" s="223" t="s">
        <v>516</v>
      </c>
      <c r="E2418" s="223" t="s">
        <v>487</v>
      </c>
      <c r="F2418" s="223" t="s">
        <v>492</v>
      </c>
      <c r="G2418" s="223" t="s">
        <v>501</v>
      </c>
      <c r="H2418" s="225" t="s">
        <v>2197</v>
      </c>
      <c r="I2418" s="208"/>
      <c r="J2418" s="210"/>
      <c r="K2418" s="210"/>
      <c r="L2418" s="210"/>
      <c r="M2418" s="210"/>
      <c r="N2418" s="210"/>
      <c r="O2418" s="210"/>
      <c r="P2418" s="210"/>
      <c r="Q2418" s="210"/>
      <c r="R2418" s="210"/>
      <c r="S2418" s="210"/>
      <c r="T2418" s="210"/>
      <c r="U2418" s="210"/>
      <c r="V2418" s="210"/>
      <c r="W2418" s="210"/>
      <c r="X2418" s="210"/>
      <c r="Y2418" s="210"/>
      <c r="Z2418" s="210"/>
    </row>
    <row r="2419" ht="21.75" customHeight="1">
      <c r="A2419" s="214"/>
      <c r="B2419" s="221"/>
      <c r="C2419" s="222">
        <v>102.0</v>
      </c>
      <c r="D2419" s="223" t="s">
        <v>2198</v>
      </c>
      <c r="E2419" s="223" t="s">
        <v>487</v>
      </c>
      <c r="F2419" s="223" t="s">
        <v>496</v>
      </c>
      <c r="G2419" s="223" t="s">
        <v>497</v>
      </c>
      <c r="H2419" s="225" t="s">
        <v>2199</v>
      </c>
      <c r="I2419" s="208"/>
      <c r="J2419" s="210"/>
      <c r="K2419" s="210"/>
      <c r="L2419" s="210"/>
      <c r="M2419" s="210"/>
      <c r="N2419" s="210"/>
      <c r="O2419" s="210"/>
      <c r="P2419" s="210"/>
      <c r="Q2419" s="210"/>
      <c r="R2419" s="210"/>
      <c r="S2419" s="210"/>
      <c r="T2419" s="210"/>
      <c r="U2419" s="210"/>
      <c r="V2419" s="210"/>
      <c r="W2419" s="210"/>
      <c r="X2419" s="210"/>
      <c r="Y2419" s="210"/>
      <c r="Z2419" s="210"/>
    </row>
    <row r="2420" ht="21.75" customHeight="1">
      <c r="A2420" s="228"/>
      <c r="B2420" s="221"/>
      <c r="C2420" s="222">
        <v>103.0</v>
      </c>
      <c r="D2420" s="223" t="s">
        <v>519</v>
      </c>
      <c r="E2420" s="223" t="s">
        <v>508</v>
      </c>
      <c r="F2420" s="223" t="s">
        <v>509</v>
      </c>
      <c r="G2420" s="223" t="s">
        <v>510</v>
      </c>
      <c r="H2420" s="225" t="s">
        <v>2200</v>
      </c>
      <c r="I2420" s="208"/>
      <c r="J2420" s="210"/>
      <c r="K2420" s="210"/>
      <c r="L2420" s="210"/>
      <c r="M2420" s="210"/>
      <c r="N2420" s="210"/>
      <c r="O2420" s="210"/>
      <c r="P2420" s="210"/>
      <c r="Q2420" s="210"/>
      <c r="R2420" s="210"/>
      <c r="S2420" s="210"/>
      <c r="T2420" s="210"/>
      <c r="U2420" s="210"/>
      <c r="V2420" s="210"/>
      <c r="W2420" s="210"/>
      <c r="X2420" s="210"/>
      <c r="Y2420" s="210"/>
      <c r="Z2420" s="210"/>
    </row>
    <row r="2421" ht="21.75" customHeight="1">
      <c r="A2421" s="214">
        <v>61.0</v>
      </c>
      <c r="B2421" s="215" t="s">
        <v>2201</v>
      </c>
      <c r="C2421" s="216"/>
      <c r="D2421" s="217"/>
      <c r="E2421" s="217"/>
      <c r="F2421" s="217"/>
      <c r="G2421" s="217"/>
      <c r="H2421" s="217"/>
      <c r="I2421" s="208"/>
      <c r="J2421" s="210"/>
      <c r="K2421" s="210"/>
      <c r="L2421" s="210"/>
      <c r="M2421" s="210"/>
      <c r="N2421" s="210"/>
      <c r="O2421" s="210"/>
      <c r="P2421" s="210"/>
      <c r="Q2421" s="210"/>
      <c r="R2421" s="210"/>
      <c r="S2421" s="210"/>
      <c r="T2421" s="210"/>
      <c r="U2421" s="210"/>
      <c r="V2421" s="210"/>
      <c r="W2421" s="210"/>
      <c r="X2421" s="210"/>
      <c r="Y2421" s="210"/>
      <c r="Z2421" s="210"/>
    </row>
    <row r="2422" ht="21.75" customHeight="1">
      <c r="A2422" s="214"/>
      <c r="B2422" s="218" t="s">
        <v>2202</v>
      </c>
      <c r="C2422" s="219">
        <v>50168.0</v>
      </c>
      <c r="D2422" s="220"/>
      <c r="E2422" s="220"/>
      <c r="F2422" s="220"/>
      <c r="G2422" s="220"/>
      <c r="H2422" s="220"/>
      <c r="I2422" s="208"/>
      <c r="J2422" s="210"/>
      <c r="K2422" s="210"/>
      <c r="L2422" s="210"/>
      <c r="M2422" s="210"/>
      <c r="N2422" s="210"/>
      <c r="O2422" s="210"/>
      <c r="P2422" s="210"/>
      <c r="Q2422" s="210"/>
      <c r="R2422" s="210"/>
      <c r="S2422" s="210"/>
      <c r="T2422" s="210"/>
      <c r="U2422" s="210"/>
      <c r="V2422" s="210"/>
      <c r="W2422" s="210"/>
      <c r="X2422" s="210"/>
      <c r="Y2422" s="210"/>
      <c r="Z2422" s="210"/>
    </row>
    <row r="2423" ht="21.75" customHeight="1">
      <c r="A2423" s="214"/>
      <c r="B2423" s="221"/>
      <c r="C2423" s="222">
        <v>100.0</v>
      </c>
      <c r="D2423" s="223" t="s">
        <v>486</v>
      </c>
      <c r="E2423" s="223" t="s">
        <v>487</v>
      </c>
      <c r="F2423" s="223" t="s">
        <v>488</v>
      </c>
      <c r="G2423" s="223" t="s">
        <v>489</v>
      </c>
      <c r="H2423" s="224" t="s">
        <v>490</v>
      </c>
      <c r="I2423" s="208"/>
      <c r="J2423" s="210"/>
      <c r="K2423" s="210"/>
      <c r="L2423" s="210"/>
      <c r="M2423" s="210"/>
      <c r="N2423" s="210"/>
      <c r="O2423" s="210"/>
      <c r="P2423" s="210"/>
      <c r="Q2423" s="210"/>
      <c r="R2423" s="210"/>
      <c r="S2423" s="210"/>
      <c r="T2423" s="210"/>
      <c r="U2423" s="210"/>
      <c r="V2423" s="210"/>
      <c r="W2423" s="210"/>
      <c r="X2423" s="210"/>
      <c r="Y2423" s="210"/>
      <c r="Z2423" s="210"/>
    </row>
    <row r="2424" ht="21.75" customHeight="1">
      <c r="A2424" s="214"/>
      <c r="B2424" s="221"/>
      <c r="C2424" s="222">
        <v>101.0</v>
      </c>
      <c r="D2424" s="223" t="s">
        <v>491</v>
      </c>
      <c r="E2424" s="223" t="s">
        <v>487</v>
      </c>
      <c r="F2424" s="223" t="s">
        <v>492</v>
      </c>
      <c r="G2424" s="223" t="s">
        <v>678</v>
      </c>
      <c r="H2424" s="225" t="s">
        <v>2203</v>
      </c>
      <c r="I2424" s="208"/>
      <c r="J2424" s="210"/>
      <c r="K2424" s="210"/>
      <c r="L2424" s="210"/>
      <c r="M2424" s="210"/>
      <c r="N2424" s="210"/>
      <c r="O2424" s="210"/>
      <c r="P2424" s="210"/>
      <c r="Q2424" s="210"/>
      <c r="R2424" s="210"/>
      <c r="S2424" s="210"/>
      <c r="T2424" s="210"/>
      <c r="U2424" s="210"/>
      <c r="V2424" s="210"/>
      <c r="W2424" s="210"/>
      <c r="X2424" s="210"/>
      <c r="Y2424" s="210"/>
      <c r="Z2424" s="210"/>
    </row>
    <row r="2425" ht="21.75" customHeight="1">
      <c r="A2425" s="214"/>
      <c r="B2425" s="221"/>
      <c r="C2425" s="222">
        <v>102.0</v>
      </c>
      <c r="D2425" s="223" t="s">
        <v>1350</v>
      </c>
      <c r="E2425" s="223" t="s">
        <v>487</v>
      </c>
      <c r="F2425" s="223" t="s">
        <v>496</v>
      </c>
      <c r="G2425" s="223" t="s">
        <v>497</v>
      </c>
      <c r="H2425" s="225" t="s">
        <v>2204</v>
      </c>
      <c r="I2425" s="208"/>
      <c r="J2425" s="210"/>
      <c r="K2425" s="210"/>
      <c r="L2425" s="210"/>
      <c r="M2425" s="210"/>
      <c r="N2425" s="210"/>
      <c r="O2425" s="210"/>
      <c r="P2425" s="210"/>
      <c r="Q2425" s="210"/>
      <c r="R2425" s="210"/>
      <c r="S2425" s="210"/>
      <c r="T2425" s="210"/>
      <c r="U2425" s="210"/>
      <c r="V2425" s="210"/>
      <c r="W2425" s="210"/>
      <c r="X2425" s="210"/>
      <c r="Y2425" s="210"/>
      <c r="Z2425" s="210"/>
    </row>
    <row r="2426" ht="21.75" customHeight="1">
      <c r="A2426" s="228"/>
      <c r="B2426" s="221"/>
      <c r="C2426" s="222">
        <v>103.0</v>
      </c>
      <c r="D2426" s="223" t="s">
        <v>519</v>
      </c>
      <c r="E2426" s="223" t="s">
        <v>508</v>
      </c>
      <c r="F2426" s="223" t="s">
        <v>509</v>
      </c>
      <c r="G2426" s="223" t="s">
        <v>510</v>
      </c>
      <c r="H2426" s="225" t="s">
        <v>879</v>
      </c>
      <c r="I2426" s="208"/>
      <c r="J2426" s="210"/>
      <c r="K2426" s="210"/>
      <c r="L2426" s="210"/>
      <c r="M2426" s="210"/>
      <c r="N2426" s="210"/>
      <c r="O2426" s="210"/>
      <c r="P2426" s="210"/>
      <c r="Q2426" s="210"/>
      <c r="R2426" s="210"/>
      <c r="S2426" s="210"/>
      <c r="T2426" s="210"/>
      <c r="U2426" s="210"/>
      <c r="V2426" s="210"/>
      <c r="W2426" s="210"/>
      <c r="X2426" s="210"/>
      <c r="Y2426" s="210"/>
      <c r="Z2426" s="210"/>
    </row>
    <row r="2427" ht="21.75" customHeight="1">
      <c r="A2427" s="214">
        <v>64.0</v>
      </c>
      <c r="B2427" s="229" t="s">
        <v>2205</v>
      </c>
      <c r="C2427" s="230"/>
      <c r="D2427" s="217"/>
      <c r="E2427" s="217"/>
      <c r="F2427" s="217"/>
      <c r="G2427" s="217"/>
      <c r="H2427" s="217"/>
      <c r="I2427" s="208"/>
      <c r="J2427" s="210"/>
      <c r="K2427" s="210"/>
      <c r="L2427" s="210"/>
      <c r="M2427" s="210"/>
      <c r="N2427" s="210"/>
      <c r="O2427" s="210"/>
      <c r="P2427" s="210"/>
      <c r="Q2427" s="210"/>
      <c r="R2427" s="210"/>
      <c r="S2427" s="210"/>
      <c r="T2427" s="210"/>
      <c r="U2427" s="210"/>
      <c r="V2427" s="210"/>
      <c r="W2427" s="210"/>
      <c r="X2427" s="210"/>
      <c r="Y2427" s="210"/>
      <c r="Z2427" s="210"/>
    </row>
    <row r="2428" ht="21.75" customHeight="1">
      <c r="A2428" s="214"/>
      <c r="B2428" s="218" t="s">
        <v>2206</v>
      </c>
      <c r="C2428" s="219">
        <v>50370.0</v>
      </c>
      <c r="D2428" s="220"/>
      <c r="E2428" s="220"/>
      <c r="F2428" s="220"/>
      <c r="G2428" s="220"/>
      <c r="H2428" s="220"/>
      <c r="I2428" s="208"/>
      <c r="J2428" s="210"/>
      <c r="K2428" s="210"/>
      <c r="L2428" s="210"/>
      <c r="M2428" s="210"/>
      <c r="N2428" s="210"/>
      <c r="O2428" s="210"/>
      <c r="P2428" s="210"/>
      <c r="Q2428" s="210"/>
      <c r="R2428" s="210"/>
      <c r="S2428" s="210"/>
      <c r="T2428" s="210"/>
      <c r="U2428" s="210"/>
      <c r="V2428" s="210"/>
      <c r="W2428" s="210"/>
      <c r="X2428" s="210"/>
      <c r="Y2428" s="210"/>
      <c r="Z2428" s="210"/>
    </row>
    <row r="2429" ht="21.75" customHeight="1">
      <c r="A2429" s="214"/>
      <c r="B2429" s="221"/>
      <c r="C2429" s="222">
        <v>100.0</v>
      </c>
      <c r="D2429" s="223" t="s">
        <v>486</v>
      </c>
      <c r="E2429" s="223" t="s">
        <v>487</v>
      </c>
      <c r="F2429" s="223" t="s">
        <v>488</v>
      </c>
      <c r="G2429" s="223" t="s">
        <v>489</v>
      </c>
      <c r="H2429" s="224" t="s">
        <v>490</v>
      </c>
      <c r="I2429" s="208"/>
      <c r="J2429" s="210"/>
      <c r="K2429" s="210"/>
      <c r="L2429" s="210"/>
      <c r="M2429" s="210"/>
      <c r="N2429" s="210"/>
      <c r="O2429" s="210"/>
      <c r="P2429" s="210"/>
      <c r="Q2429" s="210"/>
      <c r="R2429" s="210"/>
      <c r="S2429" s="210"/>
      <c r="T2429" s="210"/>
      <c r="U2429" s="210"/>
      <c r="V2429" s="210"/>
      <c r="W2429" s="210"/>
      <c r="X2429" s="210"/>
      <c r="Y2429" s="210"/>
      <c r="Z2429" s="210"/>
    </row>
    <row r="2430" ht="21.75" customHeight="1">
      <c r="A2430" s="214"/>
      <c r="B2430" s="221"/>
      <c r="C2430" s="222">
        <v>101.0</v>
      </c>
      <c r="D2430" s="223" t="s">
        <v>852</v>
      </c>
      <c r="E2430" s="223" t="s">
        <v>487</v>
      </c>
      <c r="F2430" s="223" t="s">
        <v>492</v>
      </c>
      <c r="G2430" s="223" t="s">
        <v>513</v>
      </c>
      <c r="H2430" s="225" t="s">
        <v>2207</v>
      </c>
      <c r="I2430" s="208"/>
      <c r="J2430" s="210"/>
      <c r="K2430" s="210"/>
      <c r="L2430" s="210"/>
      <c r="M2430" s="210"/>
      <c r="N2430" s="210"/>
      <c r="O2430" s="210"/>
      <c r="P2430" s="210"/>
      <c r="Q2430" s="210"/>
      <c r="R2430" s="210"/>
      <c r="S2430" s="210"/>
      <c r="T2430" s="210"/>
      <c r="U2430" s="210"/>
      <c r="V2430" s="210"/>
      <c r="W2430" s="210"/>
      <c r="X2430" s="210"/>
      <c r="Y2430" s="210"/>
      <c r="Z2430" s="210"/>
    </row>
    <row r="2431" ht="21.75" customHeight="1">
      <c r="A2431" s="214"/>
      <c r="B2431" s="221"/>
      <c r="C2431" s="222">
        <v>102.0</v>
      </c>
      <c r="D2431" s="223" t="s">
        <v>854</v>
      </c>
      <c r="E2431" s="223" t="s">
        <v>487</v>
      </c>
      <c r="F2431" s="223" t="s">
        <v>496</v>
      </c>
      <c r="G2431" s="223" t="s">
        <v>594</v>
      </c>
      <c r="H2431" s="225" t="s">
        <v>2208</v>
      </c>
      <c r="I2431" s="208"/>
      <c r="J2431" s="210"/>
      <c r="K2431" s="210"/>
      <c r="L2431" s="210"/>
      <c r="M2431" s="210"/>
      <c r="N2431" s="210"/>
      <c r="O2431" s="210"/>
      <c r="P2431" s="210"/>
      <c r="Q2431" s="210"/>
      <c r="R2431" s="210"/>
      <c r="S2431" s="210"/>
      <c r="T2431" s="210"/>
      <c r="U2431" s="210"/>
      <c r="V2431" s="210"/>
      <c r="W2431" s="210"/>
      <c r="X2431" s="210"/>
      <c r="Y2431" s="210"/>
      <c r="Z2431" s="210"/>
    </row>
    <row r="2432" ht="21.75" customHeight="1">
      <c r="A2432" s="214"/>
      <c r="B2432" s="221"/>
      <c r="C2432" s="222">
        <v>103.0</v>
      </c>
      <c r="D2432" s="223" t="s">
        <v>725</v>
      </c>
      <c r="E2432" s="223" t="s">
        <v>487</v>
      </c>
      <c r="F2432" s="223" t="s">
        <v>500</v>
      </c>
      <c r="G2432" s="223" t="s">
        <v>526</v>
      </c>
      <c r="H2432" s="225" t="s">
        <v>776</v>
      </c>
      <c r="I2432" s="208"/>
      <c r="J2432" s="210"/>
      <c r="K2432" s="210"/>
      <c r="L2432" s="210"/>
      <c r="M2432" s="210"/>
      <c r="N2432" s="210"/>
      <c r="O2432" s="210"/>
      <c r="P2432" s="210"/>
      <c r="Q2432" s="210"/>
      <c r="R2432" s="210"/>
      <c r="S2432" s="210"/>
      <c r="T2432" s="210"/>
      <c r="U2432" s="210"/>
      <c r="V2432" s="210"/>
      <c r="W2432" s="210"/>
      <c r="X2432" s="210"/>
      <c r="Y2432" s="210"/>
      <c r="Z2432" s="210"/>
    </row>
    <row r="2433" ht="21.75" customHeight="1">
      <c r="A2433" s="214"/>
      <c r="B2433" s="221"/>
      <c r="C2433" s="222">
        <v>104.0</v>
      </c>
      <c r="D2433" s="223" t="s">
        <v>727</v>
      </c>
      <c r="E2433" s="223" t="s">
        <v>487</v>
      </c>
      <c r="F2433" s="223" t="s">
        <v>512</v>
      </c>
      <c r="G2433" s="223" t="s">
        <v>497</v>
      </c>
      <c r="H2433" s="224" t="s">
        <v>490</v>
      </c>
      <c r="I2433" s="208"/>
      <c r="J2433" s="210"/>
      <c r="K2433" s="210"/>
      <c r="L2433" s="210"/>
      <c r="M2433" s="210"/>
      <c r="N2433" s="210"/>
      <c r="O2433" s="210"/>
      <c r="P2433" s="210"/>
      <c r="Q2433" s="210"/>
      <c r="R2433" s="210"/>
      <c r="S2433" s="210"/>
      <c r="T2433" s="210"/>
      <c r="U2433" s="210"/>
      <c r="V2433" s="210"/>
      <c r="W2433" s="210"/>
      <c r="X2433" s="210"/>
      <c r="Y2433" s="210"/>
      <c r="Z2433" s="210"/>
    </row>
    <row r="2434" ht="21.75" customHeight="1">
      <c r="A2434" s="214"/>
      <c r="B2434" s="221"/>
      <c r="C2434" s="222">
        <v>105.0</v>
      </c>
      <c r="D2434" s="223" t="s">
        <v>2209</v>
      </c>
      <c r="E2434" s="223" t="s">
        <v>487</v>
      </c>
      <c r="F2434" s="223" t="s">
        <v>532</v>
      </c>
      <c r="G2434" s="223" t="s">
        <v>501</v>
      </c>
      <c r="H2434" s="224" t="s">
        <v>490</v>
      </c>
      <c r="I2434" s="208"/>
      <c r="J2434" s="210"/>
      <c r="K2434" s="210"/>
      <c r="L2434" s="210"/>
      <c r="M2434" s="210"/>
      <c r="N2434" s="210"/>
      <c r="O2434" s="210"/>
      <c r="P2434" s="210"/>
      <c r="Q2434" s="210"/>
      <c r="R2434" s="210"/>
      <c r="S2434" s="210"/>
      <c r="T2434" s="210"/>
      <c r="U2434" s="210"/>
      <c r="V2434" s="210"/>
      <c r="W2434" s="210"/>
      <c r="X2434" s="210"/>
      <c r="Y2434" s="210"/>
      <c r="Z2434" s="210"/>
    </row>
    <row r="2435" ht="21.75" customHeight="1">
      <c r="A2435" s="214"/>
      <c r="B2435" s="221"/>
      <c r="C2435" s="222">
        <v>106.0</v>
      </c>
      <c r="D2435" s="223" t="s">
        <v>369</v>
      </c>
      <c r="E2435" s="223" t="s">
        <v>487</v>
      </c>
      <c r="F2435" s="223" t="s">
        <v>590</v>
      </c>
      <c r="G2435" s="223" t="s">
        <v>493</v>
      </c>
      <c r="H2435" s="224" t="s">
        <v>490</v>
      </c>
      <c r="I2435" s="208"/>
      <c r="J2435" s="210"/>
      <c r="K2435" s="210"/>
      <c r="L2435" s="210"/>
      <c r="M2435" s="210"/>
      <c r="N2435" s="210"/>
      <c r="O2435" s="210"/>
      <c r="P2435" s="210"/>
      <c r="Q2435" s="210"/>
      <c r="R2435" s="210"/>
      <c r="S2435" s="210"/>
      <c r="T2435" s="210"/>
      <c r="U2435" s="210"/>
      <c r="V2435" s="210"/>
      <c r="W2435" s="210"/>
      <c r="X2435" s="210"/>
      <c r="Y2435" s="210"/>
      <c r="Z2435" s="210"/>
    </row>
    <row r="2436" ht="21.75" customHeight="1">
      <c r="A2436" s="228"/>
      <c r="B2436" s="221"/>
      <c r="C2436" s="222">
        <v>107.0</v>
      </c>
      <c r="D2436" s="223" t="s">
        <v>541</v>
      </c>
      <c r="E2436" s="223" t="s">
        <v>508</v>
      </c>
      <c r="F2436" s="223" t="s">
        <v>509</v>
      </c>
      <c r="G2436" s="223" t="s">
        <v>510</v>
      </c>
      <c r="H2436" s="225" t="s">
        <v>2210</v>
      </c>
      <c r="I2436" s="208"/>
      <c r="J2436" s="210"/>
      <c r="K2436" s="210"/>
      <c r="L2436" s="210"/>
      <c r="M2436" s="210"/>
      <c r="N2436" s="210"/>
      <c r="O2436" s="210"/>
      <c r="P2436" s="210"/>
      <c r="Q2436" s="210"/>
      <c r="R2436" s="210"/>
      <c r="S2436" s="210"/>
      <c r="T2436" s="210"/>
      <c r="U2436" s="210"/>
      <c r="V2436" s="210"/>
      <c r="W2436" s="210"/>
      <c r="X2436" s="210"/>
      <c r="Y2436" s="210"/>
      <c r="Z2436" s="210"/>
    </row>
    <row r="2437" ht="21.75" customHeight="1">
      <c r="A2437" s="214">
        <v>75.0</v>
      </c>
      <c r="B2437" s="215" t="s">
        <v>2211</v>
      </c>
      <c r="C2437" s="216"/>
      <c r="D2437" s="217"/>
      <c r="E2437" s="217"/>
      <c r="F2437" s="217"/>
      <c r="G2437" s="217"/>
      <c r="H2437" s="217"/>
      <c r="I2437" s="208"/>
      <c r="J2437" s="210"/>
      <c r="K2437" s="210"/>
      <c r="L2437" s="210"/>
      <c r="M2437" s="210"/>
      <c r="N2437" s="210"/>
      <c r="O2437" s="210"/>
      <c r="P2437" s="210"/>
      <c r="Q2437" s="210"/>
      <c r="R2437" s="210"/>
      <c r="S2437" s="210"/>
      <c r="T2437" s="210"/>
      <c r="U2437" s="210"/>
      <c r="V2437" s="210"/>
      <c r="W2437" s="210"/>
      <c r="X2437" s="210"/>
      <c r="Y2437" s="210"/>
      <c r="Z2437" s="210"/>
    </row>
    <row r="2438" ht="21.75" customHeight="1">
      <c r="A2438" s="214"/>
      <c r="B2438" s="218" t="s">
        <v>2212</v>
      </c>
      <c r="C2438" s="219">
        <v>50562.0</v>
      </c>
      <c r="D2438" s="220"/>
      <c r="E2438" s="220"/>
      <c r="F2438" s="220"/>
      <c r="G2438" s="220"/>
      <c r="H2438" s="220"/>
      <c r="I2438" s="208"/>
      <c r="J2438" s="210"/>
      <c r="K2438" s="210"/>
      <c r="L2438" s="210"/>
      <c r="M2438" s="210"/>
      <c r="N2438" s="210"/>
      <c r="O2438" s="210"/>
      <c r="P2438" s="210"/>
      <c r="Q2438" s="210"/>
      <c r="R2438" s="210"/>
      <c r="S2438" s="210"/>
      <c r="T2438" s="210"/>
      <c r="U2438" s="210"/>
      <c r="V2438" s="210"/>
      <c r="W2438" s="210"/>
      <c r="X2438" s="210"/>
      <c r="Y2438" s="210"/>
      <c r="Z2438" s="210"/>
    </row>
    <row r="2439" ht="21.75" customHeight="1">
      <c r="A2439" s="214"/>
      <c r="B2439" s="221"/>
      <c r="C2439" s="222">
        <v>100.0</v>
      </c>
      <c r="D2439" s="223" t="s">
        <v>486</v>
      </c>
      <c r="E2439" s="223" t="s">
        <v>487</v>
      </c>
      <c r="F2439" s="223" t="s">
        <v>488</v>
      </c>
      <c r="G2439" s="223" t="s">
        <v>489</v>
      </c>
      <c r="H2439" s="224" t="s">
        <v>490</v>
      </c>
      <c r="I2439" s="208"/>
      <c r="J2439" s="210"/>
      <c r="K2439" s="210"/>
      <c r="L2439" s="210"/>
      <c r="M2439" s="210"/>
      <c r="N2439" s="210"/>
      <c r="O2439" s="210"/>
      <c r="P2439" s="210"/>
      <c r="Q2439" s="210"/>
      <c r="R2439" s="210"/>
      <c r="S2439" s="210"/>
      <c r="T2439" s="210"/>
      <c r="U2439" s="210"/>
      <c r="V2439" s="210"/>
      <c r="W2439" s="210"/>
      <c r="X2439" s="210"/>
      <c r="Y2439" s="210"/>
      <c r="Z2439" s="210"/>
    </row>
    <row r="2440" ht="21.75" customHeight="1">
      <c r="A2440" s="214"/>
      <c r="B2440" s="221"/>
      <c r="C2440" s="222">
        <v>101.0</v>
      </c>
      <c r="D2440" s="223" t="s">
        <v>369</v>
      </c>
      <c r="E2440" s="223" t="s">
        <v>487</v>
      </c>
      <c r="F2440" s="223" t="s">
        <v>492</v>
      </c>
      <c r="G2440" s="223" t="s">
        <v>526</v>
      </c>
      <c r="H2440" s="225" t="s">
        <v>2213</v>
      </c>
      <c r="I2440" s="208"/>
      <c r="J2440" s="210"/>
      <c r="K2440" s="210"/>
      <c r="L2440" s="210"/>
      <c r="M2440" s="210"/>
      <c r="N2440" s="210"/>
      <c r="O2440" s="210"/>
      <c r="P2440" s="210"/>
      <c r="Q2440" s="210"/>
      <c r="R2440" s="210"/>
      <c r="S2440" s="210"/>
      <c r="T2440" s="210"/>
      <c r="U2440" s="210"/>
      <c r="V2440" s="210"/>
      <c r="W2440" s="210"/>
      <c r="X2440" s="210"/>
      <c r="Y2440" s="210"/>
      <c r="Z2440" s="210"/>
    </row>
    <row r="2441" ht="21.75" customHeight="1">
      <c r="A2441" s="214"/>
      <c r="B2441" s="221"/>
      <c r="C2441" s="222">
        <v>102.0</v>
      </c>
      <c r="D2441" s="223" t="s">
        <v>516</v>
      </c>
      <c r="E2441" s="223" t="s">
        <v>487</v>
      </c>
      <c r="F2441" s="223" t="s">
        <v>496</v>
      </c>
      <c r="G2441" s="223" t="s">
        <v>493</v>
      </c>
      <c r="H2441" s="225" t="s">
        <v>2214</v>
      </c>
      <c r="I2441" s="208"/>
      <c r="J2441" s="210"/>
      <c r="K2441" s="210"/>
      <c r="L2441" s="210"/>
      <c r="M2441" s="210"/>
      <c r="N2441" s="210"/>
      <c r="O2441" s="210"/>
      <c r="P2441" s="210"/>
      <c r="Q2441" s="210"/>
      <c r="R2441" s="210"/>
      <c r="S2441" s="210"/>
      <c r="T2441" s="210"/>
      <c r="U2441" s="210"/>
      <c r="V2441" s="210"/>
      <c r="W2441" s="210"/>
      <c r="X2441" s="210"/>
      <c r="Y2441" s="210"/>
      <c r="Z2441" s="210"/>
    </row>
    <row r="2442" ht="21.75" customHeight="1">
      <c r="A2442" s="214"/>
      <c r="B2442" s="221"/>
      <c r="C2442" s="222">
        <v>103.0</v>
      </c>
      <c r="D2442" s="223" t="s">
        <v>777</v>
      </c>
      <c r="E2442" s="223" t="s">
        <v>487</v>
      </c>
      <c r="F2442" s="223" t="s">
        <v>500</v>
      </c>
      <c r="G2442" s="223" t="s">
        <v>497</v>
      </c>
      <c r="H2442" s="225" t="s">
        <v>2215</v>
      </c>
      <c r="I2442" s="208"/>
      <c r="J2442" s="210"/>
      <c r="K2442" s="210"/>
      <c r="L2442" s="210"/>
      <c r="M2442" s="210"/>
      <c r="N2442" s="210"/>
      <c r="O2442" s="210"/>
      <c r="P2442" s="210"/>
      <c r="Q2442" s="210"/>
      <c r="R2442" s="210"/>
      <c r="S2442" s="210"/>
      <c r="T2442" s="210"/>
      <c r="U2442" s="210"/>
      <c r="V2442" s="210"/>
      <c r="W2442" s="210"/>
      <c r="X2442" s="210"/>
      <c r="Y2442" s="210"/>
      <c r="Z2442" s="210"/>
    </row>
    <row r="2443" ht="21.75" customHeight="1">
      <c r="A2443" s="214"/>
      <c r="B2443" s="221"/>
      <c r="C2443" s="222">
        <v>104.0</v>
      </c>
      <c r="D2443" s="223" t="s">
        <v>779</v>
      </c>
      <c r="E2443" s="223" t="s">
        <v>487</v>
      </c>
      <c r="F2443" s="223" t="s">
        <v>512</v>
      </c>
      <c r="G2443" s="223" t="s">
        <v>501</v>
      </c>
      <c r="H2443" s="225" t="s">
        <v>2216</v>
      </c>
      <c r="I2443" s="208"/>
      <c r="J2443" s="210"/>
      <c r="K2443" s="210"/>
      <c r="L2443" s="210"/>
      <c r="M2443" s="210"/>
      <c r="N2443" s="210"/>
      <c r="O2443" s="210"/>
      <c r="P2443" s="210"/>
      <c r="Q2443" s="210"/>
      <c r="R2443" s="210"/>
      <c r="S2443" s="210"/>
      <c r="T2443" s="210"/>
      <c r="U2443" s="210"/>
      <c r="V2443" s="210"/>
      <c r="W2443" s="210"/>
      <c r="X2443" s="210"/>
      <c r="Y2443" s="210"/>
      <c r="Z2443" s="210"/>
    </row>
    <row r="2444" ht="21.75" customHeight="1">
      <c r="A2444" s="214"/>
      <c r="B2444" s="217"/>
      <c r="C2444" s="222">
        <v>105.0</v>
      </c>
      <c r="D2444" s="215" t="s">
        <v>507</v>
      </c>
      <c r="E2444" s="215" t="s">
        <v>508</v>
      </c>
      <c r="F2444" s="215" t="s">
        <v>509</v>
      </c>
      <c r="G2444" s="215" t="s">
        <v>510</v>
      </c>
      <c r="H2444" s="225" t="s">
        <v>2217</v>
      </c>
      <c r="I2444" s="208"/>
      <c r="J2444" s="210"/>
      <c r="K2444" s="210"/>
      <c r="L2444" s="210"/>
      <c r="M2444" s="210"/>
      <c r="N2444" s="210"/>
      <c r="O2444" s="210"/>
      <c r="P2444" s="210"/>
      <c r="Q2444" s="210"/>
      <c r="R2444" s="210"/>
      <c r="S2444" s="210"/>
      <c r="T2444" s="210"/>
      <c r="U2444" s="210"/>
      <c r="V2444" s="210"/>
      <c r="W2444" s="210"/>
      <c r="X2444" s="210"/>
      <c r="Y2444" s="210"/>
      <c r="Z2444" s="210"/>
    </row>
    <row r="2445" ht="21.75" customHeight="1">
      <c r="A2445" s="214"/>
      <c r="B2445" s="218" t="s">
        <v>2218</v>
      </c>
      <c r="C2445" s="226">
        <v>50552.0</v>
      </c>
      <c r="D2445" s="220"/>
      <c r="E2445" s="220"/>
      <c r="F2445" s="220"/>
      <c r="G2445" s="220"/>
      <c r="H2445" s="221"/>
      <c r="I2445" s="208"/>
      <c r="J2445" s="210"/>
      <c r="K2445" s="210"/>
      <c r="L2445" s="210"/>
      <c r="M2445" s="210"/>
      <c r="N2445" s="210"/>
      <c r="O2445" s="210"/>
      <c r="P2445" s="210"/>
      <c r="Q2445" s="210"/>
      <c r="R2445" s="210"/>
      <c r="S2445" s="210"/>
      <c r="T2445" s="210"/>
      <c r="U2445" s="210"/>
      <c r="V2445" s="210"/>
      <c r="W2445" s="210"/>
      <c r="X2445" s="210"/>
      <c r="Y2445" s="210"/>
      <c r="Z2445" s="210"/>
    </row>
    <row r="2446" ht="21.75" customHeight="1">
      <c r="A2446" s="214"/>
      <c r="B2446" s="221"/>
      <c r="C2446" s="222">
        <v>100.0</v>
      </c>
      <c r="D2446" s="223" t="s">
        <v>486</v>
      </c>
      <c r="E2446" s="223" t="s">
        <v>487</v>
      </c>
      <c r="F2446" s="223" t="s">
        <v>488</v>
      </c>
      <c r="G2446" s="223" t="s">
        <v>489</v>
      </c>
      <c r="H2446" s="224" t="s">
        <v>490</v>
      </c>
      <c r="I2446" s="208"/>
      <c r="J2446" s="210"/>
      <c r="K2446" s="210"/>
      <c r="L2446" s="210"/>
      <c r="M2446" s="210"/>
      <c r="N2446" s="210"/>
      <c r="O2446" s="210"/>
      <c r="P2446" s="210"/>
      <c r="Q2446" s="210"/>
      <c r="R2446" s="210"/>
      <c r="S2446" s="210"/>
      <c r="T2446" s="210"/>
      <c r="U2446" s="210"/>
      <c r="V2446" s="210"/>
      <c r="W2446" s="210"/>
      <c r="X2446" s="210"/>
      <c r="Y2446" s="210"/>
      <c r="Z2446" s="210"/>
    </row>
    <row r="2447" ht="21.75" customHeight="1">
      <c r="A2447" s="214"/>
      <c r="B2447" s="221"/>
      <c r="C2447" s="222">
        <v>101.0</v>
      </c>
      <c r="D2447" s="223" t="s">
        <v>491</v>
      </c>
      <c r="E2447" s="223" t="s">
        <v>487</v>
      </c>
      <c r="F2447" s="223" t="s">
        <v>492</v>
      </c>
      <c r="G2447" s="223" t="s">
        <v>678</v>
      </c>
      <c r="H2447" s="225" t="s">
        <v>2219</v>
      </c>
      <c r="I2447" s="208"/>
      <c r="J2447" s="210"/>
      <c r="K2447" s="210"/>
      <c r="L2447" s="210"/>
      <c r="M2447" s="210"/>
      <c r="N2447" s="210"/>
      <c r="O2447" s="210"/>
      <c r="P2447" s="210"/>
      <c r="Q2447" s="210"/>
      <c r="R2447" s="210"/>
      <c r="S2447" s="210"/>
      <c r="T2447" s="210"/>
      <c r="U2447" s="210"/>
      <c r="V2447" s="210"/>
      <c r="W2447" s="210"/>
      <c r="X2447" s="210"/>
      <c r="Y2447" s="210"/>
      <c r="Z2447" s="210"/>
    </row>
    <row r="2448" ht="21.75" customHeight="1">
      <c r="A2448" s="214"/>
      <c r="B2448" s="221"/>
      <c r="C2448" s="222">
        <v>102.0</v>
      </c>
      <c r="D2448" s="223" t="s">
        <v>516</v>
      </c>
      <c r="E2448" s="223" t="s">
        <v>487</v>
      </c>
      <c r="F2448" s="223" t="s">
        <v>496</v>
      </c>
      <c r="G2448" s="223" t="s">
        <v>493</v>
      </c>
      <c r="H2448" s="225" t="s">
        <v>2220</v>
      </c>
      <c r="I2448" s="208"/>
      <c r="J2448" s="210"/>
      <c r="K2448" s="210"/>
      <c r="L2448" s="210"/>
      <c r="M2448" s="210"/>
      <c r="N2448" s="210"/>
      <c r="O2448" s="210"/>
      <c r="P2448" s="210"/>
      <c r="Q2448" s="210"/>
      <c r="R2448" s="210"/>
      <c r="S2448" s="210"/>
      <c r="T2448" s="210"/>
      <c r="U2448" s="210"/>
      <c r="V2448" s="210"/>
      <c r="W2448" s="210"/>
      <c r="X2448" s="210"/>
      <c r="Y2448" s="210"/>
      <c r="Z2448" s="210"/>
    </row>
    <row r="2449" ht="21.75" customHeight="1">
      <c r="A2449" s="214"/>
      <c r="B2449" s="221"/>
      <c r="C2449" s="222">
        <v>103.0</v>
      </c>
      <c r="D2449" s="223" t="s">
        <v>777</v>
      </c>
      <c r="E2449" s="223" t="s">
        <v>487</v>
      </c>
      <c r="F2449" s="223" t="s">
        <v>500</v>
      </c>
      <c r="G2449" s="223" t="s">
        <v>497</v>
      </c>
      <c r="H2449" s="225" t="s">
        <v>2221</v>
      </c>
      <c r="I2449" s="208"/>
      <c r="J2449" s="210"/>
      <c r="K2449" s="210"/>
      <c r="L2449" s="210"/>
      <c r="M2449" s="210"/>
      <c r="N2449" s="210"/>
      <c r="O2449" s="210"/>
      <c r="P2449" s="210"/>
      <c r="Q2449" s="210"/>
      <c r="R2449" s="210"/>
      <c r="S2449" s="210"/>
      <c r="T2449" s="210"/>
      <c r="U2449" s="210"/>
      <c r="V2449" s="210"/>
      <c r="W2449" s="210"/>
      <c r="X2449" s="210"/>
      <c r="Y2449" s="210"/>
      <c r="Z2449" s="210"/>
    </row>
    <row r="2450" ht="21.75" customHeight="1">
      <c r="A2450" s="214"/>
      <c r="B2450" s="221"/>
      <c r="C2450" s="222">
        <v>104.0</v>
      </c>
      <c r="D2450" s="223" t="s">
        <v>779</v>
      </c>
      <c r="E2450" s="223" t="s">
        <v>487</v>
      </c>
      <c r="F2450" s="223" t="s">
        <v>512</v>
      </c>
      <c r="G2450" s="223" t="s">
        <v>501</v>
      </c>
      <c r="H2450" s="225" t="s">
        <v>2222</v>
      </c>
      <c r="I2450" s="208"/>
      <c r="J2450" s="210"/>
      <c r="K2450" s="210"/>
      <c r="L2450" s="210"/>
      <c r="M2450" s="210"/>
      <c r="N2450" s="210"/>
      <c r="O2450" s="210"/>
      <c r="P2450" s="210"/>
      <c r="Q2450" s="210"/>
      <c r="R2450" s="210"/>
      <c r="S2450" s="210"/>
      <c r="T2450" s="210"/>
      <c r="U2450" s="210"/>
      <c r="V2450" s="210"/>
      <c r="W2450" s="210"/>
      <c r="X2450" s="210"/>
      <c r="Y2450" s="210"/>
      <c r="Z2450" s="210"/>
    </row>
    <row r="2451" ht="21.75" customHeight="1">
      <c r="A2451" s="228"/>
      <c r="B2451" s="221"/>
      <c r="C2451" s="222">
        <v>105.0</v>
      </c>
      <c r="D2451" s="223" t="s">
        <v>507</v>
      </c>
      <c r="E2451" s="223" t="s">
        <v>508</v>
      </c>
      <c r="F2451" s="223" t="s">
        <v>509</v>
      </c>
      <c r="G2451" s="223" t="s">
        <v>510</v>
      </c>
      <c r="H2451" s="225" t="s">
        <v>879</v>
      </c>
      <c r="I2451" s="208"/>
      <c r="J2451" s="210"/>
      <c r="K2451" s="210"/>
      <c r="L2451" s="210"/>
      <c r="M2451" s="210"/>
      <c r="N2451" s="210"/>
      <c r="O2451" s="210"/>
      <c r="P2451" s="210"/>
      <c r="Q2451" s="210"/>
      <c r="R2451" s="210"/>
      <c r="S2451" s="210"/>
      <c r="T2451" s="210"/>
      <c r="U2451" s="210"/>
      <c r="V2451" s="210"/>
      <c r="W2451" s="210"/>
      <c r="X2451" s="210"/>
      <c r="Y2451" s="210"/>
      <c r="Z2451" s="210"/>
    </row>
    <row r="2452" ht="21.75" customHeight="1">
      <c r="A2452" s="214">
        <v>77.0</v>
      </c>
      <c r="B2452" s="215" t="s">
        <v>2223</v>
      </c>
      <c r="C2452" s="216"/>
      <c r="D2452" s="217"/>
      <c r="E2452" s="217"/>
      <c r="F2452" s="217"/>
      <c r="G2452" s="217"/>
      <c r="H2452" s="217"/>
      <c r="I2452" s="208"/>
      <c r="J2452" s="210"/>
      <c r="K2452" s="210"/>
      <c r="L2452" s="210"/>
      <c r="M2452" s="210"/>
      <c r="N2452" s="210"/>
      <c r="O2452" s="210"/>
      <c r="P2452" s="210"/>
      <c r="Q2452" s="210"/>
      <c r="R2452" s="210"/>
      <c r="S2452" s="210"/>
      <c r="T2452" s="210"/>
      <c r="U2452" s="210"/>
      <c r="V2452" s="210"/>
      <c r="W2452" s="210"/>
      <c r="X2452" s="210"/>
      <c r="Y2452" s="210"/>
      <c r="Z2452" s="210"/>
    </row>
    <row r="2453" ht="21.75" customHeight="1">
      <c r="A2453" s="214"/>
      <c r="B2453" s="218" t="s">
        <v>2224</v>
      </c>
      <c r="C2453" s="219">
        <v>50856.0</v>
      </c>
      <c r="D2453" s="220"/>
      <c r="E2453" s="220"/>
      <c r="F2453" s="220"/>
      <c r="G2453" s="220"/>
      <c r="H2453" s="220"/>
      <c r="I2453" s="208"/>
      <c r="J2453" s="210"/>
      <c r="K2453" s="210"/>
      <c r="L2453" s="210"/>
      <c r="M2453" s="210"/>
      <c r="N2453" s="210"/>
      <c r="O2453" s="210"/>
      <c r="P2453" s="210"/>
      <c r="Q2453" s="210"/>
      <c r="R2453" s="210"/>
      <c r="S2453" s="210"/>
      <c r="T2453" s="210"/>
      <c r="U2453" s="210"/>
      <c r="V2453" s="210"/>
      <c r="W2453" s="210"/>
      <c r="X2453" s="210"/>
      <c r="Y2453" s="210"/>
      <c r="Z2453" s="210"/>
    </row>
    <row r="2454" ht="21.75" customHeight="1">
      <c r="A2454" s="214"/>
      <c r="B2454" s="221"/>
      <c r="C2454" s="222">
        <v>100.0</v>
      </c>
      <c r="D2454" s="223" t="s">
        <v>486</v>
      </c>
      <c r="E2454" s="223" t="s">
        <v>487</v>
      </c>
      <c r="F2454" s="223" t="s">
        <v>488</v>
      </c>
      <c r="G2454" s="223" t="s">
        <v>489</v>
      </c>
      <c r="H2454" s="224" t="s">
        <v>490</v>
      </c>
      <c r="I2454" s="208"/>
      <c r="J2454" s="210"/>
      <c r="K2454" s="210"/>
      <c r="L2454" s="210"/>
      <c r="M2454" s="210"/>
      <c r="N2454" s="210"/>
      <c r="O2454" s="210"/>
      <c r="P2454" s="210"/>
      <c r="Q2454" s="210"/>
      <c r="R2454" s="210"/>
      <c r="S2454" s="210"/>
      <c r="T2454" s="210"/>
      <c r="U2454" s="210"/>
      <c r="V2454" s="210"/>
      <c r="W2454" s="210"/>
      <c r="X2454" s="210"/>
      <c r="Y2454" s="210"/>
      <c r="Z2454" s="210"/>
    </row>
    <row r="2455" ht="21.75" customHeight="1">
      <c r="A2455" s="214"/>
      <c r="B2455" s="221"/>
      <c r="C2455" s="222">
        <v>101.0</v>
      </c>
      <c r="D2455" s="223" t="s">
        <v>491</v>
      </c>
      <c r="E2455" s="223" t="s">
        <v>487</v>
      </c>
      <c r="F2455" s="223" t="s">
        <v>492</v>
      </c>
      <c r="G2455" s="223" t="s">
        <v>678</v>
      </c>
      <c r="H2455" s="225" t="s">
        <v>2225</v>
      </c>
      <c r="I2455" s="208"/>
      <c r="J2455" s="210"/>
      <c r="K2455" s="210"/>
      <c r="L2455" s="210"/>
      <c r="M2455" s="210"/>
      <c r="N2455" s="210"/>
      <c r="O2455" s="210"/>
      <c r="P2455" s="210"/>
      <c r="Q2455" s="210"/>
      <c r="R2455" s="210"/>
      <c r="S2455" s="210"/>
      <c r="T2455" s="210"/>
      <c r="U2455" s="210"/>
      <c r="V2455" s="210"/>
      <c r="W2455" s="210"/>
      <c r="X2455" s="210"/>
      <c r="Y2455" s="210"/>
      <c r="Z2455" s="210"/>
    </row>
    <row r="2456" ht="21.75" customHeight="1">
      <c r="A2456" s="214"/>
      <c r="B2456" s="221"/>
      <c r="C2456" s="222">
        <v>102.0</v>
      </c>
      <c r="D2456" s="223" t="s">
        <v>2226</v>
      </c>
      <c r="E2456" s="223" t="s">
        <v>487</v>
      </c>
      <c r="F2456" s="223" t="s">
        <v>496</v>
      </c>
      <c r="G2456" s="223" t="s">
        <v>501</v>
      </c>
      <c r="H2456" s="224" t="s">
        <v>490</v>
      </c>
      <c r="I2456" s="208"/>
      <c r="J2456" s="210"/>
      <c r="K2456" s="210"/>
      <c r="L2456" s="210"/>
      <c r="M2456" s="210"/>
      <c r="N2456" s="210"/>
      <c r="O2456" s="210"/>
      <c r="P2456" s="210"/>
      <c r="Q2456" s="210"/>
      <c r="R2456" s="210"/>
      <c r="S2456" s="210"/>
      <c r="T2456" s="210"/>
      <c r="U2456" s="210"/>
      <c r="V2456" s="210"/>
      <c r="W2456" s="210"/>
      <c r="X2456" s="210"/>
      <c r="Y2456" s="210"/>
      <c r="Z2456" s="210"/>
    </row>
    <row r="2457" ht="21.75" customHeight="1">
      <c r="A2457" s="214"/>
      <c r="B2457" s="221"/>
      <c r="C2457" s="222">
        <v>103.0</v>
      </c>
      <c r="D2457" s="223" t="s">
        <v>1407</v>
      </c>
      <c r="E2457" s="223" t="s">
        <v>487</v>
      </c>
      <c r="F2457" s="223" t="s">
        <v>500</v>
      </c>
      <c r="G2457" s="223" t="s">
        <v>497</v>
      </c>
      <c r="H2457" s="224" t="s">
        <v>490</v>
      </c>
      <c r="I2457" s="208"/>
      <c r="J2457" s="210"/>
      <c r="K2457" s="210"/>
      <c r="L2457" s="210"/>
      <c r="M2457" s="210"/>
      <c r="N2457" s="210"/>
      <c r="O2457" s="210"/>
      <c r="P2457" s="210"/>
      <c r="Q2457" s="210"/>
      <c r="R2457" s="210"/>
      <c r="S2457" s="210"/>
      <c r="T2457" s="210"/>
      <c r="U2457" s="210"/>
      <c r="V2457" s="210"/>
      <c r="W2457" s="210"/>
      <c r="X2457" s="210"/>
      <c r="Y2457" s="210"/>
      <c r="Z2457" s="210"/>
    </row>
    <row r="2458" ht="21.75" customHeight="1">
      <c r="A2458" s="228"/>
      <c r="B2458" s="221"/>
      <c r="C2458" s="222">
        <v>104.0</v>
      </c>
      <c r="D2458" s="223" t="s">
        <v>507</v>
      </c>
      <c r="E2458" s="223" t="s">
        <v>508</v>
      </c>
      <c r="F2458" s="223" t="s">
        <v>509</v>
      </c>
      <c r="G2458" s="223" t="s">
        <v>510</v>
      </c>
      <c r="H2458" s="225" t="s">
        <v>2227</v>
      </c>
      <c r="I2458" s="208"/>
      <c r="J2458" s="210"/>
      <c r="K2458" s="210"/>
      <c r="L2458" s="210"/>
      <c r="M2458" s="210"/>
      <c r="N2458" s="210"/>
      <c r="O2458" s="210"/>
      <c r="P2458" s="210"/>
      <c r="Q2458" s="210"/>
      <c r="R2458" s="210"/>
      <c r="S2458" s="210"/>
      <c r="T2458" s="210"/>
      <c r="U2458" s="210"/>
      <c r="V2458" s="210"/>
      <c r="W2458" s="210"/>
      <c r="X2458" s="210"/>
      <c r="Y2458" s="210"/>
      <c r="Z2458" s="210"/>
    </row>
    <row r="2459" ht="21.75" customHeight="1">
      <c r="A2459" s="214">
        <v>89.0</v>
      </c>
      <c r="B2459" s="215" t="s">
        <v>2228</v>
      </c>
      <c r="C2459" s="216"/>
      <c r="D2459" s="217"/>
      <c r="E2459" s="217"/>
      <c r="F2459" s="217"/>
      <c r="G2459" s="217"/>
      <c r="H2459" s="217"/>
      <c r="I2459" s="208"/>
      <c r="J2459" s="210"/>
      <c r="K2459" s="210"/>
      <c r="L2459" s="210"/>
      <c r="M2459" s="210"/>
      <c r="N2459" s="210"/>
      <c r="O2459" s="210"/>
      <c r="P2459" s="210"/>
      <c r="Q2459" s="210"/>
      <c r="R2459" s="210"/>
      <c r="S2459" s="210"/>
      <c r="T2459" s="210"/>
      <c r="U2459" s="210"/>
      <c r="V2459" s="210"/>
      <c r="W2459" s="210"/>
      <c r="X2459" s="210"/>
      <c r="Y2459" s="210"/>
      <c r="Z2459" s="210"/>
    </row>
    <row r="2460" ht="21.75" customHeight="1">
      <c r="A2460" s="214"/>
      <c r="B2460" s="218" t="s">
        <v>2229</v>
      </c>
      <c r="C2460" s="219">
        <v>50233.0</v>
      </c>
      <c r="D2460" s="220"/>
      <c r="E2460" s="220"/>
      <c r="F2460" s="220"/>
      <c r="G2460" s="220"/>
      <c r="H2460" s="220"/>
      <c r="I2460" s="208"/>
      <c r="J2460" s="210"/>
      <c r="K2460" s="210"/>
      <c r="L2460" s="210"/>
      <c r="M2460" s="210"/>
      <c r="N2460" s="210"/>
      <c r="O2460" s="210"/>
      <c r="P2460" s="210"/>
      <c r="Q2460" s="210"/>
      <c r="R2460" s="210"/>
      <c r="S2460" s="210"/>
      <c r="T2460" s="210"/>
      <c r="U2460" s="210"/>
      <c r="V2460" s="210"/>
      <c r="W2460" s="210"/>
      <c r="X2460" s="210"/>
      <c r="Y2460" s="210"/>
      <c r="Z2460" s="210"/>
    </row>
    <row r="2461" ht="21.75" customHeight="1">
      <c r="A2461" s="214"/>
      <c r="B2461" s="221"/>
      <c r="C2461" s="222">
        <v>1.0</v>
      </c>
      <c r="D2461" s="223" t="s">
        <v>486</v>
      </c>
      <c r="E2461" s="223" t="s">
        <v>487</v>
      </c>
      <c r="F2461" s="223" t="s">
        <v>488</v>
      </c>
      <c r="G2461" s="223" t="s">
        <v>489</v>
      </c>
      <c r="H2461" s="224" t="s">
        <v>490</v>
      </c>
      <c r="I2461" s="208"/>
      <c r="J2461" s="210"/>
      <c r="K2461" s="210"/>
      <c r="L2461" s="210"/>
      <c r="M2461" s="210"/>
      <c r="N2461" s="210"/>
      <c r="O2461" s="210"/>
      <c r="P2461" s="210"/>
      <c r="Q2461" s="210"/>
      <c r="R2461" s="210"/>
      <c r="S2461" s="210"/>
      <c r="T2461" s="210"/>
      <c r="U2461" s="210"/>
      <c r="V2461" s="210"/>
      <c r="W2461" s="210"/>
      <c r="X2461" s="210"/>
      <c r="Y2461" s="210"/>
      <c r="Z2461" s="210"/>
    </row>
    <row r="2462" ht="21.75" customHeight="1">
      <c r="A2462" s="214"/>
      <c r="B2462" s="221"/>
      <c r="C2462" s="222">
        <v>2.0</v>
      </c>
      <c r="D2462" s="223" t="s">
        <v>2230</v>
      </c>
      <c r="E2462" s="223" t="s">
        <v>487</v>
      </c>
      <c r="F2462" s="223" t="s">
        <v>492</v>
      </c>
      <c r="G2462" s="223" t="s">
        <v>678</v>
      </c>
      <c r="H2462" s="225" t="s">
        <v>2231</v>
      </c>
      <c r="I2462" s="208"/>
      <c r="J2462" s="210"/>
      <c r="K2462" s="210"/>
      <c r="L2462" s="210"/>
      <c r="M2462" s="210"/>
      <c r="N2462" s="210"/>
      <c r="O2462" s="210"/>
      <c r="P2462" s="210"/>
      <c r="Q2462" s="210"/>
      <c r="R2462" s="210"/>
      <c r="S2462" s="210"/>
      <c r="T2462" s="210"/>
      <c r="U2462" s="210"/>
      <c r="V2462" s="210"/>
      <c r="W2462" s="210"/>
      <c r="X2462" s="210"/>
      <c r="Y2462" s="210"/>
      <c r="Z2462" s="210"/>
    </row>
    <row r="2463" ht="21.75" customHeight="1">
      <c r="A2463" s="214"/>
      <c r="B2463" s="221"/>
      <c r="C2463" s="222">
        <v>3.0</v>
      </c>
      <c r="D2463" s="223" t="s">
        <v>749</v>
      </c>
      <c r="E2463" s="223" t="s">
        <v>487</v>
      </c>
      <c r="F2463" s="223" t="s">
        <v>496</v>
      </c>
      <c r="G2463" s="223" t="s">
        <v>497</v>
      </c>
      <c r="H2463" s="224" t="s">
        <v>490</v>
      </c>
      <c r="I2463" s="208"/>
      <c r="J2463" s="210"/>
      <c r="K2463" s="210"/>
      <c r="L2463" s="210"/>
      <c r="M2463" s="210"/>
      <c r="N2463" s="210"/>
      <c r="O2463" s="210"/>
      <c r="P2463" s="210"/>
      <c r="Q2463" s="210"/>
      <c r="R2463" s="210"/>
      <c r="S2463" s="210"/>
      <c r="T2463" s="210"/>
      <c r="U2463" s="210"/>
      <c r="V2463" s="210"/>
      <c r="W2463" s="210"/>
      <c r="X2463" s="210"/>
      <c r="Y2463" s="210"/>
      <c r="Z2463" s="210"/>
    </row>
    <row r="2464" ht="21.75" customHeight="1">
      <c r="A2464" s="214"/>
      <c r="B2464" s="221"/>
      <c r="C2464" s="222">
        <v>4.0</v>
      </c>
      <c r="D2464" s="223" t="s">
        <v>750</v>
      </c>
      <c r="E2464" s="223" t="s">
        <v>487</v>
      </c>
      <c r="F2464" s="223" t="s">
        <v>500</v>
      </c>
      <c r="G2464" s="223" t="s">
        <v>594</v>
      </c>
      <c r="H2464" s="224" t="s">
        <v>490</v>
      </c>
      <c r="I2464" s="208"/>
      <c r="J2464" s="210"/>
      <c r="K2464" s="210"/>
      <c r="L2464" s="210"/>
      <c r="M2464" s="210"/>
      <c r="N2464" s="210"/>
      <c r="O2464" s="210"/>
      <c r="P2464" s="210"/>
      <c r="Q2464" s="210"/>
      <c r="R2464" s="210"/>
      <c r="S2464" s="210"/>
      <c r="T2464" s="210"/>
      <c r="U2464" s="210"/>
      <c r="V2464" s="210"/>
      <c r="W2464" s="210"/>
      <c r="X2464" s="210"/>
      <c r="Y2464" s="210"/>
      <c r="Z2464" s="210"/>
    </row>
    <row r="2465" ht="21.75" customHeight="1">
      <c r="A2465" s="214"/>
      <c r="B2465" s="221"/>
      <c r="C2465" s="222">
        <v>5.0</v>
      </c>
      <c r="D2465" s="223" t="s">
        <v>516</v>
      </c>
      <c r="E2465" s="223" t="s">
        <v>487</v>
      </c>
      <c r="F2465" s="223" t="s">
        <v>512</v>
      </c>
      <c r="G2465" s="223" t="s">
        <v>526</v>
      </c>
      <c r="H2465" s="224" t="s">
        <v>490</v>
      </c>
      <c r="I2465" s="208"/>
      <c r="J2465" s="210"/>
      <c r="K2465" s="210"/>
      <c r="L2465" s="210"/>
      <c r="M2465" s="210"/>
      <c r="N2465" s="210"/>
      <c r="O2465" s="210"/>
      <c r="P2465" s="210"/>
      <c r="Q2465" s="210"/>
      <c r="R2465" s="210"/>
      <c r="S2465" s="210"/>
      <c r="T2465" s="210"/>
      <c r="U2465" s="210"/>
      <c r="V2465" s="210"/>
      <c r="W2465" s="210"/>
      <c r="X2465" s="210"/>
      <c r="Y2465" s="210"/>
      <c r="Z2465" s="210"/>
    </row>
    <row r="2466" ht="21.75" customHeight="1">
      <c r="A2466" s="214"/>
      <c r="B2466" s="221"/>
      <c r="C2466" s="222">
        <v>6.0</v>
      </c>
      <c r="D2466" s="223" t="s">
        <v>736</v>
      </c>
      <c r="E2466" s="223" t="s">
        <v>487</v>
      </c>
      <c r="F2466" s="223" t="s">
        <v>532</v>
      </c>
      <c r="G2466" s="223" t="s">
        <v>513</v>
      </c>
      <c r="H2466" s="224" t="s">
        <v>490</v>
      </c>
      <c r="I2466" s="208"/>
      <c r="J2466" s="210"/>
      <c r="K2466" s="210"/>
      <c r="L2466" s="210"/>
      <c r="M2466" s="210"/>
      <c r="N2466" s="210"/>
      <c r="O2466" s="210"/>
      <c r="P2466" s="210"/>
      <c r="Q2466" s="210"/>
      <c r="R2466" s="210"/>
      <c r="S2466" s="210"/>
      <c r="T2466" s="210"/>
      <c r="U2466" s="210"/>
      <c r="V2466" s="210"/>
      <c r="W2466" s="210"/>
      <c r="X2466" s="210"/>
      <c r="Y2466" s="210"/>
      <c r="Z2466" s="210"/>
    </row>
    <row r="2467" ht="21.75" customHeight="1">
      <c r="A2467" s="214"/>
      <c r="B2467" s="221"/>
      <c r="C2467" s="222">
        <v>7.0</v>
      </c>
      <c r="D2467" s="223" t="s">
        <v>2209</v>
      </c>
      <c r="E2467" s="223" t="s">
        <v>487</v>
      </c>
      <c r="F2467" s="223" t="s">
        <v>590</v>
      </c>
      <c r="G2467" s="223" t="s">
        <v>501</v>
      </c>
      <c r="H2467" s="224" t="s">
        <v>490</v>
      </c>
      <c r="I2467" s="208"/>
      <c r="J2467" s="210"/>
      <c r="K2467" s="210"/>
      <c r="L2467" s="210"/>
      <c r="M2467" s="210"/>
      <c r="N2467" s="210"/>
      <c r="O2467" s="210"/>
      <c r="P2467" s="210"/>
      <c r="Q2467" s="210"/>
      <c r="R2467" s="210"/>
      <c r="S2467" s="210"/>
      <c r="T2467" s="210"/>
      <c r="U2467" s="210"/>
      <c r="V2467" s="210"/>
      <c r="W2467" s="210"/>
      <c r="X2467" s="210"/>
      <c r="Y2467" s="210"/>
      <c r="Z2467" s="210"/>
    </row>
    <row r="2468" ht="21.75" customHeight="1">
      <c r="A2468" s="214"/>
      <c r="B2468" s="221"/>
      <c r="C2468" s="222">
        <v>8.0</v>
      </c>
      <c r="D2468" s="223" t="s">
        <v>507</v>
      </c>
      <c r="E2468" s="223" t="s">
        <v>508</v>
      </c>
      <c r="F2468" s="223" t="s">
        <v>509</v>
      </c>
      <c r="G2468" s="223" t="s">
        <v>510</v>
      </c>
      <c r="H2468" s="224" t="s">
        <v>490</v>
      </c>
      <c r="I2468" s="208"/>
      <c r="J2468" s="210"/>
      <c r="K2468" s="210"/>
      <c r="L2468" s="210"/>
      <c r="M2468" s="210"/>
      <c r="N2468" s="210"/>
      <c r="O2468" s="210"/>
      <c r="P2468" s="210"/>
      <c r="Q2468" s="210"/>
      <c r="R2468" s="210"/>
      <c r="S2468" s="210"/>
      <c r="T2468" s="210"/>
      <c r="U2468" s="210"/>
      <c r="V2468" s="210"/>
      <c r="W2468" s="210"/>
      <c r="X2468" s="210"/>
      <c r="Y2468" s="210"/>
      <c r="Z2468" s="210"/>
    </row>
    <row r="2469" ht="21.75" customHeight="1">
      <c r="A2469" s="214"/>
      <c r="B2469" s="221"/>
      <c r="C2469" s="222">
        <v>109.0</v>
      </c>
      <c r="D2469" s="223" t="s">
        <v>696</v>
      </c>
      <c r="E2469" s="223" t="s">
        <v>673</v>
      </c>
      <c r="F2469" s="223" t="s">
        <v>696</v>
      </c>
      <c r="G2469" s="218" t="s">
        <v>490</v>
      </c>
      <c r="H2469" s="224" t="s">
        <v>490</v>
      </c>
      <c r="I2469" s="208"/>
      <c r="J2469" s="210"/>
      <c r="K2469" s="210"/>
      <c r="L2469" s="210"/>
      <c r="M2469" s="210"/>
      <c r="N2469" s="210"/>
      <c r="O2469" s="210"/>
      <c r="P2469" s="210"/>
      <c r="Q2469" s="210"/>
      <c r="R2469" s="210"/>
      <c r="S2469" s="210"/>
      <c r="T2469" s="210"/>
      <c r="U2469" s="210"/>
      <c r="V2469" s="210"/>
      <c r="W2469" s="210"/>
      <c r="X2469" s="210"/>
      <c r="Y2469" s="210"/>
      <c r="Z2469" s="210"/>
    </row>
    <row r="2470" ht="21.75" customHeight="1">
      <c r="A2470" s="214"/>
      <c r="B2470" s="221"/>
      <c r="C2470" s="222">
        <v>110.0</v>
      </c>
      <c r="D2470" s="223" t="s">
        <v>2037</v>
      </c>
      <c r="E2470" s="223" t="s">
        <v>487</v>
      </c>
      <c r="F2470" s="223" t="s">
        <v>579</v>
      </c>
      <c r="G2470" s="218" t="s">
        <v>490</v>
      </c>
      <c r="H2470" s="224" t="s">
        <v>490</v>
      </c>
      <c r="I2470" s="208"/>
      <c r="J2470" s="210"/>
      <c r="K2470" s="210"/>
      <c r="L2470" s="210"/>
      <c r="M2470" s="210"/>
      <c r="N2470" s="210"/>
      <c r="O2470" s="210"/>
      <c r="P2470" s="210"/>
      <c r="Q2470" s="210"/>
      <c r="R2470" s="210"/>
      <c r="S2470" s="210"/>
      <c r="T2470" s="210"/>
      <c r="U2470" s="210"/>
      <c r="V2470" s="210"/>
      <c r="W2470" s="210"/>
      <c r="X2470" s="210"/>
      <c r="Y2470" s="210"/>
      <c r="Z2470" s="210"/>
    </row>
    <row r="2471" ht="21.75" customHeight="1">
      <c r="A2471" s="214"/>
      <c r="B2471" s="221"/>
      <c r="C2471" s="222">
        <v>111.0</v>
      </c>
      <c r="D2471" s="223" t="s">
        <v>2038</v>
      </c>
      <c r="E2471" s="223" t="s">
        <v>487</v>
      </c>
      <c r="F2471" s="223" t="s">
        <v>583</v>
      </c>
      <c r="G2471" s="218" t="s">
        <v>490</v>
      </c>
      <c r="H2471" s="224" t="s">
        <v>490</v>
      </c>
      <c r="I2471" s="208"/>
      <c r="J2471" s="210"/>
      <c r="K2471" s="210"/>
      <c r="L2471" s="210"/>
      <c r="M2471" s="210"/>
      <c r="N2471" s="210"/>
      <c r="O2471" s="210"/>
      <c r="P2471" s="210"/>
      <c r="Q2471" s="210"/>
      <c r="R2471" s="210"/>
      <c r="S2471" s="210"/>
      <c r="T2471" s="210"/>
      <c r="U2471" s="210"/>
      <c r="V2471" s="210"/>
      <c r="W2471" s="210"/>
      <c r="X2471" s="210"/>
      <c r="Y2471" s="210"/>
      <c r="Z2471" s="210"/>
    </row>
    <row r="2472" ht="21.75" customHeight="1">
      <c r="A2472" s="214"/>
      <c r="B2472" s="221"/>
      <c r="C2472" s="222">
        <v>112.0</v>
      </c>
      <c r="D2472" s="223" t="s">
        <v>2039</v>
      </c>
      <c r="E2472" s="223" t="s">
        <v>487</v>
      </c>
      <c r="F2472" s="223" t="s">
        <v>601</v>
      </c>
      <c r="G2472" s="218" t="s">
        <v>490</v>
      </c>
      <c r="H2472" s="224" t="s">
        <v>490</v>
      </c>
      <c r="I2472" s="208"/>
      <c r="J2472" s="210"/>
      <c r="K2472" s="210"/>
      <c r="L2472" s="210"/>
      <c r="M2472" s="210"/>
      <c r="N2472" s="210"/>
      <c r="O2472" s="210"/>
      <c r="P2472" s="210"/>
      <c r="Q2472" s="210"/>
      <c r="R2472" s="210"/>
      <c r="S2472" s="210"/>
      <c r="T2472" s="210"/>
      <c r="U2472" s="210"/>
      <c r="V2472" s="210"/>
      <c r="W2472" s="210"/>
      <c r="X2472" s="210"/>
      <c r="Y2472" s="210"/>
      <c r="Z2472" s="210"/>
    </row>
    <row r="2473" ht="21.75" customHeight="1">
      <c r="A2473" s="214"/>
      <c r="B2473" s="221"/>
      <c r="C2473" s="222">
        <v>113.0</v>
      </c>
      <c r="D2473" s="223" t="s">
        <v>2040</v>
      </c>
      <c r="E2473" s="223" t="s">
        <v>487</v>
      </c>
      <c r="F2473" s="223" t="s">
        <v>560</v>
      </c>
      <c r="G2473" s="218" t="s">
        <v>490</v>
      </c>
      <c r="H2473" s="224" t="s">
        <v>490</v>
      </c>
      <c r="I2473" s="208"/>
      <c r="J2473" s="210"/>
      <c r="K2473" s="210"/>
      <c r="L2473" s="210"/>
      <c r="M2473" s="210"/>
      <c r="N2473" s="210"/>
      <c r="O2473" s="210"/>
      <c r="P2473" s="210"/>
      <c r="Q2473" s="210"/>
      <c r="R2473" s="210"/>
      <c r="S2473" s="210"/>
      <c r="T2473" s="210"/>
      <c r="U2473" s="210"/>
      <c r="V2473" s="210"/>
      <c r="W2473" s="210"/>
      <c r="X2473" s="210"/>
      <c r="Y2473" s="210"/>
      <c r="Z2473" s="210"/>
    </row>
    <row r="2474" ht="21.75" customHeight="1">
      <c r="A2474" s="214"/>
      <c r="B2474" s="221"/>
      <c r="C2474" s="222">
        <v>114.0</v>
      </c>
      <c r="D2474" s="223" t="s">
        <v>2041</v>
      </c>
      <c r="E2474" s="223" t="s">
        <v>487</v>
      </c>
      <c r="F2474" s="223" t="s">
        <v>593</v>
      </c>
      <c r="G2474" s="218" t="s">
        <v>490</v>
      </c>
      <c r="H2474" s="224" t="s">
        <v>490</v>
      </c>
      <c r="I2474" s="208"/>
      <c r="J2474" s="210"/>
      <c r="K2474" s="210"/>
      <c r="L2474" s="210"/>
      <c r="M2474" s="210"/>
      <c r="N2474" s="210"/>
      <c r="O2474" s="210"/>
      <c r="P2474" s="210"/>
      <c r="Q2474" s="210"/>
      <c r="R2474" s="210"/>
      <c r="S2474" s="210"/>
      <c r="T2474" s="210"/>
      <c r="U2474" s="210"/>
      <c r="V2474" s="210"/>
      <c r="W2474" s="210"/>
      <c r="X2474" s="210"/>
      <c r="Y2474" s="210"/>
      <c r="Z2474" s="210"/>
    </row>
    <row r="2475" ht="21.75" customHeight="1">
      <c r="A2475" s="214"/>
      <c r="B2475" s="221"/>
      <c r="C2475" s="222">
        <v>115.0</v>
      </c>
      <c r="D2475" s="223" t="s">
        <v>2042</v>
      </c>
      <c r="E2475" s="223" t="s">
        <v>487</v>
      </c>
      <c r="F2475" s="223" t="s">
        <v>613</v>
      </c>
      <c r="G2475" s="223" t="s">
        <v>561</v>
      </c>
      <c r="H2475" s="224" t="s">
        <v>490</v>
      </c>
      <c r="I2475" s="208"/>
      <c r="J2475" s="210"/>
      <c r="K2475" s="210"/>
      <c r="L2475" s="210"/>
      <c r="M2475" s="210"/>
      <c r="N2475" s="210"/>
      <c r="O2475" s="210"/>
      <c r="P2475" s="210"/>
      <c r="Q2475" s="210"/>
      <c r="R2475" s="210"/>
      <c r="S2475" s="210"/>
      <c r="T2475" s="210"/>
      <c r="U2475" s="210"/>
      <c r="V2475" s="210"/>
      <c r="W2475" s="210"/>
      <c r="X2475" s="210"/>
      <c r="Y2475" s="210"/>
      <c r="Z2475" s="210"/>
    </row>
    <row r="2476" ht="21.75" customHeight="1">
      <c r="A2476" s="228"/>
      <c r="B2476" s="221"/>
      <c r="C2476" s="222">
        <v>116.0</v>
      </c>
      <c r="D2476" s="223" t="s">
        <v>2043</v>
      </c>
      <c r="E2476" s="223" t="s">
        <v>487</v>
      </c>
      <c r="F2476" s="223" t="s">
        <v>605</v>
      </c>
      <c r="G2476" s="223" t="s">
        <v>608</v>
      </c>
      <c r="H2476" s="224" t="s">
        <v>490</v>
      </c>
      <c r="I2476" s="208"/>
      <c r="J2476" s="210"/>
      <c r="K2476" s="210"/>
      <c r="L2476" s="210"/>
      <c r="M2476" s="210"/>
      <c r="N2476" s="210"/>
      <c r="O2476" s="210"/>
      <c r="P2476" s="210"/>
      <c r="Q2476" s="210"/>
      <c r="R2476" s="210"/>
      <c r="S2476" s="210"/>
      <c r="T2476" s="210"/>
      <c r="U2476" s="210"/>
      <c r="V2476" s="210"/>
      <c r="W2476" s="210"/>
      <c r="X2476" s="210"/>
      <c r="Y2476" s="210"/>
      <c r="Z2476" s="210"/>
    </row>
    <row r="2477" ht="21.75" customHeight="1">
      <c r="A2477" s="214">
        <v>94.0</v>
      </c>
      <c r="B2477" s="215" t="s">
        <v>2232</v>
      </c>
      <c r="C2477" s="216"/>
      <c r="D2477" s="217"/>
      <c r="E2477" s="217"/>
      <c r="F2477" s="217"/>
      <c r="G2477" s="217"/>
      <c r="H2477" s="217"/>
      <c r="I2477" s="208"/>
      <c r="J2477" s="210"/>
      <c r="K2477" s="210"/>
      <c r="L2477" s="210"/>
      <c r="M2477" s="210"/>
      <c r="N2477" s="210"/>
      <c r="O2477" s="210"/>
      <c r="P2477" s="210"/>
      <c r="Q2477" s="210"/>
      <c r="R2477" s="210"/>
      <c r="S2477" s="210"/>
      <c r="T2477" s="210"/>
      <c r="U2477" s="210"/>
      <c r="V2477" s="210"/>
      <c r="W2477" s="210"/>
      <c r="X2477" s="210"/>
      <c r="Y2477" s="210"/>
      <c r="Z2477" s="210"/>
    </row>
    <row r="2478" ht="21.75" customHeight="1">
      <c r="A2478" s="214"/>
      <c r="B2478" s="218" t="s">
        <v>2233</v>
      </c>
      <c r="C2478" s="219">
        <v>50744.0</v>
      </c>
      <c r="D2478" s="220"/>
      <c r="E2478" s="220"/>
      <c r="F2478" s="220"/>
      <c r="G2478" s="220"/>
      <c r="H2478" s="220"/>
      <c r="I2478" s="208"/>
      <c r="J2478" s="210"/>
      <c r="K2478" s="210"/>
      <c r="L2478" s="210"/>
      <c r="M2478" s="210"/>
      <c r="N2478" s="210"/>
      <c r="O2478" s="210"/>
      <c r="P2478" s="210"/>
      <c r="Q2478" s="210"/>
      <c r="R2478" s="210"/>
      <c r="S2478" s="210"/>
      <c r="T2478" s="210"/>
      <c r="U2478" s="210"/>
      <c r="V2478" s="210"/>
      <c r="W2478" s="210"/>
      <c r="X2478" s="210"/>
      <c r="Y2478" s="210"/>
      <c r="Z2478" s="210"/>
    </row>
    <row r="2479" ht="21.75" customHeight="1">
      <c r="A2479" s="214"/>
      <c r="B2479" s="221"/>
      <c r="C2479" s="222">
        <v>100.0</v>
      </c>
      <c r="D2479" s="223" t="s">
        <v>486</v>
      </c>
      <c r="E2479" s="223" t="s">
        <v>487</v>
      </c>
      <c r="F2479" s="223" t="s">
        <v>488</v>
      </c>
      <c r="G2479" s="223" t="s">
        <v>489</v>
      </c>
      <c r="H2479" s="224" t="s">
        <v>490</v>
      </c>
      <c r="I2479" s="208"/>
      <c r="J2479" s="210"/>
      <c r="K2479" s="210"/>
      <c r="L2479" s="210"/>
      <c r="M2479" s="210"/>
      <c r="N2479" s="210"/>
      <c r="O2479" s="210"/>
      <c r="P2479" s="210"/>
      <c r="Q2479" s="210"/>
      <c r="R2479" s="210"/>
      <c r="S2479" s="210"/>
      <c r="T2479" s="210"/>
      <c r="U2479" s="210"/>
      <c r="V2479" s="210"/>
      <c r="W2479" s="210"/>
      <c r="X2479" s="210"/>
      <c r="Y2479" s="210"/>
      <c r="Z2479" s="210"/>
    </row>
    <row r="2480" ht="21.75" customHeight="1">
      <c r="A2480" s="214"/>
      <c r="B2480" s="221"/>
      <c r="C2480" s="222">
        <v>101.0</v>
      </c>
      <c r="D2480" s="223" t="s">
        <v>1347</v>
      </c>
      <c r="E2480" s="223" t="s">
        <v>487</v>
      </c>
      <c r="F2480" s="223" t="s">
        <v>492</v>
      </c>
      <c r="G2480" s="223" t="s">
        <v>678</v>
      </c>
      <c r="H2480" s="225" t="s">
        <v>2234</v>
      </c>
      <c r="I2480" s="208"/>
      <c r="J2480" s="210"/>
      <c r="K2480" s="210"/>
      <c r="L2480" s="210"/>
      <c r="M2480" s="210"/>
      <c r="N2480" s="210"/>
      <c r="O2480" s="210"/>
      <c r="P2480" s="210"/>
      <c r="Q2480" s="210"/>
      <c r="R2480" s="210"/>
      <c r="S2480" s="210"/>
      <c r="T2480" s="210"/>
      <c r="U2480" s="210"/>
      <c r="V2480" s="210"/>
      <c r="W2480" s="210"/>
      <c r="X2480" s="210"/>
      <c r="Y2480" s="210"/>
      <c r="Z2480" s="210"/>
    </row>
    <row r="2481" ht="21.75" customHeight="1">
      <c r="A2481" s="214"/>
      <c r="B2481" s="221"/>
      <c r="C2481" s="222">
        <v>102.0</v>
      </c>
      <c r="D2481" s="223" t="s">
        <v>928</v>
      </c>
      <c r="E2481" s="223" t="s">
        <v>487</v>
      </c>
      <c r="F2481" s="223" t="s">
        <v>496</v>
      </c>
      <c r="G2481" s="223" t="s">
        <v>497</v>
      </c>
      <c r="H2481" s="225" t="s">
        <v>2235</v>
      </c>
      <c r="I2481" s="208"/>
      <c r="J2481" s="210"/>
      <c r="K2481" s="210"/>
      <c r="L2481" s="210"/>
      <c r="M2481" s="210"/>
      <c r="N2481" s="210"/>
      <c r="O2481" s="210"/>
      <c r="P2481" s="210"/>
      <c r="Q2481" s="210"/>
      <c r="R2481" s="210"/>
      <c r="S2481" s="210"/>
      <c r="T2481" s="210"/>
      <c r="U2481" s="210"/>
      <c r="V2481" s="210"/>
      <c r="W2481" s="210"/>
      <c r="X2481" s="210"/>
      <c r="Y2481" s="210"/>
      <c r="Z2481" s="210"/>
    </row>
    <row r="2482" ht="21.75" customHeight="1">
      <c r="A2482" s="214"/>
      <c r="B2482" s="221"/>
      <c r="C2482" s="222">
        <v>103.0</v>
      </c>
      <c r="D2482" s="223" t="s">
        <v>725</v>
      </c>
      <c r="E2482" s="223" t="s">
        <v>487</v>
      </c>
      <c r="F2482" s="223" t="s">
        <v>500</v>
      </c>
      <c r="G2482" s="223" t="s">
        <v>501</v>
      </c>
      <c r="H2482" s="225" t="s">
        <v>666</v>
      </c>
      <c r="I2482" s="208"/>
      <c r="J2482" s="210"/>
      <c r="K2482" s="210"/>
      <c r="L2482" s="210"/>
      <c r="M2482" s="210"/>
      <c r="N2482" s="210"/>
      <c r="O2482" s="210"/>
      <c r="P2482" s="210"/>
      <c r="Q2482" s="210"/>
      <c r="R2482" s="210"/>
      <c r="S2482" s="210"/>
      <c r="T2482" s="210"/>
      <c r="U2482" s="210"/>
      <c r="V2482" s="210"/>
      <c r="W2482" s="210"/>
      <c r="X2482" s="210"/>
      <c r="Y2482" s="210"/>
      <c r="Z2482" s="210"/>
    </row>
    <row r="2483" ht="21.75" customHeight="1">
      <c r="A2483" s="214"/>
      <c r="B2483" s="221"/>
      <c r="C2483" s="222">
        <v>104.0</v>
      </c>
      <c r="D2483" s="223" t="s">
        <v>1260</v>
      </c>
      <c r="E2483" s="223" t="s">
        <v>487</v>
      </c>
      <c r="F2483" s="223" t="s">
        <v>512</v>
      </c>
      <c r="G2483" s="223" t="s">
        <v>493</v>
      </c>
      <c r="H2483" s="224" t="s">
        <v>490</v>
      </c>
      <c r="I2483" s="208"/>
      <c r="J2483" s="210"/>
      <c r="K2483" s="210"/>
      <c r="L2483" s="210"/>
      <c r="M2483" s="210"/>
      <c r="N2483" s="210"/>
      <c r="O2483" s="210"/>
      <c r="P2483" s="210"/>
      <c r="Q2483" s="210"/>
      <c r="R2483" s="210"/>
      <c r="S2483" s="210"/>
      <c r="T2483" s="210"/>
      <c r="U2483" s="210"/>
      <c r="V2483" s="210"/>
      <c r="W2483" s="210"/>
      <c r="X2483" s="210"/>
      <c r="Y2483" s="210"/>
      <c r="Z2483" s="210"/>
    </row>
    <row r="2484" ht="21.75" customHeight="1">
      <c r="A2484" s="214"/>
      <c r="B2484" s="217"/>
      <c r="C2484" s="222">
        <v>105.0</v>
      </c>
      <c r="D2484" s="215" t="s">
        <v>376</v>
      </c>
      <c r="E2484" s="215" t="s">
        <v>508</v>
      </c>
      <c r="F2484" s="215" t="s">
        <v>509</v>
      </c>
      <c r="G2484" s="215" t="s">
        <v>510</v>
      </c>
      <c r="H2484" s="225" t="s">
        <v>2236</v>
      </c>
      <c r="I2484" s="208"/>
      <c r="J2484" s="210"/>
      <c r="K2484" s="210"/>
      <c r="L2484" s="210"/>
      <c r="M2484" s="210"/>
      <c r="N2484" s="210"/>
      <c r="O2484" s="210"/>
      <c r="P2484" s="210"/>
      <c r="Q2484" s="210"/>
      <c r="R2484" s="210"/>
      <c r="S2484" s="210"/>
      <c r="T2484" s="210"/>
      <c r="U2484" s="210"/>
      <c r="V2484" s="210"/>
      <c r="W2484" s="210"/>
      <c r="X2484" s="210"/>
      <c r="Y2484" s="210"/>
      <c r="Z2484" s="210"/>
    </row>
    <row r="2485" ht="21.75" customHeight="1">
      <c r="A2485" s="214"/>
      <c r="B2485" s="218" t="s">
        <v>2237</v>
      </c>
      <c r="C2485" s="226">
        <v>50577.0</v>
      </c>
      <c r="D2485" s="220"/>
      <c r="E2485" s="220"/>
      <c r="F2485" s="220"/>
      <c r="G2485" s="220"/>
      <c r="H2485" s="221"/>
      <c r="I2485" s="208"/>
      <c r="J2485" s="210"/>
      <c r="K2485" s="210"/>
      <c r="L2485" s="210"/>
      <c r="M2485" s="210"/>
      <c r="N2485" s="210"/>
      <c r="O2485" s="210"/>
      <c r="P2485" s="210"/>
      <c r="Q2485" s="210"/>
      <c r="R2485" s="210"/>
      <c r="S2485" s="210"/>
      <c r="T2485" s="210"/>
      <c r="U2485" s="210"/>
      <c r="V2485" s="210"/>
      <c r="W2485" s="210"/>
      <c r="X2485" s="210"/>
      <c r="Y2485" s="210"/>
      <c r="Z2485" s="210"/>
    </row>
    <row r="2486" ht="21.75" customHeight="1">
      <c r="A2486" s="214"/>
      <c r="B2486" s="221"/>
      <c r="C2486" s="222">
        <v>100.0</v>
      </c>
      <c r="D2486" s="223" t="s">
        <v>486</v>
      </c>
      <c r="E2486" s="223" t="s">
        <v>487</v>
      </c>
      <c r="F2486" s="223" t="s">
        <v>488</v>
      </c>
      <c r="G2486" s="223" t="s">
        <v>489</v>
      </c>
      <c r="H2486" s="224" t="s">
        <v>490</v>
      </c>
      <c r="I2486" s="208"/>
      <c r="J2486" s="210"/>
      <c r="K2486" s="210"/>
      <c r="L2486" s="210"/>
      <c r="M2486" s="210"/>
      <c r="N2486" s="210"/>
      <c r="O2486" s="210"/>
      <c r="P2486" s="210"/>
      <c r="Q2486" s="210"/>
      <c r="R2486" s="210"/>
      <c r="S2486" s="210"/>
      <c r="T2486" s="210"/>
      <c r="U2486" s="210"/>
      <c r="V2486" s="210"/>
      <c r="W2486" s="210"/>
      <c r="X2486" s="210"/>
      <c r="Y2486" s="210"/>
      <c r="Z2486" s="210"/>
    </row>
    <row r="2487" ht="21.75" customHeight="1">
      <c r="A2487" s="214"/>
      <c r="B2487" s="221"/>
      <c r="C2487" s="222">
        <v>101.0</v>
      </c>
      <c r="D2487" s="223" t="s">
        <v>1347</v>
      </c>
      <c r="E2487" s="223" t="s">
        <v>487</v>
      </c>
      <c r="F2487" s="223" t="s">
        <v>492</v>
      </c>
      <c r="G2487" s="223" t="s">
        <v>678</v>
      </c>
      <c r="H2487" s="225" t="s">
        <v>2238</v>
      </c>
      <c r="I2487" s="208"/>
      <c r="J2487" s="210"/>
      <c r="K2487" s="210"/>
      <c r="L2487" s="210"/>
      <c r="M2487" s="210"/>
      <c r="N2487" s="210"/>
      <c r="O2487" s="210"/>
      <c r="P2487" s="210"/>
      <c r="Q2487" s="210"/>
      <c r="R2487" s="210"/>
      <c r="S2487" s="210"/>
      <c r="T2487" s="210"/>
      <c r="U2487" s="210"/>
      <c r="V2487" s="210"/>
      <c r="W2487" s="210"/>
      <c r="X2487" s="210"/>
      <c r="Y2487" s="210"/>
      <c r="Z2487" s="210"/>
    </row>
    <row r="2488" ht="21.75" customHeight="1">
      <c r="A2488" s="214"/>
      <c r="B2488" s="221"/>
      <c r="C2488" s="222">
        <v>102.0</v>
      </c>
      <c r="D2488" s="223" t="s">
        <v>727</v>
      </c>
      <c r="E2488" s="223" t="s">
        <v>487</v>
      </c>
      <c r="F2488" s="223" t="s">
        <v>496</v>
      </c>
      <c r="G2488" s="223" t="s">
        <v>497</v>
      </c>
      <c r="H2488" s="225" t="s">
        <v>2239</v>
      </c>
      <c r="I2488" s="208"/>
      <c r="J2488" s="210"/>
      <c r="K2488" s="210"/>
      <c r="L2488" s="210"/>
      <c r="M2488" s="210"/>
      <c r="N2488" s="210"/>
      <c r="O2488" s="210"/>
      <c r="P2488" s="210"/>
      <c r="Q2488" s="210"/>
      <c r="R2488" s="210"/>
      <c r="S2488" s="210"/>
      <c r="T2488" s="210"/>
      <c r="U2488" s="210"/>
      <c r="V2488" s="210"/>
      <c r="W2488" s="210"/>
      <c r="X2488" s="210"/>
      <c r="Y2488" s="210"/>
      <c r="Z2488" s="210"/>
    </row>
    <row r="2489" ht="21.75" customHeight="1">
      <c r="A2489" s="214"/>
      <c r="B2489" s="221"/>
      <c r="C2489" s="222">
        <v>103.0</v>
      </c>
      <c r="D2489" s="223" t="s">
        <v>725</v>
      </c>
      <c r="E2489" s="223" t="s">
        <v>487</v>
      </c>
      <c r="F2489" s="223" t="s">
        <v>500</v>
      </c>
      <c r="G2489" s="223" t="s">
        <v>501</v>
      </c>
      <c r="H2489" s="225" t="s">
        <v>2240</v>
      </c>
      <c r="I2489" s="208"/>
      <c r="J2489" s="210"/>
      <c r="K2489" s="210"/>
      <c r="L2489" s="210"/>
      <c r="M2489" s="210"/>
      <c r="N2489" s="210"/>
      <c r="O2489" s="210"/>
      <c r="P2489" s="210"/>
      <c r="Q2489" s="210"/>
      <c r="R2489" s="210"/>
      <c r="S2489" s="210"/>
      <c r="T2489" s="210"/>
      <c r="U2489" s="210"/>
      <c r="V2489" s="210"/>
      <c r="W2489" s="210"/>
      <c r="X2489" s="210"/>
      <c r="Y2489" s="210"/>
      <c r="Z2489" s="210"/>
    </row>
    <row r="2490" ht="21.75" customHeight="1">
      <c r="A2490" s="214"/>
      <c r="B2490" s="221"/>
      <c r="C2490" s="222">
        <v>104.0</v>
      </c>
      <c r="D2490" s="223" t="s">
        <v>1260</v>
      </c>
      <c r="E2490" s="223" t="s">
        <v>487</v>
      </c>
      <c r="F2490" s="223" t="s">
        <v>512</v>
      </c>
      <c r="G2490" s="223" t="s">
        <v>493</v>
      </c>
      <c r="H2490" s="224" t="s">
        <v>490</v>
      </c>
      <c r="I2490" s="208"/>
      <c r="J2490" s="210"/>
      <c r="K2490" s="210"/>
      <c r="L2490" s="210"/>
      <c r="M2490" s="210"/>
      <c r="N2490" s="210"/>
      <c r="O2490" s="210"/>
      <c r="P2490" s="210"/>
      <c r="Q2490" s="210"/>
      <c r="R2490" s="210"/>
      <c r="S2490" s="210"/>
      <c r="T2490" s="210"/>
      <c r="U2490" s="210"/>
      <c r="V2490" s="210"/>
      <c r="W2490" s="210"/>
      <c r="X2490" s="210"/>
      <c r="Y2490" s="210"/>
      <c r="Z2490" s="210"/>
    </row>
    <row r="2491" ht="21.75" customHeight="1">
      <c r="A2491" s="228"/>
      <c r="B2491" s="221"/>
      <c r="C2491" s="222">
        <v>105.0</v>
      </c>
      <c r="D2491" s="223" t="s">
        <v>376</v>
      </c>
      <c r="E2491" s="223" t="s">
        <v>508</v>
      </c>
      <c r="F2491" s="223" t="s">
        <v>509</v>
      </c>
      <c r="G2491" s="223" t="s">
        <v>510</v>
      </c>
      <c r="H2491" s="225" t="s">
        <v>2241</v>
      </c>
      <c r="I2491" s="208"/>
      <c r="J2491" s="210"/>
      <c r="K2491" s="210"/>
      <c r="L2491" s="210"/>
      <c r="M2491" s="210"/>
      <c r="N2491" s="210"/>
      <c r="O2491" s="210"/>
      <c r="P2491" s="210"/>
      <c r="Q2491" s="210"/>
      <c r="R2491" s="210"/>
      <c r="S2491" s="210"/>
      <c r="T2491" s="210"/>
      <c r="U2491" s="210"/>
      <c r="V2491" s="210"/>
      <c r="W2491" s="210"/>
      <c r="X2491" s="210"/>
      <c r="Y2491" s="210"/>
      <c r="Z2491" s="210"/>
    </row>
    <row r="2492" ht="21.75" customHeight="1">
      <c r="A2492" s="214">
        <v>97.0</v>
      </c>
      <c r="B2492" s="215" t="s">
        <v>2242</v>
      </c>
      <c r="C2492" s="216"/>
      <c r="D2492" s="217"/>
      <c r="E2492" s="217"/>
      <c r="F2492" s="217"/>
      <c r="G2492" s="217"/>
      <c r="H2492" s="217"/>
      <c r="I2492" s="208"/>
      <c r="J2492" s="210"/>
      <c r="K2492" s="210"/>
      <c r="L2492" s="210"/>
      <c r="M2492" s="210"/>
      <c r="N2492" s="210"/>
      <c r="O2492" s="210"/>
      <c r="P2492" s="210"/>
      <c r="Q2492" s="210"/>
      <c r="R2492" s="210"/>
      <c r="S2492" s="210"/>
      <c r="T2492" s="210"/>
      <c r="U2492" s="210"/>
      <c r="V2492" s="210"/>
      <c r="W2492" s="210"/>
      <c r="X2492" s="210"/>
      <c r="Y2492" s="210"/>
      <c r="Z2492" s="210"/>
    </row>
    <row r="2493" ht="21.75" customHeight="1">
      <c r="A2493" s="214"/>
      <c r="B2493" s="218" t="s">
        <v>2243</v>
      </c>
      <c r="C2493" s="219">
        <v>50387.0</v>
      </c>
      <c r="D2493" s="220"/>
      <c r="E2493" s="220"/>
      <c r="F2493" s="220"/>
      <c r="G2493" s="220"/>
      <c r="H2493" s="220"/>
      <c r="I2493" s="208"/>
      <c r="J2493" s="210"/>
      <c r="K2493" s="210"/>
      <c r="L2493" s="210"/>
      <c r="M2493" s="210"/>
      <c r="N2493" s="210"/>
      <c r="O2493" s="210"/>
      <c r="P2493" s="210"/>
      <c r="Q2493" s="210"/>
      <c r="R2493" s="210"/>
      <c r="S2493" s="210"/>
      <c r="T2493" s="210"/>
      <c r="U2493" s="210"/>
      <c r="V2493" s="210"/>
      <c r="W2493" s="210"/>
      <c r="X2493" s="210"/>
      <c r="Y2493" s="210"/>
      <c r="Z2493" s="210"/>
    </row>
    <row r="2494" ht="21.75" customHeight="1">
      <c r="A2494" s="214">
        <v>0.0</v>
      </c>
      <c r="B2494" s="221"/>
      <c r="C2494" s="222">
        <v>100.0</v>
      </c>
      <c r="D2494" s="223" t="s">
        <v>860</v>
      </c>
      <c r="E2494" s="223" t="s">
        <v>487</v>
      </c>
      <c r="F2494" s="223" t="s">
        <v>488</v>
      </c>
      <c r="G2494" s="223" t="s">
        <v>678</v>
      </c>
      <c r="H2494" s="225" t="s">
        <v>2244</v>
      </c>
      <c r="I2494" s="208"/>
      <c r="J2494" s="210"/>
      <c r="K2494" s="210"/>
      <c r="L2494" s="210"/>
      <c r="M2494" s="210"/>
      <c r="N2494" s="210"/>
      <c r="O2494" s="210"/>
      <c r="P2494" s="210"/>
      <c r="Q2494" s="210"/>
      <c r="R2494" s="210"/>
      <c r="S2494" s="210"/>
      <c r="T2494" s="210"/>
      <c r="U2494" s="210"/>
      <c r="V2494" s="210"/>
      <c r="W2494" s="210"/>
      <c r="X2494" s="210"/>
      <c r="Y2494" s="210"/>
      <c r="Z2494" s="210"/>
    </row>
    <row r="2495" ht="21.75" customHeight="1">
      <c r="A2495" s="214"/>
      <c r="B2495" s="221"/>
      <c r="C2495" s="222">
        <v>101.0</v>
      </c>
      <c r="D2495" s="223" t="s">
        <v>369</v>
      </c>
      <c r="E2495" s="223" t="s">
        <v>487</v>
      </c>
      <c r="F2495" s="223" t="s">
        <v>492</v>
      </c>
      <c r="G2495" s="223" t="s">
        <v>493</v>
      </c>
      <c r="H2495" s="225" t="s">
        <v>2245</v>
      </c>
      <c r="I2495" s="208"/>
      <c r="J2495" s="210"/>
      <c r="K2495" s="210"/>
      <c r="L2495" s="210"/>
      <c r="M2495" s="210"/>
      <c r="N2495" s="210"/>
      <c r="O2495" s="210"/>
      <c r="P2495" s="210"/>
      <c r="Q2495" s="210"/>
      <c r="R2495" s="210"/>
      <c r="S2495" s="210"/>
      <c r="T2495" s="210"/>
      <c r="U2495" s="210"/>
      <c r="V2495" s="210"/>
      <c r="W2495" s="210"/>
      <c r="X2495" s="210"/>
      <c r="Y2495" s="210"/>
      <c r="Z2495" s="210"/>
    </row>
    <row r="2496" ht="21.75" customHeight="1">
      <c r="A2496" s="214"/>
      <c r="B2496" s="221"/>
      <c r="C2496" s="222">
        <v>102.0</v>
      </c>
      <c r="D2496" s="223" t="s">
        <v>1407</v>
      </c>
      <c r="E2496" s="223" t="s">
        <v>487</v>
      </c>
      <c r="F2496" s="223" t="s">
        <v>496</v>
      </c>
      <c r="G2496" s="223" t="s">
        <v>497</v>
      </c>
      <c r="H2496" s="224" t="s">
        <v>490</v>
      </c>
      <c r="I2496" s="208"/>
      <c r="J2496" s="210"/>
      <c r="K2496" s="210"/>
      <c r="L2496" s="210"/>
      <c r="M2496" s="210"/>
      <c r="N2496" s="210"/>
      <c r="O2496" s="210"/>
      <c r="P2496" s="210"/>
      <c r="Q2496" s="210"/>
      <c r="R2496" s="210"/>
      <c r="S2496" s="210"/>
      <c r="T2496" s="210"/>
      <c r="U2496" s="210"/>
      <c r="V2496" s="210"/>
      <c r="W2496" s="210"/>
      <c r="X2496" s="210"/>
      <c r="Y2496" s="210"/>
      <c r="Z2496" s="210"/>
    </row>
    <row r="2497" ht="21.75" customHeight="1">
      <c r="A2497" s="214"/>
      <c r="B2497" s="221"/>
      <c r="C2497" s="222">
        <v>103.0</v>
      </c>
      <c r="D2497" s="223" t="s">
        <v>860</v>
      </c>
      <c r="E2497" s="223" t="s">
        <v>487</v>
      </c>
      <c r="F2497" s="223" t="s">
        <v>500</v>
      </c>
      <c r="G2497" s="223" t="s">
        <v>501</v>
      </c>
      <c r="H2497" s="224" t="s">
        <v>490</v>
      </c>
      <c r="I2497" s="208"/>
      <c r="J2497" s="210"/>
      <c r="K2497" s="210"/>
      <c r="L2497" s="210"/>
      <c r="M2497" s="210"/>
      <c r="N2497" s="210"/>
      <c r="O2497" s="210"/>
      <c r="P2497" s="210"/>
      <c r="Q2497" s="210"/>
      <c r="R2497" s="210"/>
      <c r="S2497" s="210"/>
      <c r="T2497" s="210"/>
      <c r="U2497" s="210"/>
      <c r="V2497" s="210"/>
      <c r="W2497" s="210"/>
      <c r="X2497" s="210"/>
      <c r="Y2497" s="210"/>
      <c r="Z2497" s="210"/>
    </row>
    <row r="2498" ht="21.75" customHeight="1">
      <c r="A2498" s="214"/>
      <c r="B2498" s="221"/>
      <c r="C2498" s="222">
        <v>104.0</v>
      </c>
      <c r="D2498" s="223" t="s">
        <v>376</v>
      </c>
      <c r="E2498" s="223" t="s">
        <v>539</v>
      </c>
      <c r="F2498" s="223" t="s">
        <v>621</v>
      </c>
      <c r="G2498" s="223" t="s">
        <v>526</v>
      </c>
      <c r="H2498" s="224" t="s">
        <v>490</v>
      </c>
      <c r="I2498" s="208"/>
      <c r="J2498" s="210"/>
      <c r="K2498" s="210"/>
      <c r="L2498" s="210"/>
      <c r="M2498" s="210"/>
      <c r="N2498" s="210"/>
      <c r="O2498" s="210"/>
      <c r="P2498" s="210"/>
      <c r="Q2498" s="210"/>
      <c r="R2498" s="210"/>
      <c r="S2498" s="210"/>
      <c r="T2498" s="210"/>
      <c r="U2498" s="210"/>
      <c r="V2498" s="210"/>
      <c r="W2498" s="210"/>
      <c r="X2498" s="210"/>
      <c r="Y2498" s="210"/>
      <c r="Z2498" s="210"/>
    </row>
    <row r="2499" ht="21.75" customHeight="1">
      <c r="A2499" s="214"/>
      <c r="B2499" s="221"/>
      <c r="C2499" s="222">
        <v>105.0</v>
      </c>
      <c r="D2499" s="223" t="s">
        <v>862</v>
      </c>
      <c r="E2499" s="223" t="s">
        <v>539</v>
      </c>
      <c r="F2499" s="223" t="s">
        <v>509</v>
      </c>
      <c r="G2499" s="223" t="s">
        <v>864</v>
      </c>
      <c r="H2499" s="224" t="s">
        <v>490</v>
      </c>
      <c r="I2499" s="208"/>
      <c r="J2499" s="210"/>
      <c r="K2499" s="210"/>
      <c r="L2499" s="210"/>
      <c r="M2499" s="210"/>
      <c r="N2499" s="210"/>
      <c r="O2499" s="210"/>
      <c r="P2499" s="210"/>
      <c r="Q2499" s="210"/>
      <c r="R2499" s="210"/>
      <c r="S2499" s="210"/>
      <c r="T2499" s="210"/>
      <c r="U2499" s="210"/>
      <c r="V2499" s="210"/>
      <c r="W2499" s="210"/>
      <c r="X2499" s="210"/>
      <c r="Y2499" s="210"/>
      <c r="Z2499" s="210"/>
    </row>
    <row r="2500" ht="21.75" customHeight="1">
      <c r="A2500" s="214"/>
      <c r="B2500" s="221"/>
      <c r="C2500" s="222">
        <v>106.0</v>
      </c>
      <c r="D2500" s="223" t="s">
        <v>541</v>
      </c>
      <c r="E2500" s="223" t="s">
        <v>508</v>
      </c>
      <c r="F2500" s="223" t="s">
        <v>542</v>
      </c>
      <c r="G2500" s="223" t="s">
        <v>510</v>
      </c>
      <c r="H2500" s="225" t="s">
        <v>2246</v>
      </c>
      <c r="I2500" s="208"/>
      <c r="J2500" s="210"/>
      <c r="K2500" s="210"/>
      <c r="L2500" s="210"/>
      <c r="M2500" s="210"/>
      <c r="N2500" s="210"/>
      <c r="O2500" s="210"/>
      <c r="P2500" s="210"/>
      <c r="Q2500" s="210"/>
      <c r="R2500" s="210"/>
      <c r="S2500" s="210"/>
      <c r="T2500" s="210"/>
      <c r="U2500" s="210"/>
      <c r="V2500" s="210"/>
      <c r="W2500" s="210"/>
      <c r="X2500" s="210"/>
      <c r="Y2500" s="210"/>
      <c r="Z2500" s="210"/>
    </row>
    <row r="2501" ht="21.75" customHeight="1">
      <c r="A2501" s="228"/>
      <c r="B2501" s="221"/>
      <c r="C2501" s="222">
        <v>107.0</v>
      </c>
      <c r="D2501" s="223" t="s">
        <v>863</v>
      </c>
      <c r="E2501" s="223" t="s">
        <v>539</v>
      </c>
      <c r="F2501" s="223" t="s">
        <v>863</v>
      </c>
      <c r="G2501" s="218" t="s">
        <v>490</v>
      </c>
      <c r="H2501" s="224" t="s">
        <v>490</v>
      </c>
      <c r="I2501" s="208"/>
      <c r="J2501" s="210"/>
      <c r="K2501" s="210"/>
      <c r="L2501" s="210"/>
      <c r="M2501" s="210"/>
      <c r="N2501" s="210"/>
      <c r="O2501" s="210"/>
      <c r="P2501" s="210"/>
      <c r="Q2501" s="210"/>
      <c r="R2501" s="210"/>
      <c r="S2501" s="210"/>
      <c r="T2501" s="210"/>
      <c r="U2501" s="210"/>
      <c r="V2501" s="210"/>
      <c r="W2501" s="210"/>
      <c r="X2501" s="210"/>
      <c r="Y2501" s="210"/>
      <c r="Z2501" s="210"/>
    </row>
    <row r="2502" ht="21.75" customHeight="1">
      <c r="A2502" s="214">
        <v>99.0</v>
      </c>
      <c r="B2502" s="215" t="s">
        <v>2247</v>
      </c>
      <c r="C2502" s="216"/>
      <c r="D2502" s="217"/>
      <c r="E2502" s="217"/>
      <c r="F2502" s="217"/>
      <c r="G2502" s="217"/>
      <c r="H2502" s="217"/>
      <c r="I2502" s="208"/>
      <c r="J2502" s="210"/>
      <c r="K2502" s="210"/>
      <c r="L2502" s="210"/>
      <c r="M2502" s="210"/>
      <c r="N2502" s="210"/>
      <c r="O2502" s="210"/>
      <c r="P2502" s="210"/>
      <c r="Q2502" s="210"/>
      <c r="R2502" s="210"/>
      <c r="S2502" s="210"/>
      <c r="T2502" s="210"/>
      <c r="U2502" s="210"/>
      <c r="V2502" s="210"/>
      <c r="W2502" s="210"/>
      <c r="X2502" s="210"/>
      <c r="Y2502" s="210"/>
      <c r="Z2502" s="210"/>
    </row>
    <row r="2503" ht="21.75" customHeight="1">
      <c r="A2503" s="214"/>
      <c r="B2503" s="218" t="s">
        <v>2248</v>
      </c>
      <c r="C2503" s="219">
        <v>50259.0</v>
      </c>
      <c r="D2503" s="220"/>
      <c r="E2503" s="220"/>
      <c r="F2503" s="220"/>
      <c r="G2503" s="220"/>
      <c r="H2503" s="220"/>
      <c r="I2503" s="208"/>
      <c r="J2503" s="210"/>
      <c r="K2503" s="210"/>
      <c r="L2503" s="210"/>
      <c r="M2503" s="210"/>
      <c r="N2503" s="210"/>
      <c r="O2503" s="210"/>
      <c r="P2503" s="210"/>
      <c r="Q2503" s="210"/>
      <c r="R2503" s="210"/>
      <c r="S2503" s="210"/>
      <c r="T2503" s="210"/>
      <c r="U2503" s="210"/>
      <c r="V2503" s="210"/>
      <c r="W2503" s="210"/>
      <c r="X2503" s="210"/>
      <c r="Y2503" s="210"/>
      <c r="Z2503" s="210"/>
    </row>
    <row r="2504" ht="21.75" customHeight="1">
      <c r="A2504" s="214"/>
      <c r="B2504" s="221"/>
      <c r="C2504" s="222">
        <v>100.0</v>
      </c>
      <c r="D2504" s="223" t="s">
        <v>486</v>
      </c>
      <c r="E2504" s="223" t="s">
        <v>487</v>
      </c>
      <c r="F2504" s="223" t="s">
        <v>488</v>
      </c>
      <c r="G2504" s="223" t="s">
        <v>489</v>
      </c>
      <c r="H2504" s="224" t="s">
        <v>490</v>
      </c>
      <c r="I2504" s="208"/>
      <c r="J2504" s="210"/>
      <c r="K2504" s="210"/>
      <c r="L2504" s="210"/>
      <c r="M2504" s="210"/>
      <c r="N2504" s="210"/>
      <c r="O2504" s="210"/>
      <c r="P2504" s="210"/>
      <c r="Q2504" s="210"/>
      <c r="R2504" s="210"/>
      <c r="S2504" s="210"/>
      <c r="T2504" s="210"/>
      <c r="U2504" s="210"/>
      <c r="V2504" s="210"/>
      <c r="W2504" s="210"/>
      <c r="X2504" s="210"/>
      <c r="Y2504" s="210"/>
      <c r="Z2504" s="210"/>
    </row>
    <row r="2505" ht="21.75" customHeight="1">
      <c r="A2505" s="214"/>
      <c r="B2505" s="221"/>
      <c r="C2505" s="222">
        <v>101.0</v>
      </c>
      <c r="D2505" s="223" t="s">
        <v>369</v>
      </c>
      <c r="E2505" s="223" t="s">
        <v>487</v>
      </c>
      <c r="F2505" s="223" t="s">
        <v>492</v>
      </c>
      <c r="G2505" s="223" t="s">
        <v>526</v>
      </c>
      <c r="H2505" s="225" t="s">
        <v>2249</v>
      </c>
      <c r="I2505" s="208"/>
      <c r="J2505" s="210"/>
      <c r="K2505" s="210"/>
      <c r="L2505" s="210"/>
      <c r="M2505" s="210"/>
      <c r="N2505" s="210"/>
      <c r="O2505" s="210"/>
      <c r="P2505" s="210"/>
      <c r="Q2505" s="210"/>
      <c r="R2505" s="210"/>
      <c r="S2505" s="210"/>
      <c r="T2505" s="210"/>
      <c r="U2505" s="210"/>
      <c r="V2505" s="210"/>
      <c r="W2505" s="210"/>
      <c r="X2505" s="210"/>
      <c r="Y2505" s="210"/>
      <c r="Z2505" s="210"/>
    </row>
    <row r="2506" ht="21.75" customHeight="1">
      <c r="A2506" s="214"/>
      <c r="B2506" s="221"/>
      <c r="C2506" s="222">
        <v>102.0</v>
      </c>
      <c r="D2506" s="223" t="s">
        <v>725</v>
      </c>
      <c r="E2506" s="223" t="s">
        <v>487</v>
      </c>
      <c r="F2506" s="223" t="s">
        <v>496</v>
      </c>
      <c r="G2506" s="223" t="s">
        <v>493</v>
      </c>
      <c r="H2506" s="225" t="s">
        <v>2250</v>
      </c>
      <c r="I2506" s="208"/>
      <c r="J2506" s="210"/>
      <c r="K2506" s="210"/>
      <c r="L2506" s="210"/>
      <c r="M2506" s="210"/>
      <c r="N2506" s="210"/>
      <c r="O2506" s="210"/>
      <c r="P2506" s="210"/>
      <c r="Q2506" s="210"/>
      <c r="R2506" s="210"/>
      <c r="S2506" s="210"/>
      <c r="T2506" s="210"/>
      <c r="U2506" s="210"/>
      <c r="V2506" s="210"/>
      <c r="W2506" s="210"/>
      <c r="X2506" s="210"/>
      <c r="Y2506" s="210"/>
      <c r="Z2506" s="210"/>
    </row>
    <row r="2507" ht="21.75" customHeight="1">
      <c r="A2507" s="214"/>
      <c r="B2507" s="221"/>
      <c r="C2507" s="222">
        <v>103.0</v>
      </c>
      <c r="D2507" s="223" t="s">
        <v>1407</v>
      </c>
      <c r="E2507" s="223" t="s">
        <v>487</v>
      </c>
      <c r="F2507" s="223" t="s">
        <v>500</v>
      </c>
      <c r="G2507" s="223" t="s">
        <v>497</v>
      </c>
      <c r="H2507" s="225" t="s">
        <v>2251</v>
      </c>
      <c r="I2507" s="208"/>
      <c r="J2507" s="210"/>
      <c r="K2507" s="210"/>
      <c r="L2507" s="210"/>
      <c r="M2507" s="210"/>
      <c r="N2507" s="210"/>
      <c r="O2507" s="210"/>
      <c r="P2507" s="210"/>
      <c r="Q2507" s="210"/>
      <c r="R2507" s="210"/>
      <c r="S2507" s="210"/>
      <c r="T2507" s="210"/>
      <c r="U2507" s="210"/>
      <c r="V2507" s="210"/>
      <c r="W2507" s="210"/>
      <c r="X2507" s="210"/>
      <c r="Y2507" s="210"/>
      <c r="Z2507" s="210"/>
    </row>
    <row r="2508" ht="21.75" customHeight="1">
      <c r="A2508" s="214"/>
      <c r="B2508" s="221"/>
      <c r="C2508" s="222">
        <v>104.0</v>
      </c>
      <c r="D2508" s="223" t="s">
        <v>662</v>
      </c>
      <c r="E2508" s="223" t="s">
        <v>487</v>
      </c>
      <c r="F2508" s="223" t="s">
        <v>512</v>
      </c>
      <c r="G2508" s="223" t="s">
        <v>501</v>
      </c>
      <c r="H2508" s="225" t="s">
        <v>2252</v>
      </c>
      <c r="I2508" s="208"/>
      <c r="J2508" s="210"/>
      <c r="K2508" s="210"/>
      <c r="L2508" s="210"/>
      <c r="M2508" s="210"/>
      <c r="N2508" s="210"/>
      <c r="O2508" s="210"/>
      <c r="P2508" s="210"/>
      <c r="Q2508" s="210"/>
      <c r="R2508" s="210"/>
      <c r="S2508" s="210"/>
      <c r="T2508" s="210"/>
      <c r="U2508" s="210"/>
      <c r="V2508" s="210"/>
      <c r="W2508" s="210"/>
      <c r="X2508" s="210"/>
      <c r="Y2508" s="210"/>
      <c r="Z2508" s="210"/>
    </row>
    <row r="2509" ht="21.75" customHeight="1">
      <c r="A2509" s="214"/>
      <c r="B2509" s="217"/>
      <c r="C2509" s="222">
        <v>105.0</v>
      </c>
      <c r="D2509" s="215" t="s">
        <v>376</v>
      </c>
      <c r="E2509" s="215" t="s">
        <v>508</v>
      </c>
      <c r="F2509" s="215" t="s">
        <v>509</v>
      </c>
      <c r="G2509" s="215" t="s">
        <v>510</v>
      </c>
      <c r="H2509" s="225" t="s">
        <v>2253</v>
      </c>
      <c r="I2509" s="208"/>
      <c r="J2509" s="210"/>
      <c r="K2509" s="210"/>
      <c r="L2509" s="210"/>
      <c r="M2509" s="210"/>
      <c r="N2509" s="210"/>
      <c r="O2509" s="210"/>
      <c r="P2509" s="210"/>
      <c r="Q2509" s="210"/>
      <c r="R2509" s="210"/>
      <c r="S2509" s="210"/>
      <c r="T2509" s="210"/>
      <c r="U2509" s="210"/>
      <c r="V2509" s="210"/>
      <c r="W2509" s="210"/>
      <c r="X2509" s="210"/>
      <c r="Y2509" s="210"/>
      <c r="Z2509" s="210"/>
    </row>
    <row r="2510" ht="21.75" customHeight="1">
      <c r="A2510" s="214"/>
      <c r="B2510" s="218" t="s">
        <v>2254</v>
      </c>
      <c r="C2510" s="226">
        <v>50667.0</v>
      </c>
      <c r="D2510" s="220"/>
      <c r="E2510" s="220"/>
      <c r="F2510" s="220"/>
      <c r="G2510" s="220"/>
      <c r="H2510" s="221"/>
      <c r="I2510" s="208"/>
      <c r="J2510" s="210"/>
      <c r="K2510" s="210"/>
      <c r="L2510" s="210"/>
      <c r="M2510" s="210"/>
      <c r="N2510" s="210"/>
      <c r="O2510" s="210"/>
      <c r="P2510" s="210"/>
      <c r="Q2510" s="210"/>
      <c r="R2510" s="210"/>
      <c r="S2510" s="210"/>
      <c r="T2510" s="210"/>
      <c r="U2510" s="210"/>
      <c r="V2510" s="210"/>
      <c r="W2510" s="210"/>
      <c r="X2510" s="210"/>
      <c r="Y2510" s="210"/>
      <c r="Z2510" s="210"/>
    </row>
    <row r="2511" ht="21.75" customHeight="1">
      <c r="A2511" s="214"/>
      <c r="B2511" s="221"/>
      <c r="C2511" s="222">
        <v>100.0</v>
      </c>
      <c r="D2511" s="223" t="s">
        <v>486</v>
      </c>
      <c r="E2511" s="223" t="s">
        <v>487</v>
      </c>
      <c r="F2511" s="223" t="s">
        <v>488</v>
      </c>
      <c r="G2511" s="223" t="s">
        <v>489</v>
      </c>
      <c r="H2511" s="224" t="s">
        <v>490</v>
      </c>
      <c r="I2511" s="208"/>
      <c r="J2511" s="210"/>
      <c r="K2511" s="210"/>
      <c r="L2511" s="210"/>
      <c r="M2511" s="210"/>
      <c r="N2511" s="210"/>
      <c r="O2511" s="210"/>
      <c r="P2511" s="210"/>
      <c r="Q2511" s="210"/>
      <c r="R2511" s="210"/>
      <c r="S2511" s="210"/>
      <c r="T2511" s="210"/>
      <c r="U2511" s="210"/>
      <c r="V2511" s="210"/>
      <c r="W2511" s="210"/>
      <c r="X2511" s="210"/>
      <c r="Y2511" s="210"/>
      <c r="Z2511" s="210"/>
    </row>
    <row r="2512" ht="21.75" customHeight="1">
      <c r="A2512" s="214"/>
      <c r="B2512" s="221"/>
      <c r="C2512" s="222">
        <v>101.0</v>
      </c>
      <c r="D2512" s="223" t="s">
        <v>491</v>
      </c>
      <c r="E2512" s="223" t="s">
        <v>487</v>
      </c>
      <c r="F2512" s="223" t="s">
        <v>492</v>
      </c>
      <c r="G2512" s="223" t="s">
        <v>678</v>
      </c>
      <c r="H2512" s="225" t="s">
        <v>2255</v>
      </c>
      <c r="I2512" s="208"/>
      <c r="J2512" s="210"/>
      <c r="K2512" s="210"/>
      <c r="L2512" s="210"/>
      <c r="M2512" s="210"/>
      <c r="N2512" s="210"/>
      <c r="O2512" s="210"/>
      <c r="P2512" s="210"/>
      <c r="Q2512" s="210"/>
      <c r="R2512" s="210"/>
      <c r="S2512" s="210"/>
      <c r="T2512" s="210"/>
      <c r="U2512" s="210"/>
      <c r="V2512" s="210"/>
      <c r="W2512" s="210"/>
      <c r="X2512" s="210"/>
      <c r="Y2512" s="210"/>
      <c r="Z2512" s="210"/>
    </row>
    <row r="2513" ht="21.75" customHeight="1">
      <c r="A2513" s="214"/>
      <c r="B2513" s="221"/>
      <c r="C2513" s="222">
        <v>102.0</v>
      </c>
      <c r="D2513" s="223" t="s">
        <v>725</v>
      </c>
      <c r="E2513" s="223" t="s">
        <v>487</v>
      </c>
      <c r="F2513" s="223" t="s">
        <v>496</v>
      </c>
      <c r="G2513" s="223" t="s">
        <v>493</v>
      </c>
      <c r="H2513" s="225" t="s">
        <v>2256</v>
      </c>
      <c r="I2513" s="208"/>
      <c r="J2513" s="210"/>
      <c r="K2513" s="210"/>
      <c r="L2513" s="210"/>
      <c r="M2513" s="210"/>
      <c r="N2513" s="210"/>
      <c r="O2513" s="210"/>
      <c r="P2513" s="210"/>
      <c r="Q2513" s="210"/>
      <c r="R2513" s="210"/>
      <c r="S2513" s="210"/>
      <c r="T2513" s="210"/>
      <c r="U2513" s="210"/>
      <c r="V2513" s="210"/>
      <c r="W2513" s="210"/>
      <c r="X2513" s="210"/>
      <c r="Y2513" s="210"/>
      <c r="Z2513" s="210"/>
    </row>
    <row r="2514" ht="21.75" customHeight="1">
      <c r="A2514" s="214"/>
      <c r="B2514" s="221"/>
      <c r="C2514" s="222">
        <v>103.0</v>
      </c>
      <c r="D2514" s="223" t="s">
        <v>1407</v>
      </c>
      <c r="E2514" s="223" t="s">
        <v>487</v>
      </c>
      <c r="F2514" s="223" t="s">
        <v>500</v>
      </c>
      <c r="G2514" s="223" t="s">
        <v>497</v>
      </c>
      <c r="H2514" s="225" t="s">
        <v>2257</v>
      </c>
      <c r="I2514" s="208"/>
      <c r="J2514" s="210"/>
      <c r="K2514" s="210"/>
      <c r="L2514" s="210"/>
      <c r="M2514" s="210"/>
      <c r="N2514" s="210"/>
      <c r="O2514" s="210"/>
      <c r="P2514" s="210"/>
      <c r="Q2514" s="210"/>
      <c r="R2514" s="210"/>
      <c r="S2514" s="210"/>
      <c r="T2514" s="210"/>
      <c r="U2514" s="210"/>
      <c r="V2514" s="210"/>
      <c r="W2514" s="210"/>
      <c r="X2514" s="210"/>
      <c r="Y2514" s="210"/>
      <c r="Z2514" s="210"/>
    </row>
    <row r="2515" ht="21.75" customHeight="1">
      <c r="A2515" s="214"/>
      <c r="B2515" s="221"/>
      <c r="C2515" s="222">
        <v>104.0</v>
      </c>
      <c r="D2515" s="223" t="s">
        <v>662</v>
      </c>
      <c r="E2515" s="223" t="s">
        <v>487</v>
      </c>
      <c r="F2515" s="223" t="s">
        <v>512</v>
      </c>
      <c r="G2515" s="223" t="s">
        <v>501</v>
      </c>
      <c r="H2515" s="225" t="s">
        <v>2258</v>
      </c>
      <c r="I2515" s="208"/>
      <c r="J2515" s="210"/>
      <c r="K2515" s="210"/>
      <c r="L2515" s="210"/>
      <c r="M2515" s="210"/>
      <c r="N2515" s="210"/>
      <c r="O2515" s="210"/>
      <c r="P2515" s="210"/>
      <c r="Q2515" s="210"/>
      <c r="R2515" s="210"/>
      <c r="S2515" s="210"/>
      <c r="T2515" s="210"/>
      <c r="U2515" s="210"/>
      <c r="V2515" s="210"/>
      <c r="W2515" s="210"/>
      <c r="X2515" s="210"/>
      <c r="Y2515" s="210"/>
      <c r="Z2515" s="210"/>
    </row>
    <row r="2516" ht="21.75" customHeight="1">
      <c r="A2516" s="228"/>
      <c r="B2516" s="217"/>
      <c r="C2516" s="222">
        <v>105.0</v>
      </c>
      <c r="D2516" s="215" t="s">
        <v>376</v>
      </c>
      <c r="E2516" s="215" t="s">
        <v>508</v>
      </c>
      <c r="F2516" s="215" t="s">
        <v>509</v>
      </c>
      <c r="G2516" s="215" t="s">
        <v>510</v>
      </c>
      <c r="H2516" s="225" t="s">
        <v>2259</v>
      </c>
      <c r="I2516" s="208"/>
      <c r="J2516" s="210"/>
      <c r="K2516" s="210"/>
      <c r="L2516" s="210"/>
      <c r="M2516" s="210"/>
      <c r="N2516" s="210"/>
      <c r="O2516" s="210"/>
      <c r="P2516" s="210"/>
      <c r="Q2516" s="210"/>
      <c r="R2516" s="210"/>
      <c r="S2516" s="210"/>
      <c r="T2516" s="210"/>
      <c r="U2516" s="210"/>
      <c r="V2516" s="210"/>
      <c r="W2516" s="210"/>
      <c r="X2516" s="210"/>
      <c r="Y2516" s="210"/>
      <c r="Z2516" s="210"/>
    </row>
    <row r="2517" ht="21.75" customHeight="1">
      <c r="A2517" s="239" t="s">
        <v>2260</v>
      </c>
      <c r="B2517" s="240"/>
      <c r="C2517" s="239"/>
      <c r="D2517" s="240"/>
      <c r="E2517" s="240"/>
      <c r="F2517" s="240"/>
      <c r="G2517" s="240"/>
      <c r="H2517" s="240"/>
      <c r="I2517" s="208"/>
      <c r="J2517" s="210"/>
      <c r="K2517" s="210"/>
      <c r="L2517" s="210"/>
      <c r="M2517" s="210"/>
      <c r="N2517" s="210"/>
      <c r="O2517" s="210"/>
      <c r="P2517" s="210"/>
      <c r="Q2517" s="210"/>
      <c r="R2517" s="210"/>
      <c r="S2517" s="210"/>
      <c r="T2517" s="210"/>
      <c r="U2517" s="210"/>
      <c r="V2517" s="210"/>
      <c r="W2517" s="210"/>
      <c r="X2517" s="210"/>
      <c r="Y2517" s="210"/>
      <c r="Z2517" s="210"/>
    </row>
  </sheetData>
  <mergeCells count="17">
    <mergeCell ref="B179:C179"/>
    <mergeCell ref="B239:C239"/>
    <mergeCell ref="B511:C511"/>
    <mergeCell ref="B569:C569"/>
    <mergeCell ref="B968:C968"/>
    <mergeCell ref="B1113:C1113"/>
    <mergeCell ref="B1632:C1632"/>
    <mergeCell ref="B2283:C2283"/>
    <mergeCell ref="B2312:C2312"/>
    <mergeCell ref="B2427:C2427"/>
    <mergeCell ref="B1639:C1639"/>
    <mergeCell ref="B1863:C1863"/>
    <mergeCell ref="B1980:C1980"/>
    <mergeCell ref="B1988:C1988"/>
    <mergeCell ref="B2040:C2040"/>
    <mergeCell ref="B2191:C2191"/>
    <mergeCell ref="B2207:C2207"/>
  </mergeCells>
  <printOptions/>
  <pageMargins bottom="0.0" footer="0.0" header="0.0" left="0.0" right="0.0" top="0.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21.14"/>
    <col customWidth="1" min="3" max="3" width="32.71"/>
    <col customWidth="1" min="4" max="4" width="92.43"/>
    <col customWidth="1" min="5" max="5" width="14.0"/>
  </cols>
  <sheetData>
    <row r="1">
      <c r="A1" s="33" t="s">
        <v>2261</v>
      </c>
      <c r="B1" s="30" t="s">
        <v>2262</v>
      </c>
      <c r="C1" s="31"/>
      <c r="D1" s="31"/>
      <c r="E1" s="31"/>
      <c r="F1" s="31"/>
      <c r="G1" s="31"/>
      <c r="H1" s="31"/>
      <c r="I1" s="31"/>
      <c r="J1" s="31"/>
      <c r="K1" s="31"/>
      <c r="L1" s="31"/>
      <c r="M1" s="31"/>
      <c r="N1" s="31"/>
      <c r="O1" s="31"/>
      <c r="P1" s="31"/>
      <c r="Q1" s="31"/>
      <c r="R1" s="31"/>
      <c r="S1" s="31"/>
      <c r="T1" s="31"/>
      <c r="U1" s="31"/>
      <c r="V1" s="31"/>
      <c r="W1" s="31"/>
      <c r="X1" s="31"/>
      <c r="Y1" s="31"/>
      <c r="Z1" s="31"/>
    </row>
    <row r="2">
      <c r="A2" s="241" t="s">
        <v>2261</v>
      </c>
      <c r="B2" s="241" t="s">
        <v>480</v>
      </c>
      <c r="C2" s="241" t="s">
        <v>2263</v>
      </c>
      <c r="D2" s="241" t="s">
        <v>2264</v>
      </c>
      <c r="E2" s="241" t="s">
        <v>2265</v>
      </c>
      <c r="F2" s="31"/>
      <c r="G2" s="31"/>
      <c r="H2" s="31"/>
      <c r="I2" s="31"/>
      <c r="J2" s="31"/>
      <c r="K2" s="31"/>
      <c r="L2" s="31"/>
      <c r="M2" s="31"/>
      <c r="N2" s="31"/>
      <c r="O2" s="31"/>
      <c r="P2" s="31"/>
      <c r="Q2" s="31"/>
      <c r="R2" s="31"/>
      <c r="S2" s="31"/>
      <c r="T2" s="31"/>
      <c r="U2" s="31"/>
      <c r="V2" s="31"/>
      <c r="W2" s="31"/>
      <c r="X2" s="31"/>
      <c r="Y2" s="31"/>
      <c r="Z2" s="31"/>
    </row>
    <row r="3">
      <c r="A3" s="43">
        <v>0.0</v>
      </c>
      <c r="B3" s="52" t="s">
        <v>2266</v>
      </c>
      <c r="C3" s="52"/>
      <c r="D3" s="52"/>
      <c r="E3" s="52"/>
      <c r="F3" s="31"/>
      <c r="G3" s="31"/>
      <c r="H3" s="31"/>
      <c r="I3" s="31"/>
      <c r="J3" s="31"/>
      <c r="K3" s="31"/>
      <c r="L3" s="31"/>
      <c r="M3" s="31"/>
      <c r="N3" s="31"/>
      <c r="O3" s="31"/>
      <c r="P3" s="31"/>
      <c r="Q3" s="31"/>
      <c r="R3" s="31"/>
      <c r="S3" s="31"/>
      <c r="T3" s="31"/>
      <c r="U3" s="31"/>
      <c r="V3" s="31"/>
      <c r="W3" s="31"/>
      <c r="X3" s="31"/>
      <c r="Y3" s="31"/>
      <c r="Z3" s="31"/>
    </row>
    <row r="4">
      <c r="A4" s="43">
        <v>1.0</v>
      </c>
      <c r="B4" s="52" t="s">
        <v>742</v>
      </c>
      <c r="C4" s="52"/>
      <c r="D4" s="52"/>
      <c r="E4" s="52"/>
      <c r="F4" s="31"/>
      <c r="G4" s="31"/>
      <c r="H4" s="31"/>
      <c r="I4" s="31"/>
      <c r="J4" s="31"/>
      <c r="K4" s="31"/>
      <c r="L4" s="31"/>
      <c r="M4" s="31"/>
      <c r="N4" s="31"/>
      <c r="O4" s="31"/>
      <c r="P4" s="31"/>
      <c r="Q4" s="31"/>
      <c r="R4" s="31"/>
      <c r="S4" s="31"/>
      <c r="T4" s="31"/>
      <c r="U4" s="31"/>
      <c r="V4" s="31"/>
      <c r="W4" s="31"/>
      <c r="X4" s="31"/>
      <c r="Y4" s="31"/>
      <c r="Z4" s="31"/>
    </row>
    <row r="5">
      <c r="A5" s="43">
        <v>2.0</v>
      </c>
      <c r="B5" s="52" t="s">
        <v>738</v>
      </c>
      <c r="C5" s="52"/>
      <c r="D5" s="52"/>
      <c r="E5" s="52"/>
      <c r="F5" s="31"/>
      <c r="G5" s="31"/>
      <c r="H5" s="31"/>
      <c r="I5" s="31"/>
      <c r="J5" s="31"/>
      <c r="K5" s="31"/>
      <c r="L5" s="31"/>
      <c r="M5" s="31"/>
      <c r="N5" s="31"/>
      <c r="O5" s="31"/>
      <c r="P5" s="31"/>
      <c r="Q5" s="31"/>
      <c r="R5" s="31"/>
      <c r="S5" s="31"/>
      <c r="T5" s="31"/>
      <c r="U5" s="31"/>
      <c r="V5" s="31"/>
      <c r="W5" s="31"/>
      <c r="X5" s="31"/>
      <c r="Y5" s="31"/>
      <c r="Z5" s="31"/>
    </row>
    <row r="6">
      <c r="A6" s="43">
        <v>3.0</v>
      </c>
      <c r="B6" s="52" t="s">
        <v>2267</v>
      </c>
      <c r="C6" s="52"/>
      <c r="D6" s="52"/>
      <c r="E6" s="52"/>
      <c r="F6" s="31"/>
      <c r="G6" s="31"/>
      <c r="H6" s="31"/>
      <c r="I6" s="31"/>
      <c r="J6" s="31"/>
      <c r="K6" s="31"/>
      <c r="L6" s="31"/>
      <c r="M6" s="31"/>
      <c r="N6" s="31"/>
      <c r="O6" s="31"/>
      <c r="P6" s="31"/>
      <c r="Q6" s="31"/>
      <c r="R6" s="31"/>
      <c r="S6" s="31"/>
      <c r="T6" s="31"/>
      <c r="U6" s="31"/>
      <c r="V6" s="31"/>
      <c r="W6" s="31"/>
      <c r="X6" s="31"/>
      <c r="Y6" s="31"/>
      <c r="Z6" s="31"/>
    </row>
    <row r="7">
      <c r="A7" s="43">
        <v>4.0</v>
      </c>
      <c r="B7" s="52" t="s">
        <v>2268</v>
      </c>
      <c r="C7" s="52"/>
      <c r="D7" s="52"/>
      <c r="E7" s="52"/>
      <c r="F7" s="31"/>
      <c r="G7" s="31"/>
      <c r="H7" s="31"/>
      <c r="I7" s="31"/>
      <c r="J7" s="31"/>
      <c r="K7" s="31"/>
      <c r="L7" s="31"/>
      <c r="M7" s="31"/>
      <c r="N7" s="31"/>
      <c r="O7" s="31"/>
      <c r="P7" s="31"/>
      <c r="Q7" s="31"/>
      <c r="R7" s="31"/>
      <c r="S7" s="31"/>
      <c r="T7" s="31"/>
      <c r="U7" s="31"/>
      <c r="V7" s="31"/>
      <c r="W7" s="31"/>
      <c r="X7" s="31"/>
      <c r="Y7" s="31"/>
      <c r="Z7" s="31"/>
    </row>
    <row r="8">
      <c r="A8" s="43">
        <v>5.0</v>
      </c>
      <c r="B8" s="52" t="s">
        <v>2269</v>
      </c>
      <c r="C8" s="52"/>
      <c r="D8" s="52"/>
      <c r="E8" s="52"/>
      <c r="F8" s="31"/>
      <c r="G8" s="31"/>
      <c r="H8" s="31"/>
      <c r="I8" s="31"/>
      <c r="J8" s="31"/>
      <c r="K8" s="31"/>
      <c r="L8" s="31"/>
      <c r="M8" s="31"/>
      <c r="N8" s="31"/>
      <c r="O8" s="31"/>
      <c r="P8" s="31"/>
      <c r="Q8" s="31"/>
      <c r="R8" s="31"/>
      <c r="S8" s="31"/>
      <c r="T8" s="31"/>
      <c r="U8" s="31"/>
      <c r="V8" s="31"/>
      <c r="W8" s="31"/>
      <c r="X8" s="31"/>
      <c r="Y8" s="31"/>
      <c r="Z8" s="31"/>
    </row>
    <row r="9">
      <c r="A9" s="43">
        <v>6.0</v>
      </c>
      <c r="B9" s="52" t="s">
        <v>487</v>
      </c>
      <c r="C9" s="52"/>
      <c r="D9" s="52"/>
      <c r="E9" s="52"/>
      <c r="F9" s="31"/>
      <c r="G9" s="31"/>
      <c r="H9" s="31"/>
      <c r="I9" s="31"/>
      <c r="J9" s="31"/>
      <c r="K9" s="31"/>
      <c r="L9" s="31"/>
      <c r="M9" s="31"/>
      <c r="N9" s="31"/>
      <c r="O9" s="31"/>
      <c r="P9" s="31"/>
      <c r="Q9" s="31"/>
      <c r="R9" s="31"/>
      <c r="S9" s="31"/>
      <c r="T9" s="31"/>
      <c r="U9" s="31"/>
      <c r="V9" s="31"/>
      <c r="W9" s="31"/>
      <c r="X9" s="31"/>
      <c r="Y9" s="31"/>
      <c r="Z9" s="31"/>
    </row>
    <row r="10">
      <c r="A10" s="43">
        <v>7.0</v>
      </c>
      <c r="B10" s="52" t="s">
        <v>2270</v>
      </c>
      <c r="C10" s="52"/>
      <c r="D10" s="52"/>
      <c r="E10" s="52"/>
      <c r="F10" s="31"/>
      <c r="G10" s="31"/>
      <c r="H10" s="31"/>
      <c r="I10" s="31"/>
      <c r="J10" s="31"/>
      <c r="K10" s="31"/>
      <c r="L10" s="31"/>
      <c r="M10" s="31"/>
      <c r="N10" s="31"/>
      <c r="O10" s="31"/>
      <c r="P10" s="31"/>
      <c r="Q10" s="31"/>
      <c r="R10" s="31"/>
      <c r="S10" s="31"/>
      <c r="T10" s="31"/>
      <c r="U10" s="31"/>
      <c r="V10" s="31"/>
      <c r="W10" s="31"/>
      <c r="X10" s="31"/>
      <c r="Y10" s="31"/>
      <c r="Z10" s="31"/>
    </row>
    <row r="11">
      <c r="A11" s="43">
        <v>9.0</v>
      </c>
      <c r="B11" s="52" t="s">
        <v>2271</v>
      </c>
      <c r="C11" s="52"/>
      <c r="D11" s="52"/>
      <c r="E11" s="52"/>
      <c r="F11" s="31"/>
      <c r="G11" s="31"/>
      <c r="H11" s="31"/>
      <c r="I11" s="31"/>
      <c r="J11" s="31"/>
      <c r="K11" s="31"/>
      <c r="L11" s="31"/>
      <c r="M11" s="31"/>
      <c r="N11" s="31"/>
      <c r="O11" s="31"/>
      <c r="P11" s="31"/>
      <c r="Q11" s="31"/>
      <c r="R11" s="31"/>
      <c r="S11" s="31"/>
      <c r="T11" s="31"/>
      <c r="U11" s="31"/>
      <c r="V11" s="31"/>
      <c r="W11" s="31"/>
      <c r="X11" s="31"/>
      <c r="Y11" s="31"/>
      <c r="Z11" s="31"/>
    </row>
    <row r="12">
      <c r="A12" s="43">
        <v>10.0</v>
      </c>
      <c r="B12" s="52" t="s">
        <v>2272</v>
      </c>
      <c r="C12" s="52"/>
      <c r="D12" s="52"/>
      <c r="E12" s="52"/>
      <c r="F12" s="31"/>
      <c r="G12" s="31"/>
      <c r="H12" s="31"/>
      <c r="I12" s="31"/>
      <c r="J12" s="31"/>
      <c r="K12" s="31"/>
      <c r="L12" s="31"/>
      <c r="M12" s="31"/>
      <c r="N12" s="31"/>
      <c r="O12" s="31"/>
      <c r="P12" s="31"/>
      <c r="Q12" s="31"/>
      <c r="R12" s="31"/>
      <c r="S12" s="31"/>
      <c r="T12" s="31"/>
      <c r="U12" s="31"/>
      <c r="V12" s="31"/>
      <c r="W12" s="31"/>
      <c r="X12" s="31"/>
      <c r="Y12" s="31"/>
      <c r="Z12" s="31"/>
    </row>
    <row r="13">
      <c r="A13" s="43">
        <v>11.0</v>
      </c>
      <c r="B13" s="52" t="s">
        <v>529</v>
      </c>
      <c r="C13" s="52"/>
      <c r="D13" s="52" t="s">
        <v>2273</v>
      </c>
      <c r="E13" s="52" t="s">
        <v>2274</v>
      </c>
      <c r="F13" s="31"/>
      <c r="G13" s="31"/>
      <c r="H13" s="31"/>
      <c r="I13" s="31"/>
      <c r="J13" s="31"/>
      <c r="K13" s="31"/>
      <c r="L13" s="31"/>
      <c r="M13" s="31"/>
      <c r="N13" s="31"/>
      <c r="O13" s="31"/>
      <c r="P13" s="31"/>
      <c r="Q13" s="31"/>
      <c r="R13" s="31"/>
      <c r="S13" s="31"/>
      <c r="T13" s="31"/>
      <c r="U13" s="31"/>
      <c r="V13" s="31"/>
      <c r="W13" s="31"/>
      <c r="X13" s="31"/>
      <c r="Y13" s="31"/>
      <c r="Z13" s="31"/>
    </row>
    <row r="14">
      <c r="A14" s="43">
        <v>12.0</v>
      </c>
      <c r="B14" s="52" t="s">
        <v>2275</v>
      </c>
      <c r="C14" s="52"/>
      <c r="D14" s="52"/>
      <c r="E14" s="52"/>
      <c r="F14" s="31"/>
      <c r="G14" s="31"/>
      <c r="H14" s="31"/>
      <c r="I14" s="31"/>
      <c r="J14" s="31"/>
      <c r="K14" s="31"/>
      <c r="L14" s="31"/>
      <c r="M14" s="31"/>
      <c r="N14" s="31"/>
      <c r="O14" s="31"/>
      <c r="P14" s="31"/>
      <c r="Q14" s="31"/>
      <c r="R14" s="31"/>
      <c r="S14" s="31"/>
      <c r="T14" s="31"/>
      <c r="U14" s="31"/>
      <c r="V14" s="31"/>
      <c r="W14" s="31"/>
      <c r="X14" s="31"/>
      <c r="Y14" s="31"/>
      <c r="Z14" s="31"/>
    </row>
    <row r="15">
      <c r="A15" s="43">
        <v>13.0</v>
      </c>
      <c r="B15" s="52" t="s">
        <v>2276</v>
      </c>
      <c r="C15" s="52"/>
      <c r="D15" s="52"/>
      <c r="E15" s="52"/>
      <c r="F15" s="31"/>
      <c r="G15" s="31"/>
      <c r="H15" s="31"/>
      <c r="I15" s="31"/>
      <c r="J15" s="31"/>
      <c r="K15" s="31"/>
      <c r="L15" s="31"/>
      <c r="M15" s="31"/>
      <c r="N15" s="31"/>
      <c r="O15" s="31"/>
      <c r="P15" s="31"/>
      <c r="Q15" s="31"/>
      <c r="R15" s="31"/>
      <c r="S15" s="31"/>
      <c r="T15" s="31"/>
      <c r="U15" s="31"/>
      <c r="V15" s="31"/>
      <c r="W15" s="31"/>
      <c r="X15" s="31"/>
      <c r="Y15" s="31"/>
      <c r="Z15" s="31"/>
    </row>
    <row r="16">
      <c r="A16" s="43">
        <v>14.0</v>
      </c>
      <c r="B16" s="52" t="s">
        <v>504</v>
      </c>
      <c r="C16" s="52"/>
      <c r="D16" s="52"/>
      <c r="E16" s="52"/>
      <c r="F16" s="31"/>
      <c r="G16" s="31"/>
      <c r="H16" s="31"/>
      <c r="I16" s="31"/>
      <c r="J16" s="31"/>
      <c r="K16" s="31"/>
      <c r="L16" s="31"/>
      <c r="M16" s="31"/>
      <c r="N16" s="31"/>
      <c r="O16" s="31"/>
      <c r="P16" s="31"/>
      <c r="Q16" s="31"/>
      <c r="R16" s="31"/>
      <c r="S16" s="31"/>
      <c r="T16" s="31"/>
      <c r="U16" s="31"/>
      <c r="V16" s="31"/>
      <c r="W16" s="31"/>
      <c r="X16" s="31"/>
      <c r="Y16" s="31"/>
      <c r="Z16" s="31"/>
    </row>
    <row r="17">
      <c r="A17" s="43">
        <v>15.0</v>
      </c>
      <c r="B17" s="52" t="s">
        <v>2277</v>
      </c>
      <c r="C17" s="52"/>
      <c r="D17" s="52"/>
      <c r="E17" s="52"/>
      <c r="F17" s="31"/>
      <c r="G17" s="31"/>
      <c r="H17" s="31"/>
      <c r="I17" s="31"/>
      <c r="J17" s="31"/>
      <c r="K17" s="31"/>
      <c r="L17" s="31"/>
      <c r="M17" s="31"/>
      <c r="N17" s="31"/>
      <c r="O17" s="31"/>
      <c r="P17" s="31"/>
      <c r="Q17" s="31"/>
      <c r="R17" s="31"/>
      <c r="S17" s="31"/>
      <c r="T17" s="31"/>
      <c r="U17" s="31"/>
      <c r="V17" s="31"/>
      <c r="W17" s="31"/>
      <c r="X17" s="31"/>
      <c r="Y17" s="31"/>
      <c r="Z17" s="31"/>
    </row>
    <row r="18">
      <c r="A18" s="43">
        <v>16.0</v>
      </c>
      <c r="B18" s="52" t="s">
        <v>2278</v>
      </c>
      <c r="C18" s="52"/>
      <c r="D18" s="52"/>
      <c r="E18" s="52"/>
      <c r="F18" s="31"/>
      <c r="G18" s="31"/>
      <c r="H18" s="31"/>
      <c r="I18" s="31"/>
      <c r="J18" s="31"/>
      <c r="K18" s="31"/>
      <c r="L18" s="31"/>
      <c r="M18" s="31"/>
      <c r="N18" s="31"/>
      <c r="O18" s="31"/>
      <c r="P18" s="31"/>
      <c r="Q18" s="31"/>
      <c r="R18" s="31"/>
      <c r="S18" s="31"/>
      <c r="T18" s="31"/>
      <c r="U18" s="31"/>
      <c r="V18" s="31"/>
      <c r="W18" s="31"/>
      <c r="X18" s="31"/>
      <c r="Y18" s="31"/>
      <c r="Z18" s="31"/>
    </row>
    <row r="19">
      <c r="A19" s="43">
        <v>17.0</v>
      </c>
      <c r="B19" s="52" t="s">
        <v>2279</v>
      </c>
      <c r="C19" s="52"/>
      <c r="D19" s="52"/>
      <c r="E19" s="52"/>
      <c r="F19" s="31"/>
      <c r="G19" s="31"/>
      <c r="H19" s="31"/>
      <c r="I19" s="31"/>
      <c r="J19" s="31"/>
      <c r="K19" s="31"/>
      <c r="L19" s="31"/>
      <c r="M19" s="31"/>
      <c r="N19" s="31"/>
      <c r="O19" s="31"/>
      <c r="P19" s="31"/>
      <c r="Q19" s="31"/>
      <c r="R19" s="31"/>
      <c r="S19" s="31"/>
      <c r="T19" s="31"/>
      <c r="U19" s="31"/>
      <c r="V19" s="31"/>
      <c r="W19" s="31"/>
      <c r="X19" s="31"/>
      <c r="Y19" s="31"/>
      <c r="Z19" s="31"/>
    </row>
    <row r="20">
      <c r="A20" s="43">
        <v>18.0</v>
      </c>
      <c r="B20" s="52" t="s">
        <v>791</v>
      </c>
      <c r="C20" s="52"/>
      <c r="D20" s="52"/>
      <c r="E20" s="52" t="s">
        <v>2280</v>
      </c>
      <c r="F20" s="31"/>
      <c r="G20" s="31"/>
      <c r="H20" s="31"/>
      <c r="I20" s="31"/>
      <c r="J20" s="31"/>
      <c r="K20" s="31"/>
      <c r="L20" s="31"/>
      <c r="M20" s="31"/>
      <c r="N20" s="31"/>
      <c r="O20" s="31"/>
      <c r="P20" s="31"/>
      <c r="Q20" s="31"/>
      <c r="R20" s="31"/>
      <c r="S20" s="31"/>
      <c r="T20" s="31"/>
      <c r="U20" s="31"/>
      <c r="V20" s="31"/>
      <c r="W20" s="31"/>
      <c r="X20" s="31"/>
      <c r="Y20" s="31"/>
      <c r="Z20" s="31"/>
    </row>
    <row r="21" ht="15.75" customHeight="1">
      <c r="A21" s="43">
        <v>19.0</v>
      </c>
      <c r="B21" s="52" t="s">
        <v>673</v>
      </c>
      <c r="C21" s="52" t="s">
        <v>2281</v>
      </c>
      <c r="D21" s="52"/>
      <c r="E21" s="52">
        <v>0.0</v>
      </c>
      <c r="F21" s="31"/>
      <c r="G21" s="31"/>
      <c r="H21" s="31"/>
      <c r="I21" s="31"/>
      <c r="J21" s="31"/>
      <c r="K21" s="31"/>
      <c r="L21" s="31"/>
      <c r="M21" s="31"/>
      <c r="N21" s="31"/>
      <c r="O21" s="31"/>
      <c r="P21" s="31"/>
      <c r="Q21" s="31"/>
      <c r="R21" s="31"/>
      <c r="S21" s="31"/>
      <c r="T21" s="31"/>
      <c r="U21" s="31"/>
      <c r="V21" s="31"/>
      <c r="W21" s="31"/>
      <c r="X21" s="31"/>
      <c r="Y21" s="31"/>
      <c r="Z21" s="31"/>
    </row>
    <row r="22" ht="15.75" customHeight="1">
      <c r="A22" s="43">
        <v>20.0</v>
      </c>
      <c r="B22" s="52" t="s">
        <v>539</v>
      </c>
      <c r="C22" s="52" t="s">
        <v>2282</v>
      </c>
      <c r="D22" s="52" t="s">
        <v>2283</v>
      </c>
      <c r="E22" s="52">
        <v>0.0</v>
      </c>
      <c r="F22" s="31"/>
      <c r="G22" s="31"/>
      <c r="H22" s="31"/>
      <c r="I22" s="31"/>
      <c r="J22" s="31"/>
      <c r="K22" s="31"/>
      <c r="L22" s="31"/>
      <c r="M22" s="31"/>
      <c r="N22" s="31"/>
      <c r="O22" s="31"/>
      <c r="P22" s="31"/>
      <c r="Q22" s="31"/>
      <c r="R22" s="31"/>
      <c r="S22" s="31"/>
      <c r="T22" s="31"/>
      <c r="U22" s="31"/>
      <c r="V22" s="31"/>
      <c r="W22" s="31"/>
      <c r="X22" s="31"/>
      <c r="Y22" s="31"/>
      <c r="Z22" s="31"/>
    </row>
    <row r="23" ht="15.75" customHeight="1">
      <c r="A23" s="43">
        <v>21.0</v>
      </c>
      <c r="B23" s="52" t="s">
        <v>1021</v>
      </c>
      <c r="C23" s="52"/>
      <c r="D23" s="52"/>
      <c r="E23" s="52"/>
      <c r="F23" s="31"/>
      <c r="G23" s="31"/>
      <c r="H23" s="31"/>
      <c r="I23" s="31"/>
      <c r="J23" s="31"/>
      <c r="K23" s="31"/>
      <c r="L23" s="31"/>
      <c r="M23" s="31"/>
      <c r="N23" s="31"/>
      <c r="O23" s="31"/>
      <c r="P23" s="31"/>
      <c r="Q23" s="31"/>
      <c r="R23" s="31"/>
      <c r="S23" s="31"/>
      <c r="T23" s="31"/>
      <c r="U23" s="31"/>
      <c r="V23" s="31"/>
      <c r="W23" s="31"/>
      <c r="X23" s="31"/>
      <c r="Y23" s="31"/>
      <c r="Z23" s="31"/>
    </row>
    <row r="24" ht="15.75" customHeight="1">
      <c r="A24" s="43">
        <v>22.0</v>
      </c>
      <c r="B24" s="52" t="s">
        <v>2284</v>
      </c>
      <c r="C24" s="52"/>
      <c r="D24" s="52" t="s">
        <v>2273</v>
      </c>
      <c r="E24" s="52" t="s">
        <v>2274</v>
      </c>
      <c r="F24" s="31"/>
      <c r="G24" s="31"/>
      <c r="H24" s="31"/>
      <c r="I24" s="31"/>
      <c r="J24" s="31"/>
      <c r="K24" s="31"/>
      <c r="L24" s="31"/>
      <c r="M24" s="31"/>
      <c r="N24" s="31"/>
      <c r="O24" s="31"/>
      <c r="P24" s="31"/>
      <c r="Q24" s="31"/>
      <c r="R24" s="31"/>
      <c r="S24" s="31"/>
      <c r="T24" s="31"/>
      <c r="U24" s="31"/>
      <c r="V24" s="31"/>
      <c r="W24" s="31"/>
      <c r="X24" s="31"/>
      <c r="Y24" s="31"/>
      <c r="Z24" s="31"/>
    </row>
    <row r="25" ht="15.75" customHeight="1">
      <c r="A25" s="43">
        <v>23.0</v>
      </c>
      <c r="B25" s="52" t="s">
        <v>2285</v>
      </c>
      <c r="C25" s="52"/>
      <c r="D25" s="52"/>
      <c r="E25" s="52"/>
      <c r="F25" s="31"/>
      <c r="G25" s="31"/>
      <c r="H25" s="31"/>
      <c r="I25" s="31"/>
      <c r="J25" s="31"/>
      <c r="K25" s="31"/>
      <c r="L25" s="31"/>
      <c r="M25" s="31"/>
      <c r="N25" s="31"/>
      <c r="O25" s="31"/>
      <c r="P25" s="31"/>
      <c r="Q25" s="31"/>
      <c r="R25" s="31"/>
      <c r="S25" s="31"/>
      <c r="T25" s="31"/>
      <c r="U25" s="31"/>
      <c r="V25" s="31"/>
      <c r="W25" s="31"/>
      <c r="X25" s="31"/>
      <c r="Y25" s="31"/>
      <c r="Z25" s="31"/>
    </row>
    <row r="26" ht="15.75" customHeight="1">
      <c r="A26" s="43">
        <v>24.0</v>
      </c>
      <c r="B26" s="52" t="s">
        <v>2286</v>
      </c>
      <c r="C26" s="52"/>
      <c r="D26" s="52"/>
      <c r="E26" s="52"/>
      <c r="F26" s="31"/>
      <c r="G26" s="31"/>
      <c r="H26" s="31"/>
      <c r="I26" s="31"/>
      <c r="J26" s="31"/>
      <c r="K26" s="31"/>
      <c r="L26" s="31"/>
      <c r="M26" s="31"/>
      <c r="N26" s="31"/>
      <c r="O26" s="31"/>
      <c r="P26" s="31"/>
      <c r="Q26" s="31"/>
      <c r="R26" s="31"/>
      <c r="S26" s="31"/>
      <c r="T26" s="31"/>
      <c r="U26" s="31"/>
      <c r="V26" s="31"/>
      <c r="W26" s="31"/>
      <c r="X26" s="31"/>
      <c r="Y26" s="31"/>
      <c r="Z26" s="31"/>
    </row>
    <row r="27" ht="15.75" customHeight="1">
      <c r="A27" s="43">
        <v>25.0</v>
      </c>
      <c r="B27" s="52" t="s">
        <v>2287</v>
      </c>
      <c r="C27" s="52"/>
      <c r="D27" s="52"/>
      <c r="E27" s="52"/>
      <c r="F27" s="31"/>
      <c r="G27" s="31"/>
      <c r="H27" s="31"/>
      <c r="I27" s="31"/>
      <c r="J27" s="31"/>
      <c r="K27" s="31"/>
      <c r="L27" s="31"/>
      <c r="M27" s="31"/>
      <c r="N27" s="31"/>
      <c r="O27" s="31"/>
      <c r="P27" s="31"/>
      <c r="Q27" s="31"/>
      <c r="R27" s="31"/>
      <c r="S27" s="31"/>
      <c r="T27" s="31"/>
      <c r="U27" s="31"/>
      <c r="V27" s="31"/>
      <c r="W27" s="31"/>
      <c r="X27" s="31"/>
      <c r="Y27" s="31"/>
      <c r="Z27" s="31"/>
    </row>
    <row r="28" ht="15.75" customHeight="1">
      <c r="A28" s="43">
        <v>26.0</v>
      </c>
      <c r="B28" s="52" t="s">
        <v>2288</v>
      </c>
      <c r="C28" s="52"/>
      <c r="D28" s="52"/>
      <c r="E28" s="52"/>
      <c r="F28" s="31"/>
      <c r="G28" s="31"/>
      <c r="H28" s="31"/>
      <c r="I28" s="31"/>
      <c r="J28" s="31"/>
      <c r="K28" s="31"/>
      <c r="L28" s="31"/>
      <c r="M28" s="31"/>
      <c r="N28" s="31"/>
      <c r="O28" s="31"/>
      <c r="P28" s="31"/>
      <c r="Q28" s="31"/>
      <c r="R28" s="31"/>
      <c r="S28" s="31"/>
      <c r="T28" s="31"/>
      <c r="U28" s="31"/>
      <c r="V28" s="31"/>
      <c r="W28" s="31"/>
      <c r="X28" s="31"/>
      <c r="Y28" s="31"/>
      <c r="Z28" s="31"/>
    </row>
    <row r="29" ht="15.75" customHeight="1">
      <c r="A29" s="43">
        <v>27.0</v>
      </c>
      <c r="B29" s="52" t="s">
        <v>2289</v>
      </c>
      <c r="C29" s="52"/>
      <c r="D29" s="52"/>
      <c r="E29" s="52"/>
      <c r="F29" s="31"/>
      <c r="G29" s="31"/>
      <c r="H29" s="31"/>
      <c r="I29" s="31"/>
      <c r="J29" s="31"/>
      <c r="K29" s="31"/>
      <c r="L29" s="31"/>
      <c r="M29" s="31"/>
      <c r="N29" s="31"/>
      <c r="O29" s="31"/>
      <c r="P29" s="31"/>
      <c r="Q29" s="31"/>
      <c r="R29" s="31"/>
      <c r="S29" s="31"/>
      <c r="T29" s="31"/>
      <c r="U29" s="31"/>
      <c r="V29" s="31"/>
      <c r="W29" s="31"/>
      <c r="X29" s="31"/>
      <c r="Y29" s="31"/>
      <c r="Z29" s="31"/>
    </row>
    <row r="30" ht="15.75" customHeight="1">
      <c r="A30" s="43">
        <v>28.0</v>
      </c>
      <c r="B30" s="52" t="s">
        <v>685</v>
      </c>
      <c r="C30" s="52"/>
      <c r="D30" s="52"/>
      <c r="E30" s="52"/>
      <c r="F30" s="31"/>
      <c r="G30" s="31"/>
      <c r="H30" s="31"/>
      <c r="I30" s="31"/>
      <c r="J30" s="31"/>
      <c r="K30" s="31"/>
      <c r="L30" s="31"/>
      <c r="M30" s="31"/>
      <c r="N30" s="31"/>
      <c r="O30" s="31"/>
      <c r="P30" s="31"/>
      <c r="Q30" s="31"/>
      <c r="R30" s="31"/>
      <c r="S30" s="31"/>
      <c r="T30" s="31"/>
      <c r="U30" s="31"/>
      <c r="V30" s="31"/>
      <c r="W30" s="31"/>
      <c r="X30" s="31"/>
      <c r="Y30" s="31"/>
      <c r="Z30" s="31"/>
    </row>
    <row r="31" ht="15.75" customHeight="1">
      <c r="A31" s="43">
        <v>29.0</v>
      </c>
      <c r="B31" s="52" t="s">
        <v>744</v>
      </c>
      <c r="C31" s="52"/>
      <c r="D31" s="52"/>
      <c r="E31" s="52"/>
      <c r="F31" s="31"/>
      <c r="G31" s="31"/>
      <c r="H31" s="31"/>
      <c r="I31" s="31"/>
      <c r="J31" s="31"/>
      <c r="K31" s="31"/>
      <c r="L31" s="31"/>
      <c r="M31" s="31"/>
      <c r="N31" s="31"/>
      <c r="O31" s="31"/>
      <c r="P31" s="31"/>
      <c r="Q31" s="31"/>
      <c r="R31" s="31"/>
      <c r="S31" s="31"/>
      <c r="T31" s="31"/>
      <c r="U31" s="31"/>
      <c r="V31" s="31"/>
      <c r="W31" s="31"/>
      <c r="X31" s="31"/>
      <c r="Y31" s="31"/>
      <c r="Z31" s="31"/>
    </row>
    <row r="32" ht="15.75" customHeight="1">
      <c r="A32" s="43">
        <v>36.0</v>
      </c>
      <c r="B32" s="52" t="s">
        <v>2290</v>
      </c>
      <c r="C32" s="52"/>
      <c r="D32" s="52"/>
      <c r="E32" s="52"/>
      <c r="F32" s="31"/>
      <c r="G32" s="31"/>
      <c r="H32" s="31"/>
      <c r="I32" s="31"/>
      <c r="J32" s="31"/>
      <c r="K32" s="31"/>
      <c r="L32" s="31"/>
      <c r="M32" s="31"/>
      <c r="N32" s="31"/>
      <c r="O32" s="31"/>
      <c r="P32" s="31"/>
      <c r="Q32" s="31"/>
      <c r="R32" s="31"/>
      <c r="S32" s="31"/>
      <c r="T32" s="31"/>
      <c r="U32" s="31"/>
      <c r="V32" s="31"/>
      <c r="W32" s="31"/>
      <c r="X32" s="31"/>
      <c r="Y32" s="31"/>
      <c r="Z32" s="31"/>
    </row>
    <row r="33" ht="15.75" customHeight="1">
      <c r="A33" s="43">
        <v>49.0</v>
      </c>
      <c r="B33" s="52" t="s">
        <v>2291</v>
      </c>
      <c r="C33" s="52" t="s">
        <v>2292</v>
      </c>
      <c r="D33" s="52"/>
      <c r="E33" s="52">
        <v>0.0</v>
      </c>
      <c r="F33" s="31"/>
      <c r="G33" s="31"/>
      <c r="H33" s="31"/>
      <c r="I33" s="31"/>
      <c r="J33" s="31"/>
      <c r="K33" s="31"/>
      <c r="L33" s="31"/>
      <c r="M33" s="31"/>
      <c r="N33" s="31"/>
      <c r="O33" s="31"/>
      <c r="P33" s="31"/>
      <c r="Q33" s="31"/>
      <c r="R33" s="31"/>
      <c r="S33" s="31"/>
      <c r="T33" s="31"/>
      <c r="U33" s="31"/>
      <c r="V33" s="31"/>
      <c r="W33" s="31"/>
      <c r="X33" s="31"/>
      <c r="Y33" s="31"/>
      <c r="Z33" s="31"/>
    </row>
    <row r="34" ht="15.75" customHeight="1">
      <c r="A34" s="43">
        <v>50.0</v>
      </c>
      <c r="B34" s="52" t="s">
        <v>2293</v>
      </c>
      <c r="C34" s="52" t="s">
        <v>2294</v>
      </c>
      <c r="D34" s="52" t="s">
        <v>2295</v>
      </c>
      <c r="E34" s="52"/>
      <c r="F34" s="31"/>
      <c r="G34" s="31"/>
      <c r="H34" s="31"/>
      <c r="I34" s="31"/>
      <c r="J34" s="31"/>
      <c r="K34" s="31"/>
      <c r="L34" s="31"/>
      <c r="M34" s="31"/>
      <c r="N34" s="31"/>
      <c r="O34" s="31"/>
      <c r="P34" s="31"/>
      <c r="Q34" s="31"/>
      <c r="R34" s="31"/>
      <c r="S34" s="31"/>
      <c r="T34" s="31"/>
      <c r="U34" s="31"/>
      <c r="V34" s="31"/>
      <c r="W34" s="31"/>
      <c r="X34" s="31"/>
      <c r="Y34" s="31"/>
      <c r="Z34" s="31"/>
    </row>
    <row r="35" ht="15.75" customHeight="1">
      <c r="A35" s="43">
        <v>60.0</v>
      </c>
      <c r="B35" s="52" t="s">
        <v>2296</v>
      </c>
      <c r="C35" s="52" t="s">
        <v>2297</v>
      </c>
      <c r="D35" s="52"/>
      <c r="E35" s="52"/>
      <c r="F35" s="31"/>
      <c r="G35" s="31"/>
      <c r="H35" s="31"/>
      <c r="I35" s="31"/>
      <c r="J35" s="31"/>
      <c r="K35" s="31"/>
      <c r="L35" s="31"/>
      <c r="M35" s="31"/>
      <c r="N35" s="31"/>
      <c r="O35" s="31"/>
      <c r="P35" s="31"/>
      <c r="Q35" s="31"/>
      <c r="R35" s="31"/>
      <c r="S35" s="31"/>
      <c r="T35" s="31"/>
      <c r="U35" s="31"/>
      <c r="V35" s="31"/>
      <c r="W35" s="31"/>
      <c r="X35" s="31"/>
      <c r="Y35" s="31"/>
      <c r="Z35" s="31"/>
    </row>
    <row r="36" ht="15.75" customHeight="1">
      <c r="A36" s="43">
        <v>100.0</v>
      </c>
      <c r="B36" s="52" t="s">
        <v>508</v>
      </c>
      <c r="C36" s="52" t="s">
        <v>2282</v>
      </c>
      <c r="D36" s="52" t="s">
        <v>2298</v>
      </c>
      <c r="E36" s="52">
        <v>0.0</v>
      </c>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0" footer="0.0" header="0.0" left="0.0" right="0.0" top="0.0"/>
  <pageSetup orientation="landscape"/>
  <drawing r:id="rId1"/>
</worksheet>
</file>