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Repositories\AgencyMasterFile\Configurations for Riposte POS\"/>
    </mc:Choice>
  </mc:AlternateContent>
  <xr:revisionPtr revIDLastSave="0" documentId="13_ncr:1_{96856B73-C99F-49DE-92E8-0942BDABD3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2023 Stats" sheetId="2" r:id="rId2"/>
    <sheet name="2025 Stats" sheetId="3" r:id="rId3"/>
  </sheets>
  <definedNames>
    <definedName name="_xlnm._FilterDatabase" localSheetId="0" hidden="1">Main!$A$1:$AI$428</definedName>
    <definedName name="Z_00AF9E9B_66DF_4D81_8E50_6E46FE5EEBB3_.wvu.FilterData" localSheetId="0" hidden="1">Main!$A$1:$AI$428</definedName>
    <definedName name="Z_217DE88A_3AF3_4A31_94E0_4C766C92CAE5_.wvu.FilterData" localSheetId="0" hidden="1">Main!$A$1:$AI$428</definedName>
    <definedName name="Z_85464354_F812_4217_A565_B1DBA8FDB81D_.wvu.FilterData" localSheetId="0" hidden="1">Main!$A$1:$AI$427</definedName>
  </definedNames>
  <calcPr calcId="191029"/>
  <customWorkbookViews>
    <customWorkbookView name="Filter 2" guid="{00AF9E9B-66DF-4D81-8E50-6E46FE5EEBB3}" maximized="1" windowWidth="0" windowHeight="0" activeSheetId="0"/>
    <customWorkbookView name="Filter 3" guid="{85464354-F812-4217-A565-B1DBA8FDB81D}" maximized="1" windowWidth="0" windowHeight="0" activeSheetId="0"/>
    <customWorkbookView name="Filter 1" guid="{217DE88A-3AF3-4A31-94E0-4C766C92CAE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3" i="3" l="1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tc={1341641a-47f2-4deb-a53f-65acd8b1ddb3}</author>
    <author/>
    <author>tc={a6e55c16-e5d4-48ea-a89e-fb31823124cc}</author>
  </authors>
  <commentList>
    <comment ref="A1" authorId="0" shapeId="0" xr:uid="{1341641A-47F2-4DEB-A53F-65ACD8B1DDB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Petty Cash Management
Check with BOM team if this is to be offered via Pay@post or is covered by BOM?
</t>
        </r>
      </text>
    </comment>
    <comment ref="B1" authorId="1" shapeId="0" xr:uid="{00000000-0006-0000-0000-000001000000}">
      <text>
        <r>
          <rPr>
            <sz val="11"/>
            <color theme="1"/>
            <rFont val="Calibri"/>
            <scheme val="minor"/>
          </rPr>
          <t>Please Update at PAP_ALL File</t>
        </r>
      </text>
    </comment>
    <comment ref="G1" authorId="1" shapeId="0" xr:uid="{00000000-0006-0000-0000-000002000000}">
      <text>
        <r>
          <rPr>
            <sz val="11"/>
            <color theme="1"/>
            <rFont val="Calibri"/>
            <scheme val="minor"/>
          </rPr>
          <t>บริการรับชำระ: ไม่ต้องแยก VAT ส่งยอดเต็มให้คู่ค้า
บริการตัวการตัวแทน: แยก VAT และส่งเฉพาะยอดเงินให้คู่ค้า</t>
        </r>
      </text>
    </comment>
    <comment ref="H1" authorId="1" shapeId="0" xr:uid="{00000000-0006-0000-0000-000003000000}">
      <text>
        <r>
          <rPr>
            <sz val="11"/>
            <color theme="1"/>
            <rFont val="Calibri"/>
            <scheme val="minor"/>
          </rPr>
          <t>Categories on Riposte
/Configurations/Menu/AgencyAgencyListAll</t>
        </r>
      </text>
    </comment>
    <comment ref="M1" authorId="1" shapeId="0" xr:uid="{00000000-0006-0000-0000-000004000000}">
      <text>
        <r>
          <rPr>
            <sz val="11"/>
            <color theme="1"/>
            <rFont val="Calibri"/>
            <scheme val="minor"/>
          </rPr>
          <t>X = ทุกพื้นที่
X,Y = X สำหรับ กทม. และ Y สำหรับต่างจังหวัด
ค่าธรรมเนียมเป็น VAT IN (VAT 7%)
เช่น ค่าธรรมเนียม 10 บาท
10 x ( 10 / 10.7 ) = 9.35
แยกเป็น ราคาก่อน vat 9.35
ภาษีมูลค่าเพิ่ม หรือ VAT = 10-9.35 = 0.65 บาท</t>
        </r>
      </text>
    </comment>
    <comment ref="S1" authorId="1" shapeId="0" xr:uid="{00000000-0006-0000-0000-000005000000}">
      <text>
        <r>
          <rPr>
            <sz val="11"/>
            <color theme="1"/>
            <rFont val="Calibri"/>
            <scheme val="minor"/>
          </rPr>
          <t>- [Blank] = ไม่แสดง VAT ใน Breakdown (Non-VAT)
- O7 = แสดง VAT ใน Breakdown
ต้องไป Update ที่ ServiceId Mapping (POS Master File)</t>
        </r>
      </text>
    </comment>
    <comment ref="A45" authorId="1" shapeId="0" xr:uid="{00000000-0006-0000-0000-000006000000}">
      <text>
        <r>
          <rPr>
            <sz val="11"/>
            <color theme="1"/>
            <rFont val="Calibri"/>
            <scheme val="minor"/>
          </rPr>
          <t>CustomEOD</t>
        </r>
      </text>
    </comment>
    <comment ref="M45" authorId="1" shapeId="0" xr:uid="{00000000-0006-0000-0000-000007000000}">
      <text>
        <r>
          <rPr>
            <sz val="11"/>
            <color theme="1"/>
            <rFont val="Calibri"/>
            <scheme val="minor"/>
          </rPr>
          <t>1. ค่าธรรมเนียมบริการออฟไลน์ 10 บาท/รายการ
2. บริการออฟไลน์ ต่างจังหวัด เริ่มต้น 10 บาท/รายการ 
*** ในกรณีที่ชำระเกินทุกๆ 50,000 บาท ค่าธรรมเนียมเพิ่มขึ้น 10 บาท โดย
ชำระ 1 - 50,000 บาท ค่าธรรมเนียม 10 บาท
ชำระ 50,001 - 100,000 บาท ค่าธรรมเนียม 20 บาท
ชำระ 100,001 - 150,000 บาท ค่าธรรมเนียม 30 บาท
ชำระ 150,001 - 200,000 บาท ค่าธรรมเนียม 40 บาท
ชำระ 200,001 - 250,000 บาท ค่าธรรมเนียม 50 บาท
ชำระ 250,001 - 300,000 บาท ค่าธรรมเนียม 60 บาท
ชำระ 300,001 - 350,000 บาท ค่าธรรมเนียม 70 บาท
ชำระเกิน 350,001 ค่าธรรมเนียม 100 บาท</t>
        </r>
      </text>
    </comment>
    <comment ref="N122" authorId="1" shapeId="0" xr:uid="{00000000-0006-0000-0000-000008000000}">
      <text>
        <r>
          <rPr>
            <sz val="11"/>
            <color theme="1"/>
            <rFont val="Calibri"/>
            <scheme val="minor"/>
          </rPr>
          <t>Special</t>
        </r>
      </text>
    </comment>
    <comment ref="A250" authorId="1" shapeId="0" xr:uid="{00000000-0006-0000-0000-000009000000}">
      <text>
        <r>
          <rPr>
            <sz val="11"/>
            <color theme="1"/>
            <rFont val="Calibri"/>
            <scheme val="minor"/>
          </rPr>
          <t>รวมกับ 50948</t>
        </r>
      </text>
    </comment>
    <comment ref="A257" authorId="1" shapeId="0" xr:uid="{00000000-0006-0000-0000-00000A000000}">
      <text>
        <r>
          <rPr>
            <sz val="11"/>
            <color theme="1"/>
            <rFont val="Calibri"/>
            <scheme val="minor"/>
          </rPr>
          <t>CustomEOD</t>
        </r>
      </text>
    </comment>
    <comment ref="N331" authorId="1" shapeId="0" xr:uid="{00000000-0006-0000-0000-00000B000000}">
      <text>
        <r>
          <rPr>
            <sz val="11"/>
            <color theme="1"/>
            <rFont val="Calibri"/>
            <scheme val="minor"/>
          </rPr>
          <t>Special</t>
        </r>
      </text>
    </comment>
    <comment ref="O331" authorId="1" shapeId="0" xr:uid="{00000000-0006-0000-0000-00000C000000}">
      <text>
        <r>
          <rPr>
            <sz val="11"/>
            <color theme="1"/>
            <rFont val="Calibri"/>
            <scheme val="minor"/>
          </rPr>
          <t>Special</t>
        </r>
      </text>
    </comment>
    <comment ref="A336" authorId="1" shapeId="0" xr:uid="{00000000-0006-0000-0000-00000D000000}">
      <text>
        <r>
          <rPr>
            <sz val="11"/>
            <color theme="1"/>
            <rFont val="Calibri"/>
            <scheme val="minor"/>
          </rPr>
          <t>Not offered via Agency of Escher
Payment of invoice later customer</t>
        </r>
      </text>
    </comment>
    <comment ref="B336" authorId="2" shapeId="0" xr:uid="{A6E55C16-E5D4-48EA-A89E-FB31823124C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offered via Agency of Escher 
Payment of invoice later customer
</t>
        </r>
      </text>
    </comment>
    <comment ref="A358" authorId="1" shapeId="0" xr:uid="{00000000-0006-0000-0000-00000E000000}">
      <text>
        <r>
          <rPr>
            <sz val="11"/>
            <color theme="1"/>
            <rFont val="Calibri"/>
            <scheme val="minor"/>
          </rPr>
          <t>เลขเก่า: 51074</t>
        </r>
      </text>
    </comment>
    <comment ref="A362" authorId="1" shapeId="0" xr:uid="{00000000-0006-0000-0000-00000F000000}">
      <text>
        <r>
          <rPr>
            <sz val="11"/>
            <color theme="1"/>
            <rFont val="Calibri"/>
            <scheme val="minor"/>
          </rPr>
          <t>เลขเก่า: 50001</t>
        </r>
      </text>
    </comment>
    <comment ref="A363" authorId="1" shapeId="0" xr:uid="{00000000-0006-0000-0000-000010000000}">
      <text>
        <r>
          <rPr>
            <sz val="11"/>
            <color theme="1"/>
            <rFont val="Calibri"/>
            <scheme val="minor"/>
          </rPr>
          <t xml:space="preserve">เลขเก่า: 50496
PAPPU: 52063
</t>
        </r>
      </text>
    </comment>
    <comment ref="A405" authorId="1" shapeId="0" xr:uid="{00000000-0006-0000-0000-000011000000}">
      <text>
        <r>
          <rPr>
            <sz val="11"/>
            <color theme="1"/>
            <rFont val="Calibri"/>
            <scheme val="minor"/>
          </rPr>
          <t>Petty cash management
check with BOM team if this is to be offered via Pay@Post or is covered by BOM?</t>
        </r>
      </text>
    </comment>
    <comment ref="A413" authorId="1" shapeId="0" xr:uid="{00000000-0006-0000-0000-000012000000}">
      <text>
        <r>
          <rPr>
            <sz val="11"/>
            <color theme="1"/>
            <rFont val="Calibri"/>
            <scheme val="minor"/>
          </rPr>
          <t>รวมกับ 90021</t>
        </r>
      </text>
    </comment>
    <comment ref="O422" authorId="1" shapeId="0" xr:uid="{00000000-0006-0000-0000-000013000000}">
      <text>
        <r>
          <rPr>
            <sz val="11"/>
            <color theme="1"/>
            <rFont val="Calibri"/>
            <scheme val="minor"/>
          </rPr>
          <t>Special</t>
        </r>
      </text>
    </comment>
    <comment ref="O423" authorId="1" shapeId="0" xr:uid="{00000000-0006-0000-0000-000014000000}">
      <text>
        <r>
          <rPr>
            <sz val="11"/>
            <color theme="1"/>
            <rFont val="Calibri"/>
            <scheme val="minor"/>
          </rPr>
          <t>Special</t>
        </r>
      </text>
    </comment>
    <comment ref="N428" authorId="1" shapeId="0" xr:uid="{00000000-0006-0000-0000-000015000000}">
      <text>
        <r>
          <rPr>
            <sz val="11"/>
            <color theme="1"/>
            <rFont val="Calibri"/>
            <scheme val="minor"/>
          </rPr>
          <t>Special</t>
        </r>
      </text>
    </comment>
  </commentList>
</comments>
</file>

<file path=xl/sharedStrings.xml><?xml version="1.0" encoding="utf-8"?>
<sst xmlns="http://schemas.openxmlformats.org/spreadsheetml/2006/main" count="3319" uniqueCount="680">
  <si>
    <t>Service Code</t>
  </si>
  <si>
    <t>SERV_PANEL_NAME</t>
  </si>
  <si>
    <t>S_DATE</t>
  </si>
  <si>
    <t>E_DATE</t>
  </si>
  <si>
    <t>Open/Closed</t>
  </si>
  <si>
    <t>Type</t>
  </si>
  <si>
    <t>ประเภทบริการ</t>
  </si>
  <si>
    <t>Agency Category</t>
  </si>
  <si>
    <t>Flow Type</t>
  </si>
  <si>
    <t xml:space="preserve">Barcode </t>
  </si>
  <si>
    <t>No. of fields</t>
  </si>
  <si>
    <t>คู่ค้า</t>
  </si>
  <si>
    <t xml:space="preserve">ค่าธรรมเนียม (Fee) </t>
  </si>
  <si>
    <t>AMOUNT MIN</t>
  </si>
  <si>
    <t>AMOUNT MAX</t>
  </si>
  <si>
    <t>PER DAY</t>
  </si>
  <si>
    <t>ใบรับเงิน/
ใบกำกับภาษีอย่างย่อ</t>
  </si>
  <si>
    <t>ใบรับเงิน/
ใบกำกับภาษีเต็มรูป</t>
  </si>
  <si>
    <t>Tax Code</t>
  </si>
  <si>
    <t>ใบรับเงิน</t>
  </si>
  <si>
    <t>วันที่มีรายการล่าสุด</t>
  </si>
  <si>
    <t>STAT 2023</t>
  </si>
  <si>
    <t>STAT 2023/m</t>
  </si>
  <si>
    <t>STAT 2023/Priority</t>
  </si>
  <si>
    <t>STAT 2022</t>
  </si>
  <si>
    <t>STAT 2022/m</t>
  </si>
  <si>
    <t>STAT 2022/Priority</t>
  </si>
  <si>
    <t>STAT 2021</t>
  </si>
  <si>
    <t>STAT 2021/m</t>
  </si>
  <si>
    <t>STAT 2021/Priority</t>
  </si>
  <si>
    <t>STAT 2023-2021/Average</t>
  </si>
  <si>
    <t>Priority/Sum</t>
  </si>
  <si>
    <t>ใบขอใช้บริการ</t>
  </si>
  <si>
    <t>ใบบันทึกรายการ</t>
  </si>
  <si>
    <t>Comment</t>
  </si>
  <si>
    <t>อิออน สินเชื่อ ยัวร์แคช OffLine</t>
  </si>
  <si>
    <t>Closed</t>
  </si>
  <si>
    <t>OFFLINE</t>
  </si>
  <si>
    <t>บริการรับชำระ</t>
  </si>
  <si>
    <t>YES</t>
  </si>
  <si>
    <t>จ่ายเงินบริการ KBANK2POST ของ ธ.กสิกรไทย</t>
  </si>
  <si>
    <t>รับเงินฝาก ธ.ไทยเครดิต (บาร์โค้ด) Offline</t>
  </si>
  <si>
    <t>เงินฝากสมาชิกตราไปรษณียากร</t>
  </si>
  <si>
    <t>Open</t>
  </si>
  <si>
    <t>Postal service</t>
  </si>
  <si>
    <t>31/12/2023</t>
  </si>
  <si>
    <t>ส่งเงินเวสเทิร์นยูเนี่ยน/สอบถามค่าบริการ</t>
  </si>
  <si>
    <t>ONLINE</t>
  </si>
  <si>
    <t>Western Union not to be done in Agency</t>
  </si>
  <si>
    <t>WU</t>
  </si>
  <si>
    <t>จ่ายเงินเวสเทิร์นยูเนี่ยน</t>
  </si>
  <si>
    <t>ตรวจสอบสถานะจ่ายเงิน เวสเทิร์นยูเนี่ยน</t>
  </si>
  <si>
    <t>Inquiry</t>
  </si>
  <si>
    <t>สอบถามค่าบริการ</t>
  </si>
  <si>
    <t>F2ZOOM</t>
  </si>
  <si>
    <t>ลงทะเบียนกล่องดิจิตอล</t>
  </si>
  <si>
    <t>ปิดใช้บริการ</t>
  </si>
  <si>
    <t>ตรวจสอบลายมือชื่อผู้มีสิทธิ์สั่งจ่าย</t>
  </si>
  <si>
    <t>OFFLINE/iFrame</t>
  </si>
  <si>
    <t>Drop-off</t>
  </si>
  <si>
    <t>สอบถามเฉยๆ</t>
  </si>
  <si>
    <t>ตรวจสอบ Wallet@Post</t>
  </si>
  <si>
    <t>Check Wallet@post</t>
  </si>
  <si>
    <t>ตรวจสอบรายชื่อบุคคลที่ห้ามทำธุรกรรม</t>
  </si>
  <si>
    <t>Service payment</t>
  </si>
  <si>
    <t>Pay@WU Order Payment</t>
  </si>
  <si>
    <t>Not to be offered via Agency</t>
  </si>
  <si>
    <t>Pay@WU Order Refund</t>
  </si>
  <si>
    <t>Fix Form Search</t>
  </si>
  <si>
    <t>รับชำระค่าสินค้าเรียกเก็บเงินที่บ้าน - DPost</t>
  </si>
  <si>
    <t>Dpost payment</t>
  </si>
  <si>
    <t>Special Case</t>
  </si>
  <si>
    <t>No Barcode</t>
  </si>
  <si>
    <t>บท.</t>
  </si>
  <si>
    <t>รับชำระค่าสินค้าเรียกเก็บเงินที่บ้าน (TND)</t>
  </si>
  <si>
    <t>บริการรับชำระบัตรเครดิตยูโอบี (Online)</t>
  </si>
  <si>
    <t>15/09/2025</t>
  </si>
  <si>
    <t>Banking</t>
  </si>
  <si>
    <t>Credit Card Flow</t>
  </si>
  <si>
    <t>Standard</t>
  </si>
  <si>
    <t>UOB</t>
  </si>
  <si>
    <t>เงินฝากสมาชิกสิ่งสะสม</t>
  </si>
  <si>
    <t>O7</t>
  </si>
  <si>
    <t>ค่าน้ำประปานครหลวง</t>
  </si>
  <si>
    <t>บริการตัวการตัวแทน</t>
  </si>
  <si>
    <t>Utilities</t>
  </si>
  <si>
    <t>สินค้าเชื่อ/งวดเงินกู้/บัตรเครดิต AEON</t>
  </si>
  <si>
    <t>ค่าโทรศัพท์</t>
  </si>
  <si>
    <t>GE ค่า First Choice</t>
  </si>
  <si>
    <t>Manual input</t>
  </si>
  <si>
    <t>GE Power Buy</t>
  </si>
  <si>
    <t>GE Central Card</t>
  </si>
  <si>
    <t>ชำระค่างวด AYUDHYA Capital Auto Lease</t>
  </si>
  <si>
    <t>31/03/2026</t>
  </si>
  <si>
    <t>Loan</t>
  </si>
  <si>
    <t>Scan Bill Only</t>
  </si>
  <si>
    <t>TESCO LOTUS CARD</t>
  </si>
  <si>
    <t>GE ค่า Quick Cash บ.โลตัสส์ มันนี่ เซอร์วิสเซส</t>
  </si>
  <si>
    <t>ชำระภาษีเงินได้ ภงด.</t>
  </si>
  <si>
    <t>GE HomePro</t>
  </si>
  <si>
    <t>ชำระค่าเบี้ยประกัน บ.ฟิลลิปฯ</t>
  </si>
  <si>
    <t>Insurance</t>
  </si>
  <si>
    <t>สมัครใหม่/ค่าธรรมเนียม/สัมฤทธิ์ ป.ตรี มสธ.</t>
  </si>
  <si>
    <t>University Service</t>
  </si>
  <si>
    <t>Custom</t>
  </si>
  <si>
    <t>บัตรเครดิต ธ.ไทยพาณิชย์</t>
  </si>
  <si>
    <t>ชำระเงินสินค้า ออริเฟลม คอสเมติกส์</t>
  </si>
  <si>
    <t>25/10,2018</t>
  </si>
  <si>
    <t>ชำระค่างวด ค่าเบี้ยฯ  ค่าต่อทะเบียนรถ</t>
  </si>
  <si>
    <t>ชำระเบี้ยประกันไทยประกันชีวิต (Online)</t>
  </si>
  <si>
    <t>Thailife</t>
  </si>
  <si>
    <t>ชำระค่า พกง. เบล เมซอง</t>
  </si>
  <si>
    <t>ชำระค่าเบี้ยประกันกรุงเทพประกันชีวิต</t>
  </si>
  <si>
    <t>ชำระเงินค่าเช่าซื้อ บริษัท กรุ๊ปลีส</t>
  </si>
  <si>
    <t>เซ็นทรัลเพอร์ซันนัลโลน (Central PLoan)</t>
  </si>
  <si>
    <t>ชำระสินเชื่อเงินสด TESCO PERSONAL LOAN</t>
  </si>
  <si>
    <t>ชำระเงินกู้ธนาคาร SME BANK</t>
  </si>
  <si>
    <t>ชำระค่าเบี้ยประกัน กรุงเทพประกันภัย</t>
  </si>
  <si>
    <t>ชำระค่าหุ้น ค่างวด สหกรณ์ออมทรัพย์ กสท.</t>
  </si>
  <si>
    <t>Mutual fund</t>
  </si>
  <si>
    <t>Scan Bill + Manual Input</t>
  </si>
  <si>
    <t>ชำระค่าสินค้า บริษัท ดีเคเอสเอช จำกัด</t>
  </si>
  <si>
    <t>บริษัท ซิงเกอร์ประเทศไทย จำกัด (มหาชน)</t>
  </si>
  <si>
    <t>Goods payment</t>
  </si>
  <si>
    <t>30/06/2022</t>
  </si>
  <si>
    <t>ค่าธรรมเนียมพรบ.ควบคุมน้ำมันเชื้อเพลิง 42</t>
  </si>
  <si>
    <t>ค่าธรรมเนียมพรบ.การค้าน้ำมันเชื้อเพลิง43</t>
  </si>
  <si>
    <t>ค่าธรรมเนียม ประกาศคณะปฏิวัติ ปว.28</t>
  </si>
  <si>
    <t>ชำระค่า พกง. บริษัท วีน จำกัด</t>
  </si>
  <si>
    <t>เปลี่ยนสาขา,ที่อยู่,ชื่อ_สกุล,ทำบัตร นศ. มสธ.</t>
  </si>
  <si>
    <t>ลงทะเบียนชุดวิชา ม.สุโขทัยธรรมาธิราช</t>
  </si>
  <si>
    <t>ชำระค่าบัตรเครดิต TESCO VISA CARD</t>
  </si>
  <si>
    <t>ค่าน้ำประปาส่วนภูมิภาค (Barcode 1 แถว)</t>
  </si>
  <si>
    <t>ค่าน้ำประปาส่วนภูมิภาค (ไม่มี Barcode)</t>
  </si>
  <si>
    <t>ค่าธรรมเนียมค้าน้ำมันเชื้อเพลิง43รายใหม่</t>
  </si>
  <si>
    <t>ค่าโทรศัพท์เคลื่อนที่(GSM1800) (ใหม่)</t>
  </si>
  <si>
    <t>ค่าเบี้ยประกันเจนเนอราลี่ประกัน(ใหม่)</t>
  </si>
  <si>
    <t>ค่าโทรศัพท์ TOT ใหม่</t>
  </si>
  <si>
    <t>เช่าซื้อสินค้า/เงินกู้/บัตรเครดิต(ใหม่)</t>
  </si>
  <si>
    <t>200-9,999</t>
  </si>
  <si>
    <t>ค่าบริการโทรคมฯ TBOSS กสท. (ใหม่)</t>
  </si>
  <si>
    <t>ชำระค่าบัตรเครดิตกรุงศรีอยุธยา (DreamLoan)</t>
  </si>
  <si>
    <t>ค่าสินค้าใหม่Mistine(Service codeBWC)</t>
  </si>
  <si>
    <t>ค่าธรรมเนียมการสมัครสอบเข้าเป็นนิสิต</t>
  </si>
  <si>
    <t>รับเงินฝาก สหกรณ์ออมทรัพย์ กสท.</t>
  </si>
  <si>
    <t>10,15</t>
  </si>
  <si>
    <t>ชำระหนี้ก่อนกำหนด สหกรณ์ออมทรัพย์ กสท.</t>
  </si>
  <si>
    <t>ชำระค่าสินเชื่อ Revoling Credit</t>
  </si>
  <si>
    <t>ชำระค่าสินค้า บริษัท ซิลลิค ฟาร์มา</t>
  </si>
  <si>
    <t>เซ็นทรัลมาสเตอร์คาร์ด (MasterCard)</t>
  </si>
  <si>
    <t>ชำระค่าบัตรเครดิตกรุงศรีอยุธยา</t>
  </si>
  <si>
    <t>ชำระค่าสินค้า/บริการ สินทรัพย์สุขุมวิท</t>
  </si>
  <si>
    <t>ชำระค่าบัตรเครดิต HSBC (ใหม่)</t>
  </si>
  <si>
    <t>ชำระค่าเบี้ยประกันภัย บ.บีทีประกันภัย</t>
  </si>
  <si>
    <t>ชำระค่างวดรถ บ.สกู๊ดเตอร์ อรีนา จำกัด</t>
  </si>
  <si>
    <t>ชำระสินเชื่อ CONSUMER PRO ไทยธนาคาร</t>
  </si>
  <si>
    <t>ชำระเงินค่าสินเชื่อ&amp;ค่าใช้จ่ายอื่น ธนชาต</t>
  </si>
  <si>
    <t>โครงการสัมฤทธิบัตรบัณฑิตศึกษา</t>
  </si>
  <si>
    <t>สมัครเข้าศึกษาระดับบัณฑิตศึกษา มสธ.</t>
  </si>
  <si>
    <t>คำร้องต่าง ๆ มสธ. (ป.โท-เอก)</t>
  </si>
  <si>
    <t>ลงทะเบียนบัณฑิตศึกษา มสธ. (ป.โท)</t>
  </si>
  <si>
    <t xml:space="preserve">ขึ้นทะเบียนมหาบัณฑิต บ.16 มสธ. (ป.โท-เอก) </t>
  </si>
  <si>
    <t>ลงทะเบียนเรียน (กรณีชำระเงินเพิ่ม ป.โท)</t>
  </si>
  <si>
    <t>ขึ้นทะเบียนบัณฑิตปริญญาตรี มสธ.16</t>
  </si>
  <si>
    <t>ลงทะเบียนเรียน (กรณีชำระเงินเพิ่ม ป.ตรี)</t>
  </si>
  <si>
    <t>ชำระค่าบริการ CS LOXINFO บาร์โค้ด 1 แถว</t>
  </si>
  <si>
    <t>ชำระค่างวดรถ โตโยต้า ลีสซิ่ง (กท-ตจว)</t>
  </si>
  <si>
    <t>ใบรายงานผลฯ/หนังสือรับรอง บ10 ป.โท-เอก</t>
  </si>
  <si>
    <t>ขอหนังสือรับรอง/ใบรายงาน บ.29 (ป.โท)</t>
  </si>
  <si>
    <t>ชำระค่างวด ตะวันออก ลีสซิ่ง</t>
  </si>
  <si>
    <t>15,20</t>
  </si>
  <si>
    <t>ชำระค่างวด อีซี่ อินชัวร์ โบรกเกอร์(กท-ตจว)</t>
  </si>
  <si>
    <t>ชำระค่างวด แสททิสบาย(กท-ตจว)</t>
  </si>
  <si>
    <t>ค่าเบี้ยประกันภัย ACE LIFE ASSURANCE</t>
  </si>
  <si>
    <t>ชำระค่างวด บ.บีทีเวิลด์ลีส จำกัด</t>
  </si>
  <si>
    <t>ชำระค่างวด บ.บีทีเวิลด์ลีส จำกัด ตจว.</t>
  </si>
  <si>
    <t>เมืองไทยประกันภัย จำกัด (มหาชน)</t>
  </si>
  <si>
    <t>ไทยศรีประกันภัย(กท-ตจว)</t>
  </si>
  <si>
    <t>ค่าสินเชื่อบุคคล ILสแตนดาร์ดชาร์เตอร์(กท-ตจว)</t>
  </si>
  <si>
    <t>ค่าสินเชื่อสแตนดาร์ดชาร์เตอสมาร์ทแคช(กท-ตจว)</t>
  </si>
  <si>
    <t>ค่าสั่งจองสิ่งของ สมาคมสุโขทัยฯ (ป.ตรี)</t>
  </si>
  <si>
    <t>สมัครสมาชิกสมาคมสุโขทัยธรรมาธิราช</t>
  </si>
  <si>
    <t>16/06/2022</t>
  </si>
  <si>
    <t>ค่าสั่งจองสิ่งของ สมาคมสุโขทัยฯ (ป.โท)</t>
  </si>
  <si>
    <t>ชำระค่าธรรมเนียมโอนชุดวิชา มสธ.</t>
  </si>
  <si>
    <t>ชำระค่าต่ออายุสถานภาพ นศ.มสธ.</t>
  </si>
  <si>
    <t>ชำระค่าสินเชื่อจีอีมันนี่ PERSONAL CREDIT</t>
  </si>
  <si>
    <t>ชำระค่าบริการทุกรายการของ  EASY BUY(กท-ตจว)</t>
  </si>
  <si>
    <t>ชำระรายการ ธ.เกียรตินาคินภัทร BARCODE (กท-ตจว)</t>
  </si>
  <si>
    <t>ค่าเบี้ยประกันชีวิต AIA Barcode 1 แถว</t>
  </si>
  <si>
    <t>ชำระค่าบัตรโรบินสัน วีซ่า (ROBINSON VISA)</t>
  </si>
  <si>
    <t>บัครเครดิต KTC Barcode 1 แถว (กท-ตจว)</t>
  </si>
  <si>
    <t>ชำระเช่าชื้อ เกียรตินาคินภัทร กทม.</t>
  </si>
  <si>
    <t>ชำระค่าสินค้า บ.ดีเคเอสเอช (บาร์ 1 แถว)</t>
  </si>
  <si>
    <t>ชำระเบี้ยประกันเมืองไทยประกันชีวิต</t>
  </si>
  <si>
    <t>ชำระค่าผ่อนสินค้า บ.ซิงเกอร์ประเทศไทย</t>
  </si>
  <si>
    <t>บัตรเครดิต สแตนดาร์ดชาร์เตอร์ 1 Bar</t>
  </si>
  <si>
    <t>31/10,2018</t>
  </si>
  <si>
    <t>สินเชื่อ สแตนดาร์ดชาร์เตอร์ 1Bar(กท-ตจว)</t>
  </si>
  <si>
    <t>Personal Line สแตนดาร์ดชาร์เตอร์ 1 Bar</t>
  </si>
  <si>
    <t>ชำระค่างวดรถ นิสสัน ลีสซิ่ง (กท-ตจว)</t>
  </si>
  <si>
    <t>ชำระคืนเงินกู้  เมืองไทยประกันชีวิต</t>
  </si>
  <si>
    <t>ชำระค่าขอเอกสารทางการศึกษา (มสธ.30)</t>
  </si>
  <si>
    <t>สินเชื่อบุคคล IL สแตนดาร์ดฯ 1Bar(กท-ตจว)</t>
  </si>
  <si>
    <t>ชำระค่าสินค้า  บริษัท  U STAR 1 Bar</t>
  </si>
  <si>
    <t>สมัครเข้าศึกษาระดับบัณฑิตศึกษา (ป.เอก)</t>
  </si>
  <si>
    <t>ชำระค่าสินค้า บ.นิวเมน</t>
  </si>
  <si>
    <t>ชำระค่าสินค้า-บริการเครือCITIGROUPมีบาร์</t>
  </si>
  <si>
    <t>ประกันชีวิต บมจ.อลิอันซ์ อยุธยา</t>
  </si>
  <si>
    <t>ประกันชีวิต บมจ.พรูเด็นเชียล ทีเอส ไลฟ์</t>
  </si>
  <si>
    <t>ค่าตรวจสอบลงทะเบียนเกมส์ All in One</t>
  </si>
  <si>
    <t>สินเชื่อ/ประกัน/อื่นๆ TISCO BANK</t>
  </si>
  <si>
    <t>บริการชำระค่าบัตรเครดิต อยุธยาคาร์ด</t>
  </si>
  <si>
    <t>ชำระค่าสินค้าและบริการในเครือ CITIGROUP</t>
  </si>
  <si>
    <t>สินเชื่อบุคคล-ที่อยู่อาศัยกรุงศรีอยุธยา</t>
  </si>
  <si>
    <t>ชำระค่าเบี้ยประกันภัยสินเชื่อ AIA</t>
  </si>
  <si>
    <t>ชำระค่าธรรมเนียมรายปีวัตถุอันตราย กรอ.</t>
  </si>
  <si>
    <t>ลงทะเบียนปริญญาเอก มสธ.</t>
  </si>
  <si>
    <t>ต่อประกันภัยรถยนต์ โตโยต้า อินชัวรันซ์</t>
  </si>
  <si>
    <t>เบี้ยประกันชีวิต กรุงเทพประกันฯ บาร์ 1แถว</t>
  </si>
  <si>
    <t>ค่าสินค้าและบริการ ไทยพาณิชย์ลิสซิ่ง</t>
  </si>
  <si>
    <t>ค่างวดรถ ภาษี ประกัน พรบ. ธ.ไทยพาณิชย์</t>
  </si>
  <si>
    <t>ค่าจดทะเบียนกรรมสิทธ์เครื่องจักร กรอ.</t>
  </si>
  <si>
    <t>ชำระค่าลงทะเบียนเรียน ม.ราชภัฏยะลา</t>
  </si>
  <si>
    <t>ชำระค่าบัญชีสินเชื่อ Extra Cash ธ.ซีไอเอ็มบี ไทย</t>
  </si>
  <si>
    <t>ชำระค่าโทรศัพท์ระหว่างประเทศ ทริปเปิลที</t>
  </si>
  <si>
    <t>ชำระค่าเบิ้ยประกันภัยรถยนต์ เอเอสเอ็น</t>
  </si>
  <si>
    <t>ค่างวด สินเชื่อเงินสดและบริการ พรอมิส</t>
  </si>
  <si>
    <t>ค่าไฟฟ้าส่วนภูมิภาค (ใหม่)</t>
  </si>
  <si>
    <t>ลงทะเบียน มสธ. กำนันผู้ใหญ่บ้าน</t>
  </si>
  <si>
    <t>ชำระค่าบริการ DPC ไม่มีบาร์โค้ด</t>
  </si>
  <si>
    <t>18/10,2022</t>
  </si>
  <si>
    <t>ชำระค่าเช่าที่ราชพัสดุ กรมธนารักษ์</t>
  </si>
  <si>
    <t>ชำระค่างวด และค่าใช้จ่ายของสินเชื่อเน็คซ์</t>
  </si>
  <si>
    <t>ชำระเงินเข้ากองทุนน้ำมัน  กองทุนพลังงาน</t>
  </si>
  <si>
    <t>Energy</t>
  </si>
  <si>
    <t>เติมเงิน GAME MONEY (UNITRY)</t>
  </si>
  <si>
    <t>ชำระค่าเบี้ยประกันภัย นวกิจฯ</t>
  </si>
  <si>
    <t>ค่าผลิตภัณฑ์มิสทีน (Mistine) ภูมิภาค</t>
  </si>
  <si>
    <t>รับชำระเงินค่าโฆษณาหนังสือพิมพ์ริชนิวส์</t>
  </si>
  <si>
    <t>ชำระค่าสินค้ายันม่าร์</t>
  </si>
  <si>
    <t>ค่าผลิตภัณฑ์มิสทีน (Mistine) (กทม-ตจว)</t>
  </si>
  <si>
    <t>ชำระ พกง. บริษัท ไอ ซี ซี</t>
  </si>
  <si>
    <t>ชำระค่าสินค้าบ.รีดเดอร์สฯ (ใหม่) บาร์ 1 แถว</t>
  </si>
  <si>
    <t>Citibank</t>
  </si>
  <si>
    <t>ชำระค่าเบี้ยเมืองไทยประกันชีวิต (TELE)</t>
  </si>
  <si>
    <t>ชำระค่าสินเชื่อ ธ.ไทยเครดิต ฯ</t>
  </si>
  <si>
    <t>ชำระค่าสมัครสอบสถาบันอุดมศึกษา(TCAS)</t>
  </si>
  <si>
    <t>รับชำระค่าลงทะเบียน ม.อุบลราชธานี</t>
  </si>
  <si>
    <t>ลงทะเบียน ม.อุบลฯ Counter เมืองศรีไค</t>
  </si>
  <si>
    <t>รับชำระค่าสมัครสอบ ม.อุบลราชธานี</t>
  </si>
  <si>
    <t>รับชำระค่ายืนยันสิทธิ์ ม.อุบลราชธานี</t>
  </si>
  <si>
    <t>ชำระค่าลงทะเบียน ม.ราชภัฏลำปาง</t>
  </si>
  <si>
    <t>ชำระค่าลงทะเบียน ม.ราชภัฏอุบลฯ</t>
  </si>
  <si>
    <t>ชำระค่าลงทะเบียน ม.เทคฯลำปาง</t>
  </si>
  <si>
    <t>ชำระค่าลงทะเบียนเรียน ม.นครพนม</t>
  </si>
  <si>
    <t>รับเงินฝาก-ชำระสินเชื่อ ธ.อิสลามฯ</t>
  </si>
  <si>
    <t>ชำระค่าลงทะเบียน มหาวิทยาลัยขอนแก่น</t>
  </si>
  <si>
    <t>ค่าโทรศัพท์เคลื่อนที่ 3G ของ TOT</t>
  </si>
  <si>
    <t xml:space="preserve">Utilities </t>
  </si>
  <si>
    <t>ชำระค่าสินค้ายันม่าร์แคบปิตอล</t>
  </si>
  <si>
    <t>วีซ่า/มาสเตอร์ (Visa/Master) ไม่มีบาร์</t>
  </si>
  <si>
    <t>วีซ่า/มาสเตอร์ (Visa/Master) มีบาร์โค้ด</t>
  </si>
  <si>
    <t>เรดดี้ เครดิต (Ready Credit) มีบาร์โค้ด</t>
  </si>
  <si>
    <t>ไดเนอร์สคลับ (Diners Club) มีบาร์โค้ด</t>
  </si>
  <si>
    <t>เติมเงินMOBILE TOP UP  AIS</t>
  </si>
  <si>
    <t>เติมเงินMOBILE TOP UP  TOT</t>
  </si>
  <si>
    <t>ชำระเงินค่าบริการอินเทอร์เน็ต ทริปเปิลที</t>
  </si>
  <si>
    <t>ชำระค่าลงทะเบียน ม.ราชภัฏศรีสะเกษ</t>
  </si>
  <si>
    <t>ลงทะเบียน ม.ราชภัฏสกลนคร (ภาคปกติ)</t>
  </si>
  <si>
    <t>ลงทะเบียน ม.ราชภัฏสกลนคร (ภาค กศ.ป.)</t>
  </si>
  <si>
    <t>ชำระค่าInternet ทริปเปิลที(Co-Service)</t>
  </si>
  <si>
    <t>ชำระค่าลงทะเบียน ม.ราชภัฏเชียงราย</t>
  </si>
  <si>
    <t>ไดเนอร์สคลับ (Diners Club) ไม่มีบาร์โค้ด</t>
  </si>
  <si>
    <t>ไดเนอร์รีไรท์(Diners Rewrite) มีบาร์ กทม</t>
  </si>
  <si>
    <t>ไดเนอร์รีไรท์(DinersRewrite)ไม่มีบาร์ กท</t>
  </si>
  <si>
    <t>เรดดี้ เครดิต (Ready Credit) ไม่มีบาร์</t>
  </si>
  <si>
    <t>เรดดี้ รีไรท์(Ready Rewrite) มีบาร์ กทม.</t>
  </si>
  <si>
    <t>20/01/2022</t>
  </si>
  <si>
    <t>เรดดี้รีไรท์(Ready Rewrite)ไม่มีบาร์ กทม</t>
  </si>
  <si>
    <t>26/08/2022</t>
  </si>
  <si>
    <t>เพอชั่นนอลโลน (Personal Loan) มีบาร์ กทม</t>
  </si>
  <si>
    <t>เพอชั่นนอลฯ(Personal Loan) ไม่มีบาร์ กทม</t>
  </si>
  <si>
    <t>ซิตี้ แอดวานซ์(Citi Advance) มีบาร์ กทม.</t>
  </si>
  <si>
    <t>ซิตี้แอดวานซ์(Citi Advance)ไม่มีบาร์ กทม</t>
  </si>
  <si>
    <t>TOP UP  GAMEINDY CARD</t>
  </si>
  <si>
    <t>รับสมัครสอบและยืนยันสิทธิ์ ม.แม่ฟ้าหลวง</t>
  </si>
  <si>
    <t>รับสมัครสอบและยืนยันสิทธิ์ ม.ขอนแก่น</t>
  </si>
  <si>
    <t>รับสมัครสอบและยืนยันสิทธิ์ ม.บูรพา</t>
  </si>
  <si>
    <t>ค่างวดรถจักรยานยนต์ สยามบ้านซู ลิสซิ่ง</t>
  </si>
  <si>
    <t>ชำระค่าบัตรเครดิต ธนาคารกสิกรไทย</t>
  </si>
  <si>
    <t>ชำระสินเชื่อเงินสด K-EXPRESS กสิกรไทย</t>
  </si>
  <si>
    <t>ชำระค่าขอวีซ่าสถานฑูตญี่ปุ่น (VFS)</t>
  </si>
  <si>
    <t>ชำระเพิ่มเติมค่าขอวีซ่าสถานฑูตญี่ปุ่น (VFS)</t>
  </si>
  <si>
    <t>เมืองไทยประกันภัย จำกัด (BARCODE) (กท-ตจว)</t>
  </si>
  <si>
    <t>18/06/2022</t>
  </si>
  <si>
    <t>โทรศัพท์ต่างประเทศของ สวัสดีช้อป</t>
  </si>
  <si>
    <t>ค่าเบี้ยประกันภัย ไทยพาณิชย์ประกันชีวิต</t>
  </si>
  <si>
    <t>รับชำระค่าสั่งซื้อใบสมัครปริญญาโท มสธ.</t>
  </si>
  <si>
    <t>13/06/2022</t>
  </si>
  <si>
    <t>ชำระค่าจองตั๋วรถโดยสาร บขส./รถร่วม (TTM)</t>
  </si>
  <si>
    <t>จองตั๋วรายการบันเทิงและอื่นของ TTM (ใหม่)</t>
  </si>
  <si>
    <t>Booking</t>
  </si>
  <si>
    <t>iFrame flow</t>
  </si>
  <si>
    <t>ชำระค่างวด/เบี้ยฯ/ต่อทะเบียนรถ BAR 1 แถว</t>
  </si>
  <si>
    <t>รับฝากธนาณัติเข้าบัญชีธนาคาร</t>
  </si>
  <si>
    <t>ชำระค่าเช่าซื้อรถ บ.กิจตรงยามาฮ่า อุบลฯ</t>
  </si>
  <si>
    <t>ชำระค่าสมัครสอบวิทยาการคอมพิวเตอร์</t>
  </si>
  <si>
    <t>ชำระค่าเบี้ยประกัน บ.เทสโก้ เจเนรัลฯ</t>
  </si>
  <si>
    <t>ชำระค่าสินค้าและบริการฐิติกร</t>
  </si>
  <si>
    <t>ชำระค่าสินค้าและบริการชยภาค</t>
  </si>
  <si>
    <t>ชำระค่าสมัครโครงการ Advance Program</t>
  </si>
  <si>
    <t>ชำระค่าสินค้า เอวอน (AVON) (กท-ตจว)</t>
  </si>
  <si>
    <t>ชำระค่างวดรถ บ.อีฮงมดแดง จำกัด</t>
  </si>
  <si>
    <t>ค่างวดเครื่องจักร/บริการอื่นสยามคูโบต้า</t>
  </si>
  <si>
    <t>ชำระค่าสินค้าและบริการเคทีบี ลีสซิ่ง</t>
  </si>
  <si>
    <t>ชำระค่าสินเชื่อ Personal loan ธนชาต(กท-ตจว)</t>
  </si>
  <si>
    <t>ชำระค่าบัตรเครดิต ธ.ธนชาต(กท-ตจว)</t>
  </si>
  <si>
    <t>ชำระค่าเบี้ยประกัน บ.ธนชาตโบรกเกอร์</t>
  </si>
  <si>
    <t>ค่าไปรษณีย์ฝากเงินสดเครื่องประทับ</t>
  </si>
  <si>
    <t>ชำระค่าเบี้ยประกันภัย ทิพยประกันภัย</t>
  </si>
  <si>
    <t>รับชำระค่าเบี้ยประกันภัย ทิพยประกันภัย</t>
  </si>
  <si>
    <t>ค่าธรรมเนียมฯพรบ.43 บาร์ 1 แถวผู้ค้าเก่า</t>
  </si>
  <si>
    <t>Energy fund</t>
  </si>
  <si>
    <t>ค่าธรรมเนียมฯพรบ.43 บาร์ 1 แถวผู้ค้าใหม่</t>
  </si>
  <si>
    <t>ค่าสินค้าและบริการในเครือ ธ.สแตนดาร์ด</t>
  </si>
  <si>
    <t>26/10,2022</t>
  </si>
  <si>
    <t>ชำระค่าขอวีซ่าสถานฑูตออสเตรเลีย(VFS)</t>
  </si>
  <si>
    <t>ชำระเพิ่มเติมค่าขอวีซ่าสถานฑูตออสเตรเลีย</t>
  </si>
  <si>
    <t>รับชำระค่าจองตั๋วไทยทิคเกต(TTM)</t>
  </si>
  <si>
    <t>ThaiTicket</t>
  </si>
  <si>
    <t>รับเงินบริจาค รพ. 50 พรรษามหาวชิราลงกรณ</t>
  </si>
  <si>
    <t>ชำระค่าสินเชื่อรถ พรประเสริฐออโต้ลีส</t>
  </si>
  <si>
    <t>ชำระค่าสมัครสอบ ม.เทคโนโลยีสุรนารี</t>
  </si>
  <si>
    <t>ค่าสินเชื่อเช่าซื้อ สยาม เจ เอส มีBAR</t>
  </si>
  <si>
    <t>ค่าสินเชื่อเช่าซื้อ สยาม เจ เอส ไม่มีBAR</t>
  </si>
  <si>
    <t>สินเชื่อซิตี้เฟล็กซี่ไลน์</t>
  </si>
  <si>
    <t>สินเชื่อซิตี้เฟล็กซี่ไลน์ (ไม่มีบาร์)</t>
  </si>
  <si>
    <t>ค่าสนับสนุน มเหสักข์-สักสยามินทร์</t>
  </si>
  <si>
    <t>ชำระค่าสินค้า/บริการ123Service</t>
  </si>
  <si>
    <t>2C2P</t>
  </si>
  <si>
    <t>ชำระค่าสินค้า/บริการ 123 Service (Online)</t>
  </si>
  <si>
    <t>โอนเงินระหว่างประเทศ</t>
  </si>
  <si>
    <t>ชำระเบี้ยประกัน บ.อาคเนย์ฯ</t>
  </si>
  <si>
    <t>ชำระเบี้ยประกัน บ.ทีคิวเอ็ม โบรคเกอร์ฯ</t>
  </si>
  <si>
    <t>ชำระเบี้ยประกัน บ.ทีคิวเอ็มไลฟ์ อินซัวร์ฯ</t>
  </si>
  <si>
    <t>ชำระค่าสินค้า บ.ทีวี ไดเร็ค จำกัด(มหาชน)</t>
  </si>
  <si>
    <t>ชำระเงินธนาคารอาคารสงเคราะห์ (ออนไลน์)</t>
  </si>
  <si>
    <t>ค่าสินเชื่อบุคคล SPEEDY LOAN ไทยพาณิชย์</t>
  </si>
  <si>
    <t>สปส.มาตรา 40</t>
  </si>
  <si>
    <t>สปส.</t>
  </si>
  <si>
    <t>ชำระค่าสินค้าและบริการ เรียล มูฟ (ทรู)</t>
  </si>
  <si>
    <t>True corp.</t>
  </si>
  <si>
    <t>ค่าโทรศัพท์เคลื่อนที่ TRUE MOVE</t>
  </si>
  <si>
    <t>ชำระค่าสินค้าและบริการ ทรู ไลฟ์ พลัส</t>
  </si>
  <si>
    <t>รับชำระค่าจองตั๋วคอนเสิร์ตงานแสดง(TTM)</t>
  </si>
  <si>
    <t>ค่าบริการเพื่อกลุ่ม TRUE (Online)</t>
  </si>
  <si>
    <t>บริจาคเงินให้แก่มูลนิธิแผ่นดินธรรม</t>
  </si>
  <si>
    <t>ชำระค่าบริการ บจ.ทรูมูฟเอช ยูนิเวอร์แซลฯ (Online)</t>
  </si>
  <si>
    <t>ค่าน้ำประปาส่วนภูมิภาค</t>
  </si>
  <si>
    <t>0,10</t>
  </si>
  <si>
    <t>ชำระค่าสินค้าและบริการ  ดีแทคไตรเน็ต</t>
  </si>
  <si>
    <t>ชำระเงินกู้กยศ.บาร์ยาวมีวันครบกำหนด KTB</t>
  </si>
  <si>
    <t>ชำระเงินกู้กยศ.บาร์สั้นไม่มีครบกำหนด KTB</t>
  </si>
  <si>
    <t>10,20</t>
  </si>
  <si>
    <t>ชำระเงินกู้ยืม กยศ กองทุน กรอ. (กรุงไทย)</t>
  </si>
  <si>
    <t>เงินกู้กยศ.บาร์ยาวมีครบกำหนด ธ.อิสลาม</t>
  </si>
  <si>
    <t>เงินกู้กยศ.บาร์สั้นไม่มีครบกำหนดธ.อิสลาม</t>
  </si>
  <si>
    <t>ชำระเงินกู้ยืม กยศ กองทุน กรอ. (อิสลาม)</t>
  </si>
  <si>
    <t>05/10,2022</t>
  </si>
  <si>
    <t>ชำระค่าสินค้า บ.โคเวย์ (ประเทศไทย) จำกัด</t>
  </si>
  <si>
    <t>สินเชื่อรถยนต์ ธนาคารกรุงศรีอยุธยา</t>
  </si>
  <si>
    <t>ชำระค่าเบี้ยไมโคร 200 บ.วิริยะประกันฯ</t>
  </si>
  <si>
    <t>InsuranceService</t>
  </si>
  <si>
    <t>ชำระค่าเบี้ยอัคคีภัย 500 บ.วิริยะประกันฯ</t>
  </si>
  <si>
    <t>ชำระค่าขึ้นทะเบียน/ลงทะเบียน ปริญญาตรี ม.เทคโนโลยีราชมงคลสุวรรณภูมิ</t>
  </si>
  <si>
    <t>ชำระค่าสมัครเข้าศึกษา ระดับปริญญาตรี ม.เทคโนโลยีราชมงคลสุวรรณภูมิ</t>
  </si>
  <si>
    <t>ชำระค่าเบี้ยไมโคร200 บ.สยามซิตี้ ประกันฯ</t>
  </si>
  <si>
    <t>ชำระเงินสำหรับการเคหะแห่งชาติออนไลน์ (Online)</t>
  </si>
  <si>
    <t>การเคหะ</t>
  </si>
  <si>
    <t>ชำระค่าเบี้ยประกันไมโคร 200 บ.สินมั่นคงฯ</t>
  </si>
  <si>
    <t>ชำระค่าเบี้ยประกันภัยและพรบ บ.สินมั่นคงฯ</t>
  </si>
  <si>
    <t>ชำระค่าสินค้า หจก.ฟ้าอรุณพืชผลเพื่อไทย</t>
  </si>
  <si>
    <t>ชำระเบี้ยไมโคร 365 บ.สยามซิตี้ ประกันฯ</t>
  </si>
  <si>
    <t>ชำระเบี้ยเดินทางอุ่นใจสยามซิตี้ ประกันฯ</t>
  </si>
  <si>
    <t>ชำระค่าเบี้ยประกันไมโคร 200 บ.กรุงเทพฯ</t>
  </si>
  <si>
    <t>ชำระค่าสินค้า-บริการเครือCITIGROUPกลุ่ม2</t>
  </si>
  <si>
    <t>17/10,2022</t>
  </si>
  <si>
    <t>ชำระค่าสินค้า-บริการเครือCITIGROUPกลุ่ม3</t>
  </si>
  <si>
    <t>ชำระค่างวด บ.ศรีสวัสดิ์ พาวเวอร์ฯ</t>
  </si>
  <si>
    <t>ชำระค่างวด บ.ตรีเพชรอีซูซุลิสซิ่ง จำกัด</t>
  </si>
  <si>
    <t>ชำระเงินกู้ บรรษัทตลาดรองสินเชื่อฯ</t>
  </si>
  <si>
    <t>ชำระค่าหน่วยลงทุน บลจ.วรรณ</t>
  </si>
  <si>
    <t>ชำระค่าธรรมเนียมฯเนติบัณฑิตยสภา</t>
  </si>
  <si>
    <t>ชำระค่าเบี้ยประกันไมโคร 200 บ.เมืองไทยฯ</t>
  </si>
  <si>
    <t>ชำระค่าขอวีซ่าสถานฑูตสิงคโปร์(VFS)</t>
  </si>
  <si>
    <t>ชำระค่าเบี้ยประกันภัย บ. มิตรแท้ฯ</t>
  </si>
  <si>
    <t>ชำระค่าบัตรเครดิตกลุ่มเจเนอรัลคาร์ด</t>
  </si>
  <si>
    <t>ชำระค่าบัตรเครดิตกลุ่มเทสโก้ คาร์ด</t>
  </si>
  <si>
    <t>ชำระค่าบัตรเครดิตกลุ่มอยุธยาแคปปิตอล</t>
  </si>
  <si>
    <t>ชำระค่าบัตรเครดิตกลุ่มบัตรกรุงศรีอยุธยา</t>
  </si>
  <si>
    <t>ค่าเบี้ยประกันภัยรถยนต์ สยามซิตี้</t>
  </si>
  <si>
    <t>31/10,2021</t>
  </si>
  <si>
    <t>ค่าเบี้ยประกันภัยรถจักรยานยนต์ สยามซิตี้</t>
  </si>
  <si>
    <t>ชำระค่าเบี้ยประกันภัย บ.สินทรัพย์ฯ</t>
  </si>
  <si>
    <t>ส่งเงินเข้ากองทุนน้ำมันคำสั่ง คสช 2557</t>
  </si>
  <si>
    <t>ส่งเงินเข้ากองทุนน้ำมันคสช2557+เงินเพิ่ม</t>
  </si>
  <si>
    <t>ชำระเบี้ยโครงการชีวิตมั่นคง บ.สินมั่นคง</t>
  </si>
  <si>
    <t>ชำระเบี้ยสยามแคนเซอร์ บ.สยามซิตี้ฯ</t>
  </si>
  <si>
    <t>ชำระค่าธรรมเนียมการตรวจบทคัดย่อฯ มสธ.</t>
  </si>
  <si>
    <t>ชำระค่าสมัครเรียนม.ราชภัฎสกลนคร</t>
  </si>
  <si>
    <t>04/10,2019</t>
  </si>
  <si>
    <t>เงินบริจาคเพื่อช่วยเหลือผู้ประสบภัยเนปาล</t>
  </si>
  <si>
    <t>ชำระเบี้ยประกันไทยประกันชีวิต (DM) (Online)</t>
  </si>
  <si>
    <t>ชำระค่าสินเชื่อ ฟูจิ ซีร็อกช์ ลีสซิ่ง</t>
  </si>
  <si>
    <t>ชำระค่าสินค้าและบริการ ฟูจิ ซีร็อกช์</t>
  </si>
  <si>
    <t>ทำประกันภัย ทิพยประกันภัย</t>
  </si>
  <si>
    <t>26/09/2022</t>
  </si>
  <si>
    <t>บริการรับชำระเงินค่าซื้อหน่วยลงทุน MFC</t>
  </si>
  <si>
    <t>ค่าบริการทรู อินเทอร์เน็ต คอร์ป (Online)</t>
  </si>
  <si>
    <t>ชำระเบี้ยไมโคร 340 บ.สยามซิตี้ ประกันฯ</t>
  </si>
  <si>
    <t>ตรวจสอบข้อมูลเครดิตบุคคลธรรมดา</t>
  </si>
  <si>
    <t>OFFLINE/EXE</t>
  </si>
  <si>
    <t>เงินบริจาคสร้างอาคารนวมินทรบพิตร84พรรษา</t>
  </si>
  <si>
    <t>ชำระค่าบริการ บัตรชำระบุญเติม (Online)</t>
  </si>
  <si>
    <t>Boonterm</t>
  </si>
  <si>
    <t>ปณท รวมน้ำใจช่วยผู้ประสบภัย</t>
  </si>
  <si>
    <t>ชำระเบี้ยต่ออายุ บ.ไทยสมุทรประกันชีวิตฯ</t>
  </si>
  <si>
    <t>ชำระเบี้ยปีแรก บ.ไทยสมุทรประกันชีวิตฯ</t>
  </si>
  <si>
    <t>ค่าสมัครสอบเข้าทำงานเป็นพนักงานไปรษณีย์</t>
  </si>
  <si>
    <t>16/12/2022</t>
  </si>
  <si>
    <t>ชำระค่าสมัครเข้าศึกษา รร.ไปรษณีย์</t>
  </si>
  <si>
    <t>ชำระบริการต่าง ๆ ของคุรุสภา มีบาร์โค้ด</t>
  </si>
  <si>
    <t>ส่งเงินสะสมเข้ากองทุนการออมแห่งชาติ (Online)</t>
  </si>
  <si>
    <t>กอช</t>
  </si>
  <si>
    <t>ค่าปรับจราจร</t>
  </si>
  <si>
    <t>กรุงไทย</t>
  </si>
  <si>
    <t>21/04/2023</t>
  </si>
  <si>
    <t>เติมเงินเข้าบัตร M-PASS</t>
  </si>
  <si>
    <t>ปณท รวมน้ำใจช่วยผู้ประสบภัยพายุปาบึก</t>
  </si>
  <si>
    <t>ประกันอัคคีภัย สินมั่นคง 400</t>
  </si>
  <si>
    <t>ลูกหนี้ค่าฝากส่งเงินเชื่อ (WEB AR)</t>
  </si>
  <si>
    <t>ลูกหนี้ค่าฝากส่งเป็นเงินเชื่อ (ระบบ ERP)</t>
  </si>
  <si>
    <t>27/05/2022</t>
  </si>
  <si>
    <t>ลูกหนี้ค่าใช้สถานที่และอุปกรณ์ (มี VAT)</t>
  </si>
  <si>
    <t>ลูกหนี้ค่าใช้สถานที่และอุปกรณ์ (ไม่มี VAT)</t>
  </si>
  <si>
    <t>ปณท รวมน้ำใจช่วยผู้ประสบภัยพายุโพดุล</t>
  </si>
  <si>
    <t>ชำระเบี้ยประกันไทยประกันชีวิต PA500-PA1000</t>
  </si>
  <si>
    <t>ชำระประกันภัยซิกน่า</t>
  </si>
  <si>
    <t>ชำระประกันเมืองไทยประกันภัย</t>
  </si>
  <si>
    <t>ชำระค่าธรรมเนียมเทียบผลการศึกษา (มสธ.18)</t>
  </si>
  <si>
    <t>ชำระค่าธรรมเนียมการยื่นคำร้องขอเทียบผลการศึกษา (มสธ.18)</t>
  </si>
  <si>
    <t>ชำระค่าธรรมเนียมเทียบประสบการณ์ (มสธ.18)</t>
  </si>
  <si>
    <t>ชำระ บัตรเครดิต/บัตรกดเงินสด ธ.ทหารไทยธนชาต (กท-ตจว)</t>
  </si>
  <si>
    <t>ค่า Sim Card AIS (Pre-paid/Post-paid)</t>
  </si>
  <si>
    <t>สินเชื่อรายย่อย ธ.ทหารไทยธนชาต</t>
  </si>
  <si>
    <t>ชำระภาษีที่ดินและสิ่งปลูกสร้าง</t>
  </si>
  <si>
    <t>ชำระประกัน กรุงเทพประกันภัย</t>
  </si>
  <si>
    <t>ชำระสินเชื่อรถยนต์ (กท-ตจว)</t>
  </si>
  <si>
    <t>สินเชื่อรายย่อย (กท-ตจว)</t>
  </si>
  <si>
    <t>ค่าชำระเงินกู้ บ.ตรีเพชรอีซูซุลิสซิ่ง จำกัด</t>
  </si>
  <si>
    <t>ชำระค่าปรับจราจร (Online)</t>
  </si>
  <si>
    <t>รับชำระ Fuze Post</t>
  </si>
  <si>
    <t>รับชำระสถานธนานุเคราะห์ (Online)</t>
  </si>
  <si>
    <t>17/02/2026</t>
  </si>
  <si>
    <t>Pawnshop</t>
  </si>
  <si>
    <t>ชำระค่าไฟฟ้าส่วนภูมิภาค (บาร์โค๊ดใหม่ BOT) Online</t>
  </si>
  <si>
    <t>16/05/2020</t>
  </si>
  <si>
    <t>PEA</t>
  </si>
  <si>
    <t>ชำระค่าธรรมเนียม กรมธุรกิจพลังงาน (Online)</t>
  </si>
  <si>
    <t>ชำระภาษีรถยนต์ กรมการขนส่ง</t>
  </si>
  <si>
    <t>OFFLINE/Iframe</t>
  </si>
  <si>
    <t>ชำระค่าจัดส่งเอกสารกรมการขนส่ง</t>
  </si>
  <si>
    <t>ชำระค่าไฟฟ้านครหลวง (Online)</t>
  </si>
  <si>
    <t>Scan Bill only</t>
  </si>
  <si>
    <t>MEA</t>
  </si>
  <si>
    <t>เงินสมทบประกันสังคมของผู้ประกันตน ม.39 (Online)</t>
  </si>
  <si>
    <t>ชำระค่าสมัครสอบ ม.เทคโนโลยีสุรนารี [ซ้ำกับ 50932]</t>
  </si>
  <si>
    <t>บัตรเงินสด (E-Cash Card PIN) TRUE</t>
  </si>
  <si>
    <t>บัตรโทรศัพท์ระหว่างประเทศ(CAT thaicard)</t>
  </si>
  <si>
    <t>บัตรโทรศัพท์ระหว่างประเทศ(CAT phonenet)</t>
  </si>
  <si>
    <t>บัตรรักเมืองไทย</t>
  </si>
  <si>
    <t>บัตร Talk of The Town</t>
  </si>
  <si>
    <t>Imobile3gx(สำหรับInternetDataCalling)</t>
  </si>
  <si>
    <t>IEC 3g(สำหรับInternetDataCalling)</t>
  </si>
  <si>
    <t>เติมเงิน JAYA GAME (Titan)</t>
  </si>
  <si>
    <t>เติมเงิน JAYA GAME (Luna)</t>
  </si>
  <si>
    <t>เติมเงิน JAYA GAME (ShownDown)</t>
  </si>
  <si>
    <t>เติมเงิน JAYA GAME (Iris)</t>
  </si>
  <si>
    <t>เติมเงิน Vplay GAME (เกมส์ Nostale)</t>
  </si>
  <si>
    <t>เติมเงิน Vplay GAME (เกมส์ Trickster)</t>
  </si>
  <si>
    <t>รหัสโทรศัพท์ระหว่างประเทศ ThookDee</t>
  </si>
  <si>
    <t>รหัสเติมเงินเกม online (DCARD)</t>
  </si>
  <si>
    <t>รหัสโทรศัพท์ระหว่างประเทศ Hello world</t>
  </si>
  <si>
    <t>เติมเงินผ่านบัตร Gamemoney @ Post</t>
  </si>
  <si>
    <t>GameMoney</t>
  </si>
  <si>
    <t>เติมเงิน @Cash</t>
  </si>
  <si>
    <t>เติมเงิน 7in1 รหัสโทรศัพท์ระหว่างประเทศ</t>
  </si>
  <si>
    <t>รหัสเติมเงินเกม online CookieCard</t>
  </si>
  <si>
    <t>รหัสเติมเงิน Internet WiFi(3BBWiFi)</t>
  </si>
  <si>
    <t>รหัสเติมเงิน TollD บัตรเพื่อนบ้าน</t>
  </si>
  <si>
    <t>รหัสเติมเงิน Zay Hi</t>
  </si>
  <si>
    <t>รหัสเติมเงินTune Talk (i-Kool 3G DATA)</t>
  </si>
  <si>
    <t>รหัสเติมเงิน MY (CAT CDMA)</t>
  </si>
  <si>
    <t>รหัสเติมเงินhappyPAYSBUYCash(HappyTopup)</t>
  </si>
  <si>
    <t>เติมเงิน PAYSBUY</t>
  </si>
  <si>
    <t>paysbuy</t>
  </si>
  <si>
    <t>รหัสเติมเงิน Line Prepaid</t>
  </si>
  <si>
    <t>รหัสเติมเงิน Bolo Calling Card</t>
  </si>
  <si>
    <t>รหัสเติม True WiFi Prepaid</t>
  </si>
  <si>
    <t>เติมเงิน แจ๋ว e-Wallet</t>
  </si>
  <si>
    <t>เติมเงิน Penquin</t>
  </si>
  <si>
    <t>จ่ายเงินระบบสวัสดิการ ปณท</t>
  </si>
  <si>
    <t>ขท./บท.</t>
  </si>
  <si>
    <t>เงินสำรองประจำที่ทำการไปรษณีย์</t>
  </si>
  <si>
    <t>คืนเงินระบบสวัสดิการ ปณท</t>
  </si>
  <si>
    <t>เจ้าหนี้เงินประกัน Inf.</t>
  </si>
  <si>
    <t>ค่าจ้างเหมา</t>
  </si>
  <si>
    <t>คืนเงินค่าเครื่องแบบ</t>
  </si>
  <si>
    <t>23/02/2023</t>
  </si>
  <si>
    <t>รับเงินคืน-เงินสำรองประจำที่ทำการไปรษณีย์</t>
  </si>
  <si>
    <t>Should this process be done by BOM? Check with Ianne</t>
  </si>
  <si>
    <t>ลน. พนง-เงินสำรอง ปณ.</t>
  </si>
  <si>
    <t>ภาษีเงินได้หัก ณ ที่จ่ายรอนำส่ง-บุคคลภายนอก</t>
  </si>
  <si>
    <t>รับเงินฝาก ธ.ไทยเครดิต (บาร์โค้ด)</t>
  </si>
  <si>
    <t>Bank@Post</t>
  </si>
  <si>
    <t>PCC</t>
  </si>
  <si>
    <t>รับเงินฝาก  ธ.ทหารไทย (คีย์เลขที่บ/ช)</t>
  </si>
  <si>
    <t>รับเงินฝาก ธ.กรุงศรีอยุธยา (คีย์เลขที่บ/ช)</t>
  </si>
  <si>
    <t>Bank Deposit</t>
  </si>
  <si>
    <t>รับเงินฝาก ธ.ซีไอเอ็มบีไทย (คีย์เลขที่บ/ช)</t>
  </si>
  <si>
    <t>รับเงินฝากธ.ทิสโก้ (คีย์เลขที่บ/ช)</t>
  </si>
  <si>
    <t>ชำระค่าบริการสินเชื่อฯ ธนาคารออมสิน</t>
  </si>
  <si>
    <t>AIS 3G (Online)</t>
  </si>
  <si>
    <t>AIS 3G Online ไม่มีบาร์</t>
  </si>
  <si>
    <t>Online request</t>
  </si>
  <si>
    <t>รับฝากเงินสงเคราะห์ชีวิต ธ.ออมสิน</t>
  </si>
  <si>
    <t>รับเงินฝาก ธ.กสิกรไทย (คีย์เลขที่บ/ช)</t>
  </si>
  <si>
    <t>รับเงินฝาก ธ.เกียรตินาคินภัทร (คีย์เลขที่บ/ช)</t>
  </si>
  <si>
    <t>รับฝากเงิน ธ. ไทยพาณิชย์ (คีย์เลขที่บ/ช)</t>
  </si>
  <si>
    <t>รับเงินฝาก ธ.กรุงเทพ (คีย์เลขที่บ/ช)</t>
  </si>
  <si>
    <t>รับเงินฝาก ธ.กรุงไทย (คีย์เลขที่บ/ช)</t>
  </si>
  <si>
    <t>รับเงินฝาก ธ.ก.ส. (คีย์เลขที่บ/ช)</t>
  </si>
  <si>
    <t>ชำระ AEON (Online)</t>
  </si>
  <si>
    <t>01/10,2018</t>
  </si>
  <si>
    <t>ถอนเงิน ธ.กสิกรไทย จำกัด</t>
  </si>
  <si>
    <t>ถอนเงิน ธ.ไทยพาณิชย์ จำกัด</t>
  </si>
  <si>
    <t>ถอนเงิน EDC ธ.กรุงไทย/Cross bank (ออฟไลน์)</t>
  </si>
  <si>
    <t>Bank Withdrawal</t>
  </si>
  <si>
    <t>ถอนเงิน ธ.กรุงเทพ</t>
  </si>
  <si>
    <t>ถอนเงินจากเครื่อง EDC</t>
  </si>
  <si>
    <t>การยืนยันตัวตน - แอปฯทางรัฐ (สพร./DGA)</t>
  </si>
  <si>
    <t>KYC</t>
  </si>
  <si>
    <t>DGA</t>
  </si>
  <si>
    <t>การยืนยันตัวตน - Prompt Post (ปณท)</t>
  </si>
  <si>
    <t>Promptpost</t>
  </si>
  <si>
    <t>No</t>
  </si>
  <si>
    <t>ITEM_CODE</t>
  </si>
  <si>
    <t>ITEM_NAME</t>
  </si>
  <si>
    <t>COUNT(*)</t>
  </si>
  <si>
    <t>รับเงินฝากธ.กรุงไทย(คีย์เลขที่บ/ช)</t>
  </si>
  <si>
    <t>ค่าไฟฟ้าส่วนภูมิภาค (บาร์โค๊ดใหม่BOT)</t>
  </si>
  <si>
    <t>ค่าน้ำประปาส่วนภูมิภาค 1 Bar สาขาใหม่</t>
  </si>
  <si>
    <t>ชำระค่างวดรถ โตโยต้า ลีสซิ่ง(กท-ตจว)</t>
  </si>
  <si>
    <t>รับเงินฝากธ.กสิกรไทย(คีย์เลขที่บ/ช)</t>
  </si>
  <si>
    <t>ชำระเงินธนาคารอาคารสงเคราะห์(ออนไลน์)</t>
  </si>
  <si>
    <t>เงินสมทบประกันสังคมของผู้ประกันตน ม.39</t>
  </si>
  <si>
    <t>รับฝากเงินธ. ไทยพาณิชย์(คีย์เลขที่บ/ช)</t>
  </si>
  <si>
    <t>ชำระค่าบริการ บัตรชำระบุญเติม มีบาร์</t>
  </si>
  <si>
    <t>AIS 3G Online</t>
  </si>
  <si>
    <t>ชำระเงินบัตรเครดิตธนาคารUOBธ.เอเซียเดิม</t>
  </si>
  <si>
    <t>รับเงินฝากธ.กรุงเทพ(คีย์เลขที่บ/ช)</t>
  </si>
  <si>
    <t>รับเงินฝากธ.ก.ส.(คีย์เลขที่บ/ช)</t>
  </si>
  <si>
    <t>ชำระค่าสินค้า/บริการ123Service มีบาร์</t>
  </si>
  <si>
    <t>ชำระ AEON</t>
  </si>
  <si>
    <t>ชำระค่าขอเอกสารทางการศึกษา(มสธ.30)</t>
  </si>
  <si>
    <t>เบี้ยประกันชีวิต กรุงเทพประกันฯบาร์ 1แถว</t>
  </si>
  <si>
    <t>ชำระรายการ ธ.เกียรตินาคินภัทร BARCODE(กท-ตจว)</t>
  </si>
  <si>
    <t>สมัครใหม่/ค่าธรรมเนียม/สัมฤทธิ์ ป.ตรีมสธ</t>
  </si>
  <si>
    <t>ชำระเบี้ยประกันไทยประกันชีวิต</t>
  </si>
  <si>
    <t>รับชำระ บัตรเครดิต/บัตรกดเงินสด (กท-ตจว)</t>
  </si>
  <si>
    <t>บัครเครดิต KTC Barcode 1 แถว(กท-ตจว)</t>
  </si>
  <si>
    <t>ค่าบัญชีเงินฝากตราไปรษณียากร</t>
  </si>
  <si>
    <t>ค่าไฟฟ้านครหลวง</t>
  </si>
  <si>
    <t>Ge ค่า First Choice</t>
  </si>
  <si>
    <t>ชำระค่าบริการ บัตรชำระบุญเติม ไม่มีบาร์</t>
  </si>
  <si>
    <t>รับเงินฝากธ.กรุงศรีอยุธยา(คีย์เลขที่บ/ช)</t>
  </si>
  <si>
    <t>ชำระค่าสินค้า ยันมาร์แคปปิตอล</t>
  </si>
  <si>
    <t>ชำระค่าสินค้าและบริการ ดีแทคไตรเน็ต</t>
  </si>
  <si>
    <t>จองตั๋วรายการบันเทิงและอื่นของ TTM ใหม่</t>
  </si>
  <si>
    <t>รับเงินฝากธ.ซีไอเอ็มบีไทย(คีย์เลขที่บ/ช)</t>
  </si>
  <si>
    <t>เปลี่ยนสาขา,ที่อยู่,ชื่อ_สกุล,ทำบัตรนศ.</t>
  </si>
  <si>
    <t>ชำระค่างวดรถ นิสสัน ลีสซิ่ง(กท-ตจว)</t>
  </si>
  <si>
    <t>ค่าบริการโทรคมฯTBOSSกสท. (ใหม่)</t>
  </si>
  <si>
    <t>ค่าธรรมเนียมพรบ.ควบคุมน้ำมันเชื้อเพลิง42</t>
  </si>
  <si>
    <t>สมัครเข้าศึกษาระดับบัณฑิตศึกษา</t>
  </si>
  <si>
    <t>ค่าบริการเพื่อกลุ่ม TRUE</t>
  </si>
  <si>
    <t>ชำระค่าขอวีซ่าสถานฑูตญี่ปุ่น(VFS)</t>
  </si>
  <si>
    <t>ชำระค่าบริการ บจ.ทรูมูฟเอช ยูนิเวอร์แซลฯ</t>
  </si>
  <si>
    <t>ใบรายงานผลฯ/หนังสือรับรอง บ10ป.โท-เอก</t>
  </si>
  <si>
    <t>ส่งเงินสะสมเข้ากองทุนการออมแห่งชาติ</t>
  </si>
  <si>
    <t>ขึ้นทะเบียนมหาบัณฑิต บ.16 (ป.โท-เอก)</t>
  </si>
  <si>
    <t>คำร้องต่าง ๆ (ป.โท-เอก)</t>
  </si>
  <si>
    <t>ค่าบริการทรู อินเทอร์เน็ต คอร์ป</t>
  </si>
  <si>
    <t>ชำระเงินสำหรับการเคหะแห่งชาติออนไลน์</t>
  </si>
  <si>
    <t>ชำระค่าจองตั๋วรถโดยสาร บขส./รถร่วม(TTM)</t>
  </si>
  <si>
    <t>ชำระค่าขึ้นทะเบียน/ลงทะเบียน ปริญญาตรี</t>
  </si>
  <si>
    <t>ชำระค่างวด บ.บีทีเวิลด์ลีส จำกัด(กท-ตจว)</t>
  </si>
  <si>
    <t>ชำระสินเชื่อCONSUMER PROไทยธนาคาร</t>
  </si>
  <si>
    <t>ชำระค่าสินค้าและบริการในเครือCITIGROUP</t>
  </si>
  <si>
    <t>ค่าสั่งจองสิ่งของ สมาคมสุโขทัยฯ (ป ตรี)</t>
  </si>
  <si>
    <t>ชำระค่าธรรมเนียมการยื่นคำร้องขอเทียบผลการศ(มสธ.18)</t>
  </si>
  <si>
    <t>ชำระค่าบัญชีสินเชื่อ Extra Cash</t>
  </si>
  <si>
    <t>บริการชำระค่าบำรุงการศึกษาโรงเรียนการไปรษณีย์</t>
  </si>
  <si>
    <t>ชำระค่าสินค้า บ.โคเวย์(ประเทศไทย)จำกัด</t>
  </si>
  <si>
    <t>ชำระเบี้ยประกันไทยประกันชีวิต(DM)</t>
  </si>
  <si>
    <t>รับเงินฝาก ธ.เกียรตินาคินภัทร(คีย์เลขที่บ/ช)</t>
  </si>
  <si>
    <t>ชำระค่าบัตรเครดิตกรุงศรีอยุธยา(DreamLoan)</t>
  </si>
  <si>
    <t>รับชำระค่าสินค้าและบริการ บ. ทริปเปิลที บรอดแบนด์</t>
  </si>
  <si>
    <t>ชำระเพิ่มเติมค่าขอวีซ่าสถานฑูตญี่ปุ่นVFS</t>
  </si>
  <si>
    <t>ชำระค่าบัตรโรบินสัน วีซ่า(ROBINSON VESA)</t>
  </si>
  <si>
    <t>ชำระค่าสินค้า/บริการ123Service ไม่มีบาร์</t>
  </si>
  <si>
    <t>สมัครเข้าศึกษาระดับบัณฑิตศึกษา(ป.เอก)</t>
  </si>
  <si>
    <t>ชำระค่าสมัครเข้าศึกษา ระดับปริญญาตรี</t>
  </si>
  <si>
    <t>ชำระค่าสินค้ายันมาร์</t>
  </si>
  <si>
    <t>ค่าสั่งจองสิ่งของ สมาคมสุโขทัยฯ (ป โท)</t>
  </si>
  <si>
    <t>ชำระค่างวด ตะวันออก ลีสซิ่ง(กท-ตจว)</t>
  </si>
  <si>
    <t>ชำระเบี้ยประกันบ.ทีคิวเอ็มไลฟ์ อินซัวร์ฯ</t>
  </si>
  <si>
    <t>ชำระค่าเบี้ยเมืองไทยประกันชีวิต( TELE)</t>
  </si>
  <si>
    <t>Ge ค่า Quick Cash</t>
  </si>
  <si>
    <t>ค่าชำระเงินกู้</t>
  </si>
  <si>
    <t>เมืองไทยประกันภัย จำกัด (มหาชน)(กท-ตจว)</t>
  </si>
  <si>
    <t>บริการหลัก</t>
  </si>
  <si>
    <t>ปี 2568/2025</t>
  </si>
  <si>
    <t>Item ID</t>
  </si>
  <si>
    <t>จำนวนรายการ
(ม.ค.-ต.ค.)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</si>
  <si>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</si>
  <si>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</si>
  <si>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</si>
  <si>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</si>
  <si>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</si>
  <si>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</si>
  <si>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</si>
  <si>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</si>
  <si>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</si>
  <si>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</si>
  <si>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Service Name</t>
  </si>
  <si>
    <t>จำนวนเงิน</t>
  </si>
  <si>
    <t>ปริมาณงาน</t>
  </si>
  <si>
    <t>รายได้</t>
  </si>
  <si>
    <t>Western Union</t>
  </si>
  <si>
    <t>จ่ายเงินธนาณัติระหว่างประเทศ WESTERN UNION</t>
  </si>
  <si>
    <t>รับฝากธนาณัติระหว่างประเทศ WESTERN UNION</t>
  </si>
  <si>
    <t xml:space="preserve">
Pay@Post</t>
  </si>
  <si>
    <t>รับชำระค่าสินค้าเรียกเก็บเงินที่บ้าน(TND)</t>
  </si>
  <si>
    <t>ชำระค่าปรับจราจรไม่ยึดใบขับขี่</t>
  </si>
  <si>
    <t>ค่าไฟฟ้าส่วนภูมิภาค (Online)</t>
  </si>
  <si>
    <t>ชำระค่าธรรมเนียม กรมธุรกิจพลังงาน</t>
  </si>
  <si>
    <t>ธนาณัติชำระค่าปรับจราจร</t>
  </si>
  <si>
    <t>ชำระค่าสมัคร รร.ไปรษณีย์ (ภาคสมทบ)</t>
  </si>
  <si>
    <t>ค่าไฟฟ้านครหลวง (Online)</t>
  </si>
  <si>
    <t>ชำระเงินสงเคราะห์ ฌปก. ลูกค้า ธกส.อำนาจเจริญ</t>
  </si>
  <si>
    <t>รับชำระ เฮงลิสซิ่ง</t>
  </si>
  <si>
    <t>ชำระเงินสงเคราะห์ ฌกฝ. ผู้ฝากเงิน ธกส.อำนาจเจริญ</t>
  </si>
  <si>
    <t>ชำระค่าขอวีซ่าสถานฑูตสหรัฐอเมริกา (Aramex)</t>
  </si>
  <si>
    <t>ชำระเบี้ยประกันภัยเจมาร์ท Jaymart</t>
  </si>
  <si>
    <t>การเบิกจ่ายค่าใช้จ่ายจากระบบ Pre Expense</t>
  </si>
  <si>
    <t>ธนาณัติในประเทศ</t>
  </si>
  <si>
    <t>ธนาณัติธรรมดา (101)</t>
  </si>
  <si>
    <t>ธนาณัติออนไลน์รอจ่าย (403)</t>
  </si>
  <si>
    <t>ชำระค่าปรับจราจรไม่ยึดใบขับขี่ (116)</t>
  </si>
  <si>
    <t>ธนาณัติออนไลน์ไม่ระบุปลายทาง (405)</t>
  </si>
  <si>
    <t>ธนาณัติในธุรกิจ (102)</t>
  </si>
  <si>
    <t>ธนาณัติไม่จำกัดวงเงิน (113)</t>
  </si>
  <si>
    <t>ธนาณัติภาษีรถประจำปี (105)</t>
  </si>
  <si>
    <t>Logispost เก็บเงิน (107)</t>
  </si>
  <si>
    <t>ธนาณัติชำระค่าปรับจราจร (110)</t>
  </si>
  <si>
    <t>ธนาณัติออนไลน์นำจ่าย (401)</t>
  </si>
  <si>
    <t>ธนาณัติด่วนพิเศษ (106)</t>
  </si>
  <si>
    <t>ธนาณัติกรมการกงสุล (117)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</si>
</sst>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3" x14ac:knownFonts="1">
    <font>
      <sz val="11"/>
      <color theme="1"/>
      <name val="Calibri"/>
      <scheme val="minor"/>
    </font>
    <font>
      <b/>
      <sz val="11"/>
      <color theme="1"/>
      <name val="Sarabun"/>
    </font>
    <font>
      <sz val="10"/>
      <color theme="1"/>
      <name val="Sarabun"/>
    </font>
    <font>
      <sz val="10"/>
      <color rgb="FFFF0000"/>
      <name val="Sarabun"/>
    </font>
    <font>
      <sz val="10"/>
      <color rgb="FF7030A0"/>
      <name val="Sarabun"/>
    </font>
    <font>
      <sz val="10"/>
      <color rgb="FF00B050"/>
      <name val="Sarabun"/>
    </font>
    <font>
      <sz val="10"/>
      <color rgb="FF000000"/>
      <name val="Sarabun"/>
    </font>
    <font>
      <sz val="10"/>
      <color rgb="FF00B0F0"/>
      <name val="Sarabun"/>
    </font>
    <font>
      <sz val="10"/>
      <color rgb="FFC55A11"/>
      <name val="Sarabun"/>
    </font>
    <font>
      <b/>
      <sz val="10"/>
      <color rgb="FF000000"/>
      <name val="Sarabun"/>
    </font>
    <font>
      <b/>
      <sz val="11"/>
      <color rgb="FF000000"/>
      <name val="Sarabun"/>
    </font>
    <font>
      <sz val="11"/>
      <name val="Calibri"/>
    </font>
    <font>
      <strike/>
      <sz val="10"/>
      <color rgb="FF000000"/>
      <name val="Sarabun"/>
    </font>
  </fonts>
  <fills count="11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  <diagonal/>
    </border>
    <border>
      <left/>
      <right/>
      <top style="thin">
        <color rgb="FF548135"/>
      </top>
      <bottom style="thin">
        <color rgb="FF548135"/>
      </bottom>
      <diagonal/>
    </border>
    <border>
      <left/>
      <right style="thin">
        <color rgb="FF548135"/>
      </right>
      <top style="thin">
        <color rgb="FF548135"/>
      </top>
      <bottom style="thin">
        <color rgb="FF548135"/>
      </bottom>
      <diagonal/>
    </border>
    <border>
      <left/>
      <right/>
      <top/>
      <bottom style="thin">
        <color rgb="FF548135"/>
      </bottom>
      <diagonal/>
    </border>
    <border>
      <left/>
      <right style="thin">
        <color rgb="FF548135"/>
      </right>
      <top/>
      <bottom style="thin">
        <color rgb="FF54813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3" fontId="6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7" xfId="0" applyFont="1" applyBorder="1"/>
    <xf numFmtId="0" fontId="6" fillId="0" borderId="10" xfId="0" applyFont="1" applyBorder="1" applyAlignment="1">
      <alignment horizontal="center" vertical="center"/>
    </xf>
    <xf numFmtId="0" fontId="11" fillId="0" borderId="8" xfId="0" applyFont="1" applyBorder="1"/>
    <xf numFmtId="0" fontId="6" fillId="0" borderId="13" xfId="0" applyFont="1" applyBorder="1" applyAlignment="1">
      <alignment horizontal="center" vertical="top"/>
    </xf>
    <xf numFmtId="0" fontId="11" fillId="0" borderId="13" xfId="0" applyFont="1" applyBorder="1"/>
    <xf numFmtId="0" fontId="6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</xdr:colOff>
      <xdr:row>45</xdr:row>
      <xdr:rowOff>91440</xdr:rowOff>
    </xdr:from>
    <xdr:to>
      <xdr:col>5</xdr:col>
      <xdr:colOff>137160</xdr:colOff>
      <xdr:row>51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1924BEFD-004E-82C6-C24C-16276158268E}"/>
            </a:ext>
          </a:extLst>
        </xdr:cNvPr>
        <xdr:cNvSpPr txBox="1">
          <a:spLocks noChangeArrowheads="1"/>
        </xdr:cNvSpPr>
      </xdr:nvSpPr>
      <xdr:spPr bwMode="auto">
        <a:xfrm>
          <a:off x="1257300" y="6400800"/>
          <a:ext cx="6629400" cy="8153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19A0746F-D8A5-9259-5B78-DF0B216CDF50}"/>
            </a:ext>
          </a:extLst>
        </xdr:cNvPr>
        <xdr:cNvSpPr txBox="1">
          <a:spLocks noChangeArrowheads="1"/>
        </xdr:cNvSpPr>
      </xdr:nvSpPr>
      <xdr:spPr bwMode="auto">
        <a:xfrm>
          <a:off x="1257300" y="685800"/>
          <a:ext cx="6629400" cy="655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405</xdr:row>
      <xdr:rowOff>91440</xdr:rowOff>
    </xdr:from>
    <xdr:to>
      <xdr:col>5</xdr:col>
      <xdr:colOff>137160</xdr:colOff>
      <xdr:row>413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D99AEEAA-B89C-B5F0-91C7-1902AE0048C0}"/>
            </a:ext>
          </a:extLst>
        </xdr:cNvPr>
        <xdr:cNvSpPr txBox="1">
          <a:spLocks noChangeArrowheads="1"/>
        </xdr:cNvSpPr>
      </xdr:nvSpPr>
      <xdr:spPr bwMode="auto">
        <a:xfrm>
          <a:off x="1257300" y="46146720"/>
          <a:ext cx="6629400" cy="7696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8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B71E1E6-FFEB-0821-7194-CA1E9FE34B24}"/>
            </a:ext>
          </a:extLst>
        </xdr:cNvPr>
        <xdr:cNvSpPr txBox="1">
          <a:spLocks noChangeArrowheads="1"/>
        </xdr:cNvSpPr>
      </xdr:nvSpPr>
      <xdr:spPr bwMode="auto">
        <a:xfrm>
          <a:off x="1257300" y="685800"/>
          <a:ext cx="6629400" cy="8610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CB8AED3-A290-BB6E-8ACA-2D3820E140DC}"/>
            </a:ext>
          </a:extLst>
        </xdr:cNvPr>
        <xdr:cNvSpPr txBox="1">
          <a:spLocks noChangeArrowheads="1"/>
        </xdr:cNvSpPr>
      </xdr:nvSpPr>
      <xdr:spPr bwMode="auto">
        <a:xfrm>
          <a:off x="1257300" y="685800"/>
          <a:ext cx="6629400" cy="655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Julien D" id="{6f6409ed-cd43-4537-b51a-0d2cc4eae8a6}" providerId="google-sheets"/>
  <x18tc:person displayName="Pawarit Jawroongrit" id="{59c6ccf7-f2e3-4b5d-8bf4-b7373b7e6e5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36" dT="2024-02-09T07:40:42.00" personId="{6f6409ed-cd43-4537-b51a-0d2cc4eae8a6}" id="{a6e55c16-e5d4-48ea-a89e-fb31823124cc}" done="1">
    <x18tc:text xml:space="preserve">Not offered via Agency of Escher 
Payment of invoice later customer</x18tc:text>
  </x18tc:threadedComment>
  <x18tc:threadedComment ref="A1" dT="2026-01-21T10:57:11.00" personId="{59c6ccf7-f2e3-4b5d-8bf4-b7373b7e6e59}" id="{418114e5-2cc0-4daa-9243-55010edeb426}" done="0">
    <x18tc:text xml:space="preserve">CustomEOD</x18tc:text>
  </x18tc:threadedComment>
  <x18tc:threadedComment ref="A45" dT="2025-05-31T17:36:20.00" personId="{59c6ccf7-f2e3-4b5d-8bf4-b7373b7e6e59}" id="{3e51ee16-e1f8-418a-b341-0e27fe9310dc}" done="1">
    <x18tc:text xml:space="preserve">CustomEOD</x18tc:text>
  </x18tc:threadedComment>
  <x18tc:threadedComment ref="A1" dT="2026-01-21T10:53:17.00" personId="{59c6ccf7-f2e3-4b5d-8bf4-b7373b7e6e59}" id="{1341641a-47f2-4deb-a53f-65acd8b1ddb3}" done="0">
    <x18tc:text xml:space="preserve">Petty Cash Management
Check with BOM team if this is to be offered via Pay@post or is covered by BOM?</x18tc:text>
  </x18tc:threadedComment>
  <x18tc:threadedComment ref="A405" dT="2023-11-07T07:53:07.00" personId="{6f6409ed-cd43-4537-b51a-0d2cc4eae8a6}" id="{434ac91f-b0e7-4993-ae90-285754a9c883}" done="1">
    <x18tc:text xml:space="preserve">check with BOM team if this is to be offered via Pay@post or is covered by BOM?</x18tc:text>
  </x18tc:threadedComment>
  <x18tc:threadedComment ref="A405" dT="2024-02-13T06:19:35.00" personId="{6f6409ed-cd43-4537-b51a-0d2cc4eae8a6}" id="{3a09730d-6414-4f95-989e-2f12fbb4b090}" parentId="{434ac91f-b0e7-4993-ae90-285754a9c883}">
    <x18tc:text xml:space="preserve">Petty cash management</x18tc:text>
  </x18tc:threadedComment>
  <x18tc:threadedComment ref="A1" dT="2026-01-21T10:56:56.00" personId="{59c6ccf7-f2e3-4b5d-8bf4-b7373b7e6e59}" id="{fc9bbb54-2d83-4e8b-a166-e617a9e161bf}" done="0">
    <x18tc:text xml:space="preserve">CustomEOD</x18tc:text>
  </x18tc:threadedComment>
  <x18tc:threadedComment ref="A1" dT="2026-01-21T10:56:19.00" personId="{59c6ccf7-f2e3-4b5d-8bf4-b7373b7e6e59}" id="{5ea0e661-a630-4f0c-aef4-9a847d83ad62}" done="0">
    <x18tc:text xml:space="preserve">Not offered via Agency of Escher
Payment of invoice later customer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428"/>
  <sheetViews>
    <sheetView tabSelected="1" workbookViewId="0">
      <pane xSplit="2" ySplit="1" topLeftCell="L5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defaultColWidth="14.44140625" defaultRowHeight="15" customHeight="1" x14ac:dyDescent="0.3"/>
  <cols>
    <col min="1" max="1" width="16.33203125" customWidth="1"/>
    <col min="2" max="2" width="50.88671875" customWidth="1"/>
    <col min="3" max="3" width="15.109375" customWidth="1"/>
    <col min="4" max="4" width="14" customWidth="1"/>
    <col min="5" max="5" width="16.6640625" customWidth="1"/>
    <col min="6" max="6" width="20" customWidth="1"/>
    <col min="7" max="7" width="21.6640625" customWidth="1"/>
    <col min="8" max="8" width="26" customWidth="1"/>
    <col min="9" max="9" width="29.5546875" hidden="1" customWidth="1"/>
    <col min="10" max="10" width="14.44140625" hidden="1" customWidth="1"/>
    <col min="11" max="11" width="16.109375" hidden="1" customWidth="1"/>
    <col min="12" max="12" width="12.6640625" customWidth="1"/>
    <col min="13" max="13" width="23.33203125" customWidth="1"/>
    <col min="14" max="16" width="18.33203125" customWidth="1"/>
    <col min="17" max="17" width="16.33203125" customWidth="1"/>
    <col min="18" max="18" width="15.5546875" customWidth="1"/>
    <col min="19" max="19" width="16.44140625" customWidth="1"/>
    <col min="20" max="20" width="17" customWidth="1"/>
    <col min="21" max="21" width="19.6640625" customWidth="1"/>
    <col min="22" max="22" width="13.88671875" customWidth="1"/>
    <col min="23" max="23" width="16.109375" customWidth="1"/>
    <col min="24" max="24" width="17.5546875" customWidth="1"/>
    <col min="25" max="25" width="16.6640625" customWidth="1"/>
    <col min="26" max="26" width="16.44140625" customWidth="1"/>
    <col min="27" max="27" width="18.6640625" customWidth="1"/>
    <col min="28" max="28" width="15.6640625" customWidth="1"/>
    <col min="29" max="29" width="16.33203125" customWidth="1"/>
    <col min="30" max="30" width="17" customWidth="1"/>
    <col min="31" max="31" width="15.6640625" customWidth="1"/>
    <col min="32" max="32" width="20.6640625" customWidth="1"/>
    <col min="33" max="33" width="14" customWidth="1"/>
    <col min="34" max="34" width="15.44140625" customWidth="1"/>
    <col min="35" max="35" width="15.109375" customWidth="1"/>
  </cols>
  <sheetData>
    <row r="1" spans="1:35" ht="5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8" t="s">
        <v>24</v>
      </c>
      <c r="Z1" s="9" t="s">
        <v>25</v>
      </c>
      <c r="AA1" s="10" t="s">
        <v>26</v>
      </c>
      <c r="AB1" s="8" t="s">
        <v>27</v>
      </c>
      <c r="AC1" s="9" t="s">
        <v>28</v>
      </c>
      <c r="AD1" s="10" t="s">
        <v>29</v>
      </c>
      <c r="AE1" s="6" t="s">
        <v>30</v>
      </c>
      <c r="AF1" s="10" t="s">
        <v>31</v>
      </c>
      <c r="AG1" s="6" t="s">
        <v>32</v>
      </c>
      <c r="AH1" s="6" t="s">
        <v>33</v>
      </c>
      <c r="AI1" s="11" t="s">
        <v>34</v>
      </c>
    </row>
    <row r="2" spans="1:35" ht="16.5" hidden="1" customHeight="1" x14ac:dyDescent="0.3">
      <c r="A2" s="12">
        <v>102</v>
      </c>
      <c r="B2" s="13" t="s">
        <v>35</v>
      </c>
      <c r="C2" s="14">
        <v>42186</v>
      </c>
      <c r="D2" s="14"/>
      <c r="E2" s="15" t="s">
        <v>36</v>
      </c>
      <c r="F2" s="16" t="s">
        <v>37</v>
      </c>
      <c r="G2" s="12" t="s">
        <v>38</v>
      </c>
      <c r="H2" s="12"/>
      <c r="I2" s="12"/>
      <c r="J2" s="12"/>
      <c r="K2" s="12"/>
      <c r="L2" s="12"/>
      <c r="M2" s="17">
        <v>0</v>
      </c>
      <c r="N2" s="18">
        <v>0</v>
      </c>
      <c r="O2" s="18">
        <v>0</v>
      </c>
      <c r="P2" s="18">
        <v>100000</v>
      </c>
      <c r="Q2" s="13"/>
      <c r="R2" s="13"/>
      <c r="S2" s="12"/>
      <c r="T2" s="12" t="s">
        <v>39</v>
      </c>
      <c r="U2" s="12" t="e">
        <v>#N/A</v>
      </c>
      <c r="V2" s="19" t="e">
        <f>VLOOKUP(A2,'2023 Stats'!$B$2:$D$192,3,FALSE)</f>
        <v>#N/A</v>
      </c>
      <c r="W2" s="20" t="e">
        <v>#N/A</v>
      </c>
      <c r="X2" s="21"/>
      <c r="Y2" s="22" t="e">
        <v>#N/A</v>
      </c>
      <c r="Z2" s="20" t="e">
        <v>#N/A</v>
      </c>
      <c r="AA2" s="21"/>
      <c r="AB2" s="22" t="e">
        <v>#N/A</v>
      </c>
      <c r="AC2" s="20"/>
      <c r="AD2" s="21"/>
      <c r="AE2" s="23" t="e">
        <v>#N/A</v>
      </c>
      <c r="AF2" s="21"/>
      <c r="AG2" s="13"/>
      <c r="AH2" s="13"/>
      <c r="AI2" s="13"/>
    </row>
    <row r="3" spans="1:35" ht="16.5" hidden="1" customHeight="1" x14ac:dyDescent="0.3">
      <c r="A3" s="12">
        <v>103</v>
      </c>
      <c r="B3" s="13" t="s">
        <v>40</v>
      </c>
      <c r="C3" s="14">
        <v>42186</v>
      </c>
      <c r="D3" s="14"/>
      <c r="E3" s="15" t="s">
        <v>36</v>
      </c>
      <c r="F3" s="16" t="s">
        <v>37</v>
      </c>
      <c r="G3" s="12" t="s">
        <v>38</v>
      </c>
      <c r="H3" s="12"/>
      <c r="I3" s="12"/>
      <c r="J3" s="12"/>
      <c r="K3" s="12"/>
      <c r="L3" s="12"/>
      <c r="M3" s="17">
        <v>0</v>
      </c>
      <c r="N3" s="18">
        <v>0</v>
      </c>
      <c r="O3" s="18">
        <v>0</v>
      </c>
      <c r="P3" s="18">
        <v>100000</v>
      </c>
      <c r="Q3" s="13"/>
      <c r="R3" s="13"/>
      <c r="S3" s="12"/>
      <c r="T3" s="12" t="s">
        <v>39</v>
      </c>
      <c r="U3" s="12" t="e">
        <v>#N/A</v>
      </c>
      <c r="V3" s="19" t="e">
        <f>VLOOKUP(A3,'2023 Stats'!$B$2:$D$192,3,FALSE)</f>
        <v>#N/A</v>
      </c>
      <c r="W3" s="20" t="e">
        <v>#N/A</v>
      </c>
      <c r="X3" s="21"/>
      <c r="Y3" s="22" t="e">
        <v>#N/A</v>
      </c>
      <c r="Z3" s="20" t="e">
        <v>#N/A</v>
      </c>
      <c r="AA3" s="21"/>
      <c r="AB3" s="22" t="e">
        <v>#N/A</v>
      </c>
      <c r="AC3" s="20"/>
      <c r="AD3" s="21"/>
      <c r="AE3" s="23" t="e">
        <v>#N/A</v>
      </c>
      <c r="AF3" s="21"/>
      <c r="AG3" s="13"/>
      <c r="AH3" s="13"/>
      <c r="AI3" s="13"/>
    </row>
    <row r="4" spans="1:35" ht="16.5" hidden="1" customHeight="1" x14ac:dyDescent="0.3">
      <c r="A4" s="12">
        <v>104</v>
      </c>
      <c r="B4" s="13" t="s">
        <v>41</v>
      </c>
      <c r="C4" s="14">
        <v>42186</v>
      </c>
      <c r="D4" s="14"/>
      <c r="E4" s="15" t="s">
        <v>36</v>
      </c>
      <c r="F4" s="16" t="s">
        <v>37</v>
      </c>
      <c r="G4" s="12" t="s">
        <v>38</v>
      </c>
      <c r="H4" s="12"/>
      <c r="I4" s="12"/>
      <c r="J4" s="12"/>
      <c r="K4" s="12"/>
      <c r="L4" s="12"/>
      <c r="M4" s="17">
        <v>0</v>
      </c>
      <c r="N4" s="18">
        <v>0</v>
      </c>
      <c r="O4" s="18">
        <v>0</v>
      </c>
      <c r="P4" s="18">
        <v>100000</v>
      </c>
      <c r="Q4" s="13"/>
      <c r="R4" s="13"/>
      <c r="S4" s="12"/>
      <c r="T4" s="12" t="s">
        <v>39</v>
      </c>
      <c r="U4" s="12" t="e">
        <v>#N/A</v>
      </c>
      <c r="V4" s="19" t="e">
        <f>VLOOKUP(A4,'2023 Stats'!$B$2:$D$192,3,FALSE)</f>
        <v>#N/A</v>
      </c>
      <c r="W4" s="20" t="e">
        <v>#N/A</v>
      </c>
      <c r="X4" s="21"/>
      <c r="Y4" s="22" t="e">
        <v>#N/A</v>
      </c>
      <c r="Z4" s="20" t="e">
        <v>#N/A</v>
      </c>
      <c r="AA4" s="21"/>
      <c r="AB4" s="22" t="e">
        <v>#N/A</v>
      </c>
      <c r="AC4" s="20"/>
      <c r="AD4" s="21"/>
      <c r="AE4" s="23" t="e">
        <v>#N/A</v>
      </c>
      <c r="AF4" s="21"/>
      <c r="AG4" s="13"/>
      <c r="AH4" s="13"/>
      <c r="AI4" s="13"/>
    </row>
    <row r="5" spans="1:35" ht="16.5" customHeight="1" x14ac:dyDescent="0.3">
      <c r="A5" s="24">
        <v>1819</v>
      </c>
      <c r="B5" s="25" t="s">
        <v>42</v>
      </c>
      <c r="C5" s="26">
        <v>42186</v>
      </c>
      <c r="D5" s="26"/>
      <c r="E5" s="27" t="s">
        <v>43</v>
      </c>
      <c r="F5" s="16" t="s">
        <v>37</v>
      </c>
      <c r="G5" s="17" t="s">
        <v>38</v>
      </c>
      <c r="H5" s="17" t="s">
        <v>44</v>
      </c>
      <c r="I5" s="17"/>
      <c r="J5" s="17"/>
      <c r="K5" s="17"/>
      <c r="L5" s="17"/>
      <c r="M5" s="17">
        <v>0</v>
      </c>
      <c r="N5" s="28">
        <v>1</v>
      </c>
      <c r="O5" s="28">
        <v>50000</v>
      </c>
      <c r="P5" s="28">
        <v>100000</v>
      </c>
      <c r="Q5" s="17"/>
      <c r="R5" s="17"/>
      <c r="S5" s="17"/>
      <c r="T5" s="17" t="s">
        <v>39</v>
      </c>
      <c r="U5" s="17" t="s">
        <v>45</v>
      </c>
      <c r="V5" s="19">
        <f>VLOOKUP(A5,'2023 Stats'!$B$2:$D$192,3,FALSE)</f>
        <v>4383</v>
      </c>
      <c r="W5" s="29">
        <v>1096</v>
      </c>
      <c r="X5" s="30"/>
      <c r="Y5" s="19">
        <v>4211</v>
      </c>
      <c r="Z5" s="29">
        <v>351</v>
      </c>
      <c r="AA5" s="30"/>
      <c r="AB5" s="19" t="e">
        <v>#N/A</v>
      </c>
      <c r="AC5" s="29"/>
      <c r="AD5" s="30"/>
      <c r="AE5" s="31">
        <v>723</v>
      </c>
      <c r="AF5" s="30"/>
      <c r="AG5" s="25"/>
      <c r="AH5" s="17" t="s">
        <v>39</v>
      </c>
      <c r="AI5" s="25"/>
    </row>
    <row r="6" spans="1:35" ht="16.5" customHeight="1" x14ac:dyDescent="0.3">
      <c r="A6" s="32">
        <v>10014</v>
      </c>
      <c r="B6" s="13" t="s">
        <v>46</v>
      </c>
      <c r="C6" s="14">
        <v>42186</v>
      </c>
      <c r="D6" s="14"/>
      <c r="E6" s="27" t="s">
        <v>43</v>
      </c>
      <c r="F6" s="33" t="s">
        <v>47</v>
      </c>
      <c r="G6" s="12" t="s">
        <v>38</v>
      </c>
      <c r="H6" s="17"/>
      <c r="I6" s="17" t="s">
        <v>48</v>
      </c>
      <c r="J6" s="12"/>
      <c r="K6" s="12"/>
      <c r="L6" s="12" t="s">
        <v>49</v>
      </c>
      <c r="M6" s="17">
        <v>0</v>
      </c>
      <c r="N6" s="28">
        <v>0</v>
      </c>
      <c r="O6" s="28">
        <v>0</v>
      </c>
      <c r="P6" s="18">
        <v>100000</v>
      </c>
      <c r="Q6" s="13"/>
      <c r="R6" s="13"/>
      <c r="S6" s="12"/>
      <c r="T6" s="12" t="s">
        <v>39</v>
      </c>
      <c r="U6" s="12"/>
      <c r="V6" s="19" t="e">
        <f>VLOOKUP(A6,'2023 Stats'!$B$2:$D$192,3,FALSE)</f>
        <v>#N/A</v>
      </c>
      <c r="W6" s="20" t="e">
        <v>#N/A</v>
      </c>
      <c r="X6" s="21"/>
      <c r="Y6" s="22" t="e">
        <v>#N/A</v>
      </c>
      <c r="Z6" s="20" t="e">
        <v>#N/A</v>
      </c>
      <c r="AA6" s="21"/>
      <c r="AB6" s="22" t="e">
        <v>#N/A</v>
      </c>
      <c r="AC6" s="20"/>
      <c r="AD6" s="21"/>
      <c r="AE6" s="23" t="e">
        <v>#N/A</v>
      </c>
      <c r="AF6" s="21"/>
      <c r="AG6" s="13"/>
      <c r="AH6" s="13"/>
      <c r="AI6" s="13"/>
    </row>
    <row r="7" spans="1:35" ht="16.5" customHeight="1" x14ac:dyDescent="0.3">
      <c r="A7" s="34">
        <v>10015</v>
      </c>
      <c r="B7" s="13" t="s">
        <v>50</v>
      </c>
      <c r="C7" s="14">
        <v>42186</v>
      </c>
      <c r="D7" s="14"/>
      <c r="E7" s="27" t="s">
        <v>43</v>
      </c>
      <c r="F7" s="33" t="s">
        <v>47</v>
      </c>
      <c r="G7" s="12" t="s">
        <v>38</v>
      </c>
      <c r="H7" s="17"/>
      <c r="I7" s="17" t="s">
        <v>48</v>
      </c>
      <c r="J7" s="12"/>
      <c r="K7" s="12"/>
      <c r="L7" s="12" t="s">
        <v>49</v>
      </c>
      <c r="M7" s="17">
        <v>0</v>
      </c>
      <c r="N7" s="28">
        <v>0</v>
      </c>
      <c r="O7" s="28">
        <v>0</v>
      </c>
      <c r="P7" s="18">
        <v>100000</v>
      </c>
      <c r="Q7" s="13"/>
      <c r="R7" s="13"/>
      <c r="S7" s="12"/>
      <c r="T7" s="12" t="s">
        <v>39</v>
      </c>
      <c r="U7" s="12"/>
      <c r="V7" s="19" t="e">
        <f>VLOOKUP(A7,'2023 Stats'!$B$2:$D$192,3,FALSE)</f>
        <v>#N/A</v>
      </c>
      <c r="W7" s="20" t="e">
        <v>#N/A</v>
      </c>
      <c r="X7" s="21"/>
      <c r="Y7" s="22" t="e">
        <v>#N/A</v>
      </c>
      <c r="Z7" s="20" t="e">
        <v>#N/A</v>
      </c>
      <c r="AA7" s="21"/>
      <c r="AB7" s="22" t="e">
        <v>#N/A</v>
      </c>
      <c r="AC7" s="20"/>
      <c r="AD7" s="21"/>
      <c r="AE7" s="23" t="e">
        <v>#N/A</v>
      </c>
      <c r="AF7" s="21"/>
      <c r="AG7" s="13"/>
      <c r="AH7" s="12" t="s">
        <v>39</v>
      </c>
      <c r="AI7" s="13"/>
    </row>
    <row r="8" spans="1:35" ht="16.5" customHeight="1" x14ac:dyDescent="0.3">
      <c r="A8" s="34">
        <v>10016</v>
      </c>
      <c r="B8" s="13" t="s">
        <v>51</v>
      </c>
      <c r="C8" s="14">
        <v>42005</v>
      </c>
      <c r="D8" s="14"/>
      <c r="E8" s="27" t="s">
        <v>43</v>
      </c>
      <c r="F8" s="33" t="s">
        <v>47</v>
      </c>
      <c r="G8" s="12" t="s">
        <v>38</v>
      </c>
      <c r="H8" s="17"/>
      <c r="I8" s="17" t="s">
        <v>48</v>
      </c>
      <c r="J8" s="12"/>
      <c r="K8" s="12"/>
      <c r="L8" s="12" t="s">
        <v>49</v>
      </c>
      <c r="M8" s="17">
        <v>0</v>
      </c>
      <c r="N8" s="28">
        <v>0</v>
      </c>
      <c r="O8" s="28">
        <v>0</v>
      </c>
      <c r="P8" s="18">
        <v>100000</v>
      </c>
      <c r="Q8" s="13"/>
      <c r="R8" s="13"/>
      <c r="S8" s="12"/>
      <c r="T8" s="12" t="s">
        <v>39</v>
      </c>
      <c r="U8" s="12"/>
      <c r="V8" s="19" t="e">
        <f>VLOOKUP(A8,'2023 Stats'!$B$2:$D$192,3,FALSE)</f>
        <v>#N/A</v>
      </c>
      <c r="W8" s="20" t="e">
        <v>#N/A</v>
      </c>
      <c r="X8" s="21"/>
      <c r="Y8" s="22" t="e">
        <v>#N/A</v>
      </c>
      <c r="Z8" s="20" t="e">
        <v>#N/A</v>
      </c>
      <c r="AA8" s="21"/>
      <c r="AB8" s="22" t="e">
        <v>#N/A</v>
      </c>
      <c r="AC8" s="20"/>
      <c r="AD8" s="21"/>
      <c r="AE8" s="23" t="e">
        <v>#N/A</v>
      </c>
      <c r="AF8" s="21"/>
      <c r="AG8" s="13"/>
      <c r="AH8" s="13"/>
      <c r="AI8" s="25" t="s">
        <v>52</v>
      </c>
    </row>
    <row r="9" spans="1:35" ht="16.5" customHeight="1" x14ac:dyDescent="0.3">
      <c r="A9" s="34">
        <v>10017</v>
      </c>
      <c r="B9" s="13" t="s">
        <v>53</v>
      </c>
      <c r="C9" s="14">
        <v>42005</v>
      </c>
      <c r="D9" s="14"/>
      <c r="E9" s="27" t="s">
        <v>43</v>
      </c>
      <c r="F9" s="33" t="s">
        <v>47</v>
      </c>
      <c r="G9" s="12" t="s">
        <v>38</v>
      </c>
      <c r="H9" s="17"/>
      <c r="I9" s="17" t="s">
        <v>48</v>
      </c>
      <c r="J9" s="12"/>
      <c r="K9" s="12"/>
      <c r="L9" s="12" t="s">
        <v>49</v>
      </c>
      <c r="M9" s="17">
        <v>0</v>
      </c>
      <c r="N9" s="28">
        <v>0</v>
      </c>
      <c r="O9" s="28">
        <v>0</v>
      </c>
      <c r="P9" s="18">
        <v>100000</v>
      </c>
      <c r="Q9" s="13"/>
      <c r="R9" s="13"/>
      <c r="S9" s="12"/>
      <c r="T9" s="12" t="s">
        <v>39</v>
      </c>
      <c r="U9" s="12"/>
      <c r="V9" s="19" t="e">
        <f>VLOOKUP(A9,'2023 Stats'!$B$2:$D$192,3,FALSE)</f>
        <v>#N/A</v>
      </c>
      <c r="W9" s="20" t="e">
        <v>#N/A</v>
      </c>
      <c r="X9" s="21"/>
      <c r="Y9" s="22" t="e">
        <v>#N/A</v>
      </c>
      <c r="Z9" s="20" t="e">
        <v>#N/A</v>
      </c>
      <c r="AA9" s="21"/>
      <c r="AB9" s="22" t="e">
        <v>#N/A</v>
      </c>
      <c r="AC9" s="20"/>
      <c r="AD9" s="21"/>
      <c r="AE9" s="23" t="e">
        <v>#N/A</v>
      </c>
      <c r="AF9" s="21"/>
      <c r="AG9" s="13"/>
      <c r="AH9" s="13"/>
      <c r="AI9" s="25" t="s">
        <v>52</v>
      </c>
    </row>
    <row r="10" spans="1:35" ht="16.5" customHeight="1" x14ac:dyDescent="0.3">
      <c r="A10" s="34">
        <v>10018</v>
      </c>
      <c r="B10" s="13" t="s">
        <v>54</v>
      </c>
      <c r="C10" s="14">
        <v>42005</v>
      </c>
      <c r="D10" s="14"/>
      <c r="E10" s="27" t="s">
        <v>43</v>
      </c>
      <c r="F10" s="33" t="s">
        <v>47</v>
      </c>
      <c r="G10" s="12" t="s">
        <v>38</v>
      </c>
      <c r="H10" s="17"/>
      <c r="I10" s="17" t="s">
        <v>48</v>
      </c>
      <c r="J10" s="12"/>
      <c r="K10" s="12"/>
      <c r="L10" s="12" t="s">
        <v>49</v>
      </c>
      <c r="M10" s="17">
        <v>0</v>
      </c>
      <c r="N10" s="28">
        <v>0</v>
      </c>
      <c r="O10" s="28">
        <v>0</v>
      </c>
      <c r="P10" s="18">
        <v>100000</v>
      </c>
      <c r="Q10" s="13"/>
      <c r="R10" s="13"/>
      <c r="S10" s="12"/>
      <c r="T10" s="12" t="s">
        <v>39</v>
      </c>
      <c r="U10" s="12"/>
      <c r="V10" s="19" t="e">
        <f>VLOOKUP(A10,'2023 Stats'!$B$2:$D$192,3,FALSE)</f>
        <v>#N/A</v>
      </c>
      <c r="W10" s="20" t="e">
        <v>#N/A</v>
      </c>
      <c r="X10" s="21"/>
      <c r="Y10" s="22" t="e">
        <v>#N/A</v>
      </c>
      <c r="Z10" s="20" t="e">
        <v>#N/A</v>
      </c>
      <c r="AA10" s="21"/>
      <c r="AB10" s="22" t="e">
        <v>#N/A</v>
      </c>
      <c r="AC10" s="20"/>
      <c r="AD10" s="21"/>
      <c r="AE10" s="23" t="e">
        <v>#N/A</v>
      </c>
      <c r="AF10" s="21"/>
      <c r="AG10" s="13"/>
      <c r="AH10" s="13"/>
      <c r="AI10" s="25" t="s">
        <v>52</v>
      </c>
    </row>
    <row r="11" spans="1:35" ht="16.5" hidden="1" customHeight="1" x14ac:dyDescent="0.3">
      <c r="A11" s="12">
        <v>10020</v>
      </c>
      <c r="B11" s="13" t="s">
        <v>55</v>
      </c>
      <c r="C11" s="14">
        <v>42736</v>
      </c>
      <c r="D11" s="14"/>
      <c r="E11" s="15" t="s">
        <v>36</v>
      </c>
      <c r="F11" s="35" t="s">
        <v>37</v>
      </c>
      <c r="G11" s="12" t="s">
        <v>38</v>
      </c>
      <c r="H11" s="12"/>
      <c r="I11" s="12"/>
      <c r="J11" s="12"/>
      <c r="K11" s="12"/>
      <c r="L11" s="12"/>
      <c r="M11" s="17">
        <v>0</v>
      </c>
      <c r="N11" s="18">
        <v>1</v>
      </c>
      <c r="O11" s="18">
        <v>0</v>
      </c>
      <c r="P11" s="18">
        <v>100000</v>
      </c>
      <c r="Q11" s="13"/>
      <c r="R11" s="13"/>
      <c r="S11" s="12"/>
      <c r="T11" s="12" t="s">
        <v>39</v>
      </c>
      <c r="U11" s="12" t="e">
        <v>#N/A</v>
      </c>
      <c r="V11" s="19" t="e">
        <f>VLOOKUP(A11,'2023 Stats'!$B$2:$D$192,3,FALSE)</f>
        <v>#N/A</v>
      </c>
      <c r="W11" s="20" t="e">
        <v>#N/A</v>
      </c>
      <c r="X11" s="21"/>
      <c r="Y11" s="22" t="e">
        <v>#N/A</v>
      </c>
      <c r="Z11" s="20" t="e">
        <v>#N/A</v>
      </c>
      <c r="AA11" s="21"/>
      <c r="AB11" s="22" t="e">
        <v>#N/A</v>
      </c>
      <c r="AC11" s="20"/>
      <c r="AD11" s="21"/>
      <c r="AE11" s="23" t="e">
        <v>#N/A</v>
      </c>
      <c r="AF11" s="21"/>
      <c r="AG11" s="13"/>
      <c r="AH11" s="13"/>
      <c r="AI11" s="13" t="s">
        <v>56</v>
      </c>
    </row>
    <row r="12" spans="1:35" ht="16.5" hidden="1" customHeight="1" x14ac:dyDescent="0.3">
      <c r="A12" s="12">
        <v>10021</v>
      </c>
      <c r="B12" s="13" t="s">
        <v>57</v>
      </c>
      <c r="C12" s="14">
        <v>42736</v>
      </c>
      <c r="D12" s="14"/>
      <c r="E12" s="15" t="s">
        <v>36</v>
      </c>
      <c r="F12" s="36" t="s">
        <v>58</v>
      </c>
      <c r="G12" s="12" t="s">
        <v>38</v>
      </c>
      <c r="H12" s="12"/>
      <c r="I12" s="12"/>
      <c r="J12" s="12"/>
      <c r="K12" s="12"/>
      <c r="L12" s="12"/>
      <c r="M12" s="17">
        <v>0</v>
      </c>
      <c r="N12" s="18">
        <v>1</v>
      </c>
      <c r="O12" s="18">
        <v>0</v>
      </c>
      <c r="P12" s="18">
        <v>100000</v>
      </c>
      <c r="Q12" s="13"/>
      <c r="R12" s="13"/>
      <c r="S12" s="12"/>
      <c r="T12" s="12" t="s">
        <v>39</v>
      </c>
      <c r="U12" s="12" t="e">
        <v>#N/A</v>
      </c>
      <c r="V12" s="19" t="e">
        <f>VLOOKUP(A12,'2023 Stats'!$B$2:$D$192,3,FALSE)</f>
        <v>#N/A</v>
      </c>
      <c r="W12" s="20" t="e">
        <v>#N/A</v>
      </c>
      <c r="X12" s="21"/>
      <c r="Y12" s="22" t="e">
        <v>#N/A</v>
      </c>
      <c r="Z12" s="20" t="e">
        <v>#N/A</v>
      </c>
      <c r="AA12" s="21"/>
      <c r="AB12" s="22" t="e">
        <v>#N/A</v>
      </c>
      <c r="AC12" s="20"/>
      <c r="AD12" s="21"/>
      <c r="AE12" s="23" t="e">
        <v>#N/A</v>
      </c>
      <c r="AF12" s="21"/>
      <c r="AG12" s="13"/>
      <c r="AH12" s="13"/>
      <c r="AI12" s="13"/>
    </row>
    <row r="13" spans="1:35" ht="16.5" hidden="1" customHeight="1" x14ac:dyDescent="0.3">
      <c r="A13" s="12">
        <v>10022</v>
      </c>
      <c r="B13" s="13" t="s">
        <v>59</v>
      </c>
      <c r="C13" s="14">
        <v>43344</v>
      </c>
      <c r="D13" s="14"/>
      <c r="E13" s="15" t="s">
        <v>36</v>
      </c>
      <c r="F13" s="36" t="s">
        <v>58</v>
      </c>
      <c r="G13" s="12" t="s">
        <v>38</v>
      </c>
      <c r="H13" s="17" t="s">
        <v>44</v>
      </c>
      <c r="I13" s="17"/>
      <c r="J13" s="12"/>
      <c r="K13" s="12"/>
      <c r="L13" s="12"/>
      <c r="M13" s="17">
        <v>0</v>
      </c>
      <c r="N13" s="18">
        <v>1</v>
      </c>
      <c r="O13" s="18">
        <v>0</v>
      </c>
      <c r="P13" s="18">
        <v>100000</v>
      </c>
      <c r="Q13" s="13"/>
      <c r="R13" s="13"/>
      <c r="S13" s="12"/>
      <c r="T13" s="12" t="s">
        <v>39</v>
      </c>
      <c r="U13" s="12" t="e">
        <v>#N/A</v>
      </c>
      <c r="V13" s="19" t="e">
        <f>VLOOKUP(A13,'2023 Stats'!$B$2:$D$192,3,FALSE)</f>
        <v>#N/A</v>
      </c>
      <c r="W13" s="20" t="e">
        <v>#N/A</v>
      </c>
      <c r="X13" s="21"/>
      <c r="Y13" s="22" t="e">
        <v>#N/A</v>
      </c>
      <c r="Z13" s="20" t="e">
        <v>#N/A</v>
      </c>
      <c r="AA13" s="21"/>
      <c r="AB13" s="22" t="e">
        <v>#N/A</v>
      </c>
      <c r="AC13" s="20"/>
      <c r="AD13" s="21"/>
      <c r="AE13" s="23" t="e">
        <v>#N/A</v>
      </c>
      <c r="AF13" s="21"/>
      <c r="AG13" s="13"/>
      <c r="AH13" s="13"/>
      <c r="AI13" s="13" t="s">
        <v>60</v>
      </c>
    </row>
    <row r="14" spans="1:35" ht="16.5" customHeight="1" x14ac:dyDescent="0.3">
      <c r="A14" s="17">
        <v>10023</v>
      </c>
      <c r="B14" s="25" t="s">
        <v>61</v>
      </c>
      <c r="C14" s="26">
        <v>43101</v>
      </c>
      <c r="D14" s="26"/>
      <c r="E14" s="27" t="s">
        <v>43</v>
      </c>
      <c r="F14" s="36" t="s">
        <v>58</v>
      </c>
      <c r="G14" s="17" t="s">
        <v>38</v>
      </c>
      <c r="H14" s="17" t="s">
        <v>62</v>
      </c>
      <c r="I14" s="17"/>
      <c r="J14" s="17"/>
      <c r="K14" s="17"/>
      <c r="L14" s="17"/>
      <c r="M14" s="17">
        <v>0</v>
      </c>
      <c r="N14" s="28">
        <v>0</v>
      </c>
      <c r="O14" s="28">
        <v>0</v>
      </c>
      <c r="P14" s="28">
        <v>100000</v>
      </c>
      <c r="Q14" s="17"/>
      <c r="R14" s="17"/>
      <c r="S14" s="12"/>
      <c r="T14" s="12" t="s">
        <v>39</v>
      </c>
      <c r="U14" s="12"/>
      <c r="V14" s="19" t="e">
        <f>VLOOKUP(A14,'2023 Stats'!$B$2:$D$192,3,FALSE)</f>
        <v>#N/A</v>
      </c>
      <c r="W14" s="29" t="e">
        <v>#N/A</v>
      </c>
      <c r="X14" s="30"/>
      <c r="Y14" s="19" t="e">
        <v>#N/A</v>
      </c>
      <c r="Z14" s="29" t="e">
        <v>#N/A</v>
      </c>
      <c r="AA14" s="30"/>
      <c r="AB14" s="19" t="e">
        <v>#N/A</v>
      </c>
      <c r="AC14" s="29"/>
      <c r="AD14" s="30"/>
      <c r="AE14" s="31" t="e">
        <v>#N/A</v>
      </c>
      <c r="AF14" s="30"/>
      <c r="AG14" s="25"/>
      <c r="AH14" s="25"/>
      <c r="AI14" s="25" t="s">
        <v>52</v>
      </c>
    </row>
    <row r="15" spans="1:35" ht="16.5" hidden="1" customHeight="1" x14ac:dyDescent="0.3">
      <c r="A15" s="12">
        <v>10025</v>
      </c>
      <c r="B15" s="13" t="s">
        <v>63</v>
      </c>
      <c r="C15" s="14">
        <v>43983</v>
      </c>
      <c r="D15" s="14"/>
      <c r="E15" s="15" t="s">
        <v>36</v>
      </c>
      <c r="F15" s="36" t="s">
        <v>58</v>
      </c>
      <c r="G15" s="12" t="s">
        <v>38</v>
      </c>
      <c r="H15" s="17" t="s">
        <v>64</v>
      </c>
      <c r="I15" s="17"/>
      <c r="J15" s="12"/>
      <c r="K15" s="12"/>
      <c r="L15" s="12"/>
      <c r="M15" s="17">
        <v>0</v>
      </c>
      <c r="N15" s="18">
        <v>0</v>
      </c>
      <c r="O15" s="18">
        <v>0</v>
      </c>
      <c r="P15" s="18">
        <v>100000</v>
      </c>
      <c r="Q15" s="13"/>
      <c r="R15" s="13"/>
      <c r="S15" s="12"/>
      <c r="T15" s="12" t="s">
        <v>39</v>
      </c>
      <c r="U15" s="12" t="e">
        <v>#N/A</v>
      </c>
      <c r="V15" s="19" t="e">
        <f>VLOOKUP(A15,'2023 Stats'!$B$2:$D$192,3,FALSE)</f>
        <v>#N/A</v>
      </c>
      <c r="W15" s="20" t="e">
        <v>#N/A</v>
      </c>
      <c r="X15" s="21"/>
      <c r="Y15" s="22" t="e">
        <v>#N/A</v>
      </c>
      <c r="Z15" s="20" t="e">
        <v>#N/A</v>
      </c>
      <c r="AA15" s="21"/>
      <c r="AB15" s="22" t="e">
        <v>#N/A</v>
      </c>
      <c r="AC15" s="20"/>
      <c r="AD15" s="21"/>
      <c r="AE15" s="23" t="e">
        <v>#N/A</v>
      </c>
      <c r="AF15" s="21"/>
      <c r="AG15" s="13"/>
      <c r="AH15" s="13"/>
      <c r="AI15" s="13" t="s">
        <v>60</v>
      </c>
    </row>
    <row r="16" spans="1:35" ht="16.5" customHeight="1" x14ac:dyDescent="0.3">
      <c r="A16" s="32">
        <v>10050</v>
      </c>
      <c r="B16" s="13" t="s">
        <v>65</v>
      </c>
      <c r="C16" s="14">
        <v>43733</v>
      </c>
      <c r="D16" s="14"/>
      <c r="E16" s="27" t="s">
        <v>43</v>
      </c>
      <c r="F16" s="33" t="s">
        <v>47</v>
      </c>
      <c r="G16" s="12" t="s">
        <v>38</v>
      </c>
      <c r="H16" s="17"/>
      <c r="I16" s="17" t="s">
        <v>66</v>
      </c>
      <c r="J16" s="37"/>
      <c r="K16" s="37"/>
      <c r="L16" s="37" t="s">
        <v>49</v>
      </c>
      <c r="M16" s="17">
        <v>0</v>
      </c>
      <c r="N16" s="38">
        <v>1</v>
      </c>
      <c r="O16" s="38">
        <v>50000</v>
      </c>
      <c r="P16" s="38">
        <v>100000</v>
      </c>
      <c r="Q16" s="13"/>
      <c r="R16" s="13"/>
      <c r="S16" s="12"/>
      <c r="T16" s="12" t="s">
        <v>39</v>
      </c>
      <c r="U16" s="12" t="s">
        <v>45</v>
      </c>
      <c r="V16" s="19" t="e">
        <f>VLOOKUP(A16,'2023 Stats'!$B$2:$D$192,3,FALSE)</f>
        <v>#N/A</v>
      </c>
      <c r="W16" s="20" t="e">
        <v>#N/A</v>
      </c>
      <c r="X16" s="21"/>
      <c r="Y16" s="22">
        <v>23</v>
      </c>
      <c r="Z16" s="20">
        <v>2</v>
      </c>
      <c r="AA16" s="21"/>
      <c r="AB16" s="22" t="e">
        <v>#N/A</v>
      </c>
      <c r="AC16" s="20"/>
      <c r="AD16" s="21"/>
      <c r="AE16" s="23" t="e">
        <v>#N/A</v>
      </c>
      <c r="AF16" s="21"/>
      <c r="AG16" s="13"/>
      <c r="AH16" s="13"/>
      <c r="AI16" s="13"/>
    </row>
    <row r="17" spans="1:35" ht="16.5" customHeight="1" x14ac:dyDescent="0.3">
      <c r="A17" s="32">
        <v>10051</v>
      </c>
      <c r="B17" s="13" t="s">
        <v>67</v>
      </c>
      <c r="C17" s="14">
        <v>43733</v>
      </c>
      <c r="D17" s="14"/>
      <c r="E17" s="27" t="s">
        <v>43</v>
      </c>
      <c r="F17" s="33" t="s">
        <v>47</v>
      </c>
      <c r="G17" s="12" t="s">
        <v>38</v>
      </c>
      <c r="H17" s="17"/>
      <c r="I17" s="17" t="s">
        <v>66</v>
      </c>
      <c r="J17" s="12"/>
      <c r="K17" s="12"/>
      <c r="L17" s="12" t="s">
        <v>49</v>
      </c>
      <c r="M17" s="17">
        <v>0</v>
      </c>
      <c r="N17" s="18">
        <v>1</v>
      </c>
      <c r="O17" s="38">
        <v>50000</v>
      </c>
      <c r="P17" s="18">
        <v>100000</v>
      </c>
      <c r="Q17" s="13"/>
      <c r="R17" s="13"/>
      <c r="S17" s="12"/>
      <c r="T17" s="12" t="s">
        <v>39</v>
      </c>
      <c r="U17" s="12" t="s">
        <v>45</v>
      </c>
      <c r="V17" s="19" t="e">
        <f>VLOOKUP(A17,'2023 Stats'!$B$2:$D$192,3,FALSE)</f>
        <v>#N/A</v>
      </c>
      <c r="W17" s="20" t="e">
        <v>#N/A</v>
      </c>
      <c r="X17" s="21"/>
      <c r="Y17" s="22">
        <v>23</v>
      </c>
      <c r="Z17" s="20">
        <v>2</v>
      </c>
      <c r="AA17" s="21"/>
      <c r="AB17" s="22" t="e">
        <v>#N/A</v>
      </c>
      <c r="AC17" s="20"/>
      <c r="AD17" s="21"/>
      <c r="AE17" s="23" t="e">
        <v>#N/A</v>
      </c>
      <c r="AF17" s="21"/>
      <c r="AG17" s="13"/>
      <c r="AH17" s="12" t="s">
        <v>39</v>
      </c>
      <c r="AI17" s="13"/>
    </row>
    <row r="18" spans="1:35" ht="16.5" hidden="1" customHeight="1" x14ac:dyDescent="0.3">
      <c r="A18" s="12">
        <v>20000</v>
      </c>
      <c r="B18" s="13" t="s">
        <v>68</v>
      </c>
      <c r="C18" s="14">
        <v>42186</v>
      </c>
      <c r="D18" s="14"/>
      <c r="E18" s="15" t="s">
        <v>36</v>
      </c>
      <c r="F18" s="16" t="s">
        <v>37</v>
      </c>
      <c r="G18" s="12" t="s">
        <v>38</v>
      </c>
      <c r="H18" s="12"/>
      <c r="I18" s="12"/>
      <c r="J18" s="12"/>
      <c r="K18" s="12"/>
      <c r="L18" s="12"/>
      <c r="M18" s="17">
        <v>0</v>
      </c>
      <c r="N18" s="18">
        <v>0</v>
      </c>
      <c r="O18" s="18">
        <v>0</v>
      </c>
      <c r="P18" s="18">
        <v>100000</v>
      </c>
      <c r="Q18" s="13"/>
      <c r="R18" s="13"/>
      <c r="S18" s="12"/>
      <c r="T18" s="12" t="s">
        <v>39</v>
      </c>
      <c r="U18" s="12" t="e">
        <v>#N/A</v>
      </c>
      <c r="V18" s="19" t="e">
        <f>VLOOKUP(A18,'2023 Stats'!$B$2:$D$192,3,FALSE)</f>
        <v>#N/A</v>
      </c>
      <c r="W18" s="20" t="e">
        <v>#N/A</v>
      </c>
      <c r="X18" s="21"/>
      <c r="Y18" s="22" t="e">
        <v>#N/A</v>
      </c>
      <c r="Z18" s="20" t="e">
        <v>#N/A</v>
      </c>
      <c r="AA18" s="21"/>
      <c r="AB18" s="22" t="e">
        <v>#N/A</v>
      </c>
      <c r="AC18" s="20"/>
      <c r="AD18" s="21"/>
      <c r="AE18" s="23" t="e">
        <v>#N/A</v>
      </c>
      <c r="AF18" s="21"/>
      <c r="AG18" s="13"/>
      <c r="AH18" s="13"/>
      <c r="AI18" s="13"/>
    </row>
    <row r="19" spans="1:35" ht="22.8" x14ac:dyDescent="0.3">
      <c r="A19" s="34">
        <v>30078</v>
      </c>
      <c r="B19" s="13" t="s">
        <v>69</v>
      </c>
      <c r="C19" s="14">
        <v>42182</v>
      </c>
      <c r="D19" s="14"/>
      <c r="E19" s="15" t="s">
        <v>43</v>
      </c>
      <c r="F19" s="33" t="s">
        <v>47</v>
      </c>
      <c r="G19" s="39" t="s">
        <v>38</v>
      </c>
      <c r="H19" s="17" t="s">
        <v>70</v>
      </c>
      <c r="I19" s="40" t="s">
        <v>71</v>
      </c>
      <c r="J19" s="37" t="s">
        <v>72</v>
      </c>
      <c r="K19" s="37">
        <v>10</v>
      </c>
      <c r="L19" s="12" t="s">
        <v>73</v>
      </c>
      <c r="M19" s="17">
        <v>0</v>
      </c>
      <c r="N19" s="18">
        <v>1</v>
      </c>
      <c r="O19" s="18">
        <v>50000</v>
      </c>
      <c r="P19" s="18">
        <v>100000</v>
      </c>
      <c r="Q19" s="13"/>
      <c r="R19" s="13"/>
      <c r="S19" s="12"/>
      <c r="T19" s="12" t="s">
        <v>39</v>
      </c>
      <c r="U19" s="12" t="s">
        <v>45</v>
      </c>
      <c r="V19" s="19" t="e">
        <f>VLOOKUP(A19,'2023 Stats'!$B$2:$D$192,3,FALSE)</f>
        <v>#N/A</v>
      </c>
      <c r="W19" s="20" t="e">
        <v>#N/A</v>
      </c>
      <c r="X19" s="21">
        <v>1</v>
      </c>
      <c r="Y19" s="22">
        <v>22574347</v>
      </c>
      <c r="Z19" s="20">
        <v>1881196</v>
      </c>
      <c r="AA19" s="21">
        <v>1</v>
      </c>
      <c r="AB19" s="22" t="e">
        <v>#N/A</v>
      </c>
      <c r="AC19" s="20"/>
      <c r="AD19" s="21"/>
      <c r="AE19" s="23" t="e">
        <v>#N/A</v>
      </c>
      <c r="AF19" s="21">
        <v>1</v>
      </c>
      <c r="AG19" s="12"/>
      <c r="AH19" s="12" t="s">
        <v>39</v>
      </c>
      <c r="AI19" s="13"/>
    </row>
    <row r="20" spans="1:35" ht="16.5" customHeight="1" x14ac:dyDescent="0.3">
      <c r="A20" s="32">
        <v>30079</v>
      </c>
      <c r="B20" s="13" t="s">
        <v>74</v>
      </c>
      <c r="C20" s="14">
        <v>44227</v>
      </c>
      <c r="D20" s="14"/>
      <c r="E20" s="15" t="s">
        <v>43</v>
      </c>
      <c r="F20" s="33" t="s">
        <v>47</v>
      </c>
      <c r="G20" s="39" t="s">
        <v>38</v>
      </c>
      <c r="H20" s="17" t="s">
        <v>70</v>
      </c>
      <c r="I20" s="17"/>
      <c r="J20" s="12"/>
      <c r="K20" s="12"/>
      <c r="L20" s="12" t="s">
        <v>73</v>
      </c>
      <c r="M20" s="17">
        <v>0</v>
      </c>
      <c r="N20" s="18">
        <v>1</v>
      </c>
      <c r="O20" s="38">
        <v>50000</v>
      </c>
      <c r="P20" s="18">
        <v>100000</v>
      </c>
      <c r="Q20" s="13"/>
      <c r="R20" s="13"/>
      <c r="S20" s="12"/>
      <c r="T20" s="12" t="s">
        <v>39</v>
      </c>
      <c r="U20" s="12" t="s">
        <v>45</v>
      </c>
      <c r="V20" s="19" t="e">
        <f>VLOOKUP(A20,'2023 Stats'!$B$2:$D$192,3,FALSE)</f>
        <v>#N/A</v>
      </c>
      <c r="W20" s="20" t="e">
        <v>#N/A</v>
      </c>
      <c r="X20" s="21"/>
      <c r="Y20" s="22" t="e">
        <v>#N/A</v>
      </c>
      <c r="Z20" s="20" t="e">
        <v>#N/A</v>
      </c>
      <c r="AA20" s="21"/>
      <c r="AB20" s="22" t="e">
        <v>#N/A</v>
      </c>
      <c r="AC20" s="20"/>
      <c r="AD20" s="21"/>
      <c r="AE20" s="23" t="e">
        <v>#N/A</v>
      </c>
      <c r="AF20" s="21"/>
      <c r="AG20" s="13"/>
      <c r="AH20" s="12" t="s">
        <v>39</v>
      </c>
      <c r="AI20" s="13"/>
    </row>
    <row r="21" spans="1:35" ht="16.5" hidden="1" customHeight="1" x14ac:dyDescent="0.3">
      <c r="A21" s="17">
        <v>30156</v>
      </c>
      <c r="B21" s="25" t="s">
        <v>75</v>
      </c>
      <c r="C21" s="26">
        <v>42186</v>
      </c>
      <c r="D21" s="17" t="s">
        <v>76</v>
      </c>
      <c r="E21" s="27" t="s">
        <v>36</v>
      </c>
      <c r="F21" s="27" t="s">
        <v>47</v>
      </c>
      <c r="G21" s="17" t="s">
        <v>38</v>
      </c>
      <c r="H21" s="40" t="s">
        <v>77</v>
      </c>
      <c r="I21" s="40" t="s">
        <v>78</v>
      </c>
      <c r="J21" s="40" t="s">
        <v>79</v>
      </c>
      <c r="K21" s="40">
        <v>3</v>
      </c>
      <c r="L21" s="17" t="s">
        <v>80</v>
      </c>
      <c r="M21" s="17">
        <v>0</v>
      </c>
      <c r="N21" s="28">
        <v>1</v>
      </c>
      <c r="O21" s="28">
        <v>50000</v>
      </c>
      <c r="P21" s="28">
        <v>100000</v>
      </c>
      <c r="Q21" s="17"/>
      <c r="R21" s="17"/>
      <c r="S21" s="17"/>
      <c r="T21" s="17" t="s">
        <v>39</v>
      </c>
      <c r="U21" s="17" t="s">
        <v>45</v>
      </c>
      <c r="V21" s="19">
        <f>VLOOKUP(A21,'2023 Stats'!$B$2:$D$192,3,FALSE)</f>
        <v>19952</v>
      </c>
      <c r="W21" s="29">
        <v>4988</v>
      </c>
      <c r="X21" s="30"/>
      <c r="Y21" s="19">
        <v>27913</v>
      </c>
      <c r="Z21" s="29">
        <v>2326</v>
      </c>
      <c r="AA21" s="30"/>
      <c r="AB21" s="19" t="e">
        <v>#N/A</v>
      </c>
      <c r="AC21" s="29"/>
      <c r="AD21" s="30"/>
      <c r="AE21" s="31">
        <v>3657</v>
      </c>
      <c r="AF21" s="30"/>
      <c r="AG21" s="25"/>
      <c r="AH21" s="25"/>
      <c r="AI21" s="25"/>
    </row>
    <row r="22" spans="1:35" ht="16.5" customHeight="1" x14ac:dyDescent="0.3">
      <c r="A22" s="24">
        <v>30221</v>
      </c>
      <c r="B22" s="25" t="s">
        <v>81</v>
      </c>
      <c r="C22" s="26">
        <v>42186</v>
      </c>
      <c r="D22" s="26"/>
      <c r="E22" s="27" t="s">
        <v>43</v>
      </c>
      <c r="F22" s="16" t="s">
        <v>37</v>
      </c>
      <c r="G22" s="17" t="s">
        <v>38</v>
      </c>
      <c r="H22" s="17" t="s">
        <v>44</v>
      </c>
      <c r="I22" s="17"/>
      <c r="J22" s="17"/>
      <c r="K22" s="17"/>
      <c r="L22" s="17"/>
      <c r="M22" s="17">
        <v>0</v>
      </c>
      <c r="N22" s="28">
        <v>1</v>
      </c>
      <c r="O22" s="28">
        <v>50000</v>
      </c>
      <c r="P22" s="28">
        <v>100000</v>
      </c>
      <c r="Q22" s="17"/>
      <c r="R22" s="17"/>
      <c r="S22" s="12" t="s">
        <v>82</v>
      </c>
      <c r="T22" s="12" t="s">
        <v>39</v>
      </c>
      <c r="U22" s="17" t="s">
        <v>45</v>
      </c>
      <c r="V22" s="19">
        <f>VLOOKUP(A22,'2023 Stats'!$B$2:$D$192,3,FALSE)</f>
        <v>589</v>
      </c>
      <c r="W22" s="29">
        <v>147</v>
      </c>
      <c r="X22" s="30"/>
      <c r="Y22" s="19">
        <v>589</v>
      </c>
      <c r="Z22" s="29">
        <v>49</v>
      </c>
      <c r="AA22" s="30"/>
      <c r="AB22" s="19" t="e">
        <v>#N/A</v>
      </c>
      <c r="AC22" s="29"/>
      <c r="AD22" s="30"/>
      <c r="AE22" s="31">
        <v>98</v>
      </c>
      <c r="AF22" s="30"/>
      <c r="AG22" s="25"/>
      <c r="AH22" s="17" t="s">
        <v>39</v>
      </c>
      <c r="AI22" s="25"/>
    </row>
    <row r="23" spans="1:35" ht="16.5" customHeight="1" x14ac:dyDescent="0.3">
      <c r="A23" s="24">
        <v>50002</v>
      </c>
      <c r="B23" s="25" t="s">
        <v>83</v>
      </c>
      <c r="C23" s="26">
        <v>42186</v>
      </c>
      <c r="D23" s="26"/>
      <c r="E23" s="27" t="s">
        <v>43</v>
      </c>
      <c r="F23" s="16" t="s">
        <v>37</v>
      </c>
      <c r="G23" s="17" t="s">
        <v>84</v>
      </c>
      <c r="H23" s="40" t="s">
        <v>85</v>
      </c>
      <c r="I23" s="40"/>
      <c r="J23" s="40"/>
      <c r="K23" s="17"/>
      <c r="L23" s="17"/>
      <c r="M23" s="17">
        <v>10</v>
      </c>
      <c r="N23" s="28">
        <v>1</v>
      </c>
      <c r="O23" s="28">
        <v>50000</v>
      </c>
      <c r="P23" s="28">
        <v>100000</v>
      </c>
      <c r="Q23" s="17" t="s">
        <v>39</v>
      </c>
      <c r="R23" s="17" t="s">
        <v>39</v>
      </c>
      <c r="S23" s="12" t="s">
        <v>82</v>
      </c>
      <c r="T23" s="12" t="s">
        <v>39</v>
      </c>
      <c r="U23" s="17" t="s">
        <v>45</v>
      </c>
      <c r="V23" s="19">
        <f>VLOOKUP(A23,'2023 Stats'!$B$2:$D$192,3,FALSE)</f>
        <v>3720</v>
      </c>
      <c r="W23" s="29">
        <v>930</v>
      </c>
      <c r="X23" s="30"/>
      <c r="Y23" s="19">
        <v>4900</v>
      </c>
      <c r="Z23" s="29">
        <v>408</v>
      </c>
      <c r="AA23" s="30"/>
      <c r="AB23" s="19">
        <v>7621</v>
      </c>
      <c r="AC23" s="29">
        <v>635</v>
      </c>
      <c r="AD23" s="30"/>
      <c r="AE23" s="31">
        <v>658</v>
      </c>
      <c r="AF23" s="30"/>
      <c r="AG23" s="25"/>
      <c r="AH23" s="25"/>
      <c r="AI23" s="25"/>
    </row>
    <row r="24" spans="1:35" ht="16.5" hidden="1" customHeight="1" x14ac:dyDescent="0.3">
      <c r="A24" s="12">
        <v>50082</v>
      </c>
      <c r="B24" s="13" t="s">
        <v>86</v>
      </c>
      <c r="C24" s="14">
        <v>42186</v>
      </c>
      <c r="D24" s="14">
        <v>44556</v>
      </c>
      <c r="E24" s="15" t="s">
        <v>36</v>
      </c>
      <c r="F24" s="16" t="s">
        <v>37</v>
      </c>
      <c r="G24" s="12" t="s">
        <v>38</v>
      </c>
      <c r="H24" s="12"/>
      <c r="I24" s="12"/>
      <c r="J24" s="12"/>
      <c r="K24" s="12"/>
      <c r="L24" s="12"/>
      <c r="M24" s="17">
        <v>0</v>
      </c>
      <c r="N24" s="18">
        <v>1</v>
      </c>
      <c r="O24" s="18">
        <v>50000</v>
      </c>
      <c r="P24" s="18">
        <v>100000</v>
      </c>
      <c r="Q24" s="13"/>
      <c r="R24" s="13"/>
      <c r="S24" s="12"/>
      <c r="T24" s="12" t="s">
        <v>39</v>
      </c>
      <c r="U24" s="12">
        <v>44555</v>
      </c>
      <c r="V24" s="19" t="e">
        <f>VLOOKUP(A24,'2023 Stats'!$B$2:$D$192,3,FALSE)</f>
        <v>#N/A</v>
      </c>
      <c r="W24" s="20" t="e">
        <v>#N/A</v>
      </c>
      <c r="X24" s="21"/>
      <c r="Y24" s="22" t="e">
        <v>#N/A</v>
      </c>
      <c r="Z24" s="20" t="e">
        <v>#N/A</v>
      </c>
      <c r="AA24" s="21"/>
      <c r="AB24" s="22">
        <v>6055</v>
      </c>
      <c r="AC24" s="20">
        <v>505</v>
      </c>
      <c r="AD24" s="21"/>
      <c r="AE24" s="23" t="e">
        <v>#N/A</v>
      </c>
      <c r="AF24" s="21"/>
      <c r="AG24" s="13"/>
      <c r="AH24" s="13"/>
      <c r="AI24" s="13"/>
    </row>
    <row r="25" spans="1:35" ht="16.5" hidden="1" customHeight="1" x14ac:dyDescent="0.3">
      <c r="A25" s="12">
        <v>50099</v>
      </c>
      <c r="B25" s="13" t="s">
        <v>87</v>
      </c>
      <c r="C25" s="14">
        <v>42186</v>
      </c>
      <c r="D25" s="14">
        <v>42886</v>
      </c>
      <c r="E25" s="15" t="s">
        <v>36</v>
      </c>
      <c r="F25" s="16" t="s">
        <v>37</v>
      </c>
      <c r="G25" s="12" t="s">
        <v>84</v>
      </c>
      <c r="H25" s="12"/>
      <c r="I25" s="12"/>
      <c r="J25" s="12"/>
      <c r="K25" s="12"/>
      <c r="L25" s="12"/>
      <c r="M25" s="17">
        <v>0</v>
      </c>
      <c r="N25" s="18">
        <v>0</v>
      </c>
      <c r="O25" s="18">
        <v>0</v>
      </c>
      <c r="P25" s="18">
        <v>100000</v>
      </c>
      <c r="Q25" s="13"/>
      <c r="R25" s="13"/>
      <c r="S25" s="12"/>
      <c r="T25" s="12" t="s">
        <v>39</v>
      </c>
      <c r="U25" s="12" t="e">
        <v>#N/A</v>
      </c>
      <c r="V25" s="19" t="e">
        <f>VLOOKUP(A25,'2023 Stats'!$B$2:$D$192,3,FALSE)</f>
        <v>#N/A</v>
      </c>
      <c r="W25" s="20" t="e">
        <v>#N/A</v>
      </c>
      <c r="X25" s="21"/>
      <c r="Y25" s="22" t="e">
        <v>#N/A</v>
      </c>
      <c r="Z25" s="20" t="e">
        <v>#N/A</v>
      </c>
      <c r="AA25" s="21"/>
      <c r="AB25" s="22" t="e">
        <v>#N/A</v>
      </c>
      <c r="AC25" s="20"/>
      <c r="AD25" s="21"/>
      <c r="AE25" s="23" t="e">
        <v>#N/A</v>
      </c>
      <c r="AF25" s="21"/>
      <c r="AG25" s="13"/>
      <c r="AH25" s="13"/>
      <c r="AI25" s="13"/>
    </row>
    <row r="26" spans="1:35" ht="16.5" customHeight="1" x14ac:dyDescent="0.3">
      <c r="A26" s="24">
        <v>50113</v>
      </c>
      <c r="B26" s="25" t="s">
        <v>88</v>
      </c>
      <c r="C26" s="26">
        <v>42186</v>
      </c>
      <c r="D26" s="26"/>
      <c r="E26" s="27" t="s">
        <v>43</v>
      </c>
      <c r="F26" s="16" t="s">
        <v>37</v>
      </c>
      <c r="G26" s="17" t="s">
        <v>38</v>
      </c>
      <c r="H26" s="40" t="s">
        <v>64</v>
      </c>
      <c r="I26" s="40" t="s">
        <v>89</v>
      </c>
      <c r="J26" s="40"/>
      <c r="K26" s="40">
        <v>4</v>
      </c>
      <c r="L26" s="17"/>
      <c r="M26" s="17">
        <v>10</v>
      </c>
      <c r="N26" s="28">
        <v>1</v>
      </c>
      <c r="O26" s="28">
        <v>50000</v>
      </c>
      <c r="P26" s="28">
        <v>100000</v>
      </c>
      <c r="Q26" s="17"/>
      <c r="R26" s="17"/>
      <c r="S26" s="12"/>
      <c r="T26" s="12" t="s">
        <v>39</v>
      </c>
      <c r="U26" s="17" t="s">
        <v>45</v>
      </c>
      <c r="V26" s="19">
        <f>VLOOKUP(A26,'2023 Stats'!$B$2:$D$192,3,FALSE)</f>
        <v>4185</v>
      </c>
      <c r="W26" s="29">
        <v>1046</v>
      </c>
      <c r="X26" s="30"/>
      <c r="Y26" s="19">
        <v>5903</v>
      </c>
      <c r="Z26" s="29">
        <v>492</v>
      </c>
      <c r="AA26" s="30"/>
      <c r="AB26" s="19">
        <v>10481</v>
      </c>
      <c r="AC26" s="29">
        <v>873</v>
      </c>
      <c r="AD26" s="30"/>
      <c r="AE26" s="31">
        <v>804</v>
      </c>
      <c r="AF26" s="30"/>
      <c r="AG26" s="25"/>
      <c r="AH26" s="25"/>
      <c r="AI26" s="25"/>
    </row>
    <row r="27" spans="1:35" ht="16.5" hidden="1" customHeight="1" x14ac:dyDescent="0.3">
      <c r="A27" s="12">
        <v>50115</v>
      </c>
      <c r="B27" s="13" t="s">
        <v>90</v>
      </c>
      <c r="C27" s="14">
        <v>42186</v>
      </c>
      <c r="D27" s="14">
        <v>42886</v>
      </c>
      <c r="E27" s="15" t="s">
        <v>36</v>
      </c>
      <c r="F27" s="16" t="s">
        <v>37</v>
      </c>
      <c r="G27" s="12" t="s">
        <v>38</v>
      </c>
      <c r="H27" s="12"/>
      <c r="I27" s="12"/>
      <c r="J27" s="12"/>
      <c r="K27" s="12"/>
      <c r="L27" s="12"/>
      <c r="M27" s="17">
        <v>0</v>
      </c>
      <c r="N27" s="18">
        <v>1</v>
      </c>
      <c r="O27" s="18">
        <v>50000</v>
      </c>
      <c r="P27" s="18">
        <v>100000</v>
      </c>
      <c r="Q27" s="13"/>
      <c r="R27" s="13"/>
      <c r="S27" s="12"/>
      <c r="T27" s="12" t="s">
        <v>39</v>
      </c>
      <c r="U27" s="12" t="e">
        <v>#N/A</v>
      </c>
      <c r="V27" s="19" t="e">
        <f>VLOOKUP(A27,'2023 Stats'!$B$2:$D$192,3,FALSE)</f>
        <v>#N/A</v>
      </c>
      <c r="W27" s="20" t="e">
        <v>#N/A</v>
      </c>
      <c r="X27" s="21"/>
      <c r="Y27" s="22" t="e">
        <v>#N/A</v>
      </c>
      <c r="Z27" s="20" t="e">
        <v>#N/A</v>
      </c>
      <c r="AA27" s="21"/>
      <c r="AB27" s="22" t="e">
        <v>#N/A</v>
      </c>
      <c r="AC27" s="20"/>
      <c r="AD27" s="21"/>
      <c r="AE27" s="23" t="e">
        <v>#N/A</v>
      </c>
      <c r="AF27" s="21"/>
      <c r="AG27" s="13"/>
      <c r="AH27" s="13"/>
      <c r="AI27" s="13"/>
    </row>
    <row r="28" spans="1:35" ht="16.5" customHeight="1" x14ac:dyDescent="0.3">
      <c r="A28" s="24">
        <v>50116</v>
      </c>
      <c r="B28" s="25" t="s">
        <v>91</v>
      </c>
      <c r="C28" s="26">
        <v>42186</v>
      </c>
      <c r="D28" s="26"/>
      <c r="E28" s="27" t="s">
        <v>43</v>
      </c>
      <c r="F28" s="16" t="s">
        <v>37</v>
      </c>
      <c r="G28" s="17" t="s">
        <v>38</v>
      </c>
      <c r="H28" s="40" t="s">
        <v>64</v>
      </c>
      <c r="I28" s="17"/>
      <c r="J28" s="17"/>
      <c r="K28" s="17"/>
      <c r="L28" s="17"/>
      <c r="M28" s="17">
        <v>10</v>
      </c>
      <c r="N28" s="28">
        <v>1</v>
      </c>
      <c r="O28" s="28">
        <v>50000</v>
      </c>
      <c r="P28" s="28">
        <v>100000</v>
      </c>
      <c r="Q28" s="17"/>
      <c r="R28" s="17"/>
      <c r="S28" s="12"/>
      <c r="T28" s="12" t="s">
        <v>39</v>
      </c>
      <c r="U28" s="12"/>
      <c r="V28" s="19" t="e">
        <f>VLOOKUP(A28,'2023 Stats'!$B$2:$D$192,3,FALSE)</f>
        <v>#N/A</v>
      </c>
      <c r="W28" s="29" t="e">
        <v>#N/A</v>
      </c>
      <c r="X28" s="30"/>
      <c r="Y28" s="19" t="e">
        <v>#N/A</v>
      </c>
      <c r="Z28" s="29" t="e">
        <v>#N/A</v>
      </c>
      <c r="AA28" s="30"/>
      <c r="AB28" s="19">
        <v>4</v>
      </c>
      <c r="AC28" s="29">
        <v>0</v>
      </c>
      <c r="AD28" s="30"/>
      <c r="AE28" s="31" t="e">
        <v>#N/A</v>
      </c>
      <c r="AF28" s="30"/>
      <c r="AG28" s="25"/>
      <c r="AH28" s="25"/>
      <c r="AI28" s="25"/>
    </row>
    <row r="29" spans="1:35" ht="16.5" hidden="1" customHeight="1" x14ac:dyDescent="0.3">
      <c r="A29" s="24">
        <v>50117</v>
      </c>
      <c r="B29" s="25" t="s">
        <v>92</v>
      </c>
      <c r="C29" s="26">
        <v>42186</v>
      </c>
      <c r="D29" s="17" t="s">
        <v>93</v>
      </c>
      <c r="E29" s="27" t="s">
        <v>36</v>
      </c>
      <c r="F29" s="16" t="s">
        <v>37</v>
      </c>
      <c r="G29" s="17" t="s">
        <v>38</v>
      </c>
      <c r="H29" s="40" t="s">
        <v>94</v>
      </c>
      <c r="I29" s="40" t="s">
        <v>95</v>
      </c>
      <c r="J29" s="40" t="s">
        <v>79</v>
      </c>
      <c r="K29" s="40">
        <v>5</v>
      </c>
      <c r="L29" s="17"/>
      <c r="M29" s="17">
        <v>10</v>
      </c>
      <c r="N29" s="28">
        <v>1</v>
      </c>
      <c r="O29" s="28">
        <v>50000</v>
      </c>
      <c r="P29" s="28">
        <v>100000</v>
      </c>
      <c r="Q29" s="17"/>
      <c r="R29" s="17"/>
      <c r="S29" s="12"/>
      <c r="T29" s="12" t="s">
        <v>39</v>
      </c>
      <c r="U29" s="17" t="s">
        <v>45</v>
      </c>
      <c r="V29" s="19">
        <f>VLOOKUP(A29,'2023 Stats'!$B$2:$D$192,3,FALSE)</f>
        <v>4558</v>
      </c>
      <c r="W29" s="29">
        <v>1140</v>
      </c>
      <c r="X29" s="30"/>
      <c r="Y29" s="19">
        <v>5863</v>
      </c>
      <c r="Z29" s="29">
        <v>489</v>
      </c>
      <c r="AA29" s="30"/>
      <c r="AB29" s="19">
        <v>8736</v>
      </c>
      <c r="AC29" s="29">
        <v>728</v>
      </c>
      <c r="AD29" s="30"/>
      <c r="AE29" s="31">
        <v>785</v>
      </c>
      <c r="AF29" s="30"/>
      <c r="AG29" s="25"/>
      <c r="AH29" s="25"/>
      <c r="AI29" s="25"/>
    </row>
    <row r="30" spans="1:35" ht="16.5" customHeight="1" x14ac:dyDescent="0.3">
      <c r="A30" s="24">
        <v>50118</v>
      </c>
      <c r="B30" s="25" t="s">
        <v>96</v>
      </c>
      <c r="C30" s="26">
        <v>42186</v>
      </c>
      <c r="D30" s="26"/>
      <c r="E30" s="27" t="s">
        <v>43</v>
      </c>
      <c r="F30" s="16" t="s">
        <v>37</v>
      </c>
      <c r="G30" s="17" t="s">
        <v>38</v>
      </c>
      <c r="H30" s="40" t="s">
        <v>64</v>
      </c>
      <c r="I30" s="17"/>
      <c r="J30" s="17"/>
      <c r="K30" s="17"/>
      <c r="L30" s="17"/>
      <c r="M30" s="17">
        <v>10</v>
      </c>
      <c r="N30" s="28">
        <v>1</v>
      </c>
      <c r="O30" s="28">
        <v>50000</v>
      </c>
      <c r="P30" s="28">
        <v>100000</v>
      </c>
      <c r="Q30" s="17"/>
      <c r="R30" s="17"/>
      <c r="S30" s="12"/>
      <c r="T30" s="12" t="s">
        <v>39</v>
      </c>
      <c r="U30" s="12"/>
      <c r="V30" s="19" t="e">
        <f>VLOOKUP(A30,'2023 Stats'!$B$2:$D$192,3,FALSE)</f>
        <v>#N/A</v>
      </c>
      <c r="W30" s="29" t="e">
        <v>#N/A</v>
      </c>
      <c r="X30" s="30"/>
      <c r="Y30" s="19" t="e">
        <v>#N/A</v>
      </c>
      <c r="Z30" s="29" t="e">
        <v>#N/A</v>
      </c>
      <c r="AA30" s="30"/>
      <c r="AB30" s="19" t="e">
        <v>#N/A</v>
      </c>
      <c r="AC30" s="29"/>
      <c r="AD30" s="30"/>
      <c r="AE30" s="31" t="e">
        <v>#N/A</v>
      </c>
      <c r="AF30" s="30"/>
      <c r="AG30" s="25"/>
      <c r="AH30" s="25"/>
      <c r="AI30" s="25"/>
    </row>
    <row r="31" spans="1:35" ht="16.5" customHeight="1" x14ac:dyDescent="0.3">
      <c r="A31" s="24">
        <v>50122</v>
      </c>
      <c r="B31" s="25" t="s">
        <v>97</v>
      </c>
      <c r="C31" s="26">
        <v>42186</v>
      </c>
      <c r="D31" s="26"/>
      <c r="E31" s="27" t="s">
        <v>43</v>
      </c>
      <c r="F31" s="16" t="s">
        <v>37</v>
      </c>
      <c r="G31" s="17" t="s">
        <v>38</v>
      </c>
      <c r="H31" s="40" t="s">
        <v>64</v>
      </c>
      <c r="I31" s="17"/>
      <c r="J31" s="17"/>
      <c r="K31" s="17"/>
      <c r="L31" s="17"/>
      <c r="M31" s="17">
        <v>10</v>
      </c>
      <c r="N31" s="28">
        <v>1</v>
      </c>
      <c r="O31" s="28">
        <v>50000</v>
      </c>
      <c r="P31" s="28">
        <v>100000</v>
      </c>
      <c r="Q31" s="17"/>
      <c r="R31" s="17"/>
      <c r="S31" s="12"/>
      <c r="T31" s="12" t="s">
        <v>39</v>
      </c>
      <c r="U31" s="12"/>
      <c r="V31" s="19">
        <f>VLOOKUP(A31,'2023 Stats'!$B$2:$D$192,3,FALSE)</f>
        <v>2</v>
      </c>
      <c r="W31" s="29">
        <v>1</v>
      </c>
      <c r="X31" s="30"/>
      <c r="Y31" s="19" t="e">
        <v>#N/A</v>
      </c>
      <c r="Z31" s="29" t="e">
        <v>#N/A</v>
      </c>
      <c r="AA31" s="30"/>
      <c r="AB31" s="19">
        <v>4</v>
      </c>
      <c r="AC31" s="29">
        <v>0</v>
      </c>
      <c r="AD31" s="30"/>
      <c r="AE31" s="31" t="e">
        <v>#N/A</v>
      </c>
      <c r="AF31" s="30"/>
      <c r="AG31" s="25"/>
      <c r="AH31" s="25"/>
      <c r="AI31" s="25"/>
    </row>
    <row r="32" spans="1:35" ht="16.5" customHeight="1" x14ac:dyDescent="0.3">
      <c r="A32" s="24">
        <v>50126</v>
      </c>
      <c r="B32" s="25" t="s">
        <v>98</v>
      </c>
      <c r="C32" s="26">
        <v>42186</v>
      </c>
      <c r="D32" s="26"/>
      <c r="E32" s="27" t="s">
        <v>43</v>
      </c>
      <c r="F32" s="16" t="s">
        <v>37</v>
      </c>
      <c r="G32" s="17" t="s">
        <v>38</v>
      </c>
      <c r="H32" s="40" t="s">
        <v>64</v>
      </c>
      <c r="I32" s="40" t="s">
        <v>71</v>
      </c>
      <c r="J32" s="40" t="s">
        <v>72</v>
      </c>
      <c r="K32" s="40">
        <v>5</v>
      </c>
      <c r="L32" s="17"/>
      <c r="M32" s="17">
        <v>10</v>
      </c>
      <c r="N32" s="28">
        <v>1</v>
      </c>
      <c r="O32" s="28">
        <v>50000</v>
      </c>
      <c r="P32" s="28">
        <v>100000</v>
      </c>
      <c r="Q32" s="17"/>
      <c r="R32" s="17"/>
      <c r="S32" s="12"/>
      <c r="T32" s="12" t="s">
        <v>39</v>
      </c>
      <c r="U32" s="17" t="s">
        <v>45</v>
      </c>
      <c r="V32" s="19">
        <f>VLOOKUP(A32,'2023 Stats'!$B$2:$D$192,3,FALSE)</f>
        <v>19927</v>
      </c>
      <c r="W32" s="29">
        <v>4982</v>
      </c>
      <c r="X32" s="30"/>
      <c r="Y32" s="19">
        <v>19122</v>
      </c>
      <c r="Z32" s="29">
        <v>1594</v>
      </c>
      <c r="AA32" s="30"/>
      <c r="AB32" s="19">
        <v>25347</v>
      </c>
      <c r="AC32" s="29">
        <v>2112</v>
      </c>
      <c r="AD32" s="30"/>
      <c r="AE32" s="31">
        <v>2896</v>
      </c>
      <c r="AF32" s="30"/>
      <c r="AG32" s="25"/>
      <c r="AH32" s="25"/>
      <c r="AI32" s="25"/>
    </row>
    <row r="33" spans="1:35" ht="16.5" customHeight="1" x14ac:dyDescent="0.3">
      <c r="A33" s="24">
        <v>50127</v>
      </c>
      <c r="B33" s="25" t="s">
        <v>99</v>
      </c>
      <c r="C33" s="26">
        <v>42186</v>
      </c>
      <c r="D33" s="26"/>
      <c r="E33" s="27" t="s">
        <v>43</v>
      </c>
      <c r="F33" s="16" t="s">
        <v>37</v>
      </c>
      <c r="G33" s="17" t="s">
        <v>38</v>
      </c>
      <c r="H33" s="40" t="s">
        <v>64</v>
      </c>
      <c r="I33" s="17"/>
      <c r="J33" s="17"/>
      <c r="K33" s="17"/>
      <c r="L33" s="17"/>
      <c r="M33" s="17">
        <v>0</v>
      </c>
      <c r="N33" s="28">
        <v>1</v>
      </c>
      <c r="O33" s="28">
        <v>50000</v>
      </c>
      <c r="P33" s="28">
        <v>100000</v>
      </c>
      <c r="Q33" s="17"/>
      <c r="R33" s="17"/>
      <c r="S33" s="12"/>
      <c r="T33" s="12" t="s">
        <v>39</v>
      </c>
      <c r="U33" s="12"/>
      <c r="V33" s="19" t="e">
        <f>VLOOKUP(A33,'2023 Stats'!$B$2:$D$192,3,FALSE)</f>
        <v>#N/A</v>
      </c>
      <c r="W33" s="29" t="e">
        <v>#N/A</v>
      </c>
      <c r="X33" s="30"/>
      <c r="Y33" s="19" t="e">
        <v>#N/A</v>
      </c>
      <c r="Z33" s="29" t="e">
        <v>#N/A</v>
      </c>
      <c r="AA33" s="30"/>
      <c r="AB33" s="19" t="e">
        <v>#N/A</v>
      </c>
      <c r="AC33" s="29"/>
      <c r="AD33" s="30"/>
      <c r="AE33" s="31" t="e">
        <v>#N/A</v>
      </c>
      <c r="AF33" s="30"/>
      <c r="AG33" s="25"/>
      <c r="AH33" s="25"/>
      <c r="AI33" s="25"/>
    </row>
    <row r="34" spans="1:35" ht="16.5" customHeight="1" x14ac:dyDescent="0.3">
      <c r="A34" s="24">
        <v>50131</v>
      </c>
      <c r="B34" s="25" t="s">
        <v>100</v>
      </c>
      <c r="C34" s="26">
        <v>42186</v>
      </c>
      <c r="D34" s="26"/>
      <c r="E34" s="27" t="s">
        <v>43</v>
      </c>
      <c r="F34" s="16" t="s">
        <v>37</v>
      </c>
      <c r="G34" s="17" t="s">
        <v>38</v>
      </c>
      <c r="H34" s="17" t="s">
        <v>101</v>
      </c>
      <c r="I34" s="17"/>
      <c r="J34" s="17"/>
      <c r="K34" s="17"/>
      <c r="L34" s="17"/>
      <c r="M34" s="17">
        <v>0</v>
      </c>
      <c r="N34" s="28">
        <v>1</v>
      </c>
      <c r="O34" s="28">
        <v>50000</v>
      </c>
      <c r="P34" s="28">
        <v>100000</v>
      </c>
      <c r="Q34" s="17"/>
      <c r="R34" s="17"/>
      <c r="S34" s="12"/>
      <c r="T34" s="12" t="s">
        <v>39</v>
      </c>
      <c r="U34" s="17" t="s">
        <v>45</v>
      </c>
      <c r="V34" s="19">
        <f>VLOOKUP(A34,'2023 Stats'!$B$2:$D$192,3,FALSE)</f>
        <v>364</v>
      </c>
      <c r="W34" s="29">
        <v>91</v>
      </c>
      <c r="X34" s="30"/>
      <c r="Y34" s="19">
        <v>467</v>
      </c>
      <c r="Z34" s="29">
        <v>39</v>
      </c>
      <c r="AA34" s="30"/>
      <c r="AB34" s="19">
        <v>790</v>
      </c>
      <c r="AC34" s="29">
        <v>66</v>
      </c>
      <c r="AD34" s="30"/>
      <c r="AE34" s="31">
        <v>65</v>
      </c>
      <c r="AF34" s="30"/>
      <c r="AG34" s="25"/>
      <c r="AH34" s="25"/>
      <c r="AI34" s="25"/>
    </row>
    <row r="35" spans="1:35" ht="16.5" customHeight="1" x14ac:dyDescent="0.3">
      <c r="A35" s="24">
        <v>50166</v>
      </c>
      <c r="B35" s="25" t="s">
        <v>102</v>
      </c>
      <c r="C35" s="26">
        <v>42186</v>
      </c>
      <c r="D35" s="26"/>
      <c r="E35" s="27" t="s">
        <v>43</v>
      </c>
      <c r="F35" s="16" t="s">
        <v>37</v>
      </c>
      <c r="G35" s="17" t="s">
        <v>38</v>
      </c>
      <c r="H35" s="40" t="s">
        <v>103</v>
      </c>
      <c r="I35" s="40" t="s">
        <v>71</v>
      </c>
      <c r="J35" s="40" t="s">
        <v>104</v>
      </c>
      <c r="K35" s="40">
        <v>9</v>
      </c>
      <c r="L35" s="17"/>
      <c r="M35" s="17">
        <v>10</v>
      </c>
      <c r="N35" s="28">
        <v>1</v>
      </c>
      <c r="O35" s="28">
        <v>50000</v>
      </c>
      <c r="P35" s="28">
        <v>100000</v>
      </c>
      <c r="Q35" s="17"/>
      <c r="R35" s="17"/>
      <c r="S35" s="12"/>
      <c r="T35" s="12" t="s">
        <v>39</v>
      </c>
      <c r="U35" s="17" t="s">
        <v>45</v>
      </c>
      <c r="V35" s="19">
        <f>VLOOKUP(A35,'2023 Stats'!$B$2:$D$192,3,FALSE)</f>
        <v>6145</v>
      </c>
      <c r="W35" s="29">
        <v>1536</v>
      </c>
      <c r="X35" s="30"/>
      <c r="Y35" s="19">
        <v>10377</v>
      </c>
      <c r="Z35" s="29">
        <v>865</v>
      </c>
      <c r="AA35" s="30"/>
      <c r="AB35" s="19">
        <v>14353</v>
      </c>
      <c r="AC35" s="29">
        <v>1196</v>
      </c>
      <c r="AD35" s="30"/>
      <c r="AE35" s="31">
        <v>1199</v>
      </c>
      <c r="AF35" s="30"/>
      <c r="AG35" s="25"/>
      <c r="AH35" s="25"/>
      <c r="AI35" s="25"/>
    </row>
    <row r="36" spans="1:35" ht="16.5" hidden="1" customHeight="1" x14ac:dyDescent="0.3">
      <c r="A36" s="17">
        <v>50168</v>
      </c>
      <c r="B36" s="25" t="s">
        <v>105</v>
      </c>
      <c r="C36" s="26">
        <v>42186</v>
      </c>
      <c r="D36" s="26"/>
      <c r="E36" s="27" t="s">
        <v>36</v>
      </c>
      <c r="F36" s="16" t="s">
        <v>37</v>
      </c>
      <c r="G36" s="17" t="s">
        <v>38</v>
      </c>
      <c r="H36" s="40" t="s">
        <v>77</v>
      </c>
      <c r="I36" s="17"/>
      <c r="J36" s="17"/>
      <c r="K36" s="17"/>
      <c r="L36" s="17"/>
      <c r="M36" s="17">
        <v>10</v>
      </c>
      <c r="N36" s="28">
        <v>1</v>
      </c>
      <c r="O36" s="28">
        <v>50000</v>
      </c>
      <c r="P36" s="28">
        <v>100000</v>
      </c>
      <c r="Q36" s="17"/>
      <c r="R36" s="17"/>
      <c r="S36" s="17"/>
      <c r="T36" s="17" t="s">
        <v>39</v>
      </c>
      <c r="U36" s="17" t="s">
        <v>45</v>
      </c>
      <c r="V36" s="19">
        <f>VLOOKUP(A36,'2023 Stats'!$B$2:$D$192,3,FALSE)</f>
        <v>3002</v>
      </c>
      <c r="W36" s="41">
        <v>751</v>
      </c>
      <c r="X36" s="30"/>
      <c r="Y36" s="19">
        <v>4860</v>
      </c>
      <c r="Z36" s="29">
        <v>405</v>
      </c>
      <c r="AA36" s="30"/>
      <c r="AB36" s="19">
        <v>7598</v>
      </c>
      <c r="AC36" s="29">
        <v>633</v>
      </c>
      <c r="AD36" s="30"/>
      <c r="AE36" s="31">
        <v>596</v>
      </c>
      <c r="AF36" s="30"/>
      <c r="AG36" s="25"/>
      <c r="AH36" s="25"/>
      <c r="AI36" s="25"/>
    </row>
    <row r="37" spans="1:35" ht="16.5" hidden="1" customHeight="1" x14ac:dyDescent="0.3">
      <c r="A37" s="12">
        <v>50205</v>
      </c>
      <c r="B37" s="13" t="s">
        <v>106</v>
      </c>
      <c r="C37" s="14">
        <v>42186</v>
      </c>
      <c r="D37" s="12" t="s">
        <v>107</v>
      </c>
      <c r="E37" s="15" t="s">
        <v>36</v>
      </c>
      <c r="F37" s="16" t="s">
        <v>37</v>
      </c>
      <c r="G37" s="12" t="s">
        <v>38</v>
      </c>
      <c r="H37" s="12"/>
      <c r="I37" s="12"/>
      <c r="J37" s="12"/>
      <c r="K37" s="12"/>
      <c r="L37" s="12"/>
      <c r="M37" s="17">
        <v>0</v>
      </c>
      <c r="N37" s="18">
        <v>0</v>
      </c>
      <c r="O37" s="18">
        <v>0</v>
      </c>
      <c r="P37" s="18">
        <v>100000</v>
      </c>
      <c r="Q37" s="13"/>
      <c r="R37" s="13"/>
      <c r="S37" s="12"/>
      <c r="T37" s="12" t="s">
        <v>39</v>
      </c>
      <c r="U37" s="12" t="e">
        <v>#N/A</v>
      </c>
      <c r="V37" s="19" t="e">
        <f>VLOOKUP(A37,'2023 Stats'!$B$2:$D$192,3,FALSE)</f>
        <v>#N/A</v>
      </c>
      <c r="W37" s="20" t="e">
        <v>#N/A</v>
      </c>
      <c r="X37" s="21"/>
      <c r="Y37" s="22" t="e">
        <v>#N/A</v>
      </c>
      <c r="Z37" s="20" t="e">
        <v>#N/A</v>
      </c>
      <c r="AA37" s="21"/>
      <c r="AB37" s="22" t="e">
        <v>#N/A</v>
      </c>
      <c r="AC37" s="20"/>
      <c r="AD37" s="21"/>
      <c r="AE37" s="23" t="e">
        <v>#N/A</v>
      </c>
      <c r="AF37" s="21"/>
      <c r="AG37" s="13"/>
      <c r="AH37" s="13"/>
      <c r="AI37" s="13"/>
    </row>
    <row r="38" spans="1:35" ht="16.5" hidden="1" customHeight="1" x14ac:dyDescent="0.3">
      <c r="A38" s="12">
        <v>50207</v>
      </c>
      <c r="B38" s="13" t="s">
        <v>108</v>
      </c>
      <c r="C38" s="14">
        <v>42186</v>
      </c>
      <c r="D38" s="14"/>
      <c r="E38" s="15" t="s">
        <v>36</v>
      </c>
      <c r="F38" s="35" t="s">
        <v>37</v>
      </c>
      <c r="G38" s="12" t="s">
        <v>38</v>
      </c>
      <c r="H38" s="17" t="s">
        <v>64</v>
      </c>
      <c r="I38" s="17"/>
      <c r="J38" s="12"/>
      <c r="K38" s="12"/>
      <c r="L38" s="12"/>
      <c r="M38" s="17">
        <v>0</v>
      </c>
      <c r="N38" s="18">
        <v>1</v>
      </c>
      <c r="O38" s="18">
        <v>50000</v>
      </c>
      <c r="P38" s="18">
        <v>100000</v>
      </c>
      <c r="Q38" s="13"/>
      <c r="R38" s="13"/>
      <c r="S38" s="12"/>
      <c r="T38" s="12" t="s">
        <v>39</v>
      </c>
      <c r="U38" s="12" t="e">
        <v>#N/A</v>
      </c>
      <c r="V38" s="19" t="e">
        <f>VLOOKUP(A38,'2023 Stats'!$B$2:$D$192,3,FALSE)</f>
        <v>#N/A</v>
      </c>
      <c r="W38" s="20" t="e">
        <v>#N/A</v>
      </c>
      <c r="X38" s="21"/>
      <c r="Y38" s="22" t="e">
        <v>#N/A</v>
      </c>
      <c r="Z38" s="20" t="e">
        <v>#N/A</v>
      </c>
      <c r="AA38" s="21"/>
      <c r="AB38" s="22" t="e">
        <v>#N/A</v>
      </c>
      <c r="AC38" s="20"/>
      <c r="AD38" s="21"/>
      <c r="AE38" s="23" t="e">
        <v>#N/A</v>
      </c>
      <c r="AF38" s="21"/>
      <c r="AG38" s="13"/>
      <c r="AH38" s="13"/>
      <c r="AI38" s="13"/>
    </row>
    <row r="39" spans="1:35" ht="16.5" customHeight="1" x14ac:dyDescent="0.3">
      <c r="A39" s="24">
        <v>50233</v>
      </c>
      <c r="B39" s="25" t="s">
        <v>109</v>
      </c>
      <c r="C39" s="26">
        <v>42186</v>
      </c>
      <c r="D39" s="42"/>
      <c r="E39" s="27" t="s">
        <v>43</v>
      </c>
      <c r="F39" s="27" t="s">
        <v>47</v>
      </c>
      <c r="G39" s="17" t="s">
        <v>38</v>
      </c>
      <c r="H39" s="17" t="s">
        <v>101</v>
      </c>
      <c r="I39" s="40" t="s">
        <v>78</v>
      </c>
      <c r="J39" s="40" t="s">
        <v>79</v>
      </c>
      <c r="K39" s="40">
        <v>8</v>
      </c>
      <c r="L39" s="17" t="s">
        <v>110</v>
      </c>
      <c r="M39" s="17">
        <v>0</v>
      </c>
      <c r="N39" s="28">
        <v>1</v>
      </c>
      <c r="O39" s="28">
        <v>50000</v>
      </c>
      <c r="P39" s="28">
        <v>100000</v>
      </c>
      <c r="Q39" s="17"/>
      <c r="R39" s="17"/>
      <c r="S39" s="12"/>
      <c r="T39" s="12" t="s">
        <v>39</v>
      </c>
      <c r="U39" s="17" t="s">
        <v>45</v>
      </c>
      <c r="V39" s="19">
        <f>VLOOKUP(50233,'2023 Stats'!$B$2:$D$192,3,FALSE)+VLOOKUP(51081,'2023 Stats'!$B$2:$D$192,3,FALSE)</f>
        <v>5821</v>
      </c>
      <c r="W39" s="29">
        <v>1426</v>
      </c>
      <c r="X39" s="30"/>
      <c r="Y39" s="19">
        <v>6968</v>
      </c>
      <c r="Z39" s="29">
        <v>581</v>
      </c>
      <c r="AA39" s="30"/>
      <c r="AB39" s="19">
        <v>8310</v>
      </c>
      <c r="AC39" s="29">
        <v>693</v>
      </c>
      <c r="AD39" s="30"/>
      <c r="AE39" s="31">
        <v>900</v>
      </c>
      <c r="AF39" s="30"/>
      <c r="AG39" s="25"/>
      <c r="AH39" s="25"/>
      <c r="AI39" s="25"/>
    </row>
    <row r="40" spans="1:35" ht="16.5" hidden="1" customHeight="1" x14ac:dyDescent="0.3">
      <c r="A40" s="17">
        <v>50235</v>
      </c>
      <c r="B40" s="25" t="s">
        <v>111</v>
      </c>
      <c r="C40" s="26">
        <v>42186</v>
      </c>
      <c r="D40" s="26"/>
      <c r="E40" s="27" t="s">
        <v>36</v>
      </c>
      <c r="F40" s="16" t="s">
        <v>37</v>
      </c>
      <c r="G40" s="17" t="s">
        <v>38</v>
      </c>
      <c r="H40" s="17" t="s">
        <v>64</v>
      </c>
      <c r="I40" s="17"/>
      <c r="J40" s="17"/>
      <c r="K40" s="17"/>
      <c r="L40" s="17"/>
      <c r="M40" s="17">
        <v>0</v>
      </c>
      <c r="N40" s="28">
        <v>0</v>
      </c>
      <c r="O40" s="28">
        <v>0</v>
      </c>
      <c r="P40" s="28">
        <v>100000</v>
      </c>
      <c r="Q40" s="17"/>
      <c r="R40" s="17"/>
      <c r="S40" s="17"/>
      <c r="T40" s="17" t="s">
        <v>39</v>
      </c>
      <c r="U40" s="17" t="e">
        <v>#N/A</v>
      </c>
      <c r="V40" s="19" t="e">
        <f>VLOOKUP(A40,'2023 Stats'!$B$2:$D$192,3,FALSE)</f>
        <v>#N/A</v>
      </c>
      <c r="W40" s="29" t="e">
        <v>#N/A</v>
      </c>
      <c r="X40" s="30"/>
      <c r="Y40" s="19" t="e">
        <v>#N/A</v>
      </c>
      <c r="Z40" s="29" t="e">
        <v>#N/A</v>
      </c>
      <c r="AA40" s="30"/>
      <c r="AB40" s="19" t="e">
        <v>#N/A</v>
      </c>
      <c r="AC40" s="29"/>
      <c r="AD40" s="30"/>
      <c r="AE40" s="31" t="e">
        <v>#N/A</v>
      </c>
      <c r="AF40" s="30"/>
      <c r="AG40" s="25"/>
      <c r="AH40" s="25"/>
      <c r="AI40" s="25"/>
    </row>
    <row r="41" spans="1:35" ht="16.5" customHeight="1" x14ac:dyDescent="0.3">
      <c r="A41" s="24">
        <v>50259</v>
      </c>
      <c r="B41" s="25" t="s">
        <v>112</v>
      </c>
      <c r="C41" s="26">
        <v>42186</v>
      </c>
      <c r="D41" s="26"/>
      <c r="E41" s="27" t="s">
        <v>43</v>
      </c>
      <c r="F41" s="16" t="s">
        <v>37</v>
      </c>
      <c r="G41" s="17" t="s">
        <v>38</v>
      </c>
      <c r="H41" s="17" t="s">
        <v>101</v>
      </c>
      <c r="I41" s="17"/>
      <c r="J41" s="17"/>
      <c r="K41" s="17"/>
      <c r="L41" s="17"/>
      <c r="M41" s="17">
        <v>0</v>
      </c>
      <c r="N41" s="28">
        <v>1</v>
      </c>
      <c r="O41" s="28">
        <v>50000</v>
      </c>
      <c r="P41" s="28">
        <v>100000</v>
      </c>
      <c r="Q41" s="17"/>
      <c r="R41" s="17"/>
      <c r="S41" s="12"/>
      <c r="T41" s="12" t="s">
        <v>39</v>
      </c>
      <c r="U41" s="17" t="s">
        <v>45</v>
      </c>
      <c r="V41" s="19">
        <f>VLOOKUP(A41,'2023 Stats'!$B$2:$D$192,3,FALSE)</f>
        <v>1</v>
      </c>
      <c r="W41" s="29">
        <v>0</v>
      </c>
      <c r="X41" s="30"/>
      <c r="Y41" s="19">
        <v>5</v>
      </c>
      <c r="Z41" s="29">
        <v>0</v>
      </c>
      <c r="AA41" s="30"/>
      <c r="AB41" s="19">
        <v>16</v>
      </c>
      <c r="AC41" s="29">
        <v>1</v>
      </c>
      <c r="AD41" s="30"/>
      <c r="AE41" s="31">
        <v>1</v>
      </c>
      <c r="AF41" s="30"/>
      <c r="AG41" s="25"/>
      <c r="AH41" s="25"/>
      <c r="AI41" s="25"/>
    </row>
    <row r="42" spans="1:35" ht="16.5" customHeight="1" x14ac:dyDescent="0.3">
      <c r="A42" s="24">
        <v>50264</v>
      </c>
      <c r="B42" s="25" t="s">
        <v>113</v>
      </c>
      <c r="C42" s="26">
        <v>42186</v>
      </c>
      <c r="D42" s="26"/>
      <c r="E42" s="27" t="s">
        <v>43</v>
      </c>
      <c r="F42" s="16" t="s">
        <v>37</v>
      </c>
      <c r="G42" s="17" t="s">
        <v>38</v>
      </c>
      <c r="H42" s="17" t="s">
        <v>64</v>
      </c>
      <c r="I42" s="17"/>
      <c r="J42" s="17"/>
      <c r="K42" s="17"/>
      <c r="L42" s="17"/>
      <c r="M42" s="17">
        <v>10</v>
      </c>
      <c r="N42" s="28">
        <v>1</v>
      </c>
      <c r="O42" s="28">
        <v>50000</v>
      </c>
      <c r="P42" s="28">
        <v>100000</v>
      </c>
      <c r="Q42" s="17"/>
      <c r="R42" s="17"/>
      <c r="S42" s="12"/>
      <c r="T42" s="12" t="s">
        <v>39</v>
      </c>
      <c r="U42" s="17" t="s">
        <v>45</v>
      </c>
      <c r="V42" s="19">
        <f>VLOOKUP(A42,'2023 Stats'!$B$2:$D$192,3,FALSE)</f>
        <v>160</v>
      </c>
      <c r="W42" s="29">
        <v>40</v>
      </c>
      <c r="X42" s="30"/>
      <c r="Y42" s="19">
        <v>256</v>
      </c>
      <c r="Z42" s="29">
        <v>21</v>
      </c>
      <c r="AA42" s="30"/>
      <c r="AB42" s="19">
        <v>497</v>
      </c>
      <c r="AC42" s="29">
        <v>41</v>
      </c>
      <c r="AD42" s="30"/>
      <c r="AE42" s="31">
        <v>34</v>
      </c>
      <c r="AF42" s="30"/>
      <c r="AG42" s="25"/>
      <c r="AH42" s="25"/>
      <c r="AI42" s="25"/>
    </row>
    <row r="43" spans="1:35" ht="16.5" customHeight="1" x14ac:dyDescent="0.3">
      <c r="A43" s="24">
        <v>50280</v>
      </c>
      <c r="B43" s="25" t="s">
        <v>114</v>
      </c>
      <c r="C43" s="26">
        <v>42186</v>
      </c>
      <c r="D43" s="26"/>
      <c r="E43" s="27" t="s">
        <v>43</v>
      </c>
      <c r="F43" s="16" t="s">
        <v>37</v>
      </c>
      <c r="G43" s="17" t="s">
        <v>38</v>
      </c>
      <c r="H43" s="17" t="s">
        <v>94</v>
      </c>
      <c r="I43" s="17"/>
      <c r="J43" s="17"/>
      <c r="K43" s="17"/>
      <c r="L43" s="17"/>
      <c r="M43" s="17">
        <v>10</v>
      </c>
      <c r="N43" s="28">
        <v>1</v>
      </c>
      <c r="O43" s="28">
        <v>50000</v>
      </c>
      <c r="P43" s="28">
        <v>100000</v>
      </c>
      <c r="Q43" s="17"/>
      <c r="R43" s="17"/>
      <c r="S43" s="12"/>
      <c r="T43" s="12" t="s">
        <v>39</v>
      </c>
      <c r="U43" s="17" t="s">
        <v>45</v>
      </c>
      <c r="V43" s="19">
        <f>VLOOKUP(A43,'2023 Stats'!$B$2:$D$192,3,FALSE)</f>
        <v>9</v>
      </c>
      <c r="W43" s="29">
        <v>2</v>
      </c>
      <c r="X43" s="30"/>
      <c r="Y43" s="19">
        <v>429</v>
      </c>
      <c r="Z43" s="29">
        <v>36</v>
      </c>
      <c r="AA43" s="30"/>
      <c r="AB43" s="19">
        <v>125</v>
      </c>
      <c r="AC43" s="29">
        <v>10</v>
      </c>
      <c r="AD43" s="30"/>
      <c r="AE43" s="31">
        <v>16</v>
      </c>
      <c r="AF43" s="30"/>
      <c r="AG43" s="25"/>
      <c r="AH43" s="25"/>
      <c r="AI43" s="25"/>
    </row>
    <row r="44" spans="1:35" ht="16.5" customHeight="1" x14ac:dyDescent="0.3">
      <c r="A44" s="24">
        <v>50293</v>
      </c>
      <c r="B44" s="25" t="s">
        <v>115</v>
      </c>
      <c r="C44" s="26">
        <v>42186</v>
      </c>
      <c r="D44" s="26"/>
      <c r="E44" s="27" t="s">
        <v>43</v>
      </c>
      <c r="F44" s="16" t="s">
        <v>37</v>
      </c>
      <c r="G44" s="17" t="s">
        <v>38</v>
      </c>
      <c r="H44" s="17" t="s">
        <v>94</v>
      </c>
      <c r="I44" s="17"/>
      <c r="J44" s="17"/>
      <c r="K44" s="17"/>
      <c r="L44" s="17"/>
      <c r="M44" s="17">
        <v>10</v>
      </c>
      <c r="N44" s="28">
        <v>1</v>
      </c>
      <c r="O44" s="28">
        <v>50000</v>
      </c>
      <c r="P44" s="28">
        <v>100000</v>
      </c>
      <c r="Q44" s="17"/>
      <c r="R44" s="17"/>
      <c r="S44" s="12"/>
      <c r="T44" s="12" t="s">
        <v>39</v>
      </c>
      <c r="U44" s="12"/>
      <c r="V44" s="19" t="e">
        <f>VLOOKUP(A44,'2023 Stats'!$B$2:$D$192,3,FALSE)</f>
        <v>#N/A</v>
      </c>
      <c r="W44" s="29" t="e">
        <v>#N/A</v>
      </c>
      <c r="X44" s="30"/>
      <c r="Y44" s="19" t="e">
        <v>#N/A</v>
      </c>
      <c r="Z44" s="29" t="e">
        <v>#N/A</v>
      </c>
      <c r="AA44" s="30"/>
      <c r="AB44" s="19" t="e">
        <v>#N/A</v>
      </c>
      <c r="AC44" s="29"/>
      <c r="AD44" s="30"/>
      <c r="AE44" s="31" t="e">
        <v>#N/A</v>
      </c>
      <c r="AF44" s="30"/>
      <c r="AG44" s="25"/>
      <c r="AH44" s="25"/>
      <c r="AI44" s="25"/>
    </row>
    <row r="45" spans="1:35" ht="15" customHeight="1" x14ac:dyDescent="0.3">
      <c r="A45" s="24">
        <v>50295</v>
      </c>
      <c r="B45" s="25" t="s">
        <v>116</v>
      </c>
      <c r="C45" s="26">
        <v>42186</v>
      </c>
      <c r="D45" s="26"/>
      <c r="E45" s="27" t="s">
        <v>43</v>
      </c>
      <c r="F45" s="16" t="s">
        <v>37</v>
      </c>
      <c r="G45" s="17" t="s">
        <v>38</v>
      </c>
      <c r="H45" s="40" t="s">
        <v>77</v>
      </c>
      <c r="I45" s="40" t="s">
        <v>95</v>
      </c>
      <c r="J45" s="40" t="s">
        <v>79</v>
      </c>
      <c r="K45" s="40">
        <v>7</v>
      </c>
      <c r="L45" s="17"/>
      <c r="M45" s="17">
        <v>10</v>
      </c>
      <c r="N45" s="28">
        <v>1</v>
      </c>
      <c r="O45" s="28">
        <v>50000</v>
      </c>
      <c r="P45" s="28">
        <v>100000</v>
      </c>
      <c r="Q45" s="17"/>
      <c r="R45" s="17"/>
      <c r="S45" s="12"/>
      <c r="T45" s="12" t="s">
        <v>39</v>
      </c>
      <c r="U45" s="17" t="s">
        <v>45</v>
      </c>
      <c r="V45" s="19">
        <f>VLOOKUP(A45,'2023 Stats'!$B$2:$D$192,3,FALSE)</f>
        <v>4202</v>
      </c>
      <c r="W45" s="29">
        <v>1051</v>
      </c>
      <c r="X45" s="30"/>
      <c r="Y45" s="19">
        <v>5864</v>
      </c>
      <c r="Z45" s="29">
        <v>489</v>
      </c>
      <c r="AA45" s="30"/>
      <c r="AB45" s="19">
        <v>8099</v>
      </c>
      <c r="AC45" s="29">
        <v>675</v>
      </c>
      <c r="AD45" s="30"/>
      <c r="AE45" s="31">
        <v>738</v>
      </c>
      <c r="AF45" s="30"/>
      <c r="AG45" s="25"/>
      <c r="AH45" s="25"/>
      <c r="AI45" s="25"/>
    </row>
    <row r="46" spans="1:35" ht="22.8" x14ac:dyDescent="0.3">
      <c r="A46" s="24">
        <v>50297</v>
      </c>
      <c r="B46" s="25" t="s">
        <v>117</v>
      </c>
      <c r="C46" s="26">
        <v>42186</v>
      </c>
      <c r="D46" s="26"/>
      <c r="E46" s="27" t="s">
        <v>43</v>
      </c>
      <c r="F46" s="16" t="s">
        <v>37</v>
      </c>
      <c r="G46" s="17" t="s">
        <v>38</v>
      </c>
      <c r="H46" s="17" t="s">
        <v>101</v>
      </c>
      <c r="I46" s="17"/>
      <c r="J46" s="17"/>
      <c r="K46" s="17"/>
      <c r="L46" s="17"/>
      <c r="M46" s="17">
        <v>0</v>
      </c>
      <c r="N46" s="28">
        <v>1</v>
      </c>
      <c r="O46" s="28">
        <v>50000</v>
      </c>
      <c r="P46" s="28">
        <v>100000</v>
      </c>
      <c r="Q46" s="17"/>
      <c r="R46" s="17"/>
      <c r="S46" s="12"/>
      <c r="T46" s="12" t="s">
        <v>39</v>
      </c>
      <c r="U46" s="17" t="s">
        <v>45</v>
      </c>
      <c r="V46" s="19">
        <f>VLOOKUP(A46,'2023 Stats'!$B$2:$D$192,3,FALSE)</f>
        <v>429</v>
      </c>
      <c r="W46" s="29">
        <v>107</v>
      </c>
      <c r="X46" s="30"/>
      <c r="Y46" s="19">
        <v>508</v>
      </c>
      <c r="Z46" s="29">
        <v>42</v>
      </c>
      <c r="AA46" s="30"/>
      <c r="AB46" s="19">
        <v>742</v>
      </c>
      <c r="AC46" s="29">
        <v>62</v>
      </c>
      <c r="AD46" s="30"/>
      <c r="AE46" s="31">
        <v>70</v>
      </c>
      <c r="AF46" s="30"/>
      <c r="AG46" s="25"/>
      <c r="AH46" s="25"/>
      <c r="AI46" s="25"/>
    </row>
    <row r="47" spans="1:35" ht="22.8" x14ac:dyDescent="0.3">
      <c r="A47" s="24">
        <v>50308</v>
      </c>
      <c r="B47" s="25" t="s">
        <v>118</v>
      </c>
      <c r="C47" s="26">
        <v>42186</v>
      </c>
      <c r="D47" s="26"/>
      <c r="E47" s="27" t="s">
        <v>43</v>
      </c>
      <c r="F47" s="16" t="s">
        <v>37</v>
      </c>
      <c r="G47" s="17" t="s">
        <v>38</v>
      </c>
      <c r="H47" s="40" t="s">
        <v>119</v>
      </c>
      <c r="I47" s="40" t="s">
        <v>120</v>
      </c>
      <c r="J47" s="40" t="s">
        <v>79</v>
      </c>
      <c r="K47" s="40">
        <v>8</v>
      </c>
      <c r="L47" s="17"/>
      <c r="M47" s="17">
        <v>0</v>
      </c>
      <c r="N47" s="28">
        <v>1</v>
      </c>
      <c r="O47" s="28">
        <v>50000</v>
      </c>
      <c r="P47" s="28">
        <v>100000</v>
      </c>
      <c r="Q47" s="17"/>
      <c r="R47" s="17"/>
      <c r="S47" s="12"/>
      <c r="T47" s="12" t="s">
        <v>39</v>
      </c>
      <c r="U47" s="17" t="s">
        <v>45</v>
      </c>
      <c r="V47" s="19">
        <f>VLOOKUP(A47,'2023 Stats'!$B$2:$D$192,3,FALSE)</f>
        <v>7829</v>
      </c>
      <c r="W47" s="29">
        <v>1957</v>
      </c>
      <c r="X47" s="30"/>
      <c r="Y47" s="19">
        <v>10873</v>
      </c>
      <c r="Z47" s="29">
        <v>906</v>
      </c>
      <c r="AA47" s="30"/>
      <c r="AB47" s="19">
        <v>12666</v>
      </c>
      <c r="AC47" s="29">
        <v>1056</v>
      </c>
      <c r="AD47" s="30"/>
      <c r="AE47" s="31">
        <v>1306</v>
      </c>
      <c r="AF47" s="30"/>
      <c r="AG47" s="25"/>
      <c r="AH47" s="25"/>
      <c r="AI47" s="25"/>
    </row>
    <row r="48" spans="1:35" ht="22.8" hidden="1" x14ac:dyDescent="0.3">
      <c r="A48" s="12">
        <v>50311</v>
      </c>
      <c r="B48" s="13" t="s">
        <v>121</v>
      </c>
      <c r="C48" s="14">
        <v>42186</v>
      </c>
      <c r="D48" s="14">
        <v>43145</v>
      </c>
      <c r="E48" s="15" t="s">
        <v>36</v>
      </c>
      <c r="F48" s="35" t="s">
        <v>37</v>
      </c>
      <c r="G48" s="12" t="s">
        <v>38</v>
      </c>
      <c r="H48" s="12"/>
      <c r="I48" s="12"/>
      <c r="J48" s="12"/>
      <c r="K48" s="12"/>
      <c r="L48" s="12"/>
      <c r="M48" s="17">
        <v>0</v>
      </c>
      <c r="N48" s="18">
        <v>1</v>
      </c>
      <c r="O48" s="18">
        <v>50000</v>
      </c>
      <c r="P48" s="18">
        <v>100000</v>
      </c>
      <c r="Q48" s="13"/>
      <c r="R48" s="13"/>
      <c r="S48" s="12"/>
      <c r="T48" s="12" t="s">
        <v>39</v>
      </c>
      <c r="U48" s="12" t="e">
        <v>#N/A</v>
      </c>
      <c r="V48" s="19" t="e">
        <f>VLOOKUP(A48,'2023 Stats'!$B$2:$D$192,3,FALSE)</f>
        <v>#N/A</v>
      </c>
      <c r="W48" s="20" t="e">
        <v>#N/A</v>
      </c>
      <c r="X48" s="21"/>
      <c r="Y48" s="22" t="e">
        <v>#N/A</v>
      </c>
      <c r="Z48" s="20" t="e">
        <v>#N/A</v>
      </c>
      <c r="AA48" s="21"/>
      <c r="AB48" s="22" t="e">
        <v>#N/A</v>
      </c>
      <c r="AC48" s="20"/>
      <c r="AD48" s="21"/>
      <c r="AE48" s="23" t="e">
        <v>#N/A</v>
      </c>
      <c r="AF48" s="21"/>
      <c r="AG48" s="13"/>
      <c r="AH48" s="13"/>
      <c r="AI48" s="13"/>
    </row>
    <row r="49" spans="1:35" ht="22.8" hidden="1" x14ac:dyDescent="0.3">
      <c r="A49" s="17">
        <v>50313</v>
      </c>
      <c r="B49" s="25" t="s">
        <v>122</v>
      </c>
      <c r="C49" s="26">
        <v>42186</v>
      </c>
      <c r="D49" s="26"/>
      <c r="E49" s="27" t="s">
        <v>36</v>
      </c>
      <c r="F49" s="16" t="s">
        <v>37</v>
      </c>
      <c r="G49" s="17" t="s">
        <v>38</v>
      </c>
      <c r="H49" s="17" t="s">
        <v>123</v>
      </c>
      <c r="I49" s="17"/>
      <c r="J49" s="17"/>
      <c r="K49" s="17"/>
      <c r="L49" s="17"/>
      <c r="M49" s="17">
        <v>10</v>
      </c>
      <c r="N49" s="28">
        <v>1</v>
      </c>
      <c r="O49" s="28">
        <v>50000</v>
      </c>
      <c r="P49" s="28">
        <v>100000</v>
      </c>
      <c r="Q49" s="17"/>
      <c r="R49" s="17"/>
      <c r="S49" s="17"/>
      <c r="T49" s="17" t="s">
        <v>39</v>
      </c>
      <c r="U49" s="17" t="s">
        <v>124</v>
      </c>
      <c r="V49" s="19" t="e">
        <f>VLOOKUP(A49,'2023 Stats'!$B$2:$D$192,3,FALSE)</f>
        <v>#N/A</v>
      </c>
      <c r="W49" s="29" t="e">
        <v>#N/A</v>
      </c>
      <c r="X49" s="30"/>
      <c r="Y49" s="19">
        <v>3</v>
      </c>
      <c r="Z49" s="29">
        <v>0</v>
      </c>
      <c r="AA49" s="30"/>
      <c r="AB49" s="19">
        <v>4</v>
      </c>
      <c r="AC49" s="29">
        <v>0</v>
      </c>
      <c r="AD49" s="30"/>
      <c r="AE49" s="31" t="e">
        <v>#N/A</v>
      </c>
      <c r="AF49" s="30"/>
      <c r="AG49" s="25"/>
      <c r="AH49" s="25"/>
      <c r="AI49" s="25"/>
    </row>
    <row r="50" spans="1:35" ht="22.8" x14ac:dyDescent="0.3">
      <c r="A50" s="24">
        <v>50314</v>
      </c>
      <c r="B50" s="25" t="s">
        <v>125</v>
      </c>
      <c r="C50" s="26">
        <v>42186</v>
      </c>
      <c r="D50" s="26"/>
      <c r="E50" s="27" t="s">
        <v>43</v>
      </c>
      <c r="F50" s="16" t="s">
        <v>37</v>
      </c>
      <c r="G50" s="17" t="s">
        <v>38</v>
      </c>
      <c r="H50" s="17" t="s">
        <v>64</v>
      </c>
      <c r="I50" s="17"/>
      <c r="J50" s="17"/>
      <c r="K50" s="17"/>
      <c r="L50" s="17"/>
      <c r="M50" s="17">
        <v>30</v>
      </c>
      <c r="N50" s="28">
        <v>1</v>
      </c>
      <c r="O50" s="28">
        <v>50000</v>
      </c>
      <c r="P50" s="28">
        <v>100000</v>
      </c>
      <c r="Q50" s="17"/>
      <c r="R50" s="17"/>
      <c r="S50" s="12"/>
      <c r="T50" s="12" t="s">
        <v>39</v>
      </c>
      <c r="U50" s="17" t="s">
        <v>45</v>
      </c>
      <c r="V50" s="19">
        <f>VLOOKUP(A50,'2023 Stats'!$B$2:$D$192,3,FALSE)</f>
        <v>1646</v>
      </c>
      <c r="W50" s="29">
        <v>412</v>
      </c>
      <c r="X50" s="30"/>
      <c r="Y50" s="19">
        <v>1698</v>
      </c>
      <c r="Z50" s="29">
        <v>142</v>
      </c>
      <c r="AA50" s="30"/>
      <c r="AB50" s="19">
        <v>3345</v>
      </c>
      <c r="AC50" s="29">
        <v>279</v>
      </c>
      <c r="AD50" s="30"/>
      <c r="AE50" s="31">
        <v>277</v>
      </c>
      <c r="AF50" s="30"/>
      <c r="AG50" s="25"/>
      <c r="AH50" s="25"/>
      <c r="AI50" s="25"/>
    </row>
    <row r="51" spans="1:35" ht="22.8" hidden="1" x14ac:dyDescent="0.3">
      <c r="A51" s="12">
        <v>50315</v>
      </c>
      <c r="B51" s="13" t="s">
        <v>126</v>
      </c>
      <c r="C51" s="14">
        <v>42186</v>
      </c>
      <c r="D51" s="14"/>
      <c r="E51" s="15" t="s">
        <v>36</v>
      </c>
      <c r="F51" s="35" t="s">
        <v>37</v>
      </c>
      <c r="G51" s="12" t="s">
        <v>38</v>
      </c>
      <c r="H51" s="17" t="s">
        <v>64</v>
      </c>
      <c r="I51" s="17"/>
      <c r="J51" s="12"/>
      <c r="K51" s="12"/>
      <c r="L51" s="12"/>
      <c r="M51" s="17">
        <v>30</v>
      </c>
      <c r="N51" s="18">
        <v>0</v>
      </c>
      <c r="O51" s="18">
        <v>0</v>
      </c>
      <c r="P51" s="18">
        <v>100000</v>
      </c>
      <c r="Q51" s="13"/>
      <c r="R51" s="13"/>
      <c r="S51" s="12"/>
      <c r="T51" s="12" t="s">
        <v>39</v>
      </c>
      <c r="U51" s="12" t="s">
        <v>45</v>
      </c>
      <c r="V51" s="19">
        <f>VLOOKUP(A51,'2023 Stats'!$B$2:$D$192,3,FALSE)</f>
        <v>59</v>
      </c>
      <c r="W51" s="20">
        <v>15</v>
      </c>
      <c r="X51" s="21"/>
      <c r="Y51" s="22">
        <v>62</v>
      </c>
      <c r="Z51" s="20">
        <v>5</v>
      </c>
      <c r="AA51" s="21"/>
      <c r="AB51" s="22">
        <v>225</v>
      </c>
      <c r="AC51" s="20">
        <v>19</v>
      </c>
      <c r="AD51" s="21"/>
      <c r="AE51" s="23">
        <v>13</v>
      </c>
      <c r="AF51" s="21"/>
      <c r="AG51" s="13"/>
      <c r="AH51" s="13"/>
      <c r="AI51" s="13"/>
    </row>
    <row r="52" spans="1:35" ht="22.8" x14ac:dyDescent="0.3">
      <c r="A52" s="24">
        <v>50316</v>
      </c>
      <c r="B52" s="25" t="s">
        <v>127</v>
      </c>
      <c r="C52" s="26">
        <v>42186</v>
      </c>
      <c r="D52" s="26"/>
      <c r="E52" s="27" t="s">
        <v>43</v>
      </c>
      <c r="F52" s="16" t="s">
        <v>37</v>
      </c>
      <c r="G52" s="17" t="s">
        <v>38</v>
      </c>
      <c r="H52" s="17" t="s">
        <v>64</v>
      </c>
      <c r="I52" s="17"/>
      <c r="J52" s="17"/>
      <c r="K52" s="17"/>
      <c r="L52" s="17"/>
      <c r="M52" s="17">
        <v>30</v>
      </c>
      <c r="N52" s="28">
        <v>1</v>
      </c>
      <c r="O52" s="28">
        <v>50000</v>
      </c>
      <c r="P52" s="28">
        <v>100000</v>
      </c>
      <c r="Q52" s="17"/>
      <c r="R52" s="17"/>
      <c r="S52" s="12"/>
      <c r="T52" s="12" t="s">
        <v>39</v>
      </c>
      <c r="U52" s="17" t="s">
        <v>45</v>
      </c>
      <c r="V52" s="19">
        <f>VLOOKUP(A52,'2023 Stats'!$B$2:$D$192,3,FALSE)</f>
        <v>591</v>
      </c>
      <c r="W52" s="29">
        <v>148</v>
      </c>
      <c r="X52" s="30"/>
      <c r="Y52" s="19">
        <v>439</v>
      </c>
      <c r="Z52" s="29">
        <v>37</v>
      </c>
      <c r="AA52" s="30"/>
      <c r="AB52" s="19">
        <v>1582</v>
      </c>
      <c r="AC52" s="29">
        <v>132</v>
      </c>
      <c r="AD52" s="30"/>
      <c r="AE52" s="31">
        <v>105</v>
      </c>
      <c r="AF52" s="30"/>
      <c r="AG52" s="25"/>
      <c r="AH52" s="25"/>
      <c r="AI52" s="25"/>
    </row>
    <row r="53" spans="1:35" ht="22.8" hidden="1" x14ac:dyDescent="0.3">
      <c r="A53" s="17">
        <v>50325</v>
      </c>
      <c r="B53" s="25" t="s">
        <v>128</v>
      </c>
      <c r="C53" s="26">
        <v>42186</v>
      </c>
      <c r="D53" s="26"/>
      <c r="E53" s="27" t="s">
        <v>36</v>
      </c>
      <c r="F53" s="16" t="s">
        <v>37</v>
      </c>
      <c r="G53" s="17" t="s">
        <v>38</v>
      </c>
      <c r="H53" s="17" t="s">
        <v>123</v>
      </c>
      <c r="I53" s="17"/>
      <c r="J53" s="17"/>
      <c r="K53" s="17"/>
      <c r="L53" s="17"/>
      <c r="M53" s="17">
        <v>0</v>
      </c>
      <c r="N53" s="28">
        <v>0</v>
      </c>
      <c r="O53" s="28">
        <v>0</v>
      </c>
      <c r="P53" s="28">
        <v>100000</v>
      </c>
      <c r="Q53" s="17"/>
      <c r="R53" s="17"/>
      <c r="S53" s="17"/>
      <c r="T53" s="17" t="s">
        <v>39</v>
      </c>
      <c r="U53" s="17" t="e">
        <v>#N/A</v>
      </c>
      <c r="V53" s="19" t="e">
        <f>VLOOKUP(A53,'2023 Stats'!$B$2:$D$192,3,FALSE)</f>
        <v>#N/A</v>
      </c>
      <c r="W53" s="29" t="e">
        <v>#N/A</v>
      </c>
      <c r="X53" s="30"/>
      <c r="Y53" s="19" t="e">
        <v>#N/A</v>
      </c>
      <c r="Z53" s="29" t="e">
        <v>#N/A</v>
      </c>
      <c r="AA53" s="30"/>
      <c r="AB53" s="19" t="e">
        <v>#N/A</v>
      </c>
      <c r="AC53" s="29"/>
      <c r="AD53" s="30"/>
      <c r="AE53" s="31" t="e">
        <v>#N/A</v>
      </c>
      <c r="AF53" s="30"/>
      <c r="AG53" s="25"/>
      <c r="AH53" s="25"/>
      <c r="AI53" s="25"/>
    </row>
    <row r="54" spans="1:35" ht="22.8" x14ac:dyDescent="0.3">
      <c r="A54" s="24">
        <v>50328</v>
      </c>
      <c r="B54" s="25" t="s">
        <v>129</v>
      </c>
      <c r="C54" s="26">
        <v>42186</v>
      </c>
      <c r="D54" s="26"/>
      <c r="E54" s="27" t="s">
        <v>43</v>
      </c>
      <c r="F54" s="16" t="s">
        <v>37</v>
      </c>
      <c r="G54" s="17" t="s">
        <v>38</v>
      </c>
      <c r="H54" s="40" t="s">
        <v>103</v>
      </c>
      <c r="I54" s="17"/>
      <c r="J54" s="17"/>
      <c r="K54" s="17"/>
      <c r="L54" s="17"/>
      <c r="M54" s="17">
        <v>10</v>
      </c>
      <c r="N54" s="28">
        <v>1</v>
      </c>
      <c r="O54" s="28">
        <v>50000</v>
      </c>
      <c r="P54" s="28">
        <v>100000</v>
      </c>
      <c r="Q54" s="17"/>
      <c r="R54" s="17"/>
      <c r="S54" s="12"/>
      <c r="T54" s="12" t="s">
        <v>39</v>
      </c>
      <c r="U54" s="17" t="s">
        <v>45</v>
      </c>
      <c r="V54" s="19">
        <f>VLOOKUP(A54,'2023 Stats'!$B$2:$D$192,3,FALSE)</f>
        <v>2680</v>
      </c>
      <c r="W54" s="29">
        <v>670</v>
      </c>
      <c r="X54" s="30"/>
      <c r="Y54" s="19">
        <v>3933</v>
      </c>
      <c r="Z54" s="29">
        <v>328</v>
      </c>
      <c r="AA54" s="30"/>
      <c r="AB54" s="19">
        <v>3419</v>
      </c>
      <c r="AC54" s="29">
        <v>285</v>
      </c>
      <c r="AD54" s="30"/>
      <c r="AE54" s="31">
        <v>428</v>
      </c>
      <c r="AF54" s="30"/>
      <c r="AG54" s="25"/>
      <c r="AH54" s="25"/>
      <c r="AI54" s="25"/>
    </row>
    <row r="55" spans="1:35" ht="22.8" x14ac:dyDescent="0.3">
      <c r="A55" s="24">
        <v>50329</v>
      </c>
      <c r="B55" s="25" t="s">
        <v>130</v>
      </c>
      <c r="C55" s="26">
        <v>42186</v>
      </c>
      <c r="D55" s="26"/>
      <c r="E55" s="27" t="s">
        <v>43</v>
      </c>
      <c r="F55" s="16" t="s">
        <v>37</v>
      </c>
      <c r="G55" s="17" t="s">
        <v>38</v>
      </c>
      <c r="H55" s="40" t="s">
        <v>103</v>
      </c>
      <c r="I55" s="40" t="s">
        <v>71</v>
      </c>
      <c r="J55" s="40" t="s">
        <v>72</v>
      </c>
      <c r="K55" s="40">
        <v>14</v>
      </c>
      <c r="L55" s="17"/>
      <c r="M55" s="17">
        <v>10</v>
      </c>
      <c r="N55" s="28">
        <v>1</v>
      </c>
      <c r="O55" s="28">
        <v>50000</v>
      </c>
      <c r="P55" s="28">
        <v>100000</v>
      </c>
      <c r="Q55" s="17"/>
      <c r="R55" s="17"/>
      <c r="S55" s="12"/>
      <c r="T55" s="12" t="s">
        <v>39</v>
      </c>
      <c r="U55" s="17" t="s">
        <v>45</v>
      </c>
      <c r="V55" s="19">
        <f>VLOOKUP(A55,'2023 Stats'!$B$2:$D$192,3,FALSE)</f>
        <v>21710</v>
      </c>
      <c r="W55" s="29">
        <v>5428</v>
      </c>
      <c r="X55" s="30"/>
      <c r="Y55" s="19">
        <v>38695</v>
      </c>
      <c r="Z55" s="29">
        <v>3225</v>
      </c>
      <c r="AA55" s="30"/>
      <c r="AB55" s="19">
        <v>31607</v>
      </c>
      <c r="AC55" s="29">
        <v>2634</v>
      </c>
      <c r="AD55" s="30"/>
      <c r="AE55" s="31">
        <v>3762</v>
      </c>
      <c r="AF55" s="30"/>
      <c r="AG55" s="25"/>
      <c r="AH55" s="25"/>
      <c r="AI55" s="25"/>
    </row>
    <row r="56" spans="1:35" ht="22.8" x14ac:dyDescent="0.3">
      <c r="A56" s="24">
        <v>50348</v>
      </c>
      <c r="B56" s="25" t="s">
        <v>131</v>
      </c>
      <c r="C56" s="26">
        <v>42186</v>
      </c>
      <c r="D56" s="26"/>
      <c r="E56" s="27" t="s">
        <v>43</v>
      </c>
      <c r="F56" s="16" t="s">
        <v>37</v>
      </c>
      <c r="G56" s="17" t="s">
        <v>38</v>
      </c>
      <c r="H56" s="40" t="s">
        <v>77</v>
      </c>
      <c r="I56" s="17"/>
      <c r="J56" s="17"/>
      <c r="K56" s="17"/>
      <c r="L56" s="17"/>
      <c r="M56" s="17">
        <v>10</v>
      </c>
      <c r="N56" s="28">
        <v>1</v>
      </c>
      <c r="O56" s="28">
        <v>50000</v>
      </c>
      <c r="P56" s="28">
        <v>100000</v>
      </c>
      <c r="Q56" s="17"/>
      <c r="R56" s="17"/>
      <c r="S56" s="12"/>
      <c r="T56" s="12" t="s">
        <v>39</v>
      </c>
      <c r="U56" s="17" t="s">
        <v>45</v>
      </c>
      <c r="V56" s="19">
        <f>VLOOKUP(A56,'2023 Stats'!$B$2:$D$192,3,FALSE)</f>
        <v>949</v>
      </c>
      <c r="W56" s="29">
        <v>237</v>
      </c>
      <c r="X56" s="30"/>
      <c r="Y56" s="19">
        <v>1357</v>
      </c>
      <c r="Z56" s="29">
        <v>113</v>
      </c>
      <c r="AA56" s="30"/>
      <c r="AB56" s="19">
        <v>2678</v>
      </c>
      <c r="AC56" s="29">
        <v>223</v>
      </c>
      <c r="AD56" s="30"/>
      <c r="AE56" s="31">
        <v>191</v>
      </c>
      <c r="AF56" s="30"/>
      <c r="AG56" s="25"/>
      <c r="AH56" s="25"/>
      <c r="AI56" s="25"/>
    </row>
    <row r="57" spans="1:35" ht="22.8" hidden="1" x14ac:dyDescent="0.3">
      <c r="A57" s="12">
        <v>50355</v>
      </c>
      <c r="B57" s="13" t="s">
        <v>132</v>
      </c>
      <c r="C57" s="14">
        <v>42186</v>
      </c>
      <c r="D57" s="14"/>
      <c r="E57" s="15" t="s">
        <v>36</v>
      </c>
      <c r="F57" s="16" t="s">
        <v>37</v>
      </c>
      <c r="G57" s="12" t="s">
        <v>84</v>
      </c>
      <c r="H57" s="12"/>
      <c r="I57" s="12"/>
      <c r="J57" s="12"/>
      <c r="K57" s="12"/>
      <c r="L57" s="12"/>
      <c r="M57" s="17">
        <v>0</v>
      </c>
      <c r="N57" s="18">
        <v>0</v>
      </c>
      <c r="O57" s="18">
        <v>0</v>
      </c>
      <c r="P57" s="18">
        <v>100000</v>
      </c>
      <c r="Q57" s="13"/>
      <c r="R57" s="13"/>
      <c r="S57" s="12"/>
      <c r="T57" s="12" t="s">
        <v>39</v>
      </c>
      <c r="U57" s="12" t="e">
        <v>#N/A</v>
      </c>
      <c r="V57" s="19" t="e">
        <f>VLOOKUP(A57,'2023 Stats'!$B$2:$D$192,3,FALSE)</f>
        <v>#N/A</v>
      </c>
      <c r="W57" s="20" t="e">
        <v>#N/A</v>
      </c>
      <c r="X57" s="21"/>
      <c r="Y57" s="22" t="e">
        <v>#N/A</v>
      </c>
      <c r="Z57" s="20" t="e">
        <v>#N/A</v>
      </c>
      <c r="AA57" s="21"/>
      <c r="AB57" s="22" t="e">
        <v>#N/A</v>
      </c>
      <c r="AC57" s="20"/>
      <c r="AD57" s="21"/>
      <c r="AE57" s="23" t="e">
        <v>#N/A</v>
      </c>
      <c r="AF57" s="21"/>
      <c r="AG57" s="13"/>
      <c r="AH57" s="13"/>
      <c r="AI57" s="13"/>
    </row>
    <row r="58" spans="1:35" ht="22.8" hidden="1" x14ac:dyDescent="0.3">
      <c r="A58" s="12">
        <v>50356</v>
      </c>
      <c r="B58" s="13" t="s">
        <v>133</v>
      </c>
      <c r="C58" s="14">
        <v>42186</v>
      </c>
      <c r="D58" s="14"/>
      <c r="E58" s="15" t="s">
        <v>36</v>
      </c>
      <c r="F58" s="16" t="s">
        <v>37</v>
      </c>
      <c r="G58" s="12" t="s">
        <v>84</v>
      </c>
      <c r="H58" s="12"/>
      <c r="I58" s="12"/>
      <c r="J58" s="12"/>
      <c r="K58" s="12"/>
      <c r="L58" s="12"/>
      <c r="M58" s="17">
        <v>0</v>
      </c>
      <c r="N58" s="18">
        <v>0</v>
      </c>
      <c r="O58" s="18">
        <v>0</v>
      </c>
      <c r="P58" s="18">
        <v>100000</v>
      </c>
      <c r="Q58" s="13"/>
      <c r="R58" s="13"/>
      <c r="S58" s="12"/>
      <c r="T58" s="12" t="s">
        <v>39</v>
      </c>
      <c r="U58" s="12" t="e">
        <v>#N/A</v>
      </c>
      <c r="V58" s="19" t="e">
        <f>VLOOKUP(A58,'2023 Stats'!$B$2:$D$192,3,FALSE)</f>
        <v>#N/A</v>
      </c>
      <c r="W58" s="20" t="e">
        <v>#N/A</v>
      </c>
      <c r="X58" s="21"/>
      <c r="Y58" s="22" t="e">
        <v>#N/A</v>
      </c>
      <c r="Z58" s="20" t="e">
        <v>#N/A</v>
      </c>
      <c r="AA58" s="21"/>
      <c r="AB58" s="22" t="e">
        <v>#N/A</v>
      </c>
      <c r="AC58" s="20"/>
      <c r="AD58" s="21"/>
      <c r="AE58" s="23" t="e">
        <v>#N/A</v>
      </c>
      <c r="AF58" s="21"/>
      <c r="AG58" s="13"/>
      <c r="AH58" s="13"/>
      <c r="AI58" s="13"/>
    </row>
    <row r="59" spans="1:35" ht="22.8" hidden="1" x14ac:dyDescent="0.3">
      <c r="A59" s="12">
        <v>50357</v>
      </c>
      <c r="B59" s="13" t="s">
        <v>134</v>
      </c>
      <c r="C59" s="14">
        <v>42186</v>
      </c>
      <c r="D59" s="14"/>
      <c r="E59" s="15" t="s">
        <v>36</v>
      </c>
      <c r="F59" s="35" t="s">
        <v>37</v>
      </c>
      <c r="G59" s="12" t="s">
        <v>38</v>
      </c>
      <c r="H59" s="17" t="s">
        <v>64</v>
      </c>
      <c r="I59" s="17"/>
      <c r="J59" s="12"/>
      <c r="K59" s="12"/>
      <c r="L59" s="12"/>
      <c r="M59" s="17">
        <v>30</v>
      </c>
      <c r="N59" s="18">
        <v>0</v>
      </c>
      <c r="O59" s="18">
        <v>0</v>
      </c>
      <c r="P59" s="18">
        <v>100000</v>
      </c>
      <c r="Q59" s="13"/>
      <c r="R59" s="13"/>
      <c r="S59" s="12"/>
      <c r="T59" s="12" t="s">
        <v>39</v>
      </c>
      <c r="U59" s="12" t="s">
        <v>45</v>
      </c>
      <c r="V59" s="19">
        <f>VLOOKUP(A59,'2023 Stats'!$B$2:$D$192,3,FALSE)</f>
        <v>18</v>
      </c>
      <c r="W59" s="20">
        <v>5</v>
      </c>
      <c r="X59" s="21"/>
      <c r="Y59" s="22">
        <v>1</v>
      </c>
      <c r="Z59" s="20">
        <v>0</v>
      </c>
      <c r="AA59" s="21"/>
      <c r="AB59" s="22">
        <v>20</v>
      </c>
      <c r="AC59" s="20">
        <v>2</v>
      </c>
      <c r="AD59" s="21"/>
      <c r="AE59" s="23">
        <v>2</v>
      </c>
      <c r="AF59" s="21"/>
      <c r="AG59" s="13"/>
      <c r="AH59" s="13"/>
      <c r="AI59" s="13"/>
    </row>
    <row r="60" spans="1:35" ht="22.8" hidden="1" x14ac:dyDescent="0.3">
      <c r="A60" s="12">
        <v>50366</v>
      </c>
      <c r="B60" s="13" t="s">
        <v>135</v>
      </c>
      <c r="C60" s="14">
        <v>42186</v>
      </c>
      <c r="D60" s="14"/>
      <c r="E60" s="15" t="s">
        <v>36</v>
      </c>
      <c r="F60" s="16" t="s">
        <v>37</v>
      </c>
      <c r="G60" s="12" t="s">
        <v>38</v>
      </c>
      <c r="H60" s="12"/>
      <c r="I60" s="12"/>
      <c r="J60" s="12"/>
      <c r="K60" s="12"/>
      <c r="L60" s="12"/>
      <c r="M60" s="17">
        <v>0</v>
      </c>
      <c r="N60" s="18">
        <v>0</v>
      </c>
      <c r="O60" s="18">
        <v>0</v>
      </c>
      <c r="P60" s="18">
        <v>100000</v>
      </c>
      <c r="Q60" s="13"/>
      <c r="R60" s="13"/>
      <c r="S60" s="12"/>
      <c r="T60" s="12" t="s">
        <v>39</v>
      </c>
      <c r="U60" s="12" t="e">
        <v>#N/A</v>
      </c>
      <c r="V60" s="19" t="e">
        <f>VLOOKUP(A60,'2023 Stats'!$B$2:$D$192,3,FALSE)</f>
        <v>#N/A</v>
      </c>
      <c r="W60" s="20" t="e">
        <v>#N/A</v>
      </c>
      <c r="X60" s="21"/>
      <c r="Y60" s="22" t="e">
        <v>#N/A</v>
      </c>
      <c r="Z60" s="20" t="e">
        <v>#N/A</v>
      </c>
      <c r="AA60" s="21"/>
      <c r="AB60" s="22" t="e">
        <v>#N/A</v>
      </c>
      <c r="AC60" s="20"/>
      <c r="AD60" s="21"/>
      <c r="AE60" s="23" t="e">
        <v>#N/A</v>
      </c>
      <c r="AF60" s="21"/>
      <c r="AG60" s="13"/>
      <c r="AH60" s="13"/>
      <c r="AI60" s="13"/>
    </row>
    <row r="61" spans="1:35" ht="22.8" hidden="1" x14ac:dyDescent="0.3">
      <c r="A61" s="12">
        <v>50370</v>
      </c>
      <c r="B61" s="13" t="s">
        <v>136</v>
      </c>
      <c r="C61" s="14">
        <v>42186</v>
      </c>
      <c r="D61" s="14">
        <v>44909</v>
      </c>
      <c r="E61" s="15" t="s">
        <v>36</v>
      </c>
      <c r="F61" s="16" t="s">
        <v>37</v>
      </c>
      <c r="G61" s="12" t="s">
        <v>38</v>
      </c>
      <c r="H61" s="12"/>
      <c r="I61" s="12"/>
      <c r="J61" s="12"/>
      <c r="K61" s="12"/>
      <c r="L61" s="12"/>
      <c r="M61" s="17">
        <v>0</v>
      </c>
      <c r="N61" s="18">
        <v>1</v>
      </c>
      <c r="O61" s="18">
        <v>50000</v>
      </c>
      <c r="P61" s="18">
        <v>100000</v>
      </c>
      <c r="Q61" s="13"/>
      <c r="R61" s="13"/>
      <c r="S61" s="12"/>
      <c r="T61" s="12" t="s">
        <v>39</v>
      </c>
      <c r="U61" s="12">
        <v>44895</v>
      </c>
      <c r="V61" s="19" t="e">
        <f>VLOOKUP(A61,'2023 Stats'!$B$2:$D$192,3,FALSE)</f>
        <v>#N/A</v>
      </c>
      <c r="W61" s="20" t="e">
        <v>#N/A</v>
      </c>
      <c r="X61" s="21"/>
      <c r="Y61" s="22">
        <v>35</v>
      </c>
      <c r="Z61" s="20">
        <v>3</v>
      </c>
      <c r="AA61" s="21"/>
      <c r="AB61" s="22">
        <v>38</v>
      </c>
      <c r="AC61" s="20">
        <v>3</v>
      </c>
      <c r="AD61" s="21"/>
      <c r="AE61" s="23" t="e">
        <v>#N/A</v>
      </c>
      <c r="AF61" s="21"/>
      <c r="AG61" s="13"/>
      <c r="AH61" s="13"/>
      <c r="AI61" s="13"/>
    </row>
    <row r="62" spans="1:35" ht="22.8" hidden="1" x14ac:dyDescent="0.3">
      <c r="A62" s="17">
        <v>50376</v>
      </c>
      <c r="B62" s="25" t="s">
        <v>137</v>
      </c>
      <c r="C62" s="26">
        <v>42186</v>
      </c>
      <c r="D62" s="26"/>
      <c r="E62" s="27" t="s">
        <v>36</v>
      </c>
      <c r="F62" s="16" t="s">
        <v>37</v>
      </c>
      <c r="G62" s="17" t="s">
        <v>84</v>
      </c>
      <c r="H62" s="40" t="s">
        <v>85</v>
      </c>
      <c r="I62" s="40" t="s">
        <v>120</v>
      </c>
      <c r="J62" s="40" t="s">
        <v>79</v>
      </c>
      <c r="K62" s="40">
        <v>12</v>
      </c>
      <c r="L62" s="17"/>
      <c r="M62" s="17">
        <v>10</v>
      </c>
      <c r="N62" s="28">
        <v>0</v>
      </c>
      <c r="O62" s="28">
        <v>0</v>
      </c>
      <c r="P62" s="28">
        <v>100000</v>
      </c>
      <c r="Q62" s="17" t="s">
        <v>39</v>
      </c>
      <c r="R62" s="17" t="s">
        <v>39</v>
      </c>
      <c r="S62" s="17"/>
      <c r="T62" s="17" t="s">
        <v>39</v>
      </c>
      <c r="U62" s="17" t="s">
        <v>45</v>
      </c>
      <c r="V62" s="19">
        <f>VLOOKUP(A62,'2023 Stats'!$B$2:$D$192,3,FALSE)</f>
        <v>31772</v>
      </c>
      <c r="W62" s="29">
        <v>7943</v>
      </c>
      <c r="X62" s="30"/>
      <c r="Y62" s="19">
        <v>52042</v>
      </c>
      <c r="Z62" s="29">
        <v>4337</v>
      </c>
      <c r="AA62" s="30"/>
      <c r="AB62" s="19">
        <v>78230</v>
      </c>
      <c r="AC62" s="29">
        <v>6519</v>
      </c>
      <c r="AD62" s="30">
        <v>7</v>
      </c>
      <c r="AE62" s="31">
        <v>6266</v>
      </c>
      <c r="AF62" s="30"/>
      <c r="AG62" s="25"/>
      <c r="AH62" s="25"/>
      <c r="AI62" s="25"/>
    </row>
    <row r="63" spans="1:35" ht="22.8" hidden="1" x14ac:dyDescent="0.3">
      <c r="A63" s="12">
        <v>50386</v>
      </c>
      <c r="B63" s="13" t="s">
        <v>138</v>
      </c>
      <c r="C63" s="14">
        <v>42186</v>
      </c>
      <c r="D63" s="14">
        <v>44556</v>
      </c>
      <c r="E63" s="15" t="s">
        <v>36</v>
      </c>
      <c r="F63" s="16" t="s">
        <v>37</v>
      </c>
      <c r="G63" s="12" t="s">
        <v>38</v>
      </c>
      <c r="H63" s="12"/>
      <c r="I63" s="12"/>
      <c r="J63" s="12"/>
      <c r="K63" s="12"/>
      <c r="L63" s="12"/>
      <c r="M63" s="17">
        <v>0</v>
      </c>
      <c r="N63" s="18">
        <v>1</v>
      </c>
      <c r="O63" s="18">
        <v>50000</v>
      </c>
      <c r="P63" s="18">
        <v>100000</v>
      </c>
      <c r="Q63" s="13"/>
      <c r="R63" s="13"/>
      <c r="S63" s="12"/>
      <c r="T63" s="12" t="s">
        <v>39</v>
      </c>
      <c r="U63" s="12">
        <v>44555</v>
      </c>
      <c r="V63" s="19" t="e">
        <f>VLOOKUP(A63,'2023 Stats'!$B$2:$D$192,3,FALSE)</f>
        <v>#N/A</v>
      </c>
      <c r="W63" s="20" t="e">
        <v>#N/A</v>
      </c>
      <c r="X63" s="21"/>
      <c r="Y63" s="22" t="e">
        <v>#N/A</v>
      </c>
      <c r="Z63" s="20" t="e">
        <v>#N/A</v>
      </c>
      <c r="AA63" s="21"/>
      <c r="AB63" s="22">
        <v>17317</v>
      </c>
      <c r="AC63" s="20">
        <v>1443</v>
      </c>
      <c r="AD63" s="21"/>
      <c r="AE63" s="23" t="e">
        <v>#N/A</v>
      </c>
      <c r="AF63" s="21"/>
      <c r="AG63" s="13"/>
      <c r="AH63" s="13"/>
      <c r="AI63" s="13"/>
    </row>
    <row r="64" spans="1:35" ht="22.8" hidden="1" x14ac:dyDescent="0.3">
      <c r="A64" s="12">
        <v>50386</v>
      </c>
      <c r="B64" s="13" t="s">
        <v>138</v>
      </c>
      <c r="C64" s="43">
        <v>42011</v>
      </c>
      <c r="D64" s="14"/>
      <c r="E64" s="15" t="s">
        <v>36</v>
      </c>
      <c r="F64" s="16" t="s">
        <v>37</v>
      </c>
      <c r="G64" s="12"/>
      <c r="H64" s="17"/>
      <c r="I64" s="17"/>
      <c r="J64" s="12"/>
      <c r="K64" s="12"/>
      <c r="L64" s="44"/>
      <c r="M64" s="45">
        <v>0</v>
      </c>
      <c r="N64" s="18">
        <v>0</v>
      </c>
      <c r="O64" s="18">
        <v>0</v>
      </c>
      <c r="P64" s="18">
        <v>100000</v>
      </c>
      <c r="Q64" s="23" t="s">
        <v>139</v>
      </c>
      <c r="R64" s="13"/>
      <c r="S64" s="13"/>
      <c r="T64" s="13"/>
      <c r="U64" s="46"/>
      <c r="V64" s="19" t="e">
        <f>VLOOKUP(A64,'2023 Stats'!$B$2:$D$192,3,FALSE)</f>
        <v>#N/A</v>
      </c>
      <c r="W64" s="20"/>
      <c r="X64" s="21"/>
      <c r="Y64" s="22" t="s">
        <v>139</v>
      </c>
      <c r="Z64" s="20"/>
      <c r="AA64" s="21"/>
      <c r="AB64" s="22" t="s">
        <v>139</v>
      </c>
      <c r="AC64" s="20"/>
      <c r="AD64" s="21"/>
      <c r="AE64" s="23" t="s">
        <v>139</v>
      </c>
      <c r="AF64" s="21"/>
      <c r="AG64" s="13"/>
      <c r="AH64" s="13"/>
      <c r="AI64" s="13"/>
    </row>
    <row r="65" spans="1:35" ht="22.8" x14ac:dyDescent="0.3">
      <c r="A65" s="24">
        <v>50387</v>
      </c>
      <c r="B65" s="25" t="s">
        <v>140</v>
      </c>
      <c r="C65" s="26">
        <v>42186</v>
      </c>
      <c r="D65" s="26"/>
      <c r="E65" s="27" t="s">
        <v>43</v>
      </c>
      <c r="F65" s="16" t="s">
        <v>37</v>
      </c>
      <c r="G65" s="17" t="s">
        <v>84</v>
      </c>
      <c r="H65" s="40" t="s">
        <v>85</v>
      </c>
      <c r="I65" s="17"/>
      <c r="J65" s="17"/>
      <c r="K65" s="17"/>
      <c r="L65" s="17"/>
      <c r="M65" s="17">
        <v>10</v>
      </c>
      <c r="N65" s="28">
        <v>1</v>
      </c>
      <c r="O65" s="28">
        <v>50000</v>
      </c>
      <c r="P65" s="28">
        <v>100000</v>
      </c>
      <c r="Q65" s="17" t="s">
        <v>39</v>
      </c>
      <c r="R65" s="17" t="s">
        <v>39</v>
      </c>
      <c r="S65" s="12" t="s">
        <v>82</v>
      </c>
      <c r="T65" s="12" t="s">
        <v>39</v>
      </c>
      <c r="U65" s="17" t="s">
        <v>45</v>
      </c>
      <c r="V65" s="19">
        <f>VLOOKUP(A65,'2023 Stats'!$B$2:$D$192,3,FALSE)</f>
        <v>2206</v>
      </c>
      <c r="W65" s="29">
        <v>552</v>
      </c>
      <c r="X65" s="30"/>
      <c r="Y65" s="19">
        <v>2247</v>
      </c>
      <c r="Z65" s="29">
        <v>187</v>
      </c>
      <c r="AA65" s="30"/>
      <c r="AB65" s="19">
        <v>3915</v>
      </c>
      <c r="AC65" s="29">
        <v>326</v>
      </c>
      <c r="AD65" s="30"/>
      <c r="AE65" s="31">
        <v>355</v>
      </c>
      <c r="AF65" s="30"/>
      <c r="AG65" s="25"/>
      <c r="AH65" s="25"/>
      <c r="AI65" s="25"/>
    </row>
    <row r="66" spans="1:35" ht="22.8" x14ac:dyDescent="0.3">
      <c r="A66" s="24">
        <v>50395</v>
      </c>
      <c r="B66" s="25" t="s">
        <v>141</v>
      </c>
      <c r="C66" s="26">
        <v>42186</v>
      </c>
      <c r="D66" s="26"/>
      <c r="E66" s="27" t="s">
        <v>43</v>
      </c>
      <c r="F66" s="16" t="s">
        <v>37</v>
      </c>
      <c r="G66" s="17" t="s">
        <v>38</v>
      </c>
      <c r="H66" s="40" t="s">
        <v>77</v>
      </c>
      <c r="I66" s="17"/>
      <c r="J66" s="17"/>
      <c r="K66" s="17"/>
      <c r="L66" s="17"/>
      <c r="M66" s="17">
        <v>10</v>
      </c>
      <c r="N66" s="28">
        <v>1</v>
      </c>
      <c r="O66" s="28">
        <v>50000</v>
      </c>
      <c r="P66" s="28">
        <v>100000</v>
      </c>
      <c r="Q66" s="17"/>
      <c r="R66" s="17"/>
      <c r="S66" s="12"/>
      <c r="T66" s="12" t="s">
        <v>39</v>
      </c>
      <c r="U66" s="17" t="s">
        <v>45</v>
      </c>
      <c r="V66" s="19">
        <f>VLOOKUP(A66,'2023 Stats'!$B$2:$D$192,3,FALSE)</f>
        <v>89</v>
      </c>
      <c r="W66" s="29">
        <v>22</v>
      </c>
      <c r="X66" s="30"/>
      <c r="Y66" s="19">
        <v>171</v>
      </c>
      <c r="Z66" s="29">
        <v>14</v>
      </c>
      <c r="AA66" s="30"/>
      <c r="AB66" s="19">
        <v>311</v>
      </c>
      <c r="AC66" s="29">
        <v>26</v>
      </c>
      <c r="AD66" s="30"/>
      <c r="AE66" s="31">
        <v>21</v>
      </c>
      <c r="AF66" s="30"/>
      <c r="AG66" s="25"/>
      <c r="AH66" s="25"/>
      <c r="AI66" s="25"/>
    </row>
    <row r="67" spans="1:35" ht="22.8" hidden="1" x14ac:dyDescent="0.3">
      <c r="A67" s="12">
        <v>50403</v>
      </c>
      <c r="B67" s="13" t="s">
        <v>142</v>
      </c>
      <c r="C67" s="14">
        <v>42186</v>
      </c>
      <c r="D67" s="14"/>
      <c r="E67" s="15" t="s">
        <v>36</v>
      </c>
      <c r="F67" s="35" t="s">
        <v>37</v>
      </c>
      <c r="G67" s="12" t="s">
        <v>38</v>
      </c>
      <c r="H67" s="17" t="s">
        <v>123</v>
      </c>
      <c r="I67" s="17"/>
      <c r="J67" s="12"/>
      <c r="K67" s="12"/>
      <c r="L67" s="12"/>
      <c r="M67" s="17">
        <v>0</v>
      </c>
      <c r="N67" s="18">
        <v>1</v>
      </c>
      <c r="O67" s="18">
        <v>50000</v>
      </c>
      <c r="P67" s="18">
        <v>100000</v>
      </c>
      <c r="Q67" s="13"/>
      <c r="R67" s="13"/>
      <c r="S67" s="12"/>
      <c r="T67" s="12" t="s">
        <v>39</v>
      </c>
      <c r="U67" s="12" t="e">
        <v>#N/A</v>
      </c>
      <c r="V67" s="19" t="e">
        <f>VLOOKUP(A67,'2023 Stats'!$B$2:$D$192,3,FALSE)</f>
        <v>#N/A</v>
      </c>
      <c r="W67" s="20" t="e">
        <v>#N/A</v>
      </c>
      <c r="X67" s="21"/>
      <c r="Y67" s="22" t="e">
        <v>#N/A</v>
      </c>
      <c r="Z67" s="20" t="e">
        <v>#N/A</v>
      </c>
      <c r="AA67" s="21"/>
      <c r="AB67" s="22" t="e">
        <v>#N/A</v>
      </c>
      <c r="AC67" s="20"/>
      <c r="AD67" s="21"/>
      <c r="AE67" s="23" t="e">
        <v>#N/A</v>
      </c>
      <c r="AF67" s="21"/>
      <c r="AG67" s="13"/>
      <c r="AH67" s="13"/>
      <c r="AI67" s="13"/>
    </row>
    <row r="68" spans="1:35" ht="22.8" hidden="1" x14ac:dyDescent="0.3">
      <c r="A68" s="12">
        <v>50411</v>
      </c>
      <c r="B68" s="13" t="s">
        <v>143</v>
      </c>
      <c r="C68" s="14">
        <v>42186</v>
      </c>
      <c r="D68" s="14"/>
      <c r="E68" s="15" t="s">
        <v>36</v>
      </c>
      <c r="F68" s="35" t="s">
        <v>37</v>
      </c>
      <c r="G68" s="12" t="s">
        <v>38</v>
      </c>
      <c r="H68" s="17" t="s">
        <v>64</v>
      </c>
      <c r="I68" s="17"/>
      <c r="J68" s="12"/>
      <c r="K68" s="12"/>
      <c r="L68" s="12"/>
      <c r="M68" s="17">
        <v>0</v>
      </c>
      <c r="N68" s="18">
        <v>0</v>
      </c>
      <c r="O68" s="18">
        <v>0</v>
      </c>
      <c r="P68" s="18">
        <v>100000</v>
      </c>
      <c r="Q68" s="13"/>
      <c r="R68" s="13"/>
      <c r="S68" s="12"/>
      <c r="T68" s="12" t="s">
        <v>39</v>
      </c>
      <c r="U68" s="12" t="e">
        <v>#N/A</v>
      </c>
      <c r="V68" s="19" t="e">
        <f>VLOOKUP(A68,'2023 Stats'!$B$2:$D$192,3,FALSE)</f>
        <v>#N/A</v>
      </c>
      <c r="W68" s="20" t="e">
        <v>#N/A</v>
      </c>
      <c r="X68" s="21"/>
      <c r="Y68" s="22" t="e">
        <v>#N/A</v>
      </c>
      <c r="Z68" s="20" t="e">
        <v>#N/A</v>
      </c>
      <c r="AA68" s="21"/>
      <c r="AB68" s="22" t="e">
        <v>#N/A</v>
      </c>
      <c r="AC68" s="20"/>
      <c r="AD68" s="21"/>
      <c r="AE68" s="23" t="e">
        <v>#N/A</v>
      </c>
      <c r="AF68" s="21"/>
      <c r="AG68" s="13"/>
      <c r="AH68" s="13"/>
      <c r="AI68" s="13"/>
    </row>
    <row r="69" spans="1:35" ht="16.5" customHeight="1" x14ac:dyDescent="0.3">
      <c r="A69" s="24">
        <v>50412</v>
      </c>
      <c r="B69" s="25" t="s">
        <v>144</v>
      </c>
      <c r="C69" s="26">
        <v>42186</v>
      </c>
      <c r="D69" s="26"/>
      <c r="E69" s="27" t="s">
        <v>43</v>
      </c>
      <c r="F69" s="16" t="s">
        <v>37</v>
      </c>
      <c r="G69" s="17" t="s">
        <v>38</v>
      </c>
      <c r="H69" s="40" t="s">
        <v>119</v>
      </c>
      <c r="I69" s="17"/>
      <c r="J69" s="17"/>
      <c r="K69" s="17"/>
      <c r="L69" s="17"/>
      <c r="M69" s="17" t="s">
        <v>145</v>
      </c>
      <c r="N69" s="28">
        <v>1</v>
      </c>
      <c r="O69" s="28">
        <v>50000</v>
      </c>
      <c r="P69" s="28">
        <v>100000</v>
      </c>
      <c r="Q69" s="17"/>
      <c r="R69" s="17"/>
      <c r="S69" s="12"/>
      <c r="T69" s="12" t="s">
        <v>39</v>
      </c>
      <c r="U69" s="17" t="s">
        <v>45</v>
      </c>
      <c r="V69" s="19">
        <f>VLOOKUP(A69,'2023 Stats'!$B$2:$D$192,3,FALSE)</f>
        <v>131</v>
      </c>
      <c r="W69" s="29">
        <v>33</v>
      </c>
      <c r="X69" s="30"/>
      <c r="Y69" s="19">
        <v>90</v>
      </c>
      <c r="Z69" s="29">
        <v>8</v>
      </c>
      <c r="AA69" s="30"/>
      <c r="AB69" s="19">
        <v>138</v>
      </c>
      <c r="AC69" s="29">
        <v>12</v>
      </c>
      <c r="AD69" s="30"/>
      <c r="AE69" s="31">
        <v>17</v>
      </c>
      <c r="AF69" s="30"/>
      <c r="AG69" s="25"/>
      <c r="AH69" s="25"/>
      <c r="AI69" s="25"/>
    </row>
    <row r="70" spans="1:35" ht="16.5" customHeight="1" x14ac:dyDescent="0.3">
      <c r="A70" s="24">
        <v>50413</v>
      </c>
      <c r="B70" s="25" t="s">
        <v>146</v>
      </c>
      <c r="C70" s="26">
        <v>42186</v>
      </c>
      <c r="D70" s="26"/>
      <c r="E70" s="27" t="s">
        <v>43</v>
      </c>
      <c r="F70" s="16" t="s">
        <v>37</v>
      </c>
      <c r="G70" s="17" t="s">
        <v>38</v>
      </c>
      <c r="H70" s="40" t="s">
        <v>119</v>
      </c>
      <c r="I70" s="17"/>
      <c r="J70" s="17"/>
      <c r="K70" s="17"/>
      <c r="L70" s="17"/>
      <c r="M70" s="17" t="s">
        <v>145</v>
      </c>
      <c r="N70" s="28">
        <v>1</v>
      </c>
      <c r="O70" s="28">
        <v>50000</v>
      </c>
      <c r="P70" s="28">
        <v>100000</v>
      </c>
      <c r="Q70" s="17"/>
      <c r="R70" s="17"/>
      <c r="S70" s="12"/>
      <c r="T70" s="12" t="s">
        <v>39</v>
      </c>
      <c r="U70" s="17" t="s">
        <v>45</v>
      </c>
      <c r="V70" s="19">
        <f>VLOOKUP(A70,'2023 Stats'!$B$2:$D$192,3,FALSE)</f>
        <v>117</v>
      </c>
      <c r="W70" s="29">
        <v>29</v>
      </c>
      <c r="X70" s="30"/>
      <c r="Y70" s="19">
        <v>93</v>
      </c>
      <c r="Z70" s="29">
        <v>8</v>
      </c>
      <c r="AA70" s="30"/>
      <c r="AB70" s="19">
        <v>199</v>
      </c>
      <c r="AC70" s="29">
        <v>17</v>
      </c>
      <c r="AD70" s="30"/>
      <c r="AE70" s="31">
        <v>18</v>
      </c>
      <c r="AF70" s="30"/>
      <c r="AG70" s="25"/>
      <c r="AH70" s="25"/>
      <c r="AI70" s="25"/>
    </row>
    <row r="71" spans="1:35" ht="22.8" hidden="1" x14ac:dyDescent="0.3">
      <c r="A71" s="12">
        <v>50416</v>
      </c>
      <c r="B71" s="13" t="s">
        <v>147</v>
      </c>
      <c r="C71" s="14">
        <v>42186</v>
      </c>
      <c r="D71" s="14"/>
      <c r="E71" s="15" t="s">
        <v>36</v>
      </c>
      <c r="F71" s="35" t="s">
        <v>37</v>
      </c>
      <c r="G71" s="12" t="s">
        <v>38</v>
      </c>
      <c r="H71" s="17" t="s">
        <v>94</v>
      </c>
      <c r="I71" s="17"/>
      <c r="J71" s="12"/>
      <c r="K71" s="12"/>
      <c r="L71" s="12"/>
      <c r="M71" s="17">
        <v>0</v>
      </c>
      <c r="N71" s="18">
        <v>1</v>
      </c>
      <c r="O71" s="18">
        <v>50000</v>
      </c>
      <c r="P71" s="18">
        <v>100000</v>
      </c>
      <c r="Q71" s="13"/>
      <c r="R71" s="13"/>
      <c r="S71" s="12"/>
      <c r="T71" s="12" t="s">
        <v>39</v>
      </c>
      <c r="U71" s="12" t="e">
        <v>#N/A</v>
      </c>
      <c r="V71" s="19" t="e">
        <f>VLOOKUP(A71,'2023 Stats'!$B$2:$D$192,3,FALSE)</f>
        <v>#N/A</v>
      </c>
      <c r="W71" s="20" t="e">
        <v>#N/A</v>
      </c>
      <c r="X71" s="21"/>
      <c r="Y71" s="22" t="e">
        <v>#N/A</v>
      </c>
      <c r="Z71" s="20" t="e">
        <v>#N/A</v>
      </c>
      <c r="AA71" s="21"/>
      <c r="AB71" s="22" t="e">
        <v>#N/A</v>
      </c>
      <c r="AC71" s="20"/>
      <c r="AD71" s="21"/>
      <c r="AE71" s="23" t="e">
        <v>#N/A</v>
      </c>
      <c r="AF71" s="21"/>
      <c r="AG71" s="13"/>
      <c r="AH71" s="13"/>
      <c r="AI71" s="13"/>
    </row>
    <row r="72" spans="1:35" ht="22.8" x14ac:dyDescent="0.3">
      <c r="A72" s="24">
        <v>50418</v>
      </c>
      <c r="B72" s="25" t="s">
        <v>148</v>
      </c>
      <c r="C72" s="26">
        <v>42186</v>
      </c>
      <c r="D72" s="26"/>
      <c r="E72" s="27" t="s">
        <v>43</v>
      </c>
      <c r="F72" s="16" t="s">
        <v>37</v>
      </c>
      <c r="G72" s="17" t="s">
        <v>38</v>
      </c>
      <c r="H72" s="17" t="s">
        <v>123</v>
      </c>
      <c r="I72" s="17"/>
      <c r="J72" s="17"/>
      <c r="K72" s="17"/>
      <c r="L72" s="17"/>
      <c r="M72" s="17">
        <v>0</v>
      </c>
      <c r="N72" s="28">
        <v>1</v>
      </c>
      <c r="O72" s="28">
        <v>50000</v>
      </c>
      <c r="P72" s="28">
        <v>100000</v>
      </c>
      <c r="Q72" s="17"/>
      <c r="R72" s="17"/>
      <c r="S72" s="12"/>
      <c r="T72" s="12" t="s">
        <v>39</v>
      </c>
      <c r="U72" s="17" t="s">
        <v>45</v>
      </c>
      <c r="V72" s="19">
        <f>VLOOKUP(A72,'2023 Stats'!$B$2:$D$192,3,FALSE)</f>
        <v>546</v>
      </c>
      <c r="W72" s="29">
        <v>137</v>
      </c>
      <c r="X72" s="30"/>
      <c r="Y72" s="19">
        <v>538</v>
      </c>
      <c r="Z72" s="29">
        <v>45</v>
      </c>
      <c r="AA72" s="30"/>
      <c r="AB72" s="19">
        <v>736</v>
      </c>
      <c r="AC72" s="29">
        <v>61</v>
      </c>
      <c r="AD72" s="30"/>
      <c r="AE72" s="31">
        <v>81</v>
      </c>
      <c r="AF72" s="30"/>
      <c r="AG72" s="25"/>
      <c r="AH72" s="25"/>
      <c r="AI72" s="25"/>
    </row>
    <row r="73" spans="1:35" ht="22.8" x14ac:dyDescent="0.3">
      <c r="A73" s="24">
        <v>50419</v>
      </c>
      <c r="B73" s="25" t="s">
        <v>149</v>
      </c>
      <c r="C73" s="26">
        <v>42186</v>
      </c>
      <c r="D73" s="26"/>
      <c r="E73" s="27" t="s">
        <v>43</v>
      </c>
      <c r="F73" s="16" t="s">
        <v>37</v>
      </c>
      <c r="G73" s="17" t="s">
        <v>38</v>
      </c>
      <c r="H73" s="40" t="s">
        <v>77</v>
      </c>
      <c r="I73" s="17"/>
      <c r="J73" s="17"/>
      <c r="K73" s="17"/>
      <c r="L73" s="17"/>
      <c r="M73" s="17">
        <v>10</v>
      </c>
      <c r="N73" s="28">
        <v>1</v>
      </c>
      <c r="O73" s="28">
        <v>50000</v>
      </c>
      <c r="P73" s="28">
        <v>100000</v>
      </c>
      <c r="Q73" s="17"/>
      <c r="R73" s="17"/>
      <c r="S73" s="12"/>
      <c r="T73" s="12" t="s">
        <v>39</v>
      </c>
      <c r="U73" s="17" t="s">
        <v>45</v>
      </c>
      <c r="V73" s="19">
        <f>VLOOKUP(A73,'2023 Stats'!$B$2:$D$192,3,FALSE)</f>
        <v>1203</v>
      </c>
      <c r="W73" s="29">
        <v>301</v>
      </c>
      <c r="X73" s="30"/>
      <c r="Y73" s="19">
        <v>1666</v>
      </c>
      <c r="Z73" s="29">
        <v>139</v>
      </c>
      <c r="AA73" s="30"/>
      <c r="AB73" s="19">
        <v>2890</v>
      </c>
      <c r="AC73" s="29">
        <v>241</v>
      </c>
      <c r="AD73" s="30"/>
      <c r="AE73" s="31">
        <v>227</v>
      </c>
      <c r="AF73" s="30"/>
      <c r="AG73" s="25"/>
      <c r="AH73" s="25"/>
      <c r="AI73" s="25"/>
    </row>
    <row r="74" spans="1:35" ht="22.8" x14ac:dyDescent="0.3">
      <c r="A74" s="24">
        <v>50420</v>
      </c>
      <c r="B74" s="25" t="s">
        <v>150</v>
      </c>
      <c r="C74" s="26">
        <v>42186</v>
      </c>
      <c r="D74" s="26"/>
      <c r="E74" s="27" t="s">
        <v>43</v>
      </c>
      <c r="F74" s="16" t="s">
        <v>37</v>
      </c>
      <c r="G74" s="17" t="s">
        <v>38</v>
      </c>
      <c r="H74" s="40" t="s">
        <v>77</v>
      </c>
      <c r="I74" s="17"/>
      <c r="J74" s="17"/>
      <c r="K74" s="17"/>
      <c r="L74" s="17"/>
      <c r="M74" s="17">
        <v>10</v>
      </c>
      <c r="N74" s="28">
        <v>1</v>
      </c>
      <c r="O74" s="28">
        <v>50000</v>
      </c>
      <c r="P74" s="28">
        <v>100000</v>
      </c>
      <c r="Q74" s="17"/>
      <c r="R74" s="17"/>
      <c r="S74" s="12"/>
      <c r="T74" s="12" t="s">
        <v>39</v>
      </c>
      <c r="U74" s="17" t="s">
        <v>45</v>
      </c>
      <c r="V74" s="19">
        <f>VLOOKUP(A74,'2023 Stats'!$B$2:$D$192,3,FALSE)</f>
        <v>2767</v>
      </c>
      <c r="W74" s="29">
        <v>692</v>
      </c>
      <c r="X74" s="30"/>
      <c r="Y74" s="19">
        <v>4115</v>
      </c>
      <c r="Z74" s="29">
        <v>343</v>
      </c>
      <c r="AA74" s="30"/>
      <c r="AB74" s="19">
        <v>7088</v>
      </c>
      <c r="AC74" s="29">
        <v>591</v>
      </c>
      <c r="AD74" s="30"/>
      <c r="AE74" s="31">
        <v>542</v>
      </c>
      <c r="AF74" s="30"/>
      <c r="AG74" s="25"/>
      <c r="AH74" s="25"/>
      <c r="AI74" s="25"/>
    </row>
    <row r="75" spans="1:35" ht="22.8" hidden="1" x14ac:dyDescent="0.3">
      <c r="A75" s="12">
        <v>50437</v>
      </c>
      <c r="B75" s="13" t="s">
        <v>151</v>
      </c>
      <c r="C75" s="14">
        <v>42186</v>
      </c>
      <c r="D75" s="14">
        <v>43312</v>
      </c>
      <c r="E75" s="15" t="s">
        <v>36</v>
      </c>
      <c r="F75" s="16" t="s">
        <v>37</v>
      </c>
      <c r="G75" s="12" t="s">
        <v>38</v>
      </c>
      <c r="H75" s="12"/>
      <c r="I75" s="12"/>
      <c r="J75" s="12"/>
      <c r="K75" s="12"/>
      <c r="L75" s="12"/>
      <c r="M75" s="17">
        <v>0</v>
      </c>
      <c r="N75" s="18">
        <v>0</v>
      </c>
      <c r="O75" s="18">
        <v>0</v>
      </c>
      <c r="P75" s="18">
        <v>100000</v>
      </c>
      <c r="Q75" s="13"/>
      <c r="R75" s="13"/>
      <c r="S75" s="12"/>
      <c r="T75" s="12" t="s">
        <v>39</v>
      </c>
      <c r="U75" s="12" t="e">
        <v>#N/A</v>
      </c>
      <c r="V75" s="19" t="e">
        <f>VLOOKUP(A75,'2023 Stats'!$B$2:$D$192,3,FALSE)</f>
        <v>#N/A</v>
      </c>
      <c r="W75" s="20" t="e">
        <v>#N/A</v>
      </c>
      <c r="X75" s="21"/>
      <c r="Y75" s="22" t="e">
        <v>#N/A</v>
      </c>
      <c r="Z75" s="20" t="e">
        <v>#N/A</v>
      </c>
      <c r="AA75" s="21"/>
      <c r="AB75" s="22" t="e">
        <v>#N/A</v>
      </c>
      <c r="AC75" s="20"/>
      <c r="AD75" s="21"/>
      <c r="AE75" s="23" t="e">
        <v>#N/A</v>
      </c>
      <c r="AF75" s="21"/>
      <c r="AG75" s="13"/>
      <c r="AH75" s="13"/>
      <c r="AI75" s="13"/>
    </row>
    <row r="76" spans="1:35" ht="22.8" hidden="1" x14ac:dyDescent="0.3">
      <c r="A76" s="12">
        <v>50438</v>
      </c>
      <c r="B76" s="13" t="s">
        <v>152</v>
      </c>
      <c r="C76" s="14">
        <v>42186</v>
      </c>
      <c r="D76" s="14"/>
      <c r="E76" s="15" t="s">
        <v>36</v>
      </c>
      <c r="F76" s="16" t="s">
        <v>37</v>
      </c>
      <c r="G76" s="12" t="s">
        <v>38</v>
      </c>
      <c r="H76" s="12"/>
      <c r="I76" s="12"/>
      <c r="J76" s="12"/>
      <c r="K76" s="12"/>
      <c r="L76" s="12"/>
      <c r="M76" s="17">
        <v>0</v>
      </c>
      <c r="N76" s="18">
        <v>1</v>
      </c>
      <c r="O76" s="18">
        <v>50000</v>
      </c>
      <c r="P76" s="18">
        <v>100000</v>
      </c>
      <c r="Q76" s="13"/>
      <c r="R76" s="13"/>
      <c r="S76" s="12"/>
      <c r="T76" s="12" t="s">
        <v>39</v>
      </c>
      <c r="U76" s="12" t="e">
        <v>#N/A</v>
      </c>
      <c r="V76" s="19" t="e">
        <f>VLOOKUP(A76,'2023 Stats'!$B$2:$D$192,3,FALSE)</f>
        <v>#N/A</v>
      </c>
      <c r="W76" s="20" t="e">
        <v>#N/A</v>
      </c>
      <c r="X76" s="21"/>
      <c r="Y76" s="22" t="e">
        <v>#N/A</v>
      </c>
      <c r="Z76" s="20" t="e">
        <v>#N/A</v>
      </c>
      <c r="AA76" s="21"/>
      <c r="AB76" s="22" t="e">
        <v>#N/A</v>
      </c>
      <c r="AC76" s="20"/>
      <c r="AD76" s="21"/>
      <c r="AE76" s="23" t="e">
        <v>#N/A</v>
      </c>
      <c r="AF76" s="21"/>
      <c r="AG76" s="13"/>
      <c r="AH76" s="13"/>
      <c r="AI76" s="13"/>
    </row>
    <row r="77" spans="1:35" ht="22.8" hidden="1" x14ac:dyDescent="0.3">
      <c r="A77" s="12">
        <v>50458</v>
      </c>
      <c r="B77" s="13" t="s">
        <v>153</v>
      </c>
      <c r="C77" s="14">
        <v>42186</v>
      </c>
      <c r="D77" s="14"/>
      <c r="E77" s="15" t="s">
        <v>36</v>
      </c>
      <c r="F77" s="35" t="s">
        <v>37</v>
      </c>
      <c r="G77" s="12" t="s">
        <v>38</v>
      </c>
      <c r="H77" s="17" t="s">
        <v>101</v>
      </c>
      <c r="I77" s="17"/>
      <c r="J77" s="12"/>
      <c r="K77" s="12"/>
      <c r="L77" s="12"/>
      <c r="M77" s="17">
        <v>0</v>
      </c>
      <c r="N77" s="18">
        <v>1</v>
      </c>
      <c r="O77" s="18">
        <v>50000</v>
      </c>
      <c r="P77" s="18">
        <v>100000</v>
      </c>
      <c r="Q77" s="13"/>
      <c r="R77" s="13"/>
      <c r="S77" s="12"/>
      <c r="T77" s="12" t="s">
        <v>39</v>
      </c>
      <c r="U77" s="12" t="e">
        <v>#N/A</v>
      </c>
      <c r="V77" s="19" t="e">
        <f>VLOOKUP(A77,'2023 Stats'!$B$2:$D$192,3,FALSE)</f>
        <v>#N/A</v>
      </c>
      <c r="W77" s="20" t="e">
        <v>#N/A</v>
      </c>
      <c r="X77" s="21"/>
      <c r="Y77" s="22" t="e">
        <v>#N/A</v>
      </c>
      <c r="Z77" s="20" t="e">
        <v>#N/A</v>
      </c>
      <c r="AA77" s="21"/>
      <c r="AB77" s="22" t="e">
        <v>#N/A</v>
      </c>
      <c r="AC77" s="20"/>
      <c r="AD77" s="21"/>
      <c r="AE77" s="23" t="e">
        <v>#N/A</v>
      </c>
      <c r="AF77" s="21"/>
      <c r="AG77" s="13"/>
      <c r="AH77" s="13"/>
      <c r="AI77" s="13"/>
    </row>
    <row r="78" spans="1:35" ht="22.8" hidden="1" x14ac:dyDescent="0.3">
      <c r="A78" s="12">
        <v>50460</v>
      </c>
      <c r="B78" s="13" t="s">
        <v>154</v>
      </c>
      <c r="C78" s="14">
        <v>42186</v>
      </c>
      <c r="D78" s="14"/>
      <c r="E78" s="15" t="s">
        <v>36</v>
      </c>
      <c r="F78" s="35" t="s">
        <v>37</v>
      </c>
      <c r="G78" s="12" t="s">
        <v>38</v>
      </c>
      <c r="H78" s="17" t="s">
        <v>64</v>
      </c>
      <c r="I78" s="17"/>
      <c r="J78" s="12"/>
      <c r="K78" s="12"/>
      <c r="L78" s="12"/>
      <c r="M78" s="17">
        <v>0</v>
      </c>
      <c r="N78" s="18">
        <v>1</v>
      </c>
      <c r="O78" s="18">
        <v>50000</v>
      </c>
      <c r="P78" s="18">
        <v>100000</v>
      </c>
      <c r="Q78" s="13"/>
      <c r="R78" s="13"/>
      <c r="S78" s="12"/>
      <c r="T78" s="12" t="s">
        <v>39</v>
      </c>
      <c r="U78" s="12" t="e">
        <v>#N/A</v>
      </c>
      <c r="V78" s="19" t="e">
        <f>VLOOKUP(A78,'2023 Stats'!$B$2:$D$192,3,FALSE)</f>
        <v>#N/A</v>
      </c>
      <c r="W78" s="20" t="e">
        <v>#N/A</v>
      </c>
      <c r="X78" s="21"/>
      <c r="Y78" s="22" t="e">
        <v>#N/A</v>
      </c>
      <c r="Z78" s="20" t="e">
        <v>#N/A</v>
      </c>
      <c r="AA78" s="21"/>
      <c r="AB78" s="22" t="e">
        <v>#N/A</v>
      </c>
      <c r="AC78" s="20"/>
      <c r="AD78" s="21"/>
      <c r="AE78" s="23" t="e">
        <v>#N/A</v>
      </c>
      <c r="AF78" s="21"/>
      <c r="AG78" s="13"/>
      <c r="AH78" s="13"/>
      <c r="AI78" s="13"/>
    </row>
    <row r="79" spans="1:35" ht="22.8" x14ac:dyDescent="0.3">
      <c r="A79" s="24">
        <v>50462</v>
      </c>
      <c r="B79" s="25" t="s">
        <v>155</v>
      </c>
      <c r="C79" s="26">
        <v>42186</v>
      </c>
      <c r="D79" s="26"/>
      <c r="E79" s="27" t="s">
        <v>43</v>
      </c>
      <c r="F79" s="16" t="s">
        <v>37</v>
      </c>
      <c r="G79" s="17" t="s">
        <v>38</v>
      </c>
      <c r="H79" s="40" t="s">
        <v>77</v>
      </c>
      <c r="I79" s="17"/>
      <c r="J79" s="17"/>
      <c r="K79" s="17"/>
      <c r="L79" s="17"/>
      <c r="M79" s="17" t="s">
        <v>145</v>
      </c>
      <c r="N79" s="28">
        <v>1</v>
      </c>
      <c r="O79" s="28">
        <v>50000</v>
      </c>
      <c r="P79" s="28">
        <v>100000</v>
      </c>
      <c r="Q79" s="17"/>
      <c r="R79" s="17"/>
      <c r="S79" s="12"/>
      <c r="T79" s="12" t="s">
        <v>39</v>
      </c>
      <c r="U79" s="17" t="s">
        <v>45</v>
      </c>
      <c r="V79" s="19">
        <f>VLOOKUP(A79,'2023 Stats'!$B$2:$D$192,3,FALSE)</f>
        <v>331</v>
      </c>
      <c r="W79" s="29">
        <v>83</v>
      </c>
      <c r="X79" s="30"/>
      <c r="Y79" s="19">
        <v>416</v>
      </c>
      <c r="Z79" s="29">
        <v>35</v>
      </c>
      <c r="AA79" s="30"/>
      <c r="AB79" s="19">
        <v>961</v>
      </c>
      <c r="AC79" s="29">
        <v>80</v>
      </c>
      <c r="AD79" s="30"/>
      <c r="AE79" s="31">
        <v>66</v>
      </c>
      <c r="AF79" s="30"/>
      <c r="AG79" s="25"/>
      <c r="AH79" s="25"/>
      <c r="AI79" s="25"/>
    </row>
    <row r="80" spans="1:35" ht="22.8" hidden="1" x14ac:dyDescent="0.3">
      <c r="A80" s="12">
        <v>50465</v>
      </c>
      <c r="B80" s="13" t="s">
        <v>156</v>
      </c>
      <c r="C80" s="14">
        <v>42185</v>
      </c>
      <c r="D80" s="14">
        <v>44378</v>
      </c>
      <c r="E80" s="15" t="s">
        <v>36</v>
      </c>
      <c r="F80" s="16" t="s">
        <v>37</v>
      </c>
      <c r="G80" s="12" t="s">
        <v>38</v>
      </c>
      <c r="H80" s="12"/>
      <c r="I80" s="12"/>
      <c r="J80" s="12"/>
      <c r="K80" s="12"/>
      <c r="L80" s="12"/>
      <c r="M80" s="17">
        <v>0</v>
      </c>
      <c r="N80" s="18">
        <v>1</v>
      </c>
      <c r="O80" s="18">
        <v>50000</v>
      </c>
      <c r="P80" s="18">
        <v>100000</v>
      </c>
      <c r="Q80" s="13"/>
      <c r="R80" s="13"/>
      <c r="S80" s="12"/>
      <c r="T80" s="12" t="s">
        <v>39</v>
      </c>
      <c r="U80" s="12">
        <v>44441</v>
      </c>
      <c r="V80" s="19" t="e">
        <f>VLOOKUP(A80,'2023 Stats'!$B$2:$D$192,3,FALSE)</f>
        <v>#N/A</v>
      </c>
      <c r="W80" s="20" t="e">
        <v>#N/A</v>
      </c>
      <c r="X80" s="21"/>
      <c r="Y80" s="22" t="e">
        <v>#N/A</v>
      </c>
      <c r="Z80" s="20" t="e">
        <v>#N/A</v>
      </c>
      <c r="AA80" s="21"/>
      <c r="AB80" s="22">
        <v>58344</v>
      </c>
      <c r="AC80" s="20">
        <v>4862</v>
      </c>
      <c r="AD80" s="21">
        <v>10</v>
      </c>
      <c r="AE80" s="23" t="e">
        <v>#N/A</v>
      </c>
      <c r="AF80" s="21"/>
      <c r="AG80" s="13"/>
      <c r="AH80" s="13"/>
      <c r="AI80" s="13"/>
    </row>
    <row r="81" spans="1:35" ht="22.8" hidden="1" x14ac:dyDescent="0.3">
      <c r="A81" s="12">
        <v>50466</v>
      </c>
      <c r="B81" s="13" t="s">
        <v>156</v>
      </c>
      <c r="C81" s="43">
        <v>42011</v>
      </c>
      <c r="D81" s="14"/>
      <c r="E81" s="15" t="s">
        <v>36</v>
      </c>
      <c r="F81" s="16" t="s">
        <v>37</v>
      </c>
      <c r="G81" s="12" t="s">
        <v>38</v>
      </c>
      <c r="H81" s="17"/>
      <c r="I81" s="17"/>
      <c r="J81" s="12"/>
      <c r="K81" s="12"/>
      <c r="L81" s="12"/>
      <c r="M81" s="17">
        <v>0</v>
      </c>
      <c r="N81" s="18">
        <v>0</v>
      </c>
      <c r="O81" s="18">
        <v>0</v>
      </c>
      <c r="P81" s="18">
        <v>100000</v>
      </c>
      <c r="Q81" s="13"/>
      <c r="R81" s="13"/>
      <c r="S81" s="13"/>
      <c r="T81" s="13"/>
      <c r="U81" s="46"/>
      <c r="V81" s="19" t="e">
        <f>VLOOKUP(A81,'2023 Stats'!$B$2:$D$192,3,FALSE)</f>
        <v>#N/A</v>
      </c>
      <c r="W81" s="20"/>
      <c r="X81" s="21"/>
      <c r="Y81" s="22"/>
      <c r="Z81" s="20"/>
      <c r="AA81" s="21"/>
      <c r="AB81" s="22"/>
      <c r="AC81" s="20"/>
      <c r="AD81" s="21"/>
      <c r="AE81" s="23"/>
      <c r="AF81" s="21"/>
      <c r="AG81" s="13"/>
      <c r="AH81" s="13"/>
      <c r="AI81" s="13"/>
    </row>
    <row r="82" spans="1:35" ht="22.8" x14ac:dyDescent="0.3">
      <c r="A82" s="24">
        <v>50471</v>
      </c>
      <c r="B82" s="25" t="s">
        <v>157</v>
      </c>
      <c r="C82" s="26">
        <v>42186</v>
      </c>
      <c r="D82" s="26"/>
      <c r="E82" s="27" t="s">
        <v>43</v>
      </c>
      <c r="F82" s="16" t="s">
        <v>37</v>
      </c>
      <c r="G82" s="17" t="s">
        <v>38</v>
      </c>
      <c r="H82" s="40" t="s">
        <v>103</v>
      </c>
      <c r="I82" s="17"/>
      <c r="J82" s="17"/>
      <c r="K82" s="17"/>
      <c r="L82" s="17"/>
      <c r="M82" s="17">
        <v>10</v>
      </c>
      <c r="N82" s="28">
        <v>1</v>
      </c>
      <c r="O82" s="28">
        <v>50000</v>
      </c>
      <c r="P82" s="28">
        <v>100000</v>
      </c>
      <c r="Q82" s="17"/>
      <c r="R82" s="17"/>
      <c r="S82" s="12"/>
      <c r="T82" s="12" t="s">
        <v>39</v>
      </c>
      <c r="U82" s="17" t="s">
        <v>45</v>
      </c>
      <c r="V82" s="19">
        <f>VLOOKUP(A82,'2023 Stats'!$B$2:$D$192,3,FALSE)</f>
        <v>36</v>
      </c>
      <c r="W82" s="29">
        <v>9</v>
      </c>
      <c r="X82" s="30"/>
      <c r="Y82" s="19">
        <v>20</v>
      </c>
      <c r="Z82" s="29">
        <v>2</v>
      </c>
      <c r="AA82" s="30"/>
      <c r="AB82" s="19">
        <v>34</v>
      </c>
      <c r="AC82" s="29">
        <v>3</v>
      </c>
      <c r="AD82" s="30"/>
      <c r="AE82" s="31">
        <v>5</v>
      </c>
      <c r="AF82" s="30"/>
      <c r="AG82" s="25"/>
      <c r="AH82" s="25"/>
      <c r="AI82" s="25"/>
    </row>
    <row r="83" spans="1:35" ht="22.8" x14ac:dyDescent="0.3">
      <c r="A83" s="24">
        <v>50473</v>
      </c>
      <c r="B83" s="25" t="s">
        <v>158</v>
      </c>
      <c r="C83" s="26">
        <v>42186</v>
      </c>
      <c r="D83" s="26"/>
      <c r="E83" s="27" t="s">
        <v>43</v>
      </c>
      <c r="F83" s="16" t="s">
        <v>37</v>
      </c>
      <c r="G83" s="17" t="s">
        <v>38</v>
      </c>
      <c r="H83" s="40" t="s">
        <v>103</v>
      </c>
      <c r="I83" s="17"/>
      <c r="J83" s="17"/>
      <c r="K83" s="17"/>
      <c r="L83" s="17"/>
      <c r="M83" s="17">
        <v>10</v>
      </c>
      <c r="N83" s="28">
        <v>1</v>
      </c>
      <c r="O83" s="28">
        <v>50000</v>
      </c>
      <c r="P83" s="28">
        <v>100000</v>
      </c>
      <c r="Q83" s="17"/>
      <c r="R83" s="17"/>
      <c r="S83" s="12"/>
      <c r="T83" s="12" t="s">
        <v>39</v>
      </c>
      <c r="U83" s="17" t="s">
        <v>45</v>
      </c>
      <c r="V83" s="19">
        <f>VLOOKUP(A83,'2023 Stats'!$B$2:$D$192,3,FALSE)</f>
        <v>1599</v>
      </c>
      <c r="W83" s="29">
        <v>400</v>
      </c>
      <c r="X83" s="30"/>
      <c r="Y83" s="19">
        <v>2821</v>
      </c>
      <c r="Z83" s="29">
        <v>235</v>
      </c>
      <c r="AA83" s="30"/>
      <c r="AB83" s="19">
        <v>3293</v>
      </c>
      <c r="AC83" s="29">
        <v>274</v>
      </c>
      <c r="AD83" s="30"/>
      <c r="AE83" s="31">
        <v>303</v>
      </c>
      <c r="AF83" s="30"/>
      <c r="AG83" s="25"/>
      <c r="AH83" s="25"/>
      <c r="AI83" s="25"/>
    </row>
    <row r="84" spans="1:35" ht="22.8" x14ac:dyDescent="0.3">
      <c r="A84" s="24">
        <v>50474</v>
      </c>
      <c r="B84" s="25" t="s">
        <v>159</v>
      </c>
      <c r="C84" s="26">
        <v>42186</v>
      </c>
      <c r="D84" s="26"/>
      <c r="E84" s="27" t="s">
        <v>43</v>
      </c>
      <c r="F84" s="16" t="s">
        <v>37</v>
      </c>
      <c r="G84" s="17" t="s">
        <v>38</v>
      </c>
      <c r="H84" s="40" t="s">
        <v>103</v>
      </c>
      <c r="I84" s="17"/>
      <c r="J84" s="17"/>
      <c r="K84" s="17"/>
      <c r="L84" s="17"/>
      <c r="M84" s="17">
        <v>10</v>
      </c>
      <c r="N84" s="28">
        <v>1</v>
      </c>
      <c r="O84" s="28">
        <v>50000</v>
      </c>
      <c r="P84" s="28">
        <v>100000</v>
      </c>
      <c r="Q84" s="17"/>
      <c r="R84" s="17"/>
      <c r="S84" s="12"/>
      <c r="T84" s="12" t="s">
        <v>39</v>
      </c>
      <c r="U84" s="17" t="s">
        <v>45</v>
      </c>
      <c r="V84" s="19">
        <f>VLOOKUP(A84,'2023 Stats'!$B$2:$D$192,3,FALSE)</f>
        <v>705</v>
      </c>
      <c r="W84" s="29">
        <v>176</v>
      </c>
      <c r="X84" s="30"/>
      <c r="Y84" s="19">
        <v>722</v>
      </c>
      <c r="Z84" s="29">
        <v>60</v>
      </c>
      <c r="AA84" s="30"/>
      <c r="AB84" s="19">
        <v>813</v>
      </c>
      <c r="AC84" s="29">
        <v>68</v>
      </c>
      <c r="AD84" s="30"/>
      <c r="AE84" s="31">
        <v>101</v>
      </c>
      <c r="AF84" s="30"/>
      <c r="AG84" s="25"/>
      <c r="AH84" s="25"/>
      <c r="AI84" s="25"/>
    </row>
    <row r="85" spans="1:35" ht="22.8" x14ac:dyDescent="0.3">
      <c r="A85" s="24">
        <v>50475</v>
      </c>
      <c r="B85" s="25" t="s">
        <v>160</v>
      </c>
      <c r="C85" s="26">
        <v>42186</v>
      </c>
      <c r="D85" s="26"/>
      <c r="E85" s="27" t="s">
        <v>43</v>
      </c>
      <c r="F85" s="16" t="s">
        <v>37</v>
      </c>
      <c r="G85" s="17" t="s">
        <v>38</v>
      </c>
      <c r="H85" s="40" t="s">
        <v>103</v>
      </c>
      <c r="I85" s="17"/>
      <c r="J85" s="17"/>
      <c r="K85" s="17"/>
      <c r="L85" s="17"/>
      <c r="M85" s="17">
        <v>10</v>
      </c>
      <c r="N85" s="28">
        <v>1</v>
      </c>
      <c r="O85" s="28">
        <v>50000</v>
      </c>
      <c r="P85" s="28">
        <v>100000</v>
      </c>
      <c r="Q85" s="17"/>
      <c r="R85" s="17"/>
      <c r="S85" s="12"/>
      <c r="T85" s="12" t="s">
        <v>39</v>
      </c>
      <c r="U85" s="17" t="s">
        <v>45</v>
      </c>
      <c r="V85" s="19">
        <f>VLOOKUP(A85,'2023 Stats'!$B$2:$D$192,3,FALSE)</f>
        <v>916</v>
      </c>
      <c r="W85" s="29">
        <v>229</v>
      </c>
      <c r="X85" s="30"/>
      <c r="Y85" s="19">
        <v>1456</v>
      </c>
      <c r="Z85" s="29">
        <v>121</v>
      </c>
      <c r="AA85" s="30"/>
      <c r="AB85" s="19">
        <v>2712</v>
      </c>
      <c r="AC85" s="29">
        <v>226</v>
      </c>
      <c r="AD85" s="30"/>
      <c r="AE85" s="31">
        <v>192</v>
      </c>
      <c r="AF85" s="30"/>
      <c r="AG85" s="25"/>
      <c r="AH85" s="25"/>
      <c r="AI85" s="25"/>
    </row>
    <row r="86" spans="1:35" ht="22.8" x14ac:dyDescent="0.3">
      <c r="A86" s="24">
        <v>50476</v>
      </c>
      <c r="B86" s="25" t="s">
        <v>161</v>
      </c>
      <c r="C86" s="26">
        <v>42186</v>
      </c>
      <c r="D86" s="26"/>
      <c r="E86" s="27" t="s">
        <v>43</v>
      </c>
      <c r="F86" s="16" t="s">
        <v>37</v>
      </c>
      <c r="G86" s="17" t="s">
        <v>38</v>
      </c>
      <c r="H86" s="40" t="s">
        <v>103</v>
      </c>
      <c r="I86" s="17"/>
      <c r="J86" s="17"/>
      <c r="K86" s="17"/>
      <c r="L86" s="17"/>
      <c r="M86" s="17">
        <v>10</v>
      </c>
      <c r="N86" s="28">
        <v>1</v>
      </c>
      <c r="O86" s="28">
        <v>50000</v>
      </c>
      <c r="P86" s="28">
        <v>100000</v>
      </c>
      <c r="Q86" s="17"/>
      <c r="R86" s="17"/>
      <c r="S86" s="12"/>
      <c r="T86" s="12" t="s">
        <v>39</v>
      </c>
      <c r="U86" s="17" t="s">
        <v>45</v>
      </c>
      <c r="V86" s="19">
        <f>VLOOKUP(A86,'2023 Stats'!$B$2:$D$192,3,FALSE)</f>
        <v>789</v>
      </c>
      <c r="W86" s="29">
        <v>197</v>
      </c>
      <c r="X86" s="30"/>
      <c r="Y86" s="19">
        <v>762</v>
      </c>
      <c r="Z86" s="29">
        <v>64</v>
      </c>
      <c r="AA86" s="30"/>
      <c r="AB86" s="19">
        <v>712</v>
      </c>
      <c r="AC86" s="29">
        <v>59</v>
      </c>
      <c r="AD86" s="30"/>
      <c r="AE86" s="31">
        <v>107</v>
      </c>
      <c r="AF86" s="30"/>
      <c r="AG86" s="25"/>
      <c r="AH86" s="25"/>
      <c r="AI86" s="25"/>
    </row>
    <row r="87" spans="1:35" ht="22.8" x14ac:dyDescent="0.3">
      <c r="A87" s="24">
        <v>50477</v>
      </c>
      <c r="B87" s="25" t="s">
        <v>162</v>
      </c>
      <c r="C87" s="26">
        <v>42186</v>
      </c>
      <c r="D87" s="26"/>
      <c r="E87" s="27" t="s">
        <v>43</v>
      </c>
      <c r="F87" s="16" t="s">
        <v>37</v>
      </c>
      <c r="G87" s="17" t="s">
        <v>38</v>
      </c>
      <c r="H87" s="40" t="s">
        <v>103</v>
      </c>
      <c r="I87" s="17"/>
      <c r="J87" s="17"/>
      <c r="K87" s="17"/>
      <c r="L87" s="17"/>
      <c r="M87" s="17">
        <v>10</v>
      </c>
      <c r="N87" s="28">
        <v>1</v>
      </c>
      <c r="O87" s="28">
        <v>50000</v>
      </c>
      <c r="P87" s="28">
        <v>100000</v>
      </c>
      <c r="Q87" s="17"/>
      <c r="R87" s="17"/>
      <c r="S87" s="12"/>
      <c r="T87" s="12" t="s">
        <v>39</v>
      </c>
      <c r="U87" s="17" t="s">
        <v>45</v>
      </c>
      <c r="V87" s="19">
        <f>VLOOKUP(A87,'2023 Stats'!$B$2:$D$192,3,FALSE)</f>
        <v>4</v>
      </c>
      <c r="W87" s="29">
        <v>1</v>
      </c>
      <c r="X87" s="30"/>
      <c r="Y87" s="19">
        <v>5</v>
      </c>
      <c r="Z87" s="29">
        <v>0</v>
      </c>
      <c r="AA87" s="30"/>
      <c r="AB87" s="19">
        <v>5</v>
      </c>
      <c r="AC87" s="29">
        <v>0</v>
      </c>
      <c r="AD87" s="30"/>
      <c r="AE87" s="31">
        <v>1</v>
      </c>
      <c r="AF87" s="30"/>
      <c r="AG87" s="25"/>
      <c r="AH87" s="25"/>
      <c r="AI87" s="25"/>
    </row>
    <row r="88" spans="1:35" ht="22.8" x14ac:dyDescent="0.3">
      <c r="A88" s="24">
        <v>50478</v>
      </c>
      <c r="B88" s="25" t="s">
        <v>163</v>
      </c>
      <c r="C88" s="26">
        <v>42186</v>
      </c>
      <c r="D88" s="26"/>
      <c r="E88" s="27" t="s">
        <v>43</v>
      </c>
      <c r="F88" s="16" t="s">
        <v>37</v>
      </c>
      <c r="G88" s="17" t="s">
        <v>38</v>
      </c>
      <c r="H88" s="40" t="s">
        <v>103</v>
      </c>
      <c r="I88" s="40" t="s">
        <v>71</v>
      </c>
      <c r="J88" s="40" t="s">
        <v>104</v>
      </c>
      <c r="K88" s="40">
        <v>6</v>
      </c>
      <c r="L88" s="17"/>
      <c r="M88" s="17">
        <v>10</v>
      </c>
      <c r="N88" s="28">
        <v>1</v>
      </c>
      <c r="O88" s="28">
        <v>50000</v>
      </c>
      <c r="P88" s="28">
        <v>100000</v>
      </c>
      <c r="Q88" s="17"/>
      <c r="R88" s="17"/>
      <c r="S88" s="12"/>
      <c r="T88" s="12" t="s">
        <v>39</v>
      </c>
      <c r="U88" s="17" t="s">
        <v>45</v>
      </c>
      <c r="V88" s="19">
        <f>VLOOKUP(A88,'2023 Stats'!$B$2:$D$192,3,FALSE)</f>
        <v>8890</v>
      </c>
      <c r="W88" s="29">
        <v>2223</v>
      </c>
      <c r="X88" s="30"/>
      <c r="Y88" s="19">
        <v>10419</v>
      </c>
      <c r="Z88" s="29">
        <v>868</v>
      </c>
      <c r="AA88" s="30"/>
      <c r="AB88" s="19">
        <v>5950</v>
      </c>
      <c r="AC88" s="29">
        <v>496</v>
      </c>
      <c r="AD88" s="30"/>
      <c r="AE88" s="31">
        <v>1196</v>
      </c>
      <c r="AF88" s="30"/>
      <c r="AG88" s="25"/>
      <c r="AH88" s="25"/>
      <c r="AI88" s="25"/>
    </row>
    <row r="89" spans="1:35" ht="22.8" x14ac:dyDescent="0.3">
      <c r="A89" s="24">
        <v>50479</v>
      </c>
      <c r="B89" s="25" t="s">
        <v>164</v>
      </c>
      <c r="C89" s="26">
        <v>42186</v>
      </c>
      <c r="D89" s="26"/>
      <c r="E89" s="27" t="s">
        <v>43</v>
      </c>
      <c r="F89" s="16" t="s">
        <v>37</v>
      </c>
      <c r="G89" s="17" t="s">
        <v>38</v>
      </c>
      <c r="H89" s="40" t="s">
        <v>103</v>
      </c>
      <c r="I89" s="17"/>
      <c r="J89" s="17"/>
      <c r="K89" s="17"/>
      <c r="L89" s="17"/>
      <c r="M89" s="17">
        <v>10</v>
      </c>
      <c r="N89" s="28">
        <v>1</v>
      </c>
      <c r="O89" s="28">
        <v>50000</v>
      </c>
      <c r="P89" s="28">
        <v>100000</v>
      </c>
      <c r="Q89" s="17"/>
      <c r="R89" s="17"/>
      <c r="S89" s="12"/>
      <c r="T89" s="12" t="s">
        <v>39</v>
      </c>
      <c r="U89" s="17" t="s">
        <v>45</v>
      </c>
      <c r="V89" s="19">
        <f>VLOOKUP(A89,'2023 Stats'!$B$2:$D$192,3,FALSE)</f>
        <v>240</v>
      </c>
      <c r="W89" s="29">
        <v>60</v>
      </c>
      <c r="X89" s="30"/>
      <c r="Y89" s="19">
        <v>327</v>
      </c>
      <c r="Z89" s="29">
        <v>27</v>
      </c>
      <c r="AA89" s="30"/>
      <c r="AB89" s="19">
        <v>542</v>
      </c>
      <c r="AC89" s="29">
        <v>45</v>
      </c>
      <c r="AD89" s="30"/>
      <c r="AE89" s="31">
        <v>44</v>
      </c>
      <c r="AF89" s="30"/>
      <c r="AG89" s="25"/>
      <c r="AH89" s="25"/>
      <c r="AI89" s="25"/>
    </row>
    <row r="90" spans="1:35" ht="22.8" hidden="1" x14ac:dyDescent="0.3">
      <c r="A90" s="12">
        <v>50480</v>
      </c>
      <c r="B90" s="13" t="s">
        <v>165</v>
      </c>
      <c r="C90" s="14">
        <v>42186</v>
      </c>
      <c r="D90" s="14">
        <v>44634</v>
      </c>
      <c r="E90" s="15" t="s">
        <v>36</v>
      </c>
      <c r="F90" s="16" t="s">
        <v>37</v>
      </c>
      <c r="G90" s="12" t="s">
        <v>38</v>
      </c>
      <c r="H90" s="12"/>
      <c r="I90" s="12"/>
      <c r="J90" s="12"/>
      <c r="K90" s="12"/>
      <c r="L90" s="12"/>
      <c r="M90" s="17">
        <v>0</v>
      </c>
      <c r="N90" s="18">
        <v>0</v>
      </c>
      <c r="O90" s="18">
        <v>0</v>
      </c>
      <c r="P90" s="18">
        <v>100000</v>
      </c>
      <c r="Q90" s="13"/>
      <c r="R90" s="13"/>
      <c r="S90" s="12"/>
      <c r="T90" s="12" t="s">
        <v>39</v>
      </c>
      <c r="U90" s="12">
        <v>44618</v>
      </c>
      <c r="V90" s="19" t="e">
        <f>VLOOKUP(A90,'2023 Stats'!$B$2:$D$192,3,FALSE)</f>
        <v>#N/A</v>
      </c>
      <c r="W90" s="20" t="e">
        <v>#N/A</v>
      </c>
      <c r="X90" s="21"/>
      <c r="Y90" s="22">
        <v>5</v>
      </c>
      <c r="Z90" s="20">
        <v>0</v>
      </c>
      <c r="AA90" s="21"/>
      <c r="AB90" s="22">
        <v>291</v>
      </c>
      <c r="AC90" s="20">
        <v>24</v>
      </c>
      <c r="AD90" s="21"/>
      <c r="AE90" s="23" t="e">
        <v>#N/A</v>
      </c>
      <c r="AF90" s="21"/>
      <c r="AG90" s="13"/>
      <c r="AH90" s="13"/>
      <c r="AI90" s="13"/>
    </row>
    <row r="91" spans="1:35" ht="22.8" x14ac:dyDescent="0.3">
      <c r="A91" s="24">
        <v>50489</v>
      </c>
      <c r="B91" s="25" t="s">
        <v>166</v>
      </c>
      <c r="C91" s="26">
        <v>42186</v>
      </c>
      <c r="D91" s="26"/>
      <c r="E91" s="27" t="s">
        <v>43</v>
      </c>
      <c r="F91" s="16" t="s">
        <v>37</v>
      </c>
      <c r="G91" s="17" t="s">
        <v>38</v>
      </c>
      <c r="H91" s="40" t="s">
        <v>94</v>
      </c>
      <c r="I91" s="40" t="s">
        <v>120</v>
      </c>
      <c r="J91" s="40" t="s">
        <v>79</v>
      </c>
      <c r="K91" s="40">
        <v>7</v>
      </c>
      <c r="L91" s="17"/>
      <c r="M91" s="17" t="s">
        <v>145</v>
      </c>
      <c r="N91" s="28">
        <v>1</v>
      </c>
      <c r="O91" s="28">
        <v>50000</v>
      </c>
      <c r="P91" s="28">
        <v>100000</v>
      </c>
      <c r="Q91" s="17"/>
      <c r="R91" s="17"/>
      <c r="S91" s="12"/>
      <c r="T91" s="12" t="s">
        <v>39</v>
      </c>
      <c r="U91" s="17" t="s">
        <v>45</v>
      </c>
      <c r="V91" s="19">
        <f>VLOOKUP(A91,'2023 Stats'!$B$2:$D$192,3,FALSE)</f>
        <v>45466</v>
      </c>
      <c r="W91" s="29">
        <v>11367</v>
      </c>
      <c r="X91" s="30">
        <v>8</v>
      </c>
      <c r="Y91" s="19">
        <v>60249</v>
      </c>
      <c r="Z91" s="29">
        <v>5021</v>
      </c>
      <c r="AA91" s="30">
        <v>9</v>
      </c>
      <c r="AB91" s="19">
        <v>78649</v>
      </c>
      <c r="AC91" s="29">
        <v>6554</v>
      </c>
      <c r="AD91" s="30">
        <v>6</v>
      </c>
      <c r="AE91" s="31">
        <v>7647</v>
      </c>
      <c r="AF91" s="30">
        <v>8</v>
      </c>
      <c r="AG91" s="25"/>
      <c r="AH91" s="25"/>
      <c r="AI91" s="25"/>
    </row>
    <row r="92" spans="1:35" ht="22.8" x14ac:dyDescent="0.3">
      <c r="A92" s="24">
        <v>50491</v>
      </c>
      <c r="B92" s="25" t="s">
        <v>167</v>
      </c>
      <c r="C92" s="26">
        <v>42186</v>
      </c>
      <c r="D92" s="26"/>
      <c r="E92" s="27" t="s">
        <v>43</v>
      </c>
      <c r="F92" s="16" t="s">
        <v>37</v>
      </c>
      <c r="G92" s="17" t="s">
        <v>38</v>
      </c>
      <c r="H92" s="40" t="s">
        <v>103</v>
      </c>
      <c r="I92" s="17"/>
      <c r="J92" s="17"/>
      <c r="K92" s="17"/>
      <c r="L92" s="17"/>
      <c r="M92" s="17">
        <v>10</v>
      </c>
      <c r="N92" s="28">
        <v>1</v>
      </c>
      <c r="O92" s="28">
        <v>50000</v>
      </c>
      <c r="P92" s="28">
        <v>100000</v>
      </c>
      <c r="Q92" s="17"/>
      <c r="R92" s="17"/>
      <c r="S92" s="12"/>
      <c r="T92" s="12" t="s">
        <v>39</v>
      </c>
      <c r="U92" s="17" t="s">
        <v>45</v>
      </c>
      <c r="V92" s="19">
        <f>VLOOKUP(A92,'2023 Stats'!$B$2:$D$192,3,FALSE)</f>
        <v>1198</v>
      </c>
      <c r="W92" s="29">
        <v>300</v>
      </c>
      <c r="X92" s="30"/>
      <c r="Y92" s="19">
        <v>1013</v>
      </c>
      <c r="Z92" s="29">
        <v>84</v>
      </c>
      <c r="AA92" s="30"/>
      <c r="AB92" s="19">
        <v>1144</v>
      </c>
      <c r="AC92" s="29">
        <v>95</v>
      </c>
      <c r="AD92" s="30"/>
      <c r="AE92" s="31">
        <v>160</v>
      </c>
      <c r="AF92" s="30"/>
      <c r="AG92" s="25"/>
      <c r="AH92" s="25"/>
      <c r="AI92" s="25"/>
    </row>
    <row r="93" spans="1:35" ht="22.8" x14ac:dyDescent="0.3">
      <c r="A93" s="24">
        <v>50492</v>
      </c>
      <c r="B93" s="25" t="s">
        <v>168</v>
      </c>
      <c r="C93" s="26">
        <v>42186</v>
      </c>
      <c r="D93" s="26"/>
      <c r="E93" s="27" t="s">
        <v>43</v>
      </c>
      <c r="F93" s="16" t="s">
        <v>37</v>
      </c>
      <c r="G93" s="17" t="s">
        <v>38</v>
      </c>
      <c r="H93" s="40" t="s">
        <v>103</v>
      </c>
      <c r="I93" s="17"/>
      <c r="J93" s="17"/>
      <c r="K93" s="17"/>
      <c r="L93" s="17"/>
      <c r="M93" s="17">
        <v>10</v>
      </c>
      <c r="N93" s="28">
        <v>1</v>
      </c>
      <c r="O93" s="28">
        <v>50000</v>
      </c>
      <c r="P93" s="28">
        <v>100000</v>
      </c>
      <c r="Q93" s="17"/>
      <c r="R93" s="17"/>
      <c r="S93" s="12"/>
      <c r="T93" s="12" t="s">
        <v>39</v>
      </c>
      <c r="U93" s="17" t="s">
        <v>45</v>
      </c>
      <c r="V93" s="19">
        <f>VLOOKUP(A93,'2023 Stats'!$B$2:$D$192,3,FALSE)</f>
        <v>145</v>
      </c>
      <c r="W93" s="29">
        <v>36</v>
      </c>
      <c r="X93" s="30"/>
      <c r="Y93" s="19">
        <v>269</v>
      </c>
      <c r="Z93" s="29">
        <v>22</v>
      </c>
      <c r="AA93" s="30"/>
      <c r="AB93" s="19">
        <v>132</v>
      </c>
      <c r="AC93" s="29">
        <v>11</v>
      </c>
      <c r="AD93" s="30"/>
      <c r="AE93" s="31">
        <v>23</v>
      </c>
      <c r="AF93" s="30"/>
      <c r="AG93" s="25"/>
      <c r="AH93" s="25"/>
      <c r="AI93" s="25"/>
    </row>
    <row r="94" spans="1:35" ht="22.8" x14ac:dyDescent="0.3">
      <c r="A94" s="24">
        <v>50505</v>
      </c>
      <c r="B94" s="25" t="s">
        <v>169</v>
      </c>
      <c r="C94" s="26">
        <v>42186</v>
      </c>
      <c r="D94" s="26"/>
      <c r="E94" s="27" t="s">
        <v>43</v>
      </c>
      <c r="F94" s="16" t="s">
        <v>37</v>
      </c>
      <c r="G94" s="17" t="s">
        <v>38</v>
      </c>
      <c r="H94" s="17" t="s">
        <v>94</v>
      </c>
      <c r="I94" s="17"/>
      <c r="J94" s="17"/>
      <c r="K94" s="17"/>
      <c r="L94" s="17"/>
      <c r="M94" s="17" t="s">
        <v>170</v>
      </c>
      <c r="N94" s="28">
        <v>1</v>
      </c>
      <c r="O94" s="28">
        <v>50000</v>
      </c>
      <c r="P94" s="28">
        <v>100000</v>
      </c>
      <c r="Q94" s="17"/>
      <c r="R94" s="17"/>
      <c r="S94" s="12"/>
      <c r="T94" s="12" t="s">
        <v>39</v>
      </c>
      <c r="U94" s="17" t="s">
        <v>45</v>
      </c>
      <c r="V94" s="19">
        <f>VLOOKUP(A94,'2023 Stats'!$B$2:$D$192,3,FALSE)</f>
        <v>12</v>
      </c>
      <c r="W94" s="29">
        <v>3</v>
      </c>
      <c r="X94" s="30"/>
      <c r="Y94" s="19">
        <v>24</v>
      </c>
      <c r="Z94" s="29">
        <v>2</v>
      </c>
      <c r="AA94" s="30"/>
      <c r="AB94" s="19">
        <v>93</v>
      </c>
      <c r="AC94" s="29">
        <v>8</v>
      </c>
      <c r="AD94" s="30"/>
      <c r="AE94" s="31">
        <v>4</v>
      </c>
      <c r="AF94" s="30"/>
      <c r="AG94" s="25"/>
      <c r="AH94" s="25"/>
      <c r="AI94" s="25"/>
    </row>
    <row r="95" spans="1:35" ht="22.8" hidden="1" x14ac:dyDescent="0.3">
      <c r="A95" s="12">
        <v>50509</v>
      </c>
      <c r="B95" s="13" t="s">
        <v>171</v>
      </c>
      <c r="C95" s="14">
        <v>42186</v>
      </c>
      <c r="D95" s="14"/>
      <c r="E95" s="15" t="s">
        <v>36</v>
      </c>
      <c r="F95" s="35" t="s">
        <v>37</v>
      </c>
      <c r="G95" s="12" t="s">
        <v>38</v>
      </c>
      <c r="H95" s="17" t="s">
        <v>94</v>
      </c>
      <c r="I95" s="17"/>
      <c r="J95" s="12"/>
      <c r="K95" s="12"/>
      <c r="L95" s="12"/>
      <c r="M95" s="17">
        <v>0</v>
      </c>
      <c r="N95" s="18">
        <v>0</v>
      </c>
      <c r="O95" s="18">
        <v>0</v>
      </c>
      <c r="P95" s="18">
        <v>100000</v>
      </c>
      <c r="Q95" s="13"/>
      <c r="R95" s="13"/>
      <c r="S95" s="12"/>
      <c r="T95" s="12" t="s">
        <v>39</v>
      </c>
      <c r="U95" s="12" t="e">
        <v>#N/A</v>
      </c>
      <c r="V95" s="19" t="e">
        <f>VLOOKUP(A95,'2023 Stats'!$B$2:$D$192,3,FALSE)</f>
        <v>#N/A</v>
      </c>
      <c r="W95" s="20" t="e">
        <v>#N/A</v>
      </c>
      <c r="X95" s="21"/>
      <c r="Y95" s="22" t="e">
        <v>#N/A</v>
      </c>
      <c r="Z95" s="20" t="e">
        <v>#N/A</v>
      </c>
      <c r="AA95" s="21"/>
      <c r="AB95" s="22" t="e">
        <v>#N/A</v>
      </c>
      <c r="AC95" s="20"/>
      <c r="AD95" s="21"/>
      <c r="AE95" s="23" t="e">
        <v>#N/A</v>
      </c>
      <c r="AF95" s="21"/>
      <c r="AG95" s="13"/>
      <c r="AH95" s="13"/>
      <c r="AI95" s="13"/>
    </row>
    <row r="96" spans="1:35" ht="22.8" hidden="1" x14ac:dyDescent="0.3">
      <c r="A96" s="12">
        <v>50512</v>
      </c>
      <c r="B96" s="13" t="s">
        <v>172</v>
      </c>
      <c r="C96" s="14">
        <v>42186</v>
      </c>
      <c r="D96" s="14"/>
      <c r="E96" s="15" t="s">
        <v>36</v>
      </c>
      <c r="F96" s="35" t="s">
        <v>37</v>
      </c>
      <c r="G96" s="12" t="s">
        <v>38</v>
      </c>
      <c r="H96" s="17" t="s">
        <v>94</v>
      </c>
      <c r="I96" s="17"/>
      <c r="J96" s="12"/>
      <c r="K96" s="12"/>
      <c r="L96" s="12"/>
      <c r="M96" s="17">
        <v>0</v>
      </c>
      <c r="N96" s="18">
        <v>0</v>
      </c>
      <c r="O96" s="18">
        <v>0</v>
      </c>
      <c r="P96" s="18">
        <v>100000</v>
      </c>
      <c r="Q96" s="13"/>
      <c r="R96" s="13"/>
      <c r="S96" s="12"/>
      <c r="T96" s="12" t="s">
        <v>39</v>
      </c>
      <c r="U96" s="12" t="e">
        <v>#N/A</v>
      </c>
      <c r="V96" s="19" t="e">
        <f>VLOOKUP(A96,'2023 Stats'!$B$2:$D$192,3,FALSE)</f>
        <v>#N/A</v>
      </c>
      <c r="W96" s="20" t="e">
        <v>#N/A</v>
      </c>
      <c r="X96" s="21"/>
      <c r="Y96" s="22" t="e">
        <v>#N/A</v>
      </c>
      <c r="Z96" s="20" t="e">
        <v>#N/A</v>
      </c>
      <c r="AA96" s="21"/>
      <c r="AB96" s="22" t="e">
        <v>#N/A</v>
      </c>
      <c r="AC96" s="20"/>
      <c r="AD96" s="21"/>
      <c r="AE96" s="23" t="e">
        <v>#N/A</v>
      </c>
      <c r="AF96" s="21"/>
      <c r="AG96" s="13"/>
      <c r="AH96" s="13"/>
      <c r="AI96" s="13"/>
    </row>
    <row r="97" spans="1:35" ht="22.8" hidden="1" x14ac:dyDescent="0.3">
      <c r="A97" s="12">
        <v>50515</v>
      </c>
      <c r="B97" s="13" t="s">
        <v>173</v>
      </c>
      <c r="C97" s="14">
        <v>42186</v>
      </c>
      <c r="D97" s="14"/>
      <c r="E97" s="15" t="s">
        <v>36</v>
      </c>
      <c r="F97" s="35" t="s">
        <v>37</v>
      </c>
      <c r="G97" s="12" t="s">
        <v>38</v>
      </c>
      <c r="H97" s="17" t="s">
        <v>101</v>
      </c>
      <c r="I97" s="17"/>
      <c r="J97" s="12"/>
      <c r="K97" s="12"/>
      <c r="L97" s="12"/>
      <c r="M97" s="17">
        <v>0</v>
      </c>
      <c r="N97" s="18">
        <v>1</v>
      </c>
      <c r="O97" s="18">
        <v>50000</v>
      </c>
      <c r="P97" s="18">
        <v>100000</v>
      </c>
      <c r="Q97" s="13"/>
      <c r="R97" s="13"/>
      <c r="S97" s="12"/>
      <c r="T97" s="12" t="s">
        <v>39</v>
      </c>
      <c r="U97" s="12" t="e">
        <v>#N/A</v>
      </c>
      <c r="V97" s="19" t="e">
        <f>VLOOKUP(A97,'2023 Stats'!$B$2:$D$192,3,FALSE)</f>
        <v>#N/A</v>
      </c>
      <c r="W97" s="20" t="e">
        <v>#N/A</v>
      </c>
      <c r="X97" s="21"/>
      <c r="Y97" s="22" t="e">
        <v>#N/A</v>
      </c>
      <c r="Z97" s="20" t="e">
        <v>#N/A</v>
      </c>
      <c r="AA97" s="21"/>
      <c r="AB97" s="22" t="e">
        <v>#N/A</v>
      </c>
      <c r="AC97" s="20"/>
      <c r="AD97" s="21"/>
      <c r="AE97" s="23" t="e">
        <v>#N/A</v>
      </c>
      <c r="AF97" s="21"/>
      <c r="AG97" s="13"/>
      <c r="AH97" s="13"/>
      <c r="AI97" s="13"/>
    </row>
    <row r="98" spans="1:35" ht="22.8" x14ac:dyDescent="0.3">
      <c r="A98" s="24">
        <v>50517</v>
      </c>
      <c r="B98" s="25" t="s">
        <v>174</v>
      </c>
      <c r="C98" s="26">
        <v>42186</v>
      </c>
      <c r="D98" s="26"/>
      <c r="E98" s="27" t="s">
        <v>43</v>
      </c>
      <c r="F98" s="16" t="s">
        <v>37</v>
      </c>
      <c r="G98" s="17" t="s">
        <v>38</v>
      </c>
      <c r="H98" s="17" t="s">
        <v>94</v>
      </c>
      <c r="I98" s="17"/>
      <c r="J98" s="17"/>
      <c r="K98" s="17"/>
      <c r="L98" s="17"/>
      <c r="M98" s="17" t="s">
        <v>170</v>
      </c>
      <c r="N98" s="28">
        <v>1</v>
      </c>
      <c r="O98" s="28">
        <v>50000</v>
      </c>
      <c r="P98" s="28">
        <v>100000</v>
      </c>
      <c r="Q98" s="17"/>
      <c r="R98" s="17"/>
      <c r="S98" s="12"/>
      <c r="T98" s="12" t="s">
        <v>39</v>
      </c>
      <c r="U98" s="17" t="s">
        <v>45</v>
      </c>
      <c r="V98" s="19">
        <f>VLOOKUP(A98,'2023 Stats'!$B$2:$D$192,3,FALSE)</f>
        <v>365</v>
      </c>
      <c r="W98" s="29">
        <v>91</v>
      </c>
      <c r="X98" s="30"/>
      <c r="Y98" s="19">
        <v>732</v>
      </c>
      <c r="Z98" s="29">
        <v>61</v>
      </c>
      <c r="AA98" s="30"/>
      <c r="AB98" s="19">
        <v>1366</v>
      </c>
      <c r="AC98" s="29">
        <v>114</v>
      </c>
      <c r="AD98" s="30"/>
      <c r="AE98" s="31">
        <v>89</v>
      </c>
      <c r="AF98" s="30"/>
      <c r="AG98" s="25"/>
      <c r="AH98" s="25"/>
      <c r="AI98" s="25"/>
    </row>
    <row r="99" spans="1:35" ht="22.8" hidden="1" x14ac:dyDescent="0.3">
      <c r="A99" s="12">
        <v>50518</v>
      </c>
      <c r="B99" s="13" t="s">
        <v>175</v>
      </c>
      <c r="C99" s="43">
        <v>42011</v>
      </c>
      <c r="D99" s="14"/>
      <c r="E99" s="15" t="s">
        <v>36</v>
      </c>
      <c r="F99" s="35" t="s">
        <v>37</v>
      </c>
      <c r="G99" s="12" t="s">
        <v>38</v>
      </c>
      <c r="H99" s="17" t="s">
        <v>94</v>
      </c>
      <c r="I99" s="17"/>
      <c r="J99" s="12"/>
      <c r="K99" s="12"/>
      <c r="L99" s="12"/>
      <c r="M99" s="17">
        <v>20</v>
      </c>
      <c r="N99" s="18">
        <v>0</v>
      </c>
      <c r="O99" s="18">
        <v>50000</v>
      </c>
      <c r="P99" s="18">
        <v>100000</v>
      </c>
      <c r="Q99" s="13"/>
      <c r="R99" s="13"/>
      <c r="S99" s="13"/>
      <c r="T99" s="13"/>
      <c r="U99" s="46"/>
      <c r="V99" s="19" t="e">
        <f>VLOOKUP(A99,'2023 Stats'!$B$2:$D$192,3,FALSE)</f>
        <v>#N/A</v>
      </c>
      <c r="W99" s="20"/>
      <c r="X99" s="21"/>
      <c r="Y99" s="22"/>
      <c r="Z99" s="20"/>
      <c r="AA99" s="21"/>
      <c r="AB99" s="22"/>
      <c r="AC99" s="20"/>
      <c r="AD99" s="21"/>
      <c r="AE99" s="23"/>
      <c r="AF99" s="21"/>
      <c r="AG99" s="13"/>
      <c r="AH99" s="13"/>
      <c r="AI99" s="13"/>
    </row>
    <row r="100" spans="1:35" ht="22.8" x14ac:dyDescent="0.3">
      <c r="A100" s="24">
        <v>50521</v>
      </c>
      <c r="B100" s="25" t="s">
        <v>176</v>
      </c>
      <c r="C100" s="26">
        <v>42186</v>
      </c>
      <c r="D100" s="26"/>
      <c r="E100" s="27" t="s">
        <v>43</v>
      </c>
      <c r="F100" s="16" t="s">
        <v>37</v>
      </c>
      <c r="G100" s="17" t="s">
        <v>38</v>
      </c>
      <c r="H100" s="17" t="s">
        <v>101</v>
      </c>
      <c r="I100" s="17"/>
      <c r="J100" s="17"/>
      <c r="K100" s="17"/>
      <c r="L100" s="17"/>
      <c r="M100" s="17">
        <v>0</v>
      </c>
      <c r="N100" s="28">
        <v>1</v>
      </c>
      <c r="O100" s="28">
        <v>50000</v>
      </c>
      <c r="P100" s="28">
        <v>100000</v>
      </c>
      <c r="Q100" s="17"/>
      <c r="R100" s="17"/>
      <c r="S100" s="12"/>
      <c r="T100" s="12" t="s">
        <v>39</v>
      </c>
      <c r="U100" s="17" t="s">
        <v>45</v>
      </c>
      <c r="V100" s="19">
        <f>VLOOKUP(A100,'2023 Stats'!$B$2:$D$192,3,FALSE)</f>
        <v>1</v>
      </c>
      <c r="W100" s="29">
        <v>0</v>
      </c>
      <c r="X100" s="30"/>
      <c r="Y100" s="19">
        <v>3</v>
      </c>
      <c r="Z100" s="29">
        <v>0</v>
      </c>
      <c r="AA100" s="30"/>
      <c r="AB100" s="19">
        <v>2</v>
      </c>
      <c r="AC100" s="29">
        <v>0</v>
      </c>
      <c r="AD100" s="30"/>
      <c r="AE100" s="31">
        <v>0</v>
      </c>
      <c r="AF100" s="30"/>
      <c r="AG100" s="25"/>
      <c r="AH100" s="25"/>
      <c r="AI100" s="25"/>
    </row>
    <row r="101" spans="1:35" ht="22.8" hidden="1" x14ac:dyDescent="0.3">
      <c r="A101" s="12">
        <v>50523</v>
      </c>
      <c r="B101" s="13" t="s">
        <v>177</v>
      </c>
      <c r="C101" s="14">
        <v>42186</v>
      </c>
      <c r="D101" s="14"/>
      <c r="E101" s="15" t="s">
        <v>36</v>
      </c>
      <c r="F101" s="35" t="s">
        <v>37</v>
      </c>
      <c r="G101" s="12" t="s">
        <v>38</v>
      </c>
      <c r="H101" s="17" t="s">
        <v>101</v>
      </c>
      <c r="I101" s="17"/>
      <c r="J101" s="12"/>
      <c r="K101" s="12"/>
      <c r="L101" s="12"/>
      <c r="M101" s="17">
        <v>0</v>
      </c>
      <c r="N101" s="18">
        <v>1</v>
      </c>
      <c r="O101" s="18">
        <v>50000</v>
      </c>
      <c r="P101" s="18">
        <v>100000</v>
      </c>
      <c r="Q101" s="13"/>
      <c r="R101" s="13"/>
      <c r="S101" s="12"/>
      <c r="T101" s="12" t="s">
        <v>39</v>
      </c>
      <c r="U101" s="12" t="e">
        <v>#N/A</v>
      </c>
      <c r="V101" s="19" t="e">
        <f>VLOOKUP(A101,'2023 Stats'!$B$2:$D$192,3,FALSE)</f>
        <v>#N/A</v>
      </c>
      <c r="W101" s="20" t="e">
        <v>#N/A</v>
      </c>
      <c r="X101" s="21"/>
      <c r="Y101" s="22" t="e">
        <v>#N/A</v>
      </c>
      <c r="Z101" s="20" t="e">
        <v>#N/A</v>
      </c>
      <c r="AA101" s="21"/>
      <c r="AB101" s="22" t="e">
        <v>#N/A</v>
      </c>
      <c r="AC101" s="20"/>
      <c r="AD101" s="21"/>
      <c r="AE101" s="23" t="e">
        <v>#N/A</v>
      </c>
      <c r="AF101" s="21"/>
      <c r="AG101" s="13"/>
      <c r="AH101" s="13"/>
      <c r="AI101" s="13"/>
    </row>
    <row r="102" spans="1:35" ht="22.8" hidden="1" x14ac:dyDescent="0.3">
      <c r="A102" s="12">
        <v>50526</v>
      </c>
      <c r="B102" s="13" t="s">
        <v>178</v>
      </c>
      <c r="C102" s="14">
        <v>42186</v>
      </c>
      <c r="D102" s="14">
        <v>43104</v>
      </c>
      <c r="E102" s="15" t="s">
        <v>36</v>
      </c>
      <c r="F102" s="16" t="s">
        <v>37</v>
      </c>
      <c r="G102" s="12" t="s">
        <v>38</v>
      </c>
      <c r="H102" s="12"/>
      <c r="I102" s="12"/>
      <c r="J102" s="12"/>
      <c r="K102" s="12"/>
      <c r="L102" s="12"/>
      <c r="M102" s="17">
        <v>0</v>
      </c>
      <c r="N102" s="18">
        <v>1</v>
      </c>
      <c r="O102" s="18">
        <v>50000</v>
      </c>
      <c r="P102" s="18">
        <v>100000</v>
      </c>
      <c r="Q102" s="13"/>
      <c r="R102" s="13"/>
      <c r="S102" s="12"/>
      <c r="T102" s="12" t="s">
        <v>39</v>
      </c>
      <c r="U102" s="12" t="e">
        <v>#N/A</v>
      </c>
      <c r="V102" s="19" t="e">
        <f>VLOOKUP(A102,'2023 Stats'!$B$2:$D$192,3,FALSE)</f>
        <v>#N/A</v>
      </c>
      <c r="W102" s="20" t="e">
        <v>#N/A</v>
      </c>
      <c r="X102" s="21"/>
      <c r="Y102" s="22" t="e">
        <v>#N/A</v>
      </c>
      <c r="Z102" s="20" t="e">
        <v>#N/A</v>
      </c>
      <c r="AA102" s="21"/>
      <c r="AB102" s="22" t="e">
        <v>#N/A</v>
      </c>
      <c r="AC102" s="20"/>
      <c r="AD102" s="21"/>
      <c r="AE102" s="23" t="e">
        <v>#N/A</v>
      </c>
      <c r="AF102" s="21"/>
      <c r="AG102" s="13"/>
      <c r="AH102" s="13"/>
      <c r="AI102" s="13"/>
    </row>
    <row r="103" spans="1:35" ht="22.8" hidden="1" x14ac:dyDescent="0.3">
      <c r="A103" s="12">
        <v>50530</v>
      </c>
      <c r="B103" s="13" t="s">
        <v>179</v>
      </c>
      <c r="C103" s="14">
        <v>42186</v>
      </c>
      <c r="D103" s="14">
        <v>43104</v>
      </c>
      <c r="E103" s="15" t="s">
        <v>36</v>
      </c>
      <c r="F103" s="16" t="s">
        <v>37</v>
      </c>
      <c r="G103" s="12" t="s">
        <v>38</v>
      </c>
      <c r="H103" s="12"/>
      <c r="I103" s="12"/>
      <c r="J103" s="12"/>
      <c r="K103" s="12"/>
      <c r="L103" s="12"/>
      <c r="M103" s="17">
        <v>0</v>
      </c>
      <c r="N103" s="18">
        <v>1</v>
      </c>
      <c r="O103" s="18">
        <v>50000</v>
      </c>
      <c r="P103" s="18">
        <v>100000</v>
      </c>
      <c r="Q103" s="13"/>
      <c r="R103" s="13"/>
      <c r="S103" s="12"/>
      <c r="T103" s="12" t="s">
        <v>39</v>
      </c>
      <c r="U103" s="12" t="e">
        <v>#N/A</v>
      </c>
      <c r="V103" s="19" t="e">
        <f>VLOOKUP(A103,'2023 Stats'!$B$2:$D$192,3,FALSE)</f>
        <v>#N/A</v>
      </c>
      <c r="W103" s="20" t="e">
        <v>#N/A</v>
      </c>
      <c r="X103" s="21"/>
      <c r="Y103" s="22" t="e">
        <v>#N/A</v>
      </c>
      <c r="Z103" s="20" t="e">
        <v>#N/A</v>
      </c>
      <c r="AA103" s="21"/>
      <c r="AB103" s="22" t="e">
        <v>#N/A</v>
      </c>
      <c r="AC103" s="20"/>
      <c r="AD103" s="21"/>
      <c r="AE103" s="23" t="e">
        <v>#N/A</v>
      </c>
      <c r="AF103" s="21"/>
      <c r="AG103" s="13"/>
      <c r="AH103" s="13"/>
      <c r="AI103" s="13"/>
    </row>
    <row r="104" spans="1:35" ht="22.8" x14ac:dyDescent="0.3">
      <c r="A104" s="24">
        <v>50533</v>
      </c>
      <c r="B104" s="25" t="s">
        <v>180</v>
      </c>
      <c r="C104" s="26">
        <v>44876</v>
      </c>
      <c r="D104" s="26"/>
      <c r="E104" s="27" t="s">
        <v>43</v>
      </c>
      <c r="F104" s="16" t="s">
        <v>37</v>
      </c>
      <c r="G104" s="17" t="s">
        <v>38</v>
      </c>
      <c r="H104" s="40" t="s">
        <v>103</v>
      </c>
      <c r="I104" s="17"/>
      <c r="J104" s="17"/>
      <c r="K104" s="17"/>
      <c r="L104" s="17"/>
      <c r="M104" s="17">
        <v>10</v>
      </c>
      <c r="N104" s="28">
        <v>1</v>
      </c>
      <c r="O104" s="28">
        <v>50000</v>
      </c>
      <c r="P104" s="28">
        <v>100000</v>
      </c>
      <c r="Q104" s="17"/>
      <c r="R104" s="17"/>
      <c r="S104" s="12"/>
      <c r="T104" s="12" t="s">
        <v>39</v>
      </c>
      <c r="U104" s="17" t="s">
        <v>45</v>
      </c>
      <c r="V104" s="19">
        <f>VLOOKUP(A104,'2023 Stats'!$B$2:$D$192,3,FALSE)</f>
        <v>293</v>
      </c>
      <c r="W104" s="29">
        <v>73</v>
      </c>
      <c r="X104" s="30"/>
      <c r="Y104" s="19">
        <v>6</v>
      </c>
      <c r="Z104" s="29">
        <v>1</v>
      </c>
      <c r="AA104" s="30"/>
      <c r="AB104" s="19">
        <v>405</v>
      </c>
      <c r="AC104" s="29">
        <v>34</v>
      </c>
      <c r="AD104" s="30"/>
      <c r="AE104" s="31">
        <v>36</v>
      </c>
      <c r="AF104" s="30"/>
      <c r="AG104" s="25"/>
      <c r="AH104" s="25"/>
      <c r="AI104" s="25"/>
    </row>
    <row r="105" spans="1:35" ht="22.8" hidden="1" x14ac:dyDescent="0.3">
      <c r="A105" s="12">
        <v>50534</v>
      </c>
      <c r="B105" s="13" t="s">
        <v>181</v>
      </c>
      <c r="C105" s="14">
        <v>42186</v>
      </c>
      <c r="D105" s="14">
        <v>44920</v>
      </c>
      <c r="E105" s="15" t="s">
        <v>36</v>
      </c>
      <c r="F105" s="35" t="s">
        <v>37</v>
      </c>
      <c r="G105" s="12" t="s">
        <v>38</v>
      </c>
      <c r="H105" s="17" t="s">
        <v>64</v>
      </c>
      <c r="I105" s="17"/>
      <c r="J105" s="12"/>
      <c r="K105" s="12"/>
      <c r="L105" s="12"/>
      <c r="M105" s="17">
        <v>0</v>
      </c>
      <c r="N105" s="18">
        <v>1</v>
      </c>
      <c r="O105" s="18">
        <v>50000</v>
      </c>
      <c r="P105" s="18">
        <v>100000</v>
      </c>
      <c r="Q105" s="13"/>
      <c r="R105" s="13"/>
      <c r="S105" s="12"/>
      <c r="T105" s="12" t="s">
        <v>39</v>
      </c>
      <c r="U105" s="12" t="s">
        <v>182</v>
      </c>
      <c r="V105" s="19" t="e">
        <f>VLOOKUP(A105,'2023 Stats'!$B$2:$D$192,3,FALSE)</f>
        <v>#N/A</v>
      </c>
      <c r="W105" s="20" t="e">
        <v>#N/A</v>
      </c>
      <c r="X105" s="21"/>
      <c r="Y105" s="22">
        <v>4</v>
      </c>
      <c r="Z105" s="20">
        <v>0</v>
      </c>
      <c r="AA105" s="21"/>
      <c r="AB105" s="22">
        <v>12</v>
      </c>
      <c r="AC105" s="20">
        <v>1</v>
      </c>
      <c r="AD105" s="21"/>
      <c r="AE105" s="23" t="e">
        <v>#N/A</v>
      </c>
      <c r="AF105" s="21"/>
      <c r="AG105" s="13"/>
      <c r="AH105" s="13"/>
      <c r="AI105" s="13"/>
    </row>
    <row r="106" spans="1:35" ht="22.8" x14ac:dyDescent="0.3">
      <c r="A106" s="24">
        <v>50535</v>
      </c>
      <c r="B106" s="25" t="s">
        <v>183</v>
      </c>
      <c r="C106" s="26">
        <v>44876</v>
      </c>
      <c r="D106" s="26"/>
      <c r="E106" s="27" t="s">
        <v>43</v>
      </c>
      <c r="F106" s="16" t="s">
        <v>37</v>
      </c>
      <c r="G106" s="17" t="s">
        <v>38</v>
      </c>
      <c r="H106" s="40" t="s">
        <v>103</v>
      </c>
      <c r="I106" s="17"/>
      <c r="J106" s="17"/>
      <c r="K106" s="17"/>
      <c r="L106" s="17"/>
      <c r="M106" s="17">
        <v>10</v>
      </c>
      <c r="N106" s="28">
        <v>1</v>
      </c>
      <c r="O106" s="28">
        <v>50000</v>
      </c>
      <c r="P106" s="28">
        <v>100000</v>
      </c>
      <c r="Q106" s="17"/>
      <c r="R106" s="17"/>
      <c r="S106" s="12"/>
      <c r="T106" s="12" t="s">
        <v>39</v>
      </c>
      <c r="U106" s="17" t="s">
        <v>45</v>
      </c>
      <c r="V106" s="19">
        <f>VLOOKUP(A106,'2023 Stats'!$B$2:$D$192,3,FALSE)</f>
        <v>16</v>
      </c>
      <c r="W106" s="29">
        <v>4</v>
      </c>
      <c r="X106" s="30"/>
      <c r="Y106" s="19" t="e">
        <v>#N/A</v>
      </c>
      <c r="Z106" s="29" t="e">
        <v>#N/A</v>
      </c>
      <c r="AA106" s="30"/>
      <c r="AB106" s="19">
        <v>20</v>
      </c>
      <c r="AC106" s="29">
        <v>2</v>
      </c>
      <c r="AD106" s="30"/>
      <c r="AE106" s="31" t="e">
        <v>#N/A</v>
      </c>
      <c r="AF106" s="30"/>
      <c r="AG106" s="25"/>
      <c r="AH106" s="25"/>
      <c r="AI106" s="25"/>
    </row>
    <row r="107" spans="1:35" ht="22.8" x14ac:dyDescent="0.3">
      <c r="A107" s="24">
        <v>50540</v>
      </c>
      <c r="B107" s="25" t="s">
        <v>184</v>
      </c>
      <c r="C107" s="26">
        <v>42186</v>
      </c>
      <c r="D107" s="26"/>
      <c r="E107" s="27" t="s">
        <v>43</v>
      </c>
      <c r="F107" s="16" t="s">
        <v>37</v>
      </c>
      <c r="G107" s="17" t="s">
        <v>38</v>
      </c>
      <c r="H107" s="40" t="s">
        <v>103</v>
      </c>
      <c r="I107" s="17"/>
      <c r="J107" s="17"/>
      <c r="K107" s="17"/>
      <c r="L107" s="17"/>
      <c r="M107" s="17">
        <v>10</v>
      </c>
      <c r="N107" s="28">
        <v>1</v>
      </c>
      <c r="O107" s="28">
        <v>50000</v>
      </c>
      <c r="P107" s="28">
        <v>100000</v>
      </c>
      <c r="Q107" s="17"/>
      <c r="R107" s="17"/>
      <c r="S107" s="12"/>
      <c r="T107" s="12" t="s">
        <v>39</v>
      </c>
      <c r="U107" s="17" t="s">
        <v>45</v>
      </c>
      <c r="V107" s="19">
        <f>VLOOKUP(A107,'2023 Stats'!$B$2:$D$192,3,FALSE)</f>
        <v>3304</v>
      </c>
      <c r="W107" s="29">
        <v>826</v>
      </c>
      <c r="X107" s="30"/>
      <c r="Y107" s="19">
        <v>4484</v>
      </c>
      <c r="Z107" s="29">
        <v>374</v>
      </c>
      <c r="AA107" s="30"/>
      <c r="AB107" s="19">
        <v>2905</v>
      </c>
      <c r="AC107" s="29">
        <v>242</v>
      </c>
      <c r="AD107" s="30"/>
      <c r="AE107" s="31">
        <v>481</v>
      </c>
      <c r="AF107" s="30"/>
      <c r="AG107" s="25"/>
      <c r="AH107" s="25"/>
      <c r="AI107" s="25"/>
    </row>
    <row r="108" spans="1:35" ht="22.8" x14ac:dyDescent="0.3">
      <c r="A108" s="24">
        <v>50541</v>
      </c>
      <c r="B108" s="25" t="s">
        <v>185</v>
      </c>
      <c r="C108" s="26">
        <v>42186</v>
      </c>
      <c r="D108" s="26"/>
      <c r="E108" s="27" t="s">
        <v>43</v>
      </c>
      <c r="F108" s="16" t="s">
        <v>37</v>
      </c>
      <c r="G108" s="17" t="s">
        <v>38</v>
      </c>
      <c r="H108" s="40" t="s">
        <v>103</v>
      </c>
      <c r="I108" s="17"/>
      <c r="J108" s="17"/>
      <c r="K108" s="17"/>
      <c r="L108" s="17"/>
      <c r="M108" s="17">
        <v>10</v>
      </c>
      <c r="N108" s="28">
        <v>1</v>
      </c>
      <c r="O108" s="28">
        <v>50000</v>
      </c>
      <c r="P108" s="28">
        <v>100000</v>
      </c>
      <c r="Q108" s="17"/>
      <c r="R108" s="17"/>
      <c r="S108" s="12"/>
      <c r="T108" s="12" t="s">
        <v>39</v>
      </c>
      <c r="U108" s="17" t="s">
        <v>45</v>
      </c>
      <c r="V108" s="19">
        <f>VLOOKUP(A108,'2023 Stats'!$B$2:$D$192,3,FALSE)</f>
        <v>523</v>
      </c>
      <c r="W108" s="29">
        <v>131</v>
      </c>
      <c r="X108" s="30"/>
      <c r="Y108" s="19">
        <v>674</v>
      </c>
      <c r="Z108" s="29">
        <v>56</v>
      </c>
      <c r="AA108" s="30"/>
      <c r="AB108" s="19">
        <v>692</v>
      </c>
      <c r="AC108" s="29">
        <v>58</v>
      </c>
      <c r="AD108" s="30"/>
      <c r="AE108" s="31">
        <v>82</v>
      </c>
      <c r="AF108" s="30"/>
      <c r="AG108" s="25"/>
      <c r="AH108" s="25"/>
      <c r="AI108" s="25"/>
    </row>
    <row r="109" spans="1:35" ht="22.8" x14ac:dyDescent="0.3">
      <c r="A109" s="24">
        <v>50547</v>
      </c>
      <c r="B109" s="25" t="s">
        <v>186</v>
      </c>
      <c r="C109" s="26">
        <v>42186</v>
      </c>
      <c r="D109" s="26"/>
      <c r="E109" s="27" t="s">
        <v>43</v>
      </c>
      <c r="F109" s="16" t="s">
        <v>37</v>
      </c>
      <c r="G109" s="17" t="s">
        <v>38</v>
      </c>
      <c r="H109" s="17" t="s">
        <v>94</v>
      </c>
      <c r="I109" s="17"/>
      <c r="J109" s="17"/>
      <c r="K109" s="17"/>
      <c r="L109" s="17"/>
      <c r="M109" s="17">
        <v>0</v>
      </c>
      <c r="N109" s="28">
        <v>1</v>
      </c>
      <c r="O109" s="28">
        <v>50000</v>
      </c>
      <c r="P109" s="28">
        <v>100000</v>
      </c>
      <c r="Q109" s="17"/>
      <c r="R109" s="17"/>
      <c r="S109" s="12"/>
      <c r="T109" s="12" t="s">
        <v>39</v>
      </c>
      <c r="U109" s="17">
        <v>44468</v>
      </c>
      <c r="V109" s="19" t="e">
        <f>VLOOKUP(A109,'2023 Stats'!$B$2:$D$192,3,FALSE)</f>
        <v>#N/A</v>
      </c>
      <c r="W109" s="29" t="e">
        <v>#N/A</v>
      </c>
      <c r="X109" s="30"/>
      <c r="Y109" s="19" t="e">
        <v>#N/A</v>
      </c>
      <c r="Z109" s="29" t="e">
        <v>#N/A</v>
      </c>
      <c r="AA109" s="30"/>
      <c r="AB109" s="19">
        <v>10</v>
      </c>
      <c r="AC109" s="29">
        <v>1</v>
      </c>
      <c r="AD109" s="30"/>
      <c r="AE109" s="31" t="e">
        <v>#N/A</v>
      </c>
      <c r="AF109" s="30"/>
      <c r="AG109" s="25"/>
      <c r="AH109" s="25"/>
      <c r="AI109" s="25"/>
    </row>
    <row r="110" spans="1:35" ht="22.8" hidden="1" x14ac:dyDescent="0.3">
      <c r="A110" s="12">
        <v>50548</v>
      </c>
      <c r="B110" s="13" t="s">
        <v>187</v>
      </c>
      <c r="C110" s="14">
        <v>42186</v>
      </c>
      <c r="D110" s="14">
        <v>43556</v>
      </c>
      <c r="E110" s="15" t="s">
        <v>36</v>
      </c>
      <c r="F110" s="16" t="s">
        <v>37</v>
      </c>
      <c r="G110" s="12" t="s">
        <v>38</v>
      </c>
      <c r="H110" s="12"/>
      <c r="I110" s="12"/>
      <c r="J110" s="12"/>
      <c r="K110" s="12"/>
      <c r="L110" s="12"/>
      <c r="M110" s="17">
        <v>0</v>
      </c>
      <c r="N110" s="18">
        <v>1</v>
      </c>
      <c r="O110" s="18">
        <v>50000</v>
      </c>
      <c r="P110" s="18">
        <v>100000</v>
      </c>
      <c r="Q110" s="13"/>
      <c r="R110" s="13"/>
      <c r="S110" s="12"/>
      <c r="T110" s="12" t="s">
        <v>39</v>
      </c>
      <c r="U110" s="12" t="e">
        <v>#N/A</v>
      </c>
      <c r="V110" s="19" t="e">
        <f>VLOOKUP(A110,'2023 Stats'!$B$2:$D$192,3,FALSE)</f>
        <v>#N/A</v>
      </c>
      <c r="W110" s="20" t="e">
        <v>#N/A</v>
      </c>
      <c r="X110" s="21"/>
      <c r="Y110" s="22" t="e">
        <v>#N/A</v>
      </c>
      <c r="Z110" s="20" t="e">
        <v>#N/A</v>
      </c>
      <c r="AA110" s="21"/>
      <c r="AB110" s="22" t="e">
        <v>#N/A</v>
      </c>
      <c r="AC110" s="20"/>
      <c r="AD110" s="21"/>
      <c r="AE110" s="23" t="e">
        <v>#N/A</v>
      </c>
      <c r="AF110" s="21"/>
      <c r="AG110" s="13"/>
      <c r="AH110" s="13"/>
      <c r="AI110" s="13"/>
    </row>
    <row r="111" spans="1:35" ht="22.8" x14ac:dyDescent="0.3">
      <c r="A111" s="24">
        <v>50552</v>
      </c>
      <c r="B111" s="25" t="s">
        <v>188</v>
      </c>
      <c r="C111" s="26">
        <v>42186</v>
      </c>
      <c r="D111" s="26"/>
      <c r="E111" s="27" t="s">
        <v>43</v>
      </c>
      <c r="F111" s="16" t="s">
        <v>37</v>
      </c>
      <c r="G111" s="17" t="s">
        <v>38</v>
      </c>
      <c r="H111" s="40" t="s">
        <v>77</v>
      </c>
      <c r="I111" s="40" t="s">
        <v>120</v>
      </c>
      <c r="J111" s="40" t="s">
        <v>79</v>
      </c>
      <c r="K111" s="40">
        <v>6</v>
      </c>
      <c r="L111" s="17"/>
      <c r="M111" s="17" t="s">
        <v>145</v>
      </c>
      <c r="N111" s="28">
        <v>1</v>
      </c>
      <c r="O111" s="28">
        <v>50000</v>
      </c>
      <c r="P111" s="28">
        <v>100000</v>
      </c>
      <c r="Q111" s="17"/>
      <c r="R111" s="17"/>
      <c r="S111" s="12"/>
      <c r="T111" s="12" t="s">
        <v>39</v>
      </c>
      <c r="U111" s="17" t="s">
        <v>45</v>
      </c>
      <c r="V111" s="19">
        <f>VLOOKUP(A111,'2023 Stats'!$B$2:$D$192,3,FALSE)</f>
        <v>7580</v>
      </c>
      <c r="W111" s="29">
        <v>1895</v>
      </c>
      <c r="X111" s="30"/>
      <c r="Y111" s="19">
        <v>10145</v>
      </c>
      <c r="Z111" s="29">
        <v>845</v>
      </c>
      <c r="AA111" s="30"/>
      <c r="AB111" s="19">
        <v>13817</v>
      </c>
      <c r="AC111" s="29">
        <v>1151</v>
      </c>
      <c r="AD111" s="30"/>
      <c r="AE111" s="31">
        <v>1297</v>
      </c>
      <c r="AF111" s="30"/>
      <c r="AG111" s="25"/>
      <c r="AH111" s="25"/>
      <c r="AI111" s="25"/>
    </row>
    <row r="112" spans="1:35" ht="22.8" x14ac:dyDescent="0.3">
      <c r="A112" s="24">
        <v>50556</v>
      </c>
      <c r="B112" s="25" t="s">
        <v>189</v>
      </c>
      <c r="C112" s="26">
        <v>42186</v>
      </c>
      <c r="D112" s="26"/>
      <c r="E112" s="27" t="s">
        <v>43</v>
      </c>
      <c r="F112" s="16" t="s">
        <v>37</v>
      </c>
      <c r="G112" s="17" t="s">
        <v>38</v>
      </c>
      <c r="H112" s="17" t="s">
        <v>101</v>
      </c>
      <c r="I112" s="40" t="s">
        <v>95</v>
      </c>
      <c r="J112" s="40" t="s">
        <v>79</v>
      </c>
      <c r="K112" s="40">
        <v>5</v>
      </c>
      <c r="L112" s="17"/>
      <c r="M112" s="17">
        <v>0</v>
      </c>
      <c r="N112" s="28">
        <v>1</v>
      </c>
      <c r="O112" s="28">
        <v>50000</v>
      </c>
      <c r="P112" s="28">
        <v>100000</v>
      </c>
      <c r="Q112" s="17"/>
      <c r="R112" s="17"/>
      <c r="S112" s="12"/>
      <c r="T112" s="12" t="s">
        <v>39</v>
      </c>
      <c r="U112" s="17" t="s">
        <v>45</v>
      </c>
      <c r="V112" s="19">
        <f>VLOOKUP(A112,'2023 Stats'!$B$2:$D$192,3,FALSE)</f>
        <v>12696</v>
      </c>
      <c r="W112" s="29">
        <v>3174</v>
      </c>
      <c r="X112" s="30"/>
      <c r="Y112" s="19">
        <v>16407</v>
      </c>
      <c r="Z112" s="29">
        <v>1367</v>
      </c>
      <c r="AA112" s="30"/>
      <c r="AB112" s="19">
        <v>21197</v>
      </c>
      <c r="AC112" s="29">
        <v>1766</v>
      </c>
      <c r="AD112" s="30"/>
      <c r="AE112" s="31">
        <v>2103</v>
      </c>
      <c r="AF112" s="30"/>
      <c r="AG112" s="25"/>
      <c r="AH112" s="25"/>
      <c r="AI112" s="25"/>
    </row>
    <row r="113" spans="1:35" ht="22.8" x14ac:dyDescent="0.3">
      <c r="A113" s="24">
        <v>50557</v>
      </c>
      <c r="B113" s="25" t="s">
        <v>190</v>
      </c>
      <c r="C113" s="26">
        <v>42186</v>
      </c>
      <c r="D113" s="26"/>
      <c r="E113" s="27" t="s">
        <v>43</v>
      </c>
      <c r="F113" s="16" t="s">
        <v>37</v>
      </c>
      <c r="G113" s="17" t="s">
        <v>38</v>
      </c>
      <c r="H113" s="40" t="s">
        <v>77</v>
      </c>
      <c r="I113" s="17"/>
      <c r="J113" s="17"/>
      <c r="K113" s="17"/>
      <c r="L113" s="17"/>
      <c r="M113" s="17">
        <v>10</v>
      </c>
      <c r="N113" s="28">
        <v>1</v>
      </c>
      <c r="O113" s="28">
        <v>50000</v>
      </c>
      <c r="P113" s="28">
        <v>100000</v>
      </c>
      <c r="Q113" s="17"/>
      <c r="R113" s="17"/>
      <c r="S113" s="12"/>
      <c r="T113" s="12" t="s">
        <v>39</v>
      </c>
      <c r="U113" s="17" t="s">
        <v>45</v>
      </c>
      <c r="V113" s="19">
        <f>VLOOKUP(A113,'2023 Stats'!$B$2:$D$192,3,FALSE)</f>
        <v>38</v>
      </c>
      <c r="W113" s="29">
        <v>10</v>
      </c>
      <c r="X113" s="30"/>
      <c r="Y113" s="19">
        <v>91</v>
      </c>
      <c r="Z113" s="29">
        <v>8</v>
      </c>
      <c r="AA113" s="30"/>
      <c r="AB113" s="19">
        <v>151</v>
      </c>
      <c r="AC113" s="29">
        <v>13</v>
      </c>
      <c r="AD113" s="30"/>
      <c r="AE113" s="31">
        <v>10</v>
      </c>
      <c r="AF113" s="30"/>
      <c r="AG113" s="25"/>
      <c r="AH113" s="25"/>
      <c r="AI113" s="25"/>
    </row>
    <row r="114" spans="1:35" ht="22.8" x14ac:dyDescent="0.3">
      <c r="A114" s="24">
        <v>50560</v>
      </c>
      <c r="B114" s="25" t="s">
        <v>191</v>
      </c>
      <c r="C114" s="26">
        <v>42186</v>
      </c>
      <c r="D114" s="26"/>
      <c r="E114" s="27" t="s">
        <v>43</v>
      </c>
      <c r="F114" s="16" t="s">
        <v>37</v>
      </c>
      <c r="G114" s="17" t="s">
        <v>38</v>
      </c>
      <c r="H114" s="40" t="s">
        <v>77</v>
      </c>
      <c r="I114" s="40" t="s">
        <v>120</v>
      </c>
      <c r="J114" s="40" t="s">
        <v>79</v>
      </c>
      <c r="K114" s="40">
        <v>6</v>
      </c>
      <c r="L114" s="17"/>
      <c r="M114" s="17" t="s">
        <v>170</v>
      </c>
      <c r="N114" s="28">
        <v>1</v>
      </c>
      <c r="O114" s="28">
        <v>50000</v>
      </c>
      <c r="P114" s="28">
        <v>100000</v>
      </c>
      <c r="Q114" s="17"/>
      <c r="R114" s="17"/>
      <c r="S114" s="12"/>
      <c r="T114" s="12" t="s">
        <v>39</v>
      </c>
      <c r="U114" s="17" t="s">
        <v>45</v>
      </c>
      <c r="V114" s="19">
        <f>VLOOKUP(A114,'2023 Stats'!$B$2:$D$192,3,FALSE)</f>
        <v>4590</v>
      </c>
      <c r="W114" s="29">
        <v>1148</v>
      </c>
      <c r="X114" s="30"/>
      <c r="Y114" s="19">
        <v>6854</v>
      </c>
      <c r="Z114" s="29">
        <v>571</v>
      </c>
      <c r="AA114" s="30"/>
      <c r="AB114" s="19">
        <v>12153</v>
      </c>
      <c r="AC114" s="29">
        <v>1013</v>
      </c>
      <c r="AD114" s="30"/>
      <c r="AE114" s="31">
        <v>910</v>
      </c>
      <c r="AF114" s="30"/>
      <c r="AG114" s="25"/>
      <c r="AH114" s="25"/>
      <c r="AI114" s="25"/>
    </row>
    <row r="115" spans="1:35" ht="22.8" x14ac:dyDescent="0.3">
      <c r="A115" s="24">
        <v>50562</v>
      </c>
      <c r="B115" s="25" t="s">
        <v>192</v>
      </c>
      <c r="C115" s="26">
        <v>42186</v>
      </c>
      <c r="D115" s="26"/>
      <c r="E115" s="27" t="s">
        <v>43</v>
      </c>
      <c r="F115" s="16" t="s">
        <v>37</v>
      </c>
      <c r="G115" s="17" t="s">
        <v>38</v>
      </c>
      <c r="H115" s="17" t="s">
        <v>64</v>
      </c>
      <c r="I115" s="17"/>
      <c r="J115" s="17"/>
      <c r="K115" s="17"/>
      <c r="L115" s="17"/>
      <c r="M115" s="17">
        <v>15</v>
      </c>
      <c r="N115" s="28">
        <v>1</v>
      </c>
      <c r="O115" s="28">
        <v>50000</v>
      </c>
      <c r="P115" s="28">
        <v>100000</v>
      </c>
      <c r="Q115" s="17"/>
      <c r="R115" s="17"/>
      <c r="S115" s="12"/>
      <c r="T115" s="12" t="s">
        <v>39</v>
      </c>
      <c r="U115" s="17" t="s">
        <v>45</v>
      </c>
      <c r="V115" s="19">
        <f>VLOOKUP(A115,'2023 Stats'!$B$2:$D$192,3,FALSE)</f>
        <v>173</v>
      </c>
      <c r="W115" s="29">
        <v>43</v>
      </c>
      <c r="X115" s="30"/>
      <c r="Y115" s="19">
        <v>9</v>
      </c>
      <c r="Z115" s="29">
        <v>1</v>
      </c>
      <c r="AA115" s="30"/>
      <c r="AB115" s="19">
        <v>389</v>
      </c>
      <c r="AC115" s="29">
        <v>32</v>
      </c>
      <c r="AD115" s="30"/>
      <c r="AE115" s="31">
        <v>25</v>
      </c>
      <c r="AF115" s="30"/>
      <c r="AG115" s="25"/>
      <c r="AH115" s="25"/>
      <c r="AI115" s="25"/>
    </row>
    <row r="116" spans="1:35" ht="22.8" hidden="1" x14ac:dyDescent="0.3">
      <c r="A116" s="12">
        <v>50574</v>
      </c>
      <c r="B116" s="13" t="s">
        <v>193</v>
      </c>
      <c r="C116" s="14">
        <v>42186</v>
      </c>
      <c r="D116" s="14">
        <v>43145</v>
      </c>
      <c r="E116" s="15" t="s">
        <v>36</v>
      </c>
      <c r="F116" s="16" t="s">
        <v>37</v>
      </c>
      <c r="G116" s="12" t="s">
        <v>38</v>
      </c>
      <c r="H116" s="12"/>
      <c r="I116" s="12"/>
      <c r="J116" s="12"/>
      <c r="K116" s="12"/>
      <c r="L116" s="12"/>
      <c r="M116" s="17">
        <v>0</v>
      </c>
      <c r="N116" s="18">
        <v>0</v>
      </c>
      <c r="O116" s="18">
        <v>0</v>
      </c>
      <c r="P116" s="18">
        <v>100000</v>
      </c>
      <c r="Q116" s="13"/>
      <c r="R116" s="13"/>
      <c r="S116" s="12"/>
      <c r="T116" s="12" t="s">
        <v>39</v>
      </c>
      <c r="U116" s="12" t="e">
        <v>#N/A</v>
      </c>
      <c r="V116" s="19" t="e">
        <f>VLOOKUP(A116,'2023 Stats'!$B$2:$D$192,3,FALSE)</f>
        <v>#N/A</v>
      </c>
      <c r="W116" s="20" t="e">
        <v>#N/A</v>
      </c>
      <c r="X116" s="21"/>
      <c r="Y116" s="22" t="e">
        <v>#N/A</v>
      </c>
      <c r="Z116" s="20" t="e">
        <v>#N/A</v>
      </c>
      <c r="AA116" s="21"/>
      <c r="AB116" s="22" t="e">
        <v>#N/A</v>
      </c>
      <c r="AC116" s="20"/>
      <c r="AD116" s="21"/>
      <c r="AE116" s="23" t="e">
        <v>#N/A</v>
      </c>
      <c r="AF116" s="21"/>
      <c r="AG116" s="13"/>
      <c r="AH116" s="13"/>
      <c r="AI116" s="13"/>
    </row>
    <row r="117" spans="1:35" ht="22.8" x14ac:dyDescent="0.3">
      <c r="A117" s="24">
        <v>50577</v>
      </c>
      <c r="B117" s="25" t="s">
        <v>194</v>
      </c>
      <c r="C117" s="26">
        <v>42186</v>
      </c>
      <c r="D117" s="26"/>
      <c r="E117" s="27" t="s">
        <v>43</v>
      </c>
      <c r="F117" s="16" t="s">
        <v>37</v>
      </c>
      <c r="G117" s="17" t="s">
        <v>38</v>
      </c>
      <c r="H117" s="17" t="s">
        <v>101</v>
      </c>
      <c r="I117" s="17"/>
      <c r="J117" s="17"/>
      <c r="K117" s="17"/>
      <c r="L117" s="17"/>
      <c r="M117" s="17">
        <v>15</v>
      </c>
      <c r="N117" s="28">
        <v>1</v>
      </c>
      <c r="O117" s="28">
        <v>50000</v>
      </c>
      <c r="P117" s="28">
        <v>100000</v>
      </c>
      <c r="Q117" s="17"/>
      <c r="R117" s="17"/>
      <c r="S117" s="12"/>
      <c r="T117" s="12" t="s">
        <v>39</v>
      </c>
      <c r="U117" s="17" t="s">
        <v>45</v>
      </c>
      <c r="V117" s="19">
        <f>VLOOKUP(A117,'2023 Stats'!$B$2:$D$192,3,FALSE)</f>
        <v>1472</v>
      </c>
      <c r="W117" s="29">
        <v>368</v>
      </c>
      <c r="X117" s="30"/>
      <c r="Y117" s="19">
        <v>2018</v>
      </c>
      <c r="Z117" s="29">
        <v>168</v>
      </c>
      <c r="AA117" s="30"/>
      <c r="AB117" s="19">
        <v>3440</v>
      </c>
      <c r="AC117" s="29">
        <v>287</v>
      </c>
      <c r="AD117" s="30"/>
      <c r="AE117" s="31">
        <v>274</v>
      </c>
      <c r="AF117" s="30"/>
      <c r="AG117" s="25"/>
      <c r="AH117" s="25"/>
      <c r="AI117" s="25"/>
    </row>
    <row r="118" spans="1:35" ht="22.8" hidden="1" x14ac:dyDescent="0.3">
      <c r="A118" s="17">
        <v>50578</v>
      </c>
      <c r="B118" s="25" t="s">
        <v>195</v>
      </c>
      <c r="C118" s="26">
        <v>42186</v>
      </c>
      <c r="D118" s="26"/>
      <c r="E118" s="27" t="s">
        <v>36</v>
      </c>
      <c r="F118" s="16" t="s">
        <v>37</v>
      </c>
      <c r="G118" s="17" t="s">
        <v>38</v>
      </c>
      <c r="H118" s="17" t="s">
        <v>64</v>
      </c>
      <c r="I118" s="17"/>
      <c r="J118" s="17"/>
      <c r="K118" s="17"/>
      <c r="L118" s="17"/>
      <c r="M118" s="17">
        <v>0</v>
      </c>
      <c r="N118" s="28">
        <v>1</v>
      </c>
      <c r="O118" s="28">
        <v>50000</v>
      </c>
      <c r="P118" s="28">
        <v>100000</v>
      </c>
      <c r="Q118" s="25"/>
      <c r="R118" s="25"/>
      <c r="S118" s="17"/>
      <c r="T118" s="17" t="s">
        <v>39</v>
      </c>
      <c r="U118" s="17" t="s">
        <v>45</v>
      </c>
      <c r="V118" s="19">
        <f>VLOOKUP(A118,'2023 Stats'!$B$2:$D$192,3,FALSE)</f>
        <v>15</v>
      </c>
      <c r="W118" s="29">
        <v>4</v>
      </c>
      <c r="X118" s="30"/>
      <c r="Y118" s="19">
        <v>17</v>
      </c>
      <c r="Z118" s="29">
        <v>1</v>
      </c>
      <c r="AA118" s="30"/>
      <c r="AB118" s="19">
        <v>26</v>
      </c>
      <c r="AC118" s="29">
        <v>2</v>
      </c>
      <c r="AD118" s="30"/>
      <c r="AE118" s="31">
        <v>2</v>
      </c>
      <c r="AF118" s="30"/>
      <c r="AG118" s="25"/>
      <c r="AH118" s="25"/>
      <c r="AI118" s="25"/>
    </row>
    <row r="119" spans="1:35" ht="22.8" hidden="1" x14ac:dyDescent="0.3">
      <c r="A119" s="12">
        <v>50584</v>
      </c>
      <c r="B119" s="13" t="s">
        <v>196</v>
      </c>
      <c r="C119" s="14">
        <v>42186</v>
      </c>
      <c r="D119" s="12" t="s">
        <v>197</v>
      </c>
      <c r="E119" s="15" t="s">
        <v>36</v>
      </c>
      <c r="F119" s="16" t="s">
        <v>37</v>
      </c>
      <c r="G119" s="12" t="s">
        <v>38</v>
      </c>
      <c r="H119" s="12"/>
      <c r="I119" s="12"/>
      <c r="J119" s="12"/>
      <c r="K119" s="12"/>
      <c r="L119" s="12"/>
      <c r="M119" s="17">
        <v>0</v>
      </c>
      <c r="N119" s="18">
        <v>1</v>
      </c>
      <c r="O119" s="18">
        <v>50000</v>
      </c>
      <c r="P119" s="18">
        <v>100000</v>
      </c>
      <c r="Q119" s="13"/>
      <c r="R119" s="13"/>
      <c r="S119" s="12"/>
      <c r="T119" s="12" t="s">
        <v>39</v>
      </c>
      <c r="U119" s="12" t="e">
        <v>#N/A</v>
      </c>
      <c r="V119" s="19" t="e">
        <f>VLOOKUP(A119,'2023 Stats'!$B$2:$D$192,3,FALSE)</f>
        <v>#N/A</v>
      </c>
      <c r="W119" s="20" t="e">
        <v>#N/A</v>
      </c>
      <c r="X119" s="21"/>
      <c r="Y119" s="22" t="e">
        <v>#N/A</v>
      </c>
      <c r="Z119" s="20" t="e">
        <v>#N/A</v>
      </c>
      <c r="AA119" s="21"/>
      <c r="AB119" s="22" t="e">
        <v>#N/A</v>
      </c>
      <c r="AC119" s="20"/>
      <c r="AD119" s="21"/>
      <c r="AE119" s="23" t="e">
        <v>#N/A</v>
      </c>
      <c r="AF119" s="21"/>
      <c r="AG119" s="13"/>
      <c r="AH119" s="13"/>
      <c r="AI119" s="13"/>
    </row>
    <row r="120" spans="1:35" ht="22.8" hidden="1" x14ac:dyDescent="0.3">
      <c r="A120" s="12">
        <v>50585</v>
      </c>
      <c r="B120" s="13" t="s">
        <v>198</v>
      </c>
      <c r="C120" s="14">
        <v>42186</v>
      </c>
      <c r="D120" s="14">
        <v>43104</v>
      </c>
      <c r="E120" s="15" t="s">
        <v>36</v>
      </c>
      <c r="F120" s="16" t="s">
        <v>37</v>
      </c>
      <c r="G120" s="12" t="s">
        <v>38</v>
      </c>
      <c r="H120" s="12"/>
      <c r="I120" s="12"/>
      <c r="J120" s="12"/>
      <c r="K120" s="12"/>
      <c r="L120" s="12"/>
      <c r="M120" s="17">
        <v>0</v>
      </c>
      <c r="N120" s="18">
        <v>1</v>
      </c>
      <c r="O120" s="18">
        <v>50000</v>
      </c>
      <c r="P120" s="18">
        <v>100000</v>
      </c>
      <c r="Q120" s="13"/>
      <c r="R120" s="13"/>
      <c r="S120" s="12"/>
      <c r="T120" s="12" t="s">
        <v>39</v>
      </c>
      <c r="U120" s="12" t="e">
        <v>#N/A</v>
      </c>
      <c r="V120" s="19" t="e">
        <f>VLOOKUP(A120,'2023 Stats'!$B$2:$D$192,3,FALSE)</f>
        <v>#N/A</v>
      </c>
      <c r="W120" s="20" t="e">
        <v>#N/A</v>
      </c>
      <c r="X120" s="21"/>
      <c r="Y120" s="22" t="e">
        <v>#N/A</v>
      </c>
      <c r="Z120" s="20" t="e">
        <v>#N/A</v>
      </c>
      <c r="AA120" s="21"/>
      <c r="AB120" s="22" t="e">
        <v>#N/A</v>
      </c>
      <c r="AC120" s="20"/>
      <c r="AD120" s="21"/>
      <c r="AE120" s="23" t="e">
        <v>#N/A</v>
      </c>
      <c r="AF120" s="21"/>
      <c r="AG120" s="13"/>
      <c r="AH120" s="13"/>
      <c r="AI120" s="13"/>
    </row>
    <row r="121" spans="1:35" ht="22.8" hidden="1" x14ac:dyDescent="0.3">
      <c r="A121" s="12">
        <v>50591</v>
      </c>
      <c r="B121" s="13" t="s">
        <v>199</v>
      </c>
      <c r="C121" s="14">
        <v>42186</v>
      </c>
      <c r="D121" s="14">
        <v>43104</v>
      </c>
      <c r="E121" s="15" t="s">
        <v>36</v>
      </c>
      <c r="F121" s="16" t="s">
        <v>37</v>
      </c>
      <c r="G121" s="12" t="s">
        <v>38</v>
      </c>
      <c r="H121" s="12"/>
      <c r="I121" s="12"/>
      <c r="J121" s="12"/>
      <c r="K121" s="12"/>
      <c r="L121" s="12"/>
      <c r="M121" s="17">
        <v>0</v>
      </c>
      <c r="N121" s="18">
        <v>1</v>
      </c>
      <c r="O121" s="18">
        <v>50000</v>
      </c>
      <c r="P121" s="18">
        <v>100000</v>
      </c>
      <c r="Q121" s="13"/>
      <c r="R121" s="13"/>
      <c r="S121" s="12"/>
      <c r="T121" s="12" t="s">
        <v>39</v>
      </c>
      <c r="U121" s="12" t="e">
        <v>#N/A</v>
      </c>
      <c r="V121" s="19" t="e">
        <f>VLOOKUP(A121,'2023 Stats'!$B$2:$D$192,3,FALSE)</f>
        <v>#N/A</v>
      </c>
      <c r="W121" s="20" t="e">
        <v>#N/A</v>
      </c>
      <c r="X121" s="21"/>
      <c r="Y121" s="22" t="e">
        <v>#N/A</v>
      </c>
      <c r="Z121" s="20" t="e">
        <v>#N/A</v>
      </c>
      <c r="AA121" s="21"/>
      <c r="AB121" s="22" t="e">
        <v>#N/A</v>
      </c>
      <c r="AC121" s="20"/>
      <c r="AD121" s="21"/>
      <c r="AE121" s="23" t="e">
        <v>#N/A</v>
      </c>
      <c r="AF121" s="21"/>
      <c r="AG121" s="13"/>
      <c r="AH121" s="13"/>
      <c r="AI121" s="13"/>
    </row>
    <row r="122" spans="1:35" ht="22.8" x14ac:dyDescent="0.3">
      <c r="A122" s="24">
        <v>50593</v>
      </c>
      <c r="B122" s="25" t="s">
        <v>200</v>
      </c>
      <c r="C122" s="26">
        <v>42186</v>
      </c>
      <c r="D122" s="26"/>
      <c r="E122" s="27" t="s">
        <v>43</v>
      </c>
      <c r="F122" s="16" t="s">
        <v>37</v>
      </c>
      <c r="G122" s="17" t="s">
        <v>38</v>
      </c>
      <c r="H122" s="17" t="s">
        <v>94</v>
      </c>
      <c r="I122" s="17"/>
      <c r="J122" s="17"/>
      <c r="K122" s="17"/>
      <c r="L122" s="17"/>
      <c r="M122" s="17" t="s">
        <v>145</v>
      </c>
      <c r="N122" s="28">
        <v>0</v>
      </c>
      <c r="O122" s="28">
        <v>50000</v>
      </c>
      <c r="P122" s="28">
        <v>100000</v>
      </c>
      <c r="Q122" s="17"/>
      <c r="R122" s="17"/>
      <c r="S122" s="12"/>
      <c r="T122" s="12" t="s">
        <v>39</v>
      </c>
      <c r="U122" s="17" t="s">
        <v>45</v>
      </c>
      <c r="V122" s="19">
        <f>VLOOKUP(A122,'2023 Stats'!$B$2:$D$192,3,FALSE)</f>
        <v>2314</v>
      </c>
      <c r="W122" s="29">
        <v>579</v>
      </c>
      <c r="X122" s="30"/>
      <c r="Y122" s="19">
        <v>3913</v>
      </c>
      <c r="Z122" s="29">
        <v>326</v>
      </c>
      <c r="AA122" s="30"/>
      <c r="AB122" s="19">
        <v>6563</v>
      </c>
      <c r="AC122" s="29">
        <v>547</v>
      </c>
      <c r="AD122" s="30"/>
      <c r="AE122" s="31">
        <v>484</v>
      </c>
      <c r="AF122" s="30"/>
      <c r="AG122" s="25"/>
      <c r="AH122" s="25"/>
      <c r="AI122" s="25"/>
    </row>
    <row r="123" spans="1:35" ht="22.8" hidden="1" x14ac:dyDescent="0.3">
      <c r="A123" s="12">
        <v>50595</v>
      </c>
      <c r="B123" s="13" t="s">
        <v>201</v>
      </c>
      <c r="C123" s="14">
        <v>42186</v>
      </c>
      <c r="D123" s="14"/>
      <c r="E123" s="15" t="s">
        <v>36</v>
      </c>
      <c r="F123" s="35" t="s">
        <v>37</v>
      </c>
      <c r="G123" s="12" t="s">
        <v>38</v>
      </c>
      <c r="H123" s="17" t="s">
        <v>101</v>
      </c>
      <c r="I123" s="17"/>
      <c r="J123" s="12"/>
      <c r="K123" s="12"/>
      <c r="L123" s="12"/>
      <c r="M123" s="17">
        <v>0</v>
      </c>
      <c r="N123" s="18">
        <v>1</v>
      </c>
      <c r="O123" s="18">
        <v>50000</v>
      </c>
      <c r="P123" s="18">
        <v>100000</v>
      </c>
      <c r="Q123" s="13"/>
      <c r="R123" s="13"/>
      <c r="S123" s="12"/>
      <c r="T123" s="12" t="s">
        <v>39</v>
      </c>
      <c r="U123" s="12" t="e">
        <v>#N/A</v>
      </c>
      <c r="V123" s="19" t="e">
        <f>VLOOKUP(A123,'2023 Stats'!$B$2:$D$192,3,FALSE)</f>
        <v>#N/A</v>
      </c>
      <c r="W123" s="20" t="e">
        <v>#N/A</v>
      </c>
      <c r="X123" s="21"/>
      <c r="Y123" s="22" t="e">
        <v>#N/A</v>
      </c>
      <c r="Z123" s="20" t="e">
        <v>#N/A</v>
      </c>
      <c r="AA123" s="21"/>
      <c r="AB123" s="22" t="e">
        <v>#N/A</v>
      </c>
      <c r="AC123" s="20"/>
      <c r="AD123" s="21"/>
      <c r="AE123" s="23" t="e">
        <v>#N/A</v>
      </c>
      <c r="AF123" s="21"/>
      <c r="AG123" s="13"/>
      <c r="AH123" s="13"/>
      <c r="AI123" s="13"/>
    </row>
    <row r="124" spans="1:35" ht="22.8" x14ac:dyDescent="0.3">
      <c r="A124" s="24">
        <v>50597</v>
      </c>
      <c r="B124" s="25" t="s">
        <v>202</v>
      </c>
      <c r="C124" s="26">
        <v>42186</v>
      </c>
      <c r="D124" s="26"/>
      <c r="E124" s="27" t="s">
        <v>43</v>
      </c>
      <c r="F124" s="16" t="s">
        <v>37</v>
      </c>
      <c r="G124" s="17" t="s">
        <v>38</v>
      </c>
      <c r="H124" s="40" t="s">
        <v>103</v>
      </c>
      <c r="I124" s="40" t="s">
        <v>89</v>
      </c>
      <c r="J124" s="40"/>
      <c r="K124" s="40">
        <v>5</v>
      </c>
      <c r="L124" s="17"/>
      <c r="M124" s="17">
        <v>10</v>
      </c>
      <c r="N124" s="28">
        <v>1</v>
      </c>
      <c r="O124" s="28">
        <v>50000</v>
      </c>
      <c r="P124" s="28">
        <v>100000</v>
      </c>
      <c r="Q124" s="17"/>
      <c r="R124" s="17"/>
      <c r="S124" s="12"/>
      <c r="T124" s="12" t="s">
        <v>39</v>
      </c>
      <c r="U124" s="17" t="s">
        <v>45</v>
      </c>
      <c r="V124" s="19">
        <f>VLOOKUP(A124,'2023 Stats'!$B$2:$D$192,3,FALSE)</f>
        <v>7982</v>
      </c>
      <c r="W124" s="29">
        <v>1996</v>
      </c>
      <c r="X124" s="30"/>
      <c r="Y124" s="19">
        <v>10161</v>
      </c>
      <c r="Z124" s="29">
        <v>847</v>
      </c>
      <c r="AA124" s="30"/>
      <c r="AB124" s="19">
        <v>6460</v>
      </c>
      <c r="AC124" s="29">
        <v>538</v>
      </c>
      <c r="AD124" s="30"/>
      <c r="AE124" s="31">
        <v>1127</v>
      </c>
      <c r="AF124" s="30"/>
      <c r="AG124" s="25"/>
      <c r="AH124" s="25"/>
      <c r="AI124" s="25"/>
    </row>
    <row r="125" spans="1:35" ht="22.8" hidden="1" x14ac:dyDescent="0.3">
      <c r="A125" s="12">
        <v>50598</v>
      </c>
      <c r="B125" s="13" t="s">
        <v>203</v>
      </c>
      <c r="C125" s="14">
        <v>42186</v>
      </c>
      <c r="D125" s="14">
        <v>43104</v>
      </c>
      <c r="E125" s="15" t="s">
        <v>36</v>
      </c>
      <c r="F125" s="16" t="s">
        <v>37</v>
      </c>
      <c r="G125" s="12" t="s">
        <v>38</v>
      </c>
      <c r="H125" s="12"/>
      <c r="I125" s="12"/>
      <c r="J125" s="12"/>
      <c r="K125" s="12"/>
      <c r="L125" s="12"/>
      <c r="M125" s="17">
        <v>0</v>
      </c>
      <c r="N125" s="18">
        <v>1</v>
      </c>
      <c r="O125" s="18">
        <v>50000</v>
      </c>
      <c r="P125" s="18">
        <v>100000</v>
      </c>
      <c r="Q125" s="13"/>
      <c r="R125" s="13"/>
      <c r="S125" s="12"/>
      <c r="T125" s="12" t="s">
        <v>39</v>
      </c>
      <c r="U125" s="12" t="e">
        <v>#N/A</v>
      </c>
      <c r="V125" s="19" t="e">
        <f>VLOOKUP(A125,'2023 Stats'!$B$2:$D$192,3,FALSE)</f>
        <v>#N/A</v>
      </c>
      <c r="W125" s="20" t="e">
        <v>#N/A</v>
      </c>
      <c r="X125" s="21"/>
      <c r="Y125" s="22" t="e">
        <v>#N/A</v>
      </c>
      <c r="Z125" s="20" t="e">
        <v>#N/A</v>
      </c>
      <c r="AA125" s="21"/>
      <c r="AB125" s="22" t="e">
        <v>#N/A</v>
      </c>
      <c r="AC125" s="20"/>
      <c r="AD125" s="21"/>
      <c r="AE125" s="23" t="e">
        <v>#N/A</v>
      </c>
      <c r="AF125" s="21"/>
      <c r="AG125" s="13"/>
      <c r="AH125" s="13"/>
      <c r="AI125" s="13"/>
    </row>
    <row r="126" spans="1:35" ht="22.8" hidden="1" x14ac:dyDescent="0.3">
      <c r="A126" s="12">
        <v>50604</v>
      </c>
      <c r="B126" s="13" t="s">
        <v>204</v>
      </c>
      <c r="C126" s="14">
        <v>42186</v>
      </c>
      <c r="D126" s="14">
        <v>43281</v>
      </c>
      <c r="E126" s="15" t="s">
        <v>36</v>
      </c>
      <c r="F126" s="16" t="s">
        <v>37</v>
      </c>
      <c r="G126" s="12" t="s">
        <v>38</v>
      </c>
      <c r="H126" s="12"/>
      <c r="I126" s="12"/>
      <c r="J126" s="12"/>
      <c r="K126" s="12"/>
      <c r="L126" s="12"/>
      <c r="M126" s="17">
        <v>0</v>
      </c>
      <c r="N126" s="18">
        <v>0</v>
      </c>
      <c r="O126" s="18">
        <v>0</v>
      </c>
      <c r="P126" s="18">
        <v>100000</v>
      </c>
      <c r="Q126" s="13"/>
      <c r="R126" s="13"/>
      <c r="S126" s="12"/>
      <c r="T126" s="12" t="s">
        <v>39</v>
      </c>
      <c r="U126" s="12" t="e">
        <v>#N/A</v>
      </c>
      <c r="V126" s="19" t="e">
        <f>VLOOKUP(A126,'2023 Stats'!$B$2:$D$192,3,FALSE)</f>
        <v>#N/A</v>
      </c>
      <c r="W126" s="20" t="e">
        <v>#N/A</v>
      </c>
      <c r="X126" s="21"/>
      <c r="Y126" s="22" t="e">
        <v>#N/A</v>
      </c>
      <c r="Z126" s="20" t="e">
        <v>#N/A</v>
      </c>
      <c r="AA126" s="21"/>
      <c r="AB126" s="22" t="e">
        <v>#N/A</v>
      </c>
      <c r="AC126" s="20"/>
      <c r="AD126" s="21"/>
      <c r="AE126" s="23" t="e">
        <v>#N/A</v>
      </c>
      <c r="AF126" s="21"/>
      <c r="AG126" s="13"/>
      <c r="AH126" s="13"/>
      <c r="AI126" s="13"/>
    </row>
    <row r="127" spans="1:35" ht="22.8" x14ac:dyDescent="0.3">
      <c r="A127" s="24">
        <v>50607</v>
      </c>
      <c r="B127" s="25" t="s">
        <v>205</v>
      </c>
      <c r="C127" s="26">
        <v>42186</v>
      </c>
      <c r="D127" s="26"/>
      <c r="E127" s="27" t="s">
        <v>43</v>
      </c>
      <c r="F127" s="16" t="s">
        <v>37</v>
      </c>
      <c r="G127" s="17" t="s">
        <v>38</v>
      </c>
      <c r="H127" s="40" t="s">
        <v>103</v>
      </c>
      <c r="I127" s="17"/>
      <c r="J127" s="17"/>
      <c r="K127" s="17"/>
      <c r="L127" s="17"/>
      <c r="M127" s="17">
        <v>10</v>
      </c>
      <c r="N127" s="28">
        <v>1</v>
      </c>
      <c r="O127" s="28">
        <v>50000</v>
      </c>
      <c r="P127" s="28">
        <v>100000</v>
      </c>
      <c r="Q127" s="17"/>
      <c r="R127" s="17"/>
      <c r="S127" s="12"/>
      <c r="T127" s="12" t="s">
        <v>39</v>
      </c>
      <c r="U127" s="17" t="s">
        <v>45</v>
      </c>
      <c r="V127" s="19">
        <f>VLOOKUP(A127,'2023 Stats'!$B$2:$D$192,3,FALSE)</f>
        <v>30</v>
      </c>
      <c r="W127" s="29">
        <v>8</v>
      </c>
      <c r="X127" s="30"/>
      <c r="Y127" s="19">
        <v>49</v>
      </c>
      <c r="Z127" s="29">
        <v>4</v>
      </c>
      <c r="AA127" s="30"/>
      <c r="AB127" s="19">
        <v>67</v>
      </c>
      <c r="AC127" s="29">
        <v>6</v>
      </c>
      <c r="AD127" s="30"/>
      <c r="AE127" s="31">
        <v>6</v>
      </c>
      <c r="AF127" s="30"/>
      <c r="AG127" s="25"/>
      <c r="AH127" s="25"/>
      <c r="AI127" s="25"/>
    </row>
    <row r="128" spans="1:35" ht="22.8" hidden="1" x14ac:dyDescent="0.3">
      <c r="A128" s="12">
        <v>50613</v>
      </c>
      <c r="B128" s="13" t="s">
        <v>206</v>
      </c>
      <c r="C128" s="14">
        <v>42186</v>
      </c>
      <c r="D128" s="14"/>
      <c r="E128" s="15" t="s">
        <v>36</v>
      </c>
      <c r="F128" s="35" t="s">
        <v>37</v>
      </c>
      <c r="G128" s="12" t="s">
        <v>38</v>
      </c>
      <c r="H128" s="17" t="s">
        <v>123</v>
      </c>
      <c r="I128" s="17"/>
      <c r="J128" s="12"/>
      <c r="K128" s="12"/>
      <c r="L128" s="12"/>
      <c r="M128" s="17">
        <v>0</v>
      </c>
      <c r="N128" s="18">
        <v>1</v>
      </c>
      <c r="O128" s="18">
        <v>50000</v>
      </c>
      <c r="P128" s="18">
        <v>100000</v>
      </c>
      <c r="Q128" s="13"/>
      <c r="R128" s="13"/>
      <c r="S128" s="12"/>
      <c r="T128" s="12" t="s">
        <v>39</v>
      </c>
      <c r="U128" s="12" t="e">
        <v>#N/A</v>
      </c>
      <c r="V128" s="19" t="e">
        <f>VLOOKUP(A128,'2023 Stats'!$B$2:$D$192,3,FALSE)</f>
        <v>#N/A</v>
      </c>
      <c r="W128" s="20" t="e">
        <v>#N/A</v>
      </c>
      <c r="X128" s="21"/>
      <c r="Y128" s="22" t="e">
        <v>#N/A</v>
      </c>
      <c r="Z128" s="20" t="e">
        <v>#N/A</v>
      </c>
      <c r="AA128" s="21"/>
      <c r="AB128" s="22" t="e">
        <v>#N/A</v>
      </c>
      <c r="AC128" s="20"/>
      <c r="AD128" s="21"/>
      <c r="AE128" s="23" t="e">
        <v>#N/A</v>
      </c>
      <c r="AF128" s="21"/>
      <c r="AG128" s="13"/>
      <c r="AH128" s="13"/>
      <c r="AI128" s="13"/>
    </row>
    <row r="129" spans="1:35" ht="22.8" hidden="1" x14ac:dyDescent="0.3">
      <c r="A129" s="12">
        <v>50619</v>
      </c>
      <c r="B129" s="13" t="s">
        <v>207</v>
      </c>
      <c r="C129" s="14">
        <v>42186</v>
      </c>
      <c r="D129" s="14"/>
      <c r="E129" s="15" t="s">
        <v>36</v>
      </c>
      <c r="F129" s="35" t="s">
        <v>37</v>
      </c>
      <c r="G129" s="12" t="s">
        <v>38</v>
      </c>
      <c r="H129" s="17" t="s">
        <v>64</v>
      </c>
      <c r="I129" s="17"/>
      <c r="J129" s="12"/>
      <c r="K129" s="12"/>
      <c r="L129" s="12"/>
      <c r="M129" s="17">
        <v>0</v>
      </c>
      <c r="N129" s="18">
        <v>0</v>
      </c>
      <c r="O129" s="18">
        <v>50000</v>
      </c>
      <c r="P129" s="18">
        <v>100000</v>
      </c>
      <c r="Q129" s="13"/>
      <c r="R129" s="13"/>
      <c r="S129" s="12"/>
      <c r="T129" s="12" t="s">
        <v>39</v>
      </c>
      <c r="U129" s="12" t="s">
        <v>45</v>
      </c>
      <c r="V129" s="19" t="e">
        <f>VLOOKUP(A129,'2023 Stats'!$B$2:$D$192,3,FALSE)</f>
        <v>#N/A</v>
      </c>
      <c r="W129" s="20" t="e">
        <v>#N/A</v>
      </c>
      <c r="X129" s="21"/>
      <c r="Y129" s="22">
        <v>669</v>
      </c>
      <c r="Z129" s="20">
        <v>56</v>
      </c>
      <c r="AA129" s="21"/>
      <c r="AB129" s="22">
        <v>1036</v>
      </c>
      <c r="AC129" s="20">
        <v>86</v>
      </c>
      <c r="AD129" s="21"/>
      <c r="AE129" s="23" t="e">
        <v>#N/A</v>
      </c>
      <c r="AF129" s="21"/>
      <c r="AG129" s="13"/>
      <c r="AH129" s="13"/>
      <c r="AI129" s="13"/>
    </row>
    <row r="130" spans="1:35" ht="22.8" x14ac:dyDescent="0.3">
      <c r="A130" s="24">
        <v>50628</v>
      </c>
      <c r="B130" s="25" t="s">
        <v>208</v>
      </c>
      <c r="C130" s="26">
        <v>42186</v>
      </c>
      <c r="D130" s="26"/>
      <c r="E130" s="27" t="s">
        <v>43</v>
      </c>
      <c r="F130" s="16" t="s">
        <v>37</v>
      </c>
      <c r="G130" s="17" t="s">
        <v>38</v>
      </c>
      <c r="H130" s="17" t="s">
        <v>101</v>
      </c>
      <c r="I130" s="17"/>
      <c r="J130" s="17"/>
      <c r="K130" s="17"/>
      <c r="L130" s="17"/>
      <c r="M130" s="17">
        <v>0</v>
      </c>
      <c r="N130" s="28">
        <v>1</v>
      </c>
      <c r="O130" s="28">
        <v>50000</v>
      </c>
      <c r="P130" s="28">
        <v>100000</v>
      </c>
      <c r="Q130" s="17"/>
      <c r="R130" s="17"/>
      <c r="S130" s="12"/>
      <c r="T130" s="12" t="s">
        <v>39</v>
      </c>
      <c r="U130" s="17" t="s">
        <v>45</v>
      </c>
      <c r="V130" s="19">
        <f>VLOOKUP(A130,'2023 Stats'!$B$2:$D$192,3,FALSE)</f>
        <v>532</v>
      </c>
      <c r="W130" s="29">
        <v>133</v>
      </c>
      <c r="X130" s="30"/>
      <c r="Y130" s="19">
        <v>711</v>
      </c>
      <c r="Z130" s="29">
        <v>59</v>
      </c>
      <c r="AA130" s="30"/>
      <c r="AB130" s="19">
        <v>890</v>
      </c>
      <c r="AC130" s="29">
        <v>74</v>
      </c>
      <c r="AD130" s="30"/>
      <c r="AE130" s="31">
        <v>89</v>
      </c>
      <c r="AF130" s="30"/>
      <c r="AG130" s="25"/>
      <c r="AH130" s="25"/>
      <c r="AI130" s="25"/>
    </row>
    <row r="131" spans="1:35" ht="22.8" x14ac:dyDescent="0.3">
      <c r="A131" s="24">
        <v>50630</v>
      </c>
      <c r="B131" s="25" t="s">
        <v>209</v>
      </c>
      <c r="C131" s="26">
        <v>42186</v>
      </c>
      <c r="D131" s="26"/>
      <c r="E131" s="27" t="s">
        <v>43</v>
      </c>
      <c r="F131" s="16" t="s">
        <v>37</v>
      </c>
      <c r="G131" s="17" t="s">
        <v>38</v>
      </c>
      <c r="H131" s="17" t="s">
        <v>101</v>
      </c>
      <c r="I131" s="17"/>
      <c r="J131" s="17"/>
      <c r="K131" s="17"/>
      <c r="L131" s="17"/>
      <c r="M131" s="17">
        <v>0</v>
      </c>
      <c r="N131" s="28">
        <v>1</v>
      </c>
      <c r="O131" s="28">
        <v>50000</v>
      </c>
      <c r="P131" s="28">
        <v>100000</v>
      </c>
      <c r="Q131" s="17"/>
      <c r="R131" s="17"/>
      <c r="S131" s="12"/>
      <c r="T131" s="12" t="s">
        <v>39</v>
      </c>
      <c r="U131" s="17" t="s">
        <v>45</v>
      </c>
      <c r="V131" s="19">
        <f>VLOOKUP(A131,'2023 Stats'!$B$2:$D$192,3,FALSE)</f>
        <v>299</v>
      </c>
      <c r="W131" s="29">
        <v>75</v>
      </c>
      <c r="X131" s="30"/>
      <c r="Y131" s="19">
        <v>801</v>
      </c>
      <c r="Z131" s="29">
        <v>67</v>
      </c>
      <c r="AA131" s="30"/>
      <c r="AB131" s="19">
        <v>527</v>
      </c>
      <c r="AC131" s="29">
        <v>44</v>
      </c>
      <c r="AD131" s="30"/>
      <c r="AE131" s="31">
        <v>62</v>
      </c>
      <c r="AF131" s="30"/>
      <c r="AG131" s="25"/>
      <c r="AH131" s="25"/>
      <c r="AI131" s="25"/>
    </row>
    <row r="132" spans="1:35" ht="22.8" hidden="1" x14ac:dyDescent="0.3">
      <c r="A132" s="12">
        <v>50631</v>
      </c>
      <c r="B132" s="13" t="s">
        <v>210</v>
      </c>
      <c r="C132" s="14">
        <v>42186</v>
      </c>
      <c r="D132" s="14"/>
      <c r="E132" s="15" t="s">
        <v>36</v>
      </c>
      <c r="F132" s="35" t="s">
        <v>37</v>
      </c>
      <c r="G132" s="12" t="s">
        <v>38</v>
      </c>
      <c r="H132" s="40" t="s">
        <v>77</v>
      </c>
      <c r="I132" s="17"/>
      <c r="J132" s="12"/>
      <c r="K132" s="12"/>
      <c r="L132" s="12"/>
      <c r="M132" s="17">
        <v>0</v>
      </c>
      <c r="N132" s="18">
        <v>0</v>
      </c>
      <c r="O132" s="18">
        <v>50000</v>
      </c>
      <c r="P132" s="18">
        <v>100000</v>
      </c>
      <c r="Q132" s="13"/>
      <c r="R132" s="13"/>
      <c r="S132" s="12"/>
      <c r="T132" s="12" t="s">
        <v>39</v>
      </c>
      <c r="U132" s="12" t="e">
        <v>#N/A</v>
      </c>
      <c r="V132" s="19" t="e">
        <f>VLOOKUP(A132,'2023 Stats'!$B$2:$D$192,3,FALSE)</f>
        <v>#N/A</v>
      </c>
      <c r="W132" s="20" t="e">
        <v>#N/A</v>
      </c>
      <c r="X132" s="21"/>
      <c r="Y132" s="22" t="e">
        <v>#N/A</v>
      </c>
      <c r="Z132" s="20" t="e">
        <v>#N/A</v>
      </c>
      <c r="AA132" s="21"/>
      <c r="AB132" s="22" t="e">
        <v>#N/A</v>
      </c>
      <c r="AC132" s="20"/>
      <c r="AD132" s="21"/>
      <c r="AE132" s="23" t="e">
        <v>#N/A</v>
      </c>
      <c r="AF132" s="21"/>
      <c r="AG132" s="13"/>
      <c r="AH132" s="13"/>
      <c r="AI132" s="13"/>
    </row>
    <row r="133" spans="1:35" ht="22.8" x14ac:dyDescent="0.3">
      <c r="A133" s="24">
        <v>50636</v>
      </c>
      <c r="B133" s="25" t="s">
        <v>211</v>
      </c>
      <c r="C133" s="26">
        <v>42186</v>
      </c>
      <c r="D133" s="26"/>
      <c r="E133" s="27" t="s">
        <v>43</v>
      </c>
      <c r="F133" s="16" t="s">
        <v>37</v>
      </c>
      <c r="G133" s="17" t="s">
        <v>38</v>
      </c>
      <c r="H133" s="40" t="s">
        <v>94</v>
      </c>
      <c r="I133" s="40" t="s">
        <v>120</v>
      </c>
      <c r="J133" s="40" t="s">
        <v>79</v>
      </c>
      <c r="K133" s="40">
        <v>6</v>
      </c>
      <c r="L133" s="17"/>
      <c r="M133" s="17">
        <v>15</v>
      </c>
      <c r="N133" s="28">
        <v>1</v>
      </c>
      <c r="O133" s="28">
        <v>50000</v>
      </c>
      <c r="P133" s="28">
        <v>100000</v>
      </c>
      <c r="Q133" s="17"/>
      <c r="R133" s="17"/>
      <c r="S133" s="12"/>
      <c r="T133" s="12" t="s">
        <v>39</v>
      </c>
      <c r="U133" s="17" t="s">
        <v>45</v>
      </c>
      <c r="V133" s="19">
        <f>VLOOKUP(A133,'2023 Stats'!$B$2:$D$192,3,FALSE)</f>
        <v>12138</v>
      </c>
      <c r="W133" s="29">
        <v>3035</v>
      </c>
      <c r="X133" s="30"/>
      <c r="Y133" s="19">
        <v>18857</v>
      </c>
      <c r="Z133" s="29">
        <v>1571</v>
      </c>
      <c r="AA133" s="30"/>
      <c r="AB133" s="19">
        <v>28624</v>
      </c>
      <c r="AC133" s="29">
        <v>2385</v>
      </c>
      <c r="AD133" s="30"/>
      <c r="AE133" s="31">
        <v>2330</v>
      </c>
      <c r="AF133" s="30"/>
      <c r="AG133" s="25"/>
      <c r="AH133" s="25"/>
      <c r="AI133" s="25"/>
    </row>
    <row r="134" spans="1:35" ht="22.8" hidden="1" x14ac:dyDescent="0.3">
      <c r="A134" s="12">
        <v>50640</v>
      </c>
      <c r="B134" s="13" t="s">
        <v>212</v>
      </c>
      <c r="C134" s="14">
        <v>42186</v>
      </c>
      <c r="D134" s="14"/>
      <c r="E134" s="15" t="s">
        <v>36</v>
      </c>
      <c r="F134" s="35" t="s">
        <v>37</v>
      </c>
      <c r="G134" s="12" t="s">
        <v>38</v>
      </c>
      <c r="H134" s="40" t="s">
        <v>77</v>
      </c>
      <c r="I134" s="17"/>
      <c r="J134" s="12"/>
      <c r="K134" s="12"/>
      <c r="L134" s="12"/>
      <c r="M134" s="17">
        <v>0</v>
      </c>
      <c r="N134" s="18">
        <v>0</v>
      </c>
      <c r="O134" s="18">
        <v>50000</v>
      </c>
      <c r="P134" s="18">
        <v>100000</v>
      </c>
      <c r="Q134" s="13"/>
      <c r="R134" s="13"/>
      <c r="S134" s="12"/>
      <c r="T134" s="12" t="s">
        <v>39</v>
      </c>
      <c r="U134" s="12" t="e">
        <v>#N/A</v>
      </c>
      <c r="V134" s="19" t="e">
        <f>VLOOKUP(A134,'2023 Stats'!$B$2:$D$192,3,FALSE)</f>
        <v>#N/A</v>
      </c>
      <c r="W134" s="20" t="e">
        <v>#N/A</v>
      </c>
      <c r="X134" s="21"/>
      <c r="Y134" s="22" t="e">
        <v>#N/A</v>
      </c>
      <c r="Z134" s="20" t="e">
        <v>#N/A</v>
      </c>
      <c r="AA134" s="21"/>
      <c r="AB134" s="22" t="e">
        <v>#N/A</v>
      </c>
      <c r="AC134" s="20"/>
      <c r="AD134" s="21"/>
      <c r="AE134" s="23" t="e">
        <v>#N/A</v>
      </c>
      <c r="AF134" s="21"/>
      <c r="AG134" s="13"/>
      <c r="AH134" s="13"/>
      <c r="AI134" s="13"/>
    </row>
    <row r="135" spans="1:35" ht="22.8" hidden="1" x14ac:dyDescent="0.3">
      <c r="A135" s="24">
        <v>50645</v>
      </c>
      <c r="B135" s="25" t="s">
        <v>213</v>
      </c>
      <c r="C135" s="26">
        <v>42186</v>
      </c>
      <c r="D135" s="26"/>
      <c r="E135" s="27" t="s">
        <v>36</v>
      </c>
      <c r="F135" s="16" t="s">
        <v>37</v>
      </c>
      <c r="G135" s="17" t="s">
        <v>38</v>
      </c>
      <c r="H135" s="17" t="s">
        <v>64</v>
      </c>
      <c r="I135" s="17"/>
      <c r="J135" s="17"/>
      <c r="K135" s="17"/>
      <c r="L135" s="17"/>
      <c r="M135" s="17">
        <v>0</v>
      </c>
      <c r="N135" s="28">
        <v>1</v>
      </c>
      <c r="O135" s="28">
        <v>50000</v>
      </c>
      <c r="P135" s="28">
        <v>100000</v>
      </c>
      <c r="Q135" s="17"/>
      <c r="R135" s="17"/>
      <c r="S135" s="17"/>
      <c r="T135" s="17" t="s">
        <v>39</v>
      </c>
      <c r="U135" s="17" t="s">
        <v>45</v>
      </c>
      <c r="V135" s="19">
        <f>VLOOKUP(A135,'2023 Stats'!$B$2:$D$192,3,FALSE)</f>
        <v>297</v>
      </c>
      <c r="W135" s="29">
        <v>74</v>
      </c>
      <c r="X135" s="30"/>
      <c r="Y135" s="19">
        <v>714</v>
      </c>
      <c r="Z135" s="29">
        <v>60</v>
      </c>
      <c r="AA135" s="30"/>
      <c r="AB135" s="19">
        <v>645</v>
      </c>
      <c r="AC135" s="29">
        <v>54</v>
      </c>
      <c r="AD135" s="30"/>
      <c r="AE135" s="31">
        <v>63</v>
      </c>
      <c r="AF135" s="30"/>
      <c r="AG135" s="25"/>
      <c r="AH135" s="25"/>
      <c r="AI135" s="25"/>
    </row>
    <row r="136" spans="1:35" ht="22.8" hidden="1" x14ac:dyDescent="0.3">
      <c r="A136" s="24">
        <v>50648</v>
      </c>
      <c r="B136" s="25" t="s">
        <v>214</v>
      </c>
      <c r="C136" s="26">
        <v>42186</v>
      </c>
      <c r="D136" s="17" t="s">
        <v>93</v>
      </c>
      <c r="E136" s="27" t="s">
        <v>36</v>
      </c>
      <c r="F136" s="16" t="s">
        <v>37</v>
      </c>
      <c r="G136" s="17" t="s">
        <v>38</v>
      </c>
      <c r="H136" s="17" t="s">
        <v>94</v>
      </c>
      <c r="I136" s="17"/>
      <c r="J136" s="17"/>
      <c r="K136" s="17"/>
      <c r="L136" s="17"/>
      <c r="M136" s="17">
        <v>10</v>
      </c>
      <c r="N136" s="28">
        <v>1</v>
      </c>
      <c r="O136" s="28">
        <v>50000</v>
      </c>
      <c r="P136" s="28">
        <v>100000</v>
      </c>
      <c r="Q136" s="17"/>
      <c r="R136" s="17"/>
      <c r="S136" s="12"/>
      <c r="T136" s="12" t="s">
        <v>39</v>
      </c>
      <c r="U136" s="17" t="s">
        <v>45</v>
      </c>
      <c r="V136" s="19">
        <f>VLOOKUP(A136,'2023 Stats'!$B$2:$D$192,3,FALSE)</f>
        <v>630</v>
      </c>
      <c r="W136" s="29">
        <v>158</v>
      </c>
      <c r="X136" s="30"/>
      <c r="Y136" s="19">
        <v>820</v>
      </c>
      <c r="Z136" s="29">
        <v>68</v>
      </c>
      <c r="AA136" s="30"/>
      <c r="AB136" s="19">
        <v>1097</v>
      </c>
      <c r="AC136" s="29">
        <v>91</v>
      </c>
      <c r="AD136" s="30"/>
      <c r="AE136" s="31">
        <v>106</v>
      </c>
      <c r="AF136" s="30"/>
      <c r="AG136" s="25"/>
      <c r="AH136" s="25"/>
      <c r="AI136" s="25"/>
    </row>
    <row r="137" spans="1:35" ht="22.8" hidden="1" x14ac:dyDescent="0.3">
      <c r="A137" s="12">
        <v>50654</v>
      </c>
      <c r="B137" s="13" t="s">
        <v>215</v>
      </c>
      <c r="C137" s="14">
        <v>42186</v>
      </c>
      <c r="D137" s="14"/>
      <c r="E137" s="15" t="s">
        <v>36</v>
      </c>
      <c r="F137" s="35" t="s">
        <v>37</v>
      </c>
      <c r="G137" s="12" t="s">
        <v>38</v>
      </c>
      <c r="H137" s="17" t="s">
        <v>101</v>
      </c>
      <c r="I137" s="17"/>
      <c r="J137" s="12"/>
      <c r="K137" s="12"/>
      <c r="L137" s="12"/>
      <c r="M137" s="17">
        <v>0</v>
      </c>
      <c r="N137" s="18">
        <v>0</v>
      </c>
      <c r="O137" s="18">
        <v>0</v>
      </c>
      <c r="P137" s="18">
        <v>100000</v>
      </c>
      <c r="Q137" s="13"/>
      <c r="R137" s="13"/>
      <c r="S137" s="12"/>
      <c r="T137" s="12" t="s">
        <v>39</v>
      </c>
      <c r="U137" s="12" t="e">
        <v>#N/A</v>
      </c>
      <c r="V137" s="19">
        <f>VLOOKUP(A137,'2023 Stats'!$B$2:$D$192,3,FALSE)</f>
        <v>2</v>
      </c>
      <c r="W137" s="20">
        <v>1</v>
      </c>
      <c r="X137" s="21"/>
      <c r="Y137" s="22" t="e">
        <v>#N/A</v>
      </c>
      <c r="Z137" s="20" t="e">
        <v>#N/A</v>
      </c>
      <c r="AA137" s="21"/>
      <c r="AB137" s="22" t="e">
        <v>#N/A</v>
      </c>
      <c r="AC137" s="20"/>
      <c r="AD137" s="21"/>
      <c r="AE137" s="23" t="e">
        <v>#N/A</v>
      </c>
      <c r="AF137" s="21"/>
      <c r="AG137" s="13"/>
      <c r="AH137" s="13"/>
      <c r="AI137" s="13"/>
    </row>
    <row r="138" spans="1:35" ht="22.8" hidden="1" x14ac:dyDescent="0.3">
      <c r="A138" s="12">
        <v>50655</v>
      </c>
      <c r="B138" s="13" t="s">
        <v>216</v>
      </c>
      <c r="C138" s="14">
        <v>42186</v>
      </c>
      <c r="D138" s="14"/>
      <c r="E138" s="15" t="s">
        <v>36</v>
      </c>
      <c r="F138" s="35" t="s">
        <v>37</v>
      </c>
      <c r="G138" s="12" t="s">
        <v>38</v>
      </c>
      <c r="H138" s="17" t="s">
        <v>101</v>
      </c>
      <c r="I138" s="17"/>
      <c r="J138" s="12"/>
      <c r="K138" s="12"/>
      <c r="L138" s="12"/>
      <c r="M138" s="17">
        <v>0</v>
      </c>
      <c r="N138" s="18">
        <v>0</v>
      </c>
      <c r="O138" s="18">
        <v>0</v>
      </c>
      <c r="P138" s="18">
        <v>100000</v>
      </c>
      <c r="Q138" s="13"/>
      <c r="R138" s="13"/>
      <c r="S138" s="12"/>
      <c r="T138" s="12" t="s">
        <v>39</v>
      </c>
      <c r="U138" s="12" t="e">
        <v>#N/A</v>
      </c>
      <c r="V138" s="19" t="e">
        <f>VLOOKUP(A138,'2023 Stats'!$B$2:$D$192,3,FALSE)</f>
        <v>#N/A</v>
      </c>
      <c r="W138" s="20" t="e">
        <v>#N/A</v>
      </c>
      <c r="X138" s="21"/>
      <c r="Y138" s="22" t="e">
        <v>#N/A</v>
      </c>
      <c r="Z138" s="20" t="e">
        <v>#N/A</v>
      </c>
      <c r="AA138" s="21"/>
      <c r="AB138" s="22" t="e">
        <v>#N/A</v>
      </c>
      <c r="AC138" s="20"/>
      <c r="AD138" s="21"/>
      <c r="AE138" s="23" t="e">
        <v>#N/A</v>
      </c>
      <c r="AF138" s="21"/>
      <c r="AG138" s="13"/>
      <c r="AH138" s="13"/>
      <c r="AI138" s="13"/>
    </row>
    <row r="139" spans="1:35" ht="22.8" x14ac:dyDescent="0.3">
      <c r="A139" s="24">
        <v>50658</v>
      </c>
      <c r="B139" s="25" t="s">
        <v>217</v>
      </c>
      <c r="C139" s="26">
        <v>42186</v>
      </c>
      <c r="D139" s="26"/>
      <c r="E139" s="27" t="s">
        <v>43</v>
      </c>
      <c r="F139" s="16" t="s">
        <v>37</v>
      </c>
      <c r="G139" s="17" t="s">
        <v>38</v>
      </c>
      <c r="H139" s="40" t="s">
        <v>103</v>
      </c>
      <c r="I139" s="17"/>
      <c r="J139" s="17"/>
      <c r="K139" s="17"/>
      <c r="L139" s="17"/>
      <c r="M139" s="17">
        <v>10</v>
      </c>
      <c r="N139" s="28">
        <v>1</v>
      </c>
      <c r="O139" s="28">
        <v>50000</v>
      </c>
      <c r="P139" s="28">
        <v>100000</v>
      </c>
      <c r="Q139" s="17"/>
      <c r="R139" s="17"/>
      <c r="S139" s="12"/>
      <c r="T139" s="12" t="s">
        <v>39</v>
      </c>
      <c r="U139" s="17" t="s">
        <v>45</v>
      </c>
      <c r="V139" s="19">
        <f>VLOOKUP(A139,'2023 Stats'!$B$2:$D$192,3,FALSE)</f>
        <v>23</v>
      </c>
      <c r="W139" s="29">
        <v>6</v>
      </c>
      <c r="X139" s="30"/>
      <c r="Y139" s="19">
        <v>11</v>
      </c>
      <c r="Z139" s="29">
        <v>1</v>
      </c>
      <c r="AA139" s="30"/>
      <c r="AB139" s="19">
        <v>16</v>
      </c>
      <c r="AC139" s="29">
        <v>1</v>
      </c>
      <c r="AD139" s="30"/>
      <c r="AE139" s="31">
        <v>3</v>
      </c>
      <c r="AF139" s="30"/>
      <c r="AG139" s="25"/>
      <c r="AH139" s="25"/>
      <c r="AI139" s="25"/>
    </row>
    <row r="140" spans="1:35" ht="22.8" x14ac:dyDescent="0.3">
      <c r="A140" s="24">
        <v>50662</v>
      </c>
      <c r="B140" s="25" t="s">
        <v>218</v>
      </c>
      <c r="C140" s="26">
        <v>42186</v>
      </c>
      <c r="D140" s="26"/>
      <c r="E140" s="27" t="s">
        <v>43</v>
      </c>
      <c r="F140" s="16" t="s">
        <v>37</v>
      </c>
      <c r="G140" s="17" t="s">
        <v>38</v>
      </c>
      <c r="H140" s="17" t="s">
        <v>64</v>
      </c>
      <c r="I140" s="17"/>
      <c r="J140" s="17"/>
      <c r="K140" s="17"/>
      <c r="L140" s="17"/>
      <c r="M140" s="17">
        <v>15</v>
      </c>
      <c r="N140" s="28">
        <v>1</v>
      </c>
      <c r="O140" s="28">
        <v>50000</v>
      </c>
      <c r="P140" s="28">
        <v>100000</v>
      </c>
      <c r="Q140" s="17"/>
      <c r="R140" s="17"/>
      <c r="S140" s="12"/>
      <c r="T140" s="12" t="s">
        <v>39</v>
      </c>
      <c r="U140" s="17" t="s">
        <v>45</v>
      </c>
      <c r="V140" s="19">
        <f>VLOOKUP(A140,'2023 Stats'!$B$2:$D$192,3,FALSE)</f>
        <v>705</v>
      </c>
      <c r="W140" s="29">
        <v>176</v>
      </c>
      <c r="X140" s="30"/>
      <c r="Y140" s="19">
        <v>601</v>
      </c>
      <c r="Z140" s="29">
        <v>50</v>
      </c>
      <c r="AA140" s="30"/>
      <c r="AB140" s="19">
        <v>703</v>
      </c>
      <c r="AC140" s="29">
        <v>59</v>
      </c>
      <c r="AD140" s="30"/>
      <c r="AE140" s="31">
        <v>95</v>
      </c>
      <c r="AF140" s="30"/>
      <c r="AG140" s="25"/>
      <c r="AH140" s="25"/>
      <c r="AI140" s="25"/>
    </row>
    <row r="141" spans="1:35" ht="22.8" x14ac:dyDescent="0.3">
      <c r="A141" s="24">
        <v>50667</v>
      </c>
      <c r="B141" s="25" t="s">
        <v>219</v>
      </c>
      <c r="C141" s="26">
        <v>42186</v>
      </c>
      <c r="D141" s="26"/>
      <c r="E141" s="27" t="s">
        <v>43</v>
      </c>
      <c r="F141" s="16" t="s">
        <v>37</v>
      </c>
      <c r="G141" s="17" t="s">
        <v>38</v>
      </c>
      <c r="H141" s="17" t="s">
        <v>101</v>
      </c>
      <c r="I141" s="40" t="s">
        <v>120</v>
      </c>
      <c r="J141" s="40" t="s">
        <v>79</v>
      </c>
      <c r="K141" s="40">
        <v>6</v>
      </c>
      <c r="L141" s="17"/>
      <c r="M141" s="17">
        <v>0</v>
      </c>
      <c r="N141" s="28">
        <v>1</v>
      </c>
      <c r="O141" s="28">
        <v>50000</v>
      </c>
      <c r="P141" s="28">
        <v>100000</v>
      </c>
      <c r="Q141" s="17"/>
      <c r="R141" s="17"/>
      <c r="S141" s="12"/>
      <c r="T141" s="12" t="s">
        <v>39</v>
      </c>
      <c r="U141" s="17" t="s">
        <v>45</v>
      </c>
      <c r="V141" s="19">
        <f>VLOOKUP(A141,'2023 Stats'!$B$2:$D$192,3,FALSE)</f>
        <v>7838</v>
      </c>
      <c r="W141" s="29">
        <v>1960</v>
      </c>
      <c r="X141" s="30"/>
      <c r="Y141" s="19">
        <v>6565</v>
      </c>
      <c r="Z141" s="29">
        <v>547</v>
      </c>
      <c r="AA141" s="30"/>
      <c r="AB141" s="19">
        <v>4783</v>
      </c>
      <c r="AC141" s="29">
        <v>399</v>
      </c>
      <c r="AD141" s="30"/>
      <c r="AE141" s="31">
        <v>968</v>
      </c>
      <c r="AF141" s="30"/>
      <c r="AG141" s="25"/>
      <c r="AH141" s="25"/>
      <c r="AI141" s="25"/>
    </row>
    <row r="142" spans="1:35" ht="22.8" hidden="1" x14ac:dyDescent="0.3">
      <c r="A142" s="12">
        <v>50669</v>
      </c>
      <c r="B142" s="13" t="s">
        <v>220</v>
      </c>
      <c r="C142" s="14">
        <v>42186</v>
      </c>
      <c r="D142" s="14">
        <v>43525</v>
      </c>
      <c r="E142" s="15" t="s">
        <v>36</v>
      </c>
      <c r="F142" s="16" t="s">
        <v>37</v>
      </c>
      <c r="G142" s="12" t="s">
        <v>38</v>
      </c>
      <c r="H142" s="12"/>
      <c r="I142" s="12"/>
      <c r="J142" s="12"/>
      <c r="K142" s="12"/>
      <c r="L142" s="12"/>
      <c r="M142" s="17">
        <v>0</v>
      </c>
      <c r="N142" s="18">
        <v>1</v>
      </c>
      <c r="O142" s="18">
        <v>50000</v>
      </c>
      <c r="P142" s="18">
        <v>100000</v>
      </c>
      <c r="Q142" s="13"/>
      <c r="R142" s="13"/>
      <c r="S142" s="12"/>
      <c r="T142" s="12" t="s">
        <v>39</v>
      </c>
      <c r="U142" s="12">
        <v>44637</v>
      </c>
      <c r="V142" s="19" t="e">
        <f>VLOOKUP(A142,'2023 Stats'!$B$2:$D$192,3,FALSE)</f>
        <v>#N/A</v>
      </c>
      <c r="W142" s="20" t="e">
        <v>#N/A</v>
      </c>
      <c r="X142" s="21"/>
      <c r="Y142" s="22">
        <v>1</v>
      </c>
      <c r="Z142" s="20">
        <v>0</v>
      </c>
      <c r="AA142" s="21"/>
      <c r="AB142" s="22" t="e">
        <v>#N/A</v>
      </c>
      <c r="AC142" s="20"/>
      <c r="AD142" s="21"/>
      <c r="AE142" s="23" t="e">
        <v>#N/A</v>
      </c>
      <c r="AF142" s="21"/>
      <c r="AG142" s="13"/>
      <c r="AH142" s="13"/>
      <c r="AI142" s="13"/>
    </row>
    <row r="143" spans="1:35" ht="22.8" hidden="1" x14ac:dyDescent="0.3">
      <c r="A143" s="17">
        <v>50672</v>
      </c>
      <c r="B143" s="25" t="s">
        <v>221</v>
      </c>
      <c r="C143" s="26">
        <v>42186</v>
      </c>
      <c r="D143" s="26"/>
      <c r="E143" s="27" t="s">
        <v>36</v>
      </c>
      <c r="F143" s="16" t="s">
        <v>37</v>
      </c>
      <c r="G143" s="17" t="s">
        <v>38</v>
      </c>
      <c r="H143" s="17" t="s">
        <v>94</v>
      </c>
      <c r="I143" s="40" t="s">
        <v>120</v>
      </c>
      <c r="J143" s="40" t="s">
        <v>79</v>
      </c>
      <c r="K143" s="40">
        <v>6</v>
      </c>
      <c r="L143" s="17"/>
      <c r="M143" s="17">
        <v>15</v>
      </c>
      <c r="N143" s="28">
        <v>1</v>
      </c>
      <c r="O143" s="28">
        <v>50000</v>
      </c>
      <c r="P143" s="28">
        <v>100000</v>
      </c>
      <c r="Q143" s="17"/>
      <c r="R143" s="17"/>
      <c r="S143" s="17"/>
      <c r="T143" s="17" t="s">
        <v>39</v>
      </c>
      <c r="U143" s="17" t="s">
        <v>45</v>
      </c>
      <c r="V143" s="19">
        <f>VLOOKUP(A143,'2023 Stats'!$B$2:$D$192,3,FALSE)</f>
        <v>8224</v>
      </c>
      <c r="W143" s="29">
        <v>2056</v>
      </c>
      <c r="X143" s="30"/>
      <c r="Y143" s="19">
        <v>12022</v>
      </c>
      <c r="Z143" s="29">
        <v>1002</v>
      </c>
      <c r="AA143" s="30"/>
      <c r="AB143" s="19">
        <v>17255</v>
      </c>
      <c r="AC143" s="29">
        <v>1438</v>
      </c>
      <c r="AD143" s="30"/>
      <c r="AE143" s="31">
        <v>1499</v>
      </c>
      <c r="AF143" s="30"/>
      <c r="AG143" s="25"/>
      <c r="AH143" s="25"/>
      <c r="AI143" s="25"/>
    </row>
    <row r="144" spans="1:35" ht="22.8" hidden="1" x14ac:dyDescent="0.3">
      <c r="A144" s="12">
        <v>50673</v>
      </c>
      <c r="B144" s="13" t="s">
        <v>222</v>
      </c>
      <c r="C144" s="14">
        <v>42186</v>
      </c>
      <c r="D144" s="14"/>
      <c r="E144" s="15" t="s">
        <v>36</v>
      </c>
      <c r="F144" s="35" t="s">
        <v>37</v>
      </c>
      <c r="G144" s="12" t="s">
        <v>38</v>
      </c>
      <c r="H144" s="17" t="s">
        <v>64</v>
      </c>
      <c r="I144" s="17"/>
      <c r="J144" s="12"/>
      <c r="K144" s="12"/>
      <c r="L144" s="12"/>
      <c r="M144" s="17">
        <v>0</v>
      </c>
      <c r="N144" s="18">
        <v>0</v>
      </c>
      <c r="O144" s="18">
        <v>50000</v>
      </c>
      <c r="P144" s="18">
        <v>100000</v>
      </c>
      <c r="Q144" s="13"/>
      <c r="R144" s="13"/>
      <c r="S144" s="12"/>
      <c r="T144" s="12" t="s">
        <v>39</v>
      </c>
      <c r="U144" s="12" t="e">
        <v>#N/A</v>
      </c>
      <c r="V144" s="19" t="e">
        <f>VLOOKUP(A144,'2023 Stats'!$B$2:$D$192,3,FALSE)</f>
        <v>#N/A</v>
      </c>
      <c r="W144" s="20" t="e">
        <v>#N/A</v>
      </c>
      <c r="X144" s="21"/>
      <c r="Y144" s="22" t="e">
        <v>#N/A</v>
      </c>
      <c r="Z144" s="20" t="e">
        <v>#N/A</v>
      </c>
      <c r="AA144" s="21"/>
      <c r="AB144" s="22" t="e">
        <v>#N/A</v>
      </c>
      <c r="AC144" s="20"/>
      <c r="AD144" s="21"/>
      <c r="AE144" s="23" t="e">
        <v>#N/A</v>
      </c>
      <c r="AF144" s="21"/>
      <c r="AG144" s="13"/>
      <c r="AH144" s="13"/>
      <c r="AI144" s="13"/>
    </row>
    <row r="145" spans="1:35" ht="22.8" hidden="1" x14ac:dyDescent="0.3">
      <c r="A145" s="12">
        <v>50675</v>
      </c>
      <c r="B145" s="13" t="s">
        <v>223</v>
      </c>
      <c r="C145" s="14">
        <v>43822</v>
      </c>
      <c r="D145" s="14">
        <v>43826</v>
      </c>
      <c r="E145" s="15" t="s">
        <v>36</v>
      </c>
      <c r="F145" s="16" t="s">
        <v>37</v>
      </c>
      <c r="G145" s="12" t="s">
        <v>38</v>
      </c>
      <c r="H145" s="12"/>
      <c r="I145" s="12"/>
      <c r="J145" s="12"/>
      <c r="K145" s="12"/>
      <c r="L145" s="12"/>
      <c r="M145" s="17">
        <v>0</v>
      </c>
      <c r="N145" s="18">
        <v>1</v>
      </c>
      <c r="O145" s="18">
        <v>50000</v>
      </c>
      <c r="P145" s="18">
        <v>100000</v>
      </c>
      <c r="Q145" s="13"/>
      <c r="R145" s="13"/>
      <c r="S145" s="12"/>
      <c r="T145" s="12" t="s">
        <v>39</v>
      </c>
      <c r="U145" s="12" t="e">
        <v>#N/A</v>
      </c>
      <c r="V145" s="19" t="e">
        <f>VLOOKUP(A145,'2023 Stats'!$B$2:$D$192,3,FALSE)</f>
        <v>#N/A</v>
      </c>
      <c r="W145" s="20" t="e">
        <v>#N/A</v>
      </c>
      <c r="X145" s="21"/>
      <c r="Y145" s="22" t="e">
        <v>#N/A</v>
      </c>
      <c r="Z145" s="20" t="e">
        <v>#N/A</v>
      </c>
      <c r="AA145" s="21"/>
      <c r="AB145" s="22" t="e">
        <v>#N/A</v>
      </c>
      <c r="AC145" s="20"/>
      <c r="AD145" s="21"/>
      <c r="AE145" s="23" t="e">
        <v>#N/A</v>
      </c>
      <c r="AF145" s="21"/>
      <c r="AG145" s="13"/>
      <c r="AH145" s="13"/>
      <c r="AI145" s="13"/>
    </row>
    <row r="146" spans="1:35" ht="22.8" x14ac:dyDescent="0.3">
      <c r="A146" s="24">
        <v>50681</v>
      </c>
      <c r="B146" s="25" t="s">
        <v>224</v>
      </c>
      <c r="C146" s="26">
        <v>42186</v>
      </c>
      <c r="D146" s="26"/>
      <c r="E146" s="27" t="s">
        <v>43</v>
      </c>
      <c r="F146" s="16" t="s">
        <v>37</v>
      </c>
      <c r="G146" s="17" t="s">
        <v>38</v>
      </c>
      <c r="H146" s="17" t="s">
        <v>94</v>
      </c>
      <c r="I146" s="17"/>
      <c r="J146" s="17"/>
      <c r="K146" s="17"/>
      <c r="L146" s="17"/>
      <c r="M146" s="17">
        <v>15</v>
      </c>
      <c r="N146" s="28">
        <v>1</v>
      </c>
      <c r="O146" s="28">
        <v>50000</v>
      </c>
      <c r="P146" s="28">
        <v>100000</v>
      </c>
      <c r="Q146" s="17"/>
      <c r="R146" s="17"/>
      <c r="S146" s="12"/>
      <c r="T146" s="12" t="s">
        <v>39</v>
      </c>
      <c r="U146" s="17" t="s">
        <v>45</v>
      </c>
      <c r="V146" s="19">
        <f>VLOOKUP(A146,'2023 Stats'!$B$2:$D$192,3,FALSE)</f>
        <v>162</v>
      </c>
      <c r="W146" s="29">
        <v>41</v>
      </c>
      <c r="X146" s="30"/>
      <c r="Y146" s="19">
        <v>199</v>
      </c>
      <c r="Z146" s="29">
        <v>17</v>
      </c>
      <c r="AA146" s="30"/>
      <c r="AB146" s="19">
        <v>326</v>
      </c>
      <c r="AC146" s="29">
        <v>27</v>
      </c>
      <c r="AD146" s="30"/>
      <c r="AE146" s="31">
        <v>28</v>
      </c>
      <c r="AF146" s="30"/>
      <c r="AG146" s="25"/>
      <c r="AH146" s="25"/>
      <c r="AI146" s="25"/>
    </row>
    <row r="147" spans="1:35" ht="22.8" hidden="1" x14ac:dyDescent="0.3">
      <c r="A147" s="12">
        <v>50691</v>
      </c>
      <c r="B147" s="13" t="s">
        <v>225</v>
      </c>
      <c r="C147" s="14">
        <v>42186</v>
      </c>
      <c r="D147" s="14"/>
      <c r="E147" s="15" t="s">
        <v>36</v>
      </c>
      <c r="F147" s="35" t="s">
        <v>37</v>
      </c>
      <c r="G147" s="12" t="s">
        <v>38</v>
      </c>
      <c r="H147" s="17" t="s">
        <v>64</v>
      </c>
      <c r="I147" s="17"/>
      <c r="J147" s="12"/>
      <c r="K147" s="12"/>
      <c r="L147" s="12"/>
      <c r="M147" s="17">
        <v>0</v>
      </c>
      <c r="N147" s="18">
        <v>1</v>
      </c>
      <c r="O147" s="18">
        <v>50000</v>
      </c>
      <c r="P147" s="18">
        <v>100000</v>
      </c>
      <c r="Q147" s="13"/>
      <c r="R147" s="13"/>
      <c r="S147" s="12"/>
      <c r="T147" s="12" t="s">
        <v>39</v>
      </c>
      <c r="U147" s="12" t="e">
        <v>#N/A</v>
      </c>
      <c r="V147" s="19" t="e">
        <f>VLOOKUP(A147,'2023 Stats'!$B$2:$D$192,3,FALSE)</f>
        <v>#N/A</v>
      </c>
      <c r="W147" s="20" t="e">
        <v>#N/A</v>
      </c>
      <c r="X147" s="21"/>
      <c r="Y147" s="22" t="e">
        <v>#N/A</v>
      </c>
      <c r="Z147" s="20" t="e">
        <v>#N/A</v>
      </c>
      <c r="AA147" s="21"/>
      <c r="AB147" s="22" t="e">
        <v>#N/A</v>
      </c>
      <c r="AC147" s="20"/>
      <c r="AD147" s="21"/>
      <c r="AE147" s="23" t="e">
        <v>#N/A</v>
      </c>
      <c r="AF147" s="21"/>
      <c r="AG147" s="13"/>
      <c r="AH147" s="13"/>
      <c r="AI147" s="13"/>
    </row>
    <row r="148" spans="1:35" ht="22.8" hidden="1" x14ac:dyDescent="0.3">
      <c r="A148" s="12">
        <v>50694</v>
      </c>
      <c r="B148" s="13" t="s">
        <v>226</v>
      </c>
      <c r="C148" s="14">
        <v>42186</v>
      </c>
      <c r="D148" s="14">
        <v>43891</v>
      </c>
      <c r="E148" s="15" t="s">
        <v>36</v>
      </c>
      <c r="F148" s="16" t="s">
        <v>37</v>
      </c>
      <c r="G148" s="12" t="s">
        <v>38</v>
      </c>
      <c r="H148" s="12"/>
      <c r="I148" s="12"/>
      <c r="J148" s="12"/>
      <c r="K148" s="12"/>
      <c r="L148" s="12"/>
      <c r="M148" s="17">
        <v>0</v>
      </c>
      <c r="N148" s="18">
        <v>1</v>
      </c>
      <c r="O148" s="18">
        <v>50000</v>
      </c>
      <c r="P148" s="18">
        <v>100000</v>
      </c>
      <c r="Q148" s="13"/>
      <c r="R148" s="13"/>
      <c r="S148" s="12"/>
      <c r="T148" s="12" t="s">
        <v>39</v>
      </c>
      <c r="U148" s="12" t="e">
        <v>#N/A</v>
      </c>
      <c r="V148" s="19" t="e">
        <f>VLOOKUP(A148,'2023 Stats'!$B$2:$D$192,3,FALSE)</f>
        <v>#N/A</v>
      </c>
      <c r="W148" s="20" t="e">
        <v>#N/A</v>
      </c>
      <c r="X148" s="21"/>
      <c r="Y148" s="22" t="e">
        <v>#N/A</v>
      </c>
      <c r="Z148" s="20" t="e">
        <v>#N/A</v>
      </c>
      <c r="AA148" s="21"/>
      <c r="AB148" s="22" t="e">
        <v>#N/A</v>
      </c>
      <c r="AC148" s="20"/>
      <c r="AD148" s="21"/>
      <c r="AE148" s="23" t="e">
        <v>#N/A</v>
      </c>
      <c r="AF148" s="21"/>
      <c r="AG148" s="13"/>
      <c r="AH148" s="13"/>
      <c r="AI148" s="13"/>
    </row>
    <row r="149" spans="1:35" ht="22.8" x14ac:dyDescent="0.3">
      <c r="A149" s="24">
        <v>50696</v>
      </c>
      <c r="B149" s="25" t="s">
        <v>227</v>
      </c>
      <c r="C149" s="26">
        <v>42186</v>
      </c>
      <c r="D149" s="26"/>
      <c r="E149" s="27" t="s">
        <v>43</v>
      </c>
      <c r="F149" s="16" t="s">
        <v>37</v>
      </c>
      <c r="G149" s="17" t="s">
        <v>38</v>
      </c>
      <c r="H149" s="17" t="s">
        <v>94</v>
      </c>
      <c r="I149" s="17"/>
      <c r="J149" s="17"/>
      <c r="K149" s="17"/>
      <c r="L149" s="17"/>
      <c r="M149" s="17">
        <v>15</v>
      </c>
      <c r="N149" s="28">
        <v>1</v>
      </c>
      <c r="O149" s="28">
        <v>50000</v>
      </c>
      <c r="P149" s="28">
        <v>100000</v>
      </c>
      <c r="Q149" s="17"/>
      <c r="R149" s="17"/>
      <c r="S149" s="12"/>
      <c r="T149" s="12" t="s">
        <v>39</v>
      </c>
      <c r="U149" s="17" t="s">
        <v>45</v>
      </c>
      <c r="V149" s="19">
        <f>VLOOKUP(A149,'2023 Stats'!$B$2:$D$192,3,FALSE)</f>
        <v>381</v>
      </c>
      <c r="W149" s="29">
        <v>95</v>
      </c>
      <c r="X149" s="30"/>
      <c r="Y149" s="19">
        <v>654</v>
      </c>
      <c r="Z149" s="29">
        <v>55</v>
      </c>
      <c r="AA149" s="30"/>
      <c r="AB149" s="19">
        <v>1123</v>
      </c>
      <c r="AC149" s="29">
        <v>94</v>
      </c>
      <c r="AD149" s="30"/>
      <c r="AE149" s="31">
        <v>81</v>
      </c>
      <c r="AF149" s="30"/>
      <c r="AG149" s="25"/>
      <c r="AH149" s="25"/>
      <c r="AI149" s="25"/>
    </row>
    <row r="150" spans="1:35" ht="22.8" hidden="1" x14ac:dyDescent="0.3">
      <c r="A150" s="12">
        <v>50703</v>
      </c>
      <c r="B150" s="13" t="s">
        <v>228</v>
      </c>
      <c r="C150" s="14">
        <v>42186</v>
      </c>
      <c r="D150" s="14">
        <v>43942</v>
      </c>
      <c r="E150" s="15" t="s">
        <v>36</v>
      </c>
      <c r="F150" s="16" t="s">
        <v>37</v>
      </c>
      <c r="G150" s="12" t="s">
        <v>84</v>
      </c>
      <c r="H150" s="12"/>
      <c r="I150" s="12"/>
      <c r="J150" s="12"/>
      <c r="K150" s="12"/>
      <c r="L150" s="12"/>
      <c r="M150" s="17">
        <v>0</v>
      </c>
      <c r="N150" s="18">
        <v>0</v>
      </c>
      <c r="O150" s="18">
        <v>0</v>
      </c>
      <c r="P150" s="18">
        <v>100000</v>
      </c>
      <c r="Q150" s="13"/>
      <c r="R150" s="13"/>
      <c r="S150" s="12"/>
      <c r="T150" s="12" t="s">
        <v>39</v>
      </c>
      <c r="U150" s="12" t="e">
        <v>#N/A</v>
      </c>
      <c r="V150" s="19">
        <f>VLOOKUP(A150,'2023 Stats'!$B$2:$D$192,3,FALSE)</f>
        <v>1</v>
      </c>
      <c r="W150" s="20">
        <v>0</v>
      </c>
      <c r="X150" s="21"/>
      <c r="Y150" s="22" t="e">
        <v>#N/A</v>
      </c>
      <c r="Z150" s="20" t="e">
        <v>#N/A</v>
      </c>
      <c r="AA150" s="21"/>
      <c r="AB150" s="22" t="e">
        <v>#N/A</v>
      </c>
      <c r="AC150" s="20"/>
      <c r="AD150" s="21"/>
      <c r="AE150" s="23" t="e">
        <v>#N/A</v>
      </c>
      <c r="AF150" s="21"/>
      <c r="AG150" s="13"/>
      <c r="AH150" s="13"/>
      <c r="AI150" s="13"/>
    </row>
    <row r="151" spans="1:35" ht="22.8" x14ac:dyDescent="0.3">
      <c r="A151" s="24">
        <v>50704</v>
      </c>
      <c r="B151" s="25" t="s">
        <v>229</v>
      </c>
      <c r="C151" s="26">
        <v>42186</v>
      </c>
      <c r="D151" s="26"/>
      <c r="E151" s="27" t="s">
        <v>43</v>
      </c>
      <c r="F151" s="16" t="s">
        <v>37</v>
      </c>
      <c r="G151" s="17" t="s">
        <v>38</v>
      </c>
      <c r="H151" s="40" t="s">
        <v>103</v>
      </c>
      <c r="I151" s="17"/>
      <c r="J151" s="17"/>
      <c r="K151" s="17"/>
      <c r="L151" s="17"/>
      <c r="M151" s="17">
        <v>10</v>
      </c>
      <c r="N151" s="28">
        <v>1</v>
      </c>
      <c r="O151" s="28">
        <v>50000</v>
      </c>
      <c r="P151" s="28">
        <v>100000</v>
      </c>
      <c r="Q151" s="17"/>
      <c r="R151" s="17"/>
      <c r="S151" s="12"/>
      <c r="T151" s="12" t="s">
        <v>39</v>
      </c>
      <c r="U151" s="17" t="s">
        <v>45</v>
      </c>
      <c r="V151" s="19">
        <f>VLOOKUP(A151,'2023 Stats'!$B$2:$D$192,3,FALSE)</f>
        <v>35</v>
      </c>
      <c r="W151" s="29">
        <v>9</v>
      </c>
      <c r="X151" s="30"/>
      <c r="Y151" s="19">
        <v>53</v>
      </c>
      <c r="Z151" s="29">
        <v>4</v>
      </c>
      <c r="AA151" s="30"/>
      <c r="AB151" s="19">
        <v>29</v>
      </c>
      <c r="AC151" s="29">
        <v>2</v>
      </c>
      <c r="AD151" s="30"/>
      <c r="AE151" s="31">
        <v>5</v>
      </c>
      <c r="AF151" s="30"/>
      <c r="AG151" s="25"/>
      <c r="AH151" s="25"/>
      <c r="AI151" s="25"/>
    </row>
    <row r="152" spans="1:35" ht="22.8" hidden="1" x14ac:dyDescent="0.3">
      <c r="A152" s="12">
        <v>50708</v>
      </c>
      <c r="B152" s="13" t="s">
        <v>230</v>
      </c>
      <c r="C152" s="14">
        <v>42186</v>
      </c>
      <c r="D152" s="12" t="s">
        <v>231</v>
      </c>
      <c r="E152" s="15" t="s">
        <v>36</v>
      </c>
      <c r="F152" s="16" t="s">
        <v>37</v>
      </c>
      <c r="G152" s="12" t="s">
        <v>38</v>
      </c>
      <c r="H152" s="12"/>
      <c r="I152" s="12"/>
      <c r="J152" s="12"/>
      <c r="K152" s="12"/>
      <c r="L152" s="12"/>
      <c r="M152" s="17">
        <v>0</v>
      </c>
      <c r="N152" s="18">
        <v>0</v>
      </c>
      <c r="O152" s="18">
        <v>0</v>
      </c>
      <c r="P152" s="18">
        <v>100000</v>
      </c>
      <c r="Q152" s="13"/>
      <c r="R152" s="13"/>
      <c r="S152" s="12"/>
      <c r="T152" s="12" t="s">
        <v>39</v>
      </c>
      <c r="U152" s="12">
        <v>44852</v>
      </c>
      <c r="V152" s="19" t="e">
        <f>VLOOKUP(A152,'2023 Stats'!$B$2:$D$192,3,FALSE)</f>
        <v>#N/A</v>
      </c>
      <c r="W152" s="20" t="e">
        <v>#N/A</v>
      </c>
      <c r="X152" s="21"/>
      <c r="Y152" s="22">
        <v>1</v>
      </c>
      <c r="Z152" s="20">
        <v>0</v>
      </c>
      <c r="AA152" s="21"/>
      <c r="AB152" s="22">
        <v>1</v>
      </c>
      <c r="AC152" s="20">
        <v>0</v>
      </c>
      <c r="AD152" s="21"/>
      <c r="AE152" s="23" t="e">
        <v>#N/A</v>
      </c>
      <c r="AF152" s="21"/>
      <c r="AG152" s="13"/>
      <c r="AH152" s="13"/>
      <c r="AI152" s="13"/>
    </row>
    <row r="153" spans="1:35" ht="22.8" x14ac:dyDescent="0.3">
      <c r="A153" s="24">
        <v>50710</v>
      </c>
      <c r="B153" s="25" t="s">
        <v>232</v>
      </c>
      <c r="C153" s="26">
        <v>42186</v>
      </c>
      <c r="D153" s="26"/>
      <c r="E153" s="27" t="s">
        <v>43</v>
      </c>
      <c r="F153" s="16" t="s">
        <v>37</v>
      </c>
      <c r="G153" s="17" t="s">
        <v>38</v>
      </c>
      <c r="H153" s="17" t="s">
        <v>64</v>
      </c>
      <c r="I153" s="17"/>
      <c r="J153" s="17"/>
      <c r="K153" s="17"/>
      <c r="L153" s="17"/>
      <c r="M153" s="17">
        <v>15</v>
      </c>
      <c r="N153" s="28">
        <v>1</v>
      </c>
      <c r="O153" s="28">
        <v>50000</v>
      </c>
      <c r="P153" s="28">
        <v>100000</v>
      </c>
      <c r="Q153" s="17"/>
      <c r="R153" s="17"/>
      <c r="S153" s="12"/>
      <c r="T153" s="12" t="s">
        <v>39</v>
      </c>
      <c r="U153" s="17" t="s">
        <v>45</v>
      </c>
      <c r="V153" s="19">
        <f>VLOOKUP(A153,'2023 Stats'!$B$2:$D$192,3,FALSE)</f>
        <v>2663</v>
      </c>
      <c r="W153" s="29">
        <v>666</v>
      </c>
      <c r="X153" s="30"/>
      <c r="Y153" s="19">
        <v>1483</v>
      </c>
      <c r="Z153" s="29">
        <v>124</v>
      </c>
      <c r="AA153" s="30"/>
      <c r="AB153" s="19">
        <v>2421</v>
      </c>
      <c r="AC153" s="29">
        <v>202</v>
      </c>
      <c r="AD153" s="30"/>
      <c r="AE153" s="31">
        <v>330</v>
      </c>
      <c r="AF153" s="30"/>
      <c r="AG153" s="25"/>
      <c r="AH153" s="25"/>
      <c r="AI153" s="25"/>
    </row>
    <row r="154" spans="1:35" ht="22.8" hidden="1" x14ac:dyDescent="0.3">
      <c r="A154" s="12">
        <v>50712</v>
      </c>
      <c r="B154" s="13" t="s">
        <v>233</v>
      </c>
      <c r="C154" s="14">
        <v>42186</v>
      </c>
      <c r="D154" s="14">
        <v>45032</v>
      </c>
      <c r="E154" s="15" t="s">
        <v>36</v>
      </c>
      <c r="F154" s="16" t="s">
        <v>37</v>
      </c>
      <c r="G154" s="12" t="s">
        <v>38</v>
      </c>
      <c r="H154" s="12"/>
      <c r="I154" s="12"/>
      <c r="J154" s="12"/>
      <c r="K154" s="12"/>
      <c r="L154" s="12"/>
      <c r="M154" s="17">
        <v>0</v>
      </c>
      <c r="N154" s="18">
        <v>1</v>
      </c>
      <c r="O154" s="18">
        <v>50000</v>
      </c>
      <c r="P154" s="18">
        <v>100000</v>
      </c>
      <c r="Q154" s="13"/>
      <c r="R154" s="13"/>
      <c r="S154" s="12"/>
      <c r="T154" s="12" t="s">
        <v>39</v>
      </c>
      <c r="U154" s="12">
        <v>45026</v>
      </c>
      <c r="V154" s="19">
        <f>VLOOKUP(A154,'2023 Stats'!$B$2:$D$192,3,FALSE)</f>
        <v>212</v>
      </c>
      <c r="W154" s="20">
        <v>53</v>
      </c>
      <c r="X154" s="21"/>
      <c r="Y154" s="22">
        <v>968</v>
      </c>
      <c r="Z154" s="20">
        <v>81</v>
      </c>
      <c r="AA154" s="21"/>
      <c r="AB154" s="22">
        <v>1476</v>
      </c>
      <c r="AC154" s="20">
        <v>123</v>
      </c>
      <c r="AD154" s="21"/>
      <c r="AE154" s="23">
        <v>85</v>
      </c>
      <c r="AF154" s="21"/>
      <c r="AG154" s="13"/>
      <c r="AH154" s="13"/>
      <c r="AI154" s="13"/>
    </row>
    <row r="155" spans="1:35" ht="22.8" hidden="1" x14ac:dyDescent="0.3">
      <c r="A155" s="17">
        <v>50714</v>
      </c>
      <c r="B155" s="47" t="s">
        <v>234</v>
      </c>
      <c r="C155" s="26">
        <v>42186</v>
      </c>
      <c r="D155" s="26"/>
      <c r="E155" s="27" t="s">
        <v>36</v>
      </c>
      <c r="F155" s="27" t="s">
        <v>47</v>
      </c>
      <c r="G155" s="17" t="s">
        <v>38</v>
      </c>
      <c r="H155" s="17" t="s">
        <v>64</v>
      </c>
      <c r="I155" s="17"/>
      <c r="J155" s="17"/>
      <c r="K155" s="17"/>
      <c r="L155" s="48" t="s">
        <v>235</v>
      </c>
      <c r="M155" s="17">
        <v>0</v>
      </c>
      <c r="N155" s="28">
        <v>1</v>
      </c>
      <c r="O155" s="28">
        <v>50000</v>
      </c>
      <c r="P155" s="28">
        <v>100000</v>
      </c>
      <c r="Q155" s="17"/>
      <c r="R155" s="17"/>
      <c r="S155" s="17"/>
      <c r="T155" s="17" t="s">
        <v>39</v>
      </c>
      <c r="U155" s="17" t="e">
        <v>#N/A</v>
      </c>
      <c r="V155" s="19" t="e">
        <f>VLOOKUP(A155,'2023 Stats'!$B$2:$D$192,3,FALSE)</f>
        <v>#N/A</v>
      </c>
      <c r="W155" s="29" t="e">
        <v>#N/A</v>
      </c>
      <c r="X155" s="30"/>
      <c r="Y155" s="19" t="e">
        <v>#N/A</v>
      </c>
      <c r="Z155" s="29" t="e">
        <v>#N/A</v>
      </c>
      <c r="AA155" s="30"/>
      <c r="AB155" s="19" t="e">
        <v>#N/A</v>
      </c>
      <c r="AC155" s="29"/>
      <c r="AD155" s="30"/>
      <c r="AE155" s="31" t="e">
        <v>#N/A</v>
      </c>
      <c r="AF155" s="30"/>
      <c r="AG155" s="25"/>
      <c r="AH155" s="25"/>
      <c r="AI155" s="25"/>
    </row>
    <row r="156" spans="1:35" ht="22.8" hidden="1" x14ac:dyDescent="0.3">
      <c r="A156" s="12">
        <v>50716</v>
      </c>
      <c r="B156" s="13" t="s">
        <v>236</v>
      </c>
      <c r="C156" s="14">
        <v>42186</v>
      </c>
      <c r="D156" s="14"/>
      <c r="E156" s="15" t="s">
        <v>36</v>
      </c>
      <c r="F156" s="33" t="s">
        <v>47</v>
      </c>
      <c r="G156" s="12" t="s">
        <v>38</v>
      </c>
      <c r="H156" s="12"/>
      <c r="I156" s="12"/>
      <c r="J156" s="12"/>
      <c r="K156" s="12"/>
      <c r="L156" s="12"/>
      <c r="M156" s="17">
        <v>0</v>
      </c>
      <c r="N156" s="18">
        <v>0</v>
      </c>
      <c r="O156" s="18">
        <v>50000</v>
      </c>
      <c r="P156" s="18">
        <v>100000</v>
      </c>
      <c r="Q156" s="13"/>
      <c r="R156" s="13"/>
      <c r="S156" s="12"/>
      <c r="T156" s="12" t="s">
        <v>39</v>
      </c>
      <c r="U156" s="12" t="e">
        <v>#N/A</v>
      </c>
      <c r="V156" s="19" t="e">
        <f>VLOOKUP(A156,'2023 Stats'!$B$2:$D$192,3,FALSE)</f>
        <v>#N/A</v>
      </c>
      <c r="W156" s="20" t="e">
        <v>#N/A</v>
      </c>
      <c r="X156" s="21"/>
      <c r="Y156" s="22" t="e">
        <v>#N/A</v>
      </c>
      <c r="Z156" s="20" t="e">
        <v>#N/A</v>
      </c>
      <c r="AA156" s="21"/>
      <c r="AB156" s="22" t="e">
        <v>#N/A</v>
      </c>
      <c r="AC156" s="20"/>
      <c r="AD156" s="21"/>
      <c r="AE156" s="23" t="e">
        <v>#N/A</v>
      </c>
      <c r="AF156" s="21"/>
      <c r="AG156" s="13"/>
      <c r="AH156" s="13"/>
      <c r="AI156" s="13"/>
    </row>
    <row r="157" spans="1:35" ht="22.8" x14ac:dyDescent="0.3">
      <c r="A157" s="24">
        <v>50724</v>
      </c>
      <c r="B157" s="25" t="s">
        <v>237</v>
      </c>
      <c r="C157" s="26">
        <v>42186</v>
      </c>
      <c r="D157" s="26"/>
      <c r="E157" s="27" t="s">
        <v>43</v>
      </c>
      <c r="F157" s="16" t="s">
        <v>37</v>
      </c>
      <c r="G157" s="17" t="s">
        <v>38</v>
      </c>
      <c r="H157" s="17" t="s">
        <v>101</v>
      </c>
      <c r="I157" s="17"/>
      <c r="J157" s="17"/>
      <c r="K157" s="17"/>
      <c r="L157" s="17"/>
      <c r="M157" s="17">
        <v>0</v>
      </c>
      <c r="N157" s="28">
        <v>1</v>
      </c>
      <c r="O157" s="28">
        <v>50000</v>
      </c>
      <c r="P157" s="28">
        <v>100000</v>
      </c>
      <c r="Q157" s="17"/>
      <c r="R157" s="17"/>
      <c r="S157" s="12"/>
      <c r="T157" s="12" t="s">
        <v>39</v>
      </c>
      <c r="U157" s="17" t="s">
        <v>45</v>
      </c>
      <c r="V157" s="19">
        <f>VLOOKUP(A157,'2023 Stats'!$B$2:$D$192,3,FALSE)</f>
        <v>63</v>
      </c>
      <c r="W157" s="29">
        <v>16</v>
      </c>
      <c r="X157" s="30"/>
      <c r="Y157" s="19">
        <v>56</v>
      </c>
      <c r="Z157" s="29">
        <v>5</v>
      </c>
      <c r="AA157" s="30"/>
      <c r="AB157" s="19">
        <v>30</v>
      </c>
      <c r="AC157" s="29">
        <v>3</v>
      </c>
      <c r="AD157" s="30"/>
      <c r="AE157" s="31">
        <v>8</v>
      </c>
      <c r="AF157" s="30"/>
      <c r="AG157" s="25"/>
      <c r="AH157" s="25"/>
      <c r="AI157" s="25"/>
    </row>
    <row r="158" spans="1:35" ht="22.8" hidden="1" x14ac:dyDescent="0.3">
      <c r="A158" s="12">
        <v>50727</v>
      </c>
      <c r="B158" s="13" t="s">
        <v>238</v>
      </c>
      <c r="C158" s="43">
        <v>42011</v>
      </c>
      <c r="D158" s="14"/>
      <c r="E158" s="15" t="s">
        <v>36</v>
      </c>
      <c r="F158" s="35" t="s">
        <v>37</v>
      </c>
      <c r="G158" s="12" t="s">
        <v>38</v>
      </c>
      <c r="H158" s="17" t="s">
        <v>123</v>
      </c>
      <c r="I158" s="17"/>
      <c r="J158" s="12"/>
      <c r="K158" s="12"/>
      <c r="L158" s="12"/>
      <c r="M158" s="17">
        <v>15</v>
      </c>
      <c r="N158" s="18">
        <v>0</v>
      </c>
      <c r="O158" s="18">
        <v>50000</v>
      </c>
      <c r="P158" s="18">
        <v>100000</v>
      </c>
      <c r="Q158" s="13"/>
      <c r="R158" s="13"/>
      <c r="S158" s="13"/>
      <c r="T158" s="13"/>
      <c r="U158" s="46"/>
      <c r="V158" s="19" t="e">
        <f>VLOOKUP(A158,'2023 Stats'!$B$2:$D$192,3,FALSE)</f>
        <v>#N/A</v>
      </c>
      <c r="W158" s="20"/>
      <c r="X158" s="21"/>
      <c r="Y158" s="22"/>
      <c r="Z158" s="20"/>
      <c r="AA158" s="21"/>
      <c r="AB158" s="22"/>
      <c r="AC158" s="20"/>
      <c r="AD158" s="21"/>
      <c r="AE158" s="23"/>
      <c r="AF158" s="21"/>
      <c r="AG158" s="13"/>
      <c r="AH158" s="13"/>
      <c r="AI158" s="13"/>
    </row>
    <row r="159" spans="1:35" ht="22.8" x14ac:dyDescent="0.3">
      <c r="A159" s="24">
        <v>50729</v>
      </c>
      <c r="B159" s="25" t="s">
        <v>239</v>
      </c>
      <c r="C159" s="26">
        <v>42186</v>
      </c>
      <c r="D159" s="26"/>
      <c r="E159" s="27" t="s">
        <v>43</v>
      </c>
      <c r="F159" s="16" t="s">
        <v>37</v>
      </c>
      <c r="G159" s="17" t="s">
        <v>38</v>
      </c>
      <c r="H159" s="17" t="s">
        <v>64</v>
      </c>
      <c r="I159" s="17"/>
      <c r="J159" s="17"/>
      <c r="K159" s="17"/>
      <c r="L159" s="17"/>
      <c r="M159" s="17">
        <v>0</v>
      </c>
      <c r="N159" s="28">
        <v>1</v>
      </c>
      <c r="O159" s="28">
        <v>50000</v>
      </c>
      <c r="P159" s="28">
        <v>100000</v>
      </c>
      <c r="Q159" s="17"/>
      <c r="R159" s="17"/>
      <c r="S159" s="12"/>
      <c r="T159" s="12" t="s">
        <v>39</v>
      </c>
      <c r="U159" s="12"/>
      <c r="V159" s="19" t="e">
        <f>VLOOKUP(A159,'2023 Stats'!$B$2:$D$192,3,FALSE)</f>
        <v>#N/A</v>
      </c>
      <c r="W159" s="29" t="e">
        <v>#N/A</v>
      </c>
      <c r="X159" s="30"/>
      <c r="Y159" s="19" t="e">
        <v>#N/A</v>
      </c>
      <c r="Z159" s="29" t="e">
        <v>#N/A</v>
      </c>
      <c r="AA159" s="30"/>
      <c r="AB159" s="19" t="e">
        <v>#N/A</v>
      </c>
      <c r="AC159" s="29"/>
      <c r="AD159" s="30"/>
      <c r="AE159" s="31" t="e">
        <v>#N/A</v>
      </c>
      <c r="AF159" s="30"/>
      <c r="AG159" s="25"/>
      <c r="AH159" s="25"/>
      <c r="AI159" s="25"/>
    </row>
    <row r="160" spans="1:35" ht="22.8" x14ac:dyDescent="0.3">
      <c r="A160" s="24">
        <v>50731</v>
      </c>
      <c r="B160" s="25" t="s">
        <v>240</v>
      </c>
      <c r="C160" s="26">
        <v>42186</v>
      </c>
      <c r="D160" s="26"/>
      <c r="E160" s="27" t="s">
        <v>43</v>
      </c>
      <c r="F160" s="16" t="s">
        <v>37</v>
      </c>
      <c r="G160" s="17" t="s">
        <v>38</v>
      </c>
      <c r="H160" s="17" t="s">
        <v>123</v>
      </c>
      <c r="I160" s="17"/>
      <c r="J160" s="17"/>
      <c r="K160" s="17"/>
      <c r="L160" s="17"/>
      <c r="M160" s="17">
        <v>0</v>
      </c>
      <c r="N160" s="28">
        <v>1</v>
      </c>
      <c r="O160" s="28">
        <v>50000</v>
      </c>
      <c r="P160" s="28">
        <v>100000</v>
      </c>
      <c r="Q160" s="17"/>
      <c r="R160" s="17"/>
      <c r="S160" s="12"/>
      <c r="T160" s="12" t="s">
        <v>39</v>
      </c>
      <c r="U160" s="17" t="s">
        <v>45</v>
      </c>
      <c r="V160" s="19">
        <f>VLOOKUP(A160,'2023 Stats'!$B$2:$D$192,3,FALSE)</f>
        <v>25</v>
      </c>
      <c r="W160" s="29">
        <v>6</v>
      </c>
      <c r="X160" s="30"/>
      <c r="Y160" s="19">
        <v>47</v>
      </c>
      <c r="Z160" s="29">
        <v>4</v>
      </c>
      <c r="AA160" s="30"/>
      <c r="AB160" s="19">
        <v>44</v>
      </c>
      <c r="AC160" s="29">
        <v>4</v>
      </c>
      <c r="AD160" s="30"/>
      <c r="AE160" s="31">
        <v>5</v>
      </c>
      <c r="AF160" s="30"/>
      <c r="AG160" s="25"/>
      <c r="AH160" s="25"/>
      <c r="AI160" s="25"/>
    </row>
    <row r="161" spans="1:35" ht="22.8" x14ac:dyDescent="0.3">
      <c r="A161" s="24">
        <v>50732</v>
      </c>
      <c r="B161" s="25" t="s">
        <v>241</v>
      </c>
      <c r="C161" s="26">
        <v>42186</v>
      </c>
      <c r="D161" s="26"/>
      <c r="E161" s="27" t="s">
        <v>43</v>
      </c>
      <c r="F161" s="16" t="s">
        <v>37</v>
      </c>
      <c r="G161" s="17" t="s">
        <v>38</v>
      </c>
      <c r="H161" s="17" t="s">
        <v>123</v>
      </c>
      <c r="I161" s="17"/>
      <c r="J161" s="17"/>
      <c r="K161" s="17"/>
      <c r="L161" s="17"/>
      <c r="M161" s="17" t="s">
        <v>145</v>
      </c>
      <c r="N161" s="28">
        <v>1</v>
      </c>
      <c r="O161" s="28">
        <v>50000</v>
      </c>
      <c r="P161" s="28">
        <v>100000</v>
      </c>
      <c r="Q161" s="17"/>
      <c r="R161" s="17"/>
      <c r="S161" s="12"/>
      <c r="T161" s="12" t="s">
        <v>39</v>
      </c>
      <c r="U161" s="17" t="s">
        <v>45</v>
      </c>
      <c r="V161" s="19">
        <f>VLOOKUP(A161,'2023 Stats'!$B$2:$D$192,3,FALSE)</f>
        <v>2106</v>
      </c>
      <c r="W161" s="29">
        <v>527</v>
      </c>
      <c r="X161" s="30"/>
      <c r="Y161" s="19">
        <v>3891</v>
      </c>
      <c r="Z161" s="29">
        <v>324</v>
      </c>
      <c r="AA161" s="30"/>
      <c r="AB161" s="19">
        <v>9379</v>
      </c>
      <c r="AC161" s="29">
        <v>782</v>
      </c>
      <c r="AD161" s="30"/>
      <c r="AE161" s="31">
        <v>544</v>
      </c>
      <c r="AF161" s="30"/>
      <c r="AG161" s="25"/>
      <c r="AH161" s="25"/>
      <c r="AI161" s="25"/>
    </row>
    <row r="162" spans="1:35" ht="22.8" hidden="1" x14ac:dyDescent="0.3">
      <c r="A162" s="12">
        <v>50734</v>
      </c>
      <c r="B162" s="13" t="s">
        <v>40</v>
      </c>
      <c r="C162" s="14">
        <v>42186</v>
      </c>
      <c r="D162" s="14">
        <v>43951</v>
      </c>
      <c r="E162" s="15" t="s">
        <v>36</v>
      </c>
      <c r="F162" s="16" t="s">
        <v>37</v>
      </c>
      <c r="G162" s="12" t="s">
        <v>38</v>
      </c>
      <c r="H162" s="12"/>
      <c r="I162" s="12"/>
      <c r="J162" s="12"/>
      <c r="K162" s="12"/>
      <c r="L162" s="12"/>
      <c r="M162" s="17">
        <v>0</v>
      </c>
      <c r="N162" s="18">
        <v>0</v>
      </c>
      <c r="O162" s="18">
        <v>30000</v>
      </c>
      <c r="P162" s="18">
        <v>100000</v>
      </c>
      <c r="Q162" s="13"/>
      <c r="R162" s="13"/>
      <c r="S162" s="12"/>
      <c r="T162" s="12" t="s">
        <v>39</v>
      </c>
      <c r="U162" s="12" t="e">
        <v>#N/A</v>
      </c>
      <c r="V162" s="19" t="e">
        <f>VLOOKUP(A162,'2023 Stats'!$B$2:$D$192,3,FALSE)</f>
        <v>#N/A</v>
      </c>
      <c r="W162" s="20" t="e">
        <v>#N/A</v>
      </c>
      <c r="X162" s="21"/>
      <c r="Y162" s="22" t="e">
        <v>#N/A</v>
      </c>
      <c r="Z162" s="20" t="e">
        <v>#N/A</v>
      </c>
      <c r="AA162" s="21"/>
      <c r="AB162" s="22" t="e">
        <v>#N/A</v>
      </c>
      <c r="AC162" s="20"/>
      <c r="AD162" s="21"/>
      <c r="AE162" s="23" t="e">
        <v>#N/A</v>
      </c>
      <c r="AF162" s="21"/>
      <c r="AG162" s="13"/>
      <c r="AH162" s="13"/>
      <c r="AI162" s="13"/>
    </row>
    <row r="163" spans="1:35" ht="22.8" hidden="1" x14ac:dyDescent="0.3">
      <c r="A163" s="17">
        <v>50738</v>
      </c>
      <c r="B163" s="25" t="s">
        <v>242</v>
      </c>
      <c r="C163" s="26">
        <v>42186</v>
      </c>
      <c r="D163" s="26"/>
      <c r="E163" s="27" t="s">
        <v>36</v>
      </c>
      <c r="F163" s="16" t="s">
        <v>37</v>
      </c>
      <c r="G163" s="17" t="s">
        <v>38</v>
      </c>
      <c r="H163" s="17" t="s">
        <v>64</v>
      </c>
      <c r="I163" s="17"/>
      <c r="J163" s="17"/>
      <c r="K163" s="17"/>
      <c r="L163" s="17"/>
      <c r="M163" s="17">
        <v>0</v>
      </c>
      <c r="N163" s="28">
        <v>0</v>
      </c>
      <c r="O163" s="28">
        <v>50000</v>
      </c>
      <c r="P163" s="28">
        <v>100000</v>
      </c>
      <c r="Q163" s="17"/>
      <c r="R163" s="17"/>
      <c r="S163" s="17"/>
      <c r="T163" s="17" t="s">
        <v>39</v>
      </c>
      <c r="U163" s="17" t="e">
        <v>#N/A</v>
      </c>
      <c r="V163" s="19" t="e">
        <f>VLOOKUP(A163,'2023 Stats'!$B$2:$D$192,3,FALSE)</f>
        <v>#N/A</v>
      </c>
      <c r="W163" s="29" t="e">
        <v>#N/A</v>
      </c>
      <c r="X163" s="30"/>
      <c r="Y163" s="19" t="e">
        <v>#N/A</v>
      </c>
      <c r="Z163" s="29" t="e">
        <v>#N/A</v>
      </c>
      <c r="AA163" s="30"/>
      <c r="AB163" s="19" t="e">
        <v>#N/A</v>
      </c>
      <c r="AC163" s="29"/>
      <c r="AD163" s="30"/>
      <c r="AE163" s="31" t="e">
        <v>#N/A</v>
      </c>
      <c r="AF163" s="30"/>
      <c r="AG163" s="25"/>
      <c r="AH163" s="25"/>
      <c r="AI163" s="25"/>
    </row>
    <row r="164" spans="1:35" ht="22.8" x14ac:dyDescent="0.3">
      <c r="A164" s="24">
        <v>50742</v>
      </c>
      <c r="B164" s="25" t="s">
        <v>243</v>
      </c>
      <c r="C164" s="26">
        <v>42186</v>
      </c>
      <c r="D164" s="26"/>
      <c r="E164" s="27" t="s">
        <v>43</v>
      </c>
      <c r="F164" s="16" t="s">
        <v>37</v>
      </c>
      <c r="G164" s="17" t="s">
        <v>38</v>
      </c>
      <c r="H164" s="17" t="s">
        <v>123</v>
      </c>
      <c r="I164" s="17"/>
      <c r="J164" s="17"/>
      <c r="K164" s="17"/>
      <c r="L164" s="17"/>
      <c r="M164" s="17">
        <v>0</v>
      </c>
      <c r="N164" s="28">
        <v>1</v>
      </c>
      <c r="O164" s="28">
        <v>50000</v>
      </c>
      <c r="P164" s="28">
        <v>100000</v>
      </c>
      <c r="Q164" s="17"/>
      <c r="R164" s="17"/>
      <c r="S164" s="12"/>
      <c r="T164" s="12" t="s">
        <v>39</v>
      </c>
      <c r="U164" s="12"/>
      <c r="V164" s="19">
        <f>VLOOKUP(A164,'2023 Stats'!$B$2:$D$192,3,FALSE)</f>
        <v>542</v>
      </c>
      <c r="W164" s="29">
        <v>136</v>
      </c>
      <c r="X164" s="30"/>
      <c r="Y164" s="19" t="e">
        <v>#N/A</v>
      </c>
      <c r="Z164" s="29" t="e">
        <v>#N/A</v>
      </c>
      <c r="AA164" s="30"/>
      <c r="AB164" s="19" t="e">
        <v>#N/A</v>
      </c>
      <c r="AC164" s="29"/>
      <c r="AD164" s="30"/>
      <c r="AE164" s="31" t="e">
        <v>#N/A</v>
      </c>
      <c r="AF164" s="30"/>
      <c r="AG164" s="25"/>
      <c r="AH164" s="25"/>
      <c r="AI164" s="25"/>
    </row>
    <row r="165" spans="1:35" ht="22.8" hidden="1" x14ac:dyDescent="0.3">
      <c r="A165" s="12">
        <v>50743</v>
      </c>
      <c r="B165" s="13" t="s">
        <v>244</v>
      </c>
      <c r="C165" s="14">
        <v>42186</v>
      </c>
      <c r="D165" s="14"/>
      <c r="E165" s="15" t="s">
        <v>36</v>
      </c>
      <c r="F165" s="33" t="s">
        <v>47</v>
      </c>
      <c r="G165" s="12" t="s">
        <v>38</v>
      </c>
      <c r="H165" s="17" t="s">
        <v>64</v>
      </c>
      <c r="I165" s="40" t="s">
        <v>78</v>
      </c>
      <c r="J165" s="37" t="s">
        <v>104</v>
      </c>
      <c r="K165" s="37">
        <v>7</v>
      </c>
      <c r="L165" s="12" t="s">
        <v>244</v>
      </c>
      <c r="M165" s="17">
        <v>0</v>
      </c>
      <c r="N165" s="18">
        <v>0</v>
      </c>
      <c r="O165" s="18">
        <v>50000</v>
      </c>
      <c r="P165" s="18">
        <v>100000</v>
      </c>
      <c r="Q165" s="13"/>
      <c r="R165" s="13"/>
      <c r="S165" s="12"/>
      <c r="T165" s="12" t="s">
        <v>39</v>
      </c>
      <c r="U165" s="12" t="s">
        <v>45</v>
      </c>
      <c r="V165" s="19" t="e">
        <f>VLOOKUP(A165,'2023 Stats'!$B$2:$D$192,3,FALSE)</f>
        <v>#N/A</v>
      </c>
      <c r="W165" s="20" t="e">
        <v>#N/A</v>
      </c>
      <c r="X165" s="21"/>
      <c r="Y165" s="22">
        <v>8624</v>
      </c>
      <c r="Z165" s="20">
        <v>719</v>
      </c>
      <c r="AA165" s="21"/>
      <c r="AB165" s="22">
        <v>12125</v>
      </c>
      <c r="AC165" s="20">
        <v>1010</v>
      </c>
      <c r="AD165" s="21"/>
      <c r="AE165" s="23" t="e">
        <v>#N/A</v>
      </c>
      <c r="AF165" s="21"/>
      <c r="AG165" s="13"/>
      <c r="AH165" s="13"/>
      <c r="AI165" s="13"/>
    </row>
    <row r="166" spans="1:35" ht="22.8" x14ac:dyDescent="0.3">
      <c r="A166" s="24">
        <v>50744</v>
      </c>
      <c r="B166" s="25" t="s">
        <v>245</v>
      </c>
      <c r="C166" s="26">
        <v>42186</v>
      </c>
      <c r="D166" s="26"/>
      <c r="E166" s="27" t="s">
        <v>43</v>
      </c>
      <c r="F166" s="16" t="s">
        <v>37</v>
      </c>
      <c r="G166" s="17" t="s">
        <v>38</v>
      </c>
      <c r="H166" s="17" t="s">
        <v>101</v>
      </c>
      <c r="I166" s="17"/>
      <c r="J166" s="17"/>
      <c r="K166" s="17"/>
      <c r="L166" s="17"/>
      <c r="M166" s="17">
        <v>15</v>
      </c>
      <c r="N166" s="28">
        <v>1</v>
      </c>
      <c r="O166" s="28">
        <v>50000</v>
      </c>
      <c r="P166" s="28">
        <v>100000</v>
      </c>
      <c r="Q166" s="17"/>
      <c r="R166" s="17"/>
      <c r="S166" s="12"/>
      <c r="T166" s="12" t="s">
        <v>39</v>
      </c>
      <c r="U166" s="17" t="s">
        <v>45</v>
      </c>
      <c r="V166" s="19">
        <f>VLOOKUP(A166,'2023 Stats'!$B$2:$D$192,3,FALSE)</f>
        <v>2</v>
      </c>
      <c r="W166" s="29">
        <v>1</v>
      </c>
      <c r="X166" s="30"/>
      <c r="Y166" s="19">
        <v>5</v>
      </c>
      <c r="Z166" s="29">
        <v>0</v>
      </c>
      <c r="AA166" s="30"/>
      <c r="AB166" s="19">
        <v>4</v>
      </c>
      <c r="AC166" s="29">
        <v>0</v>
      </c>
      <c r="AD166" s="30"/>
      <c r="AE166" s="31">
        <v>0</v>
      </c>
      <c r="AF166" s="30"/>
      <c r="AG166" s="25"/>
      <c r="AH166" s="25"/>
      <c r="AI166" s="25"/>
    </row>
    <row r="167" spans="1:35" ht="22.8" hidden="1" x14ac:dyDescent="0.3">
      <c r="A167" s="12">
        <v>50745</v>
      </c>
      <c r="B167" s="13" t="s">
        <v>246</v>
      </c>
      <c r="C167" s="14">
        <v>42186</v>
      </c>
      <c r="D167" s="14">
        <v>44530</v>
      </c>
      <c r="E167" s="15" t="s">
        <v>36</v>
      </c>
      <c r="F167" s="16" t="s">
        <v>37</v>
      </c>
      <c r="G167" s="12" t="s">
        <v>38</v>
      </c>
      <c r="H167" s="12"/>
      <c r="I167" s="12"/>
      <c r="J167" s="12"/>
      <c r="K167" s="12"/>
      <c r="L167" s="12"/>
      <c r="M167" s="17">
        <v>0</v>
      </c>
      <c r="N167" s="18">
        <v>1</v>
      </c>
      <c r="O167" s="18">
        <v>50000</v>
      </c>
      <c r="P167" s="18">
        <v>100000</v>
      </c>
      <c r="Q167" s="13"/>
      <c r="R167" s="13"/>
      <c r="S167" s="12"/>
      <c r="T167" s="12" t="s">
        <v>39</v>
      </c>
      <c r="U167" s="12">
        <v>44733</v>
      </c>
      <c r="V167" s="19" t="e">
        <f>VLOOKUP(A167,'2023 Stats'!$B$2:$D$192,3,FALSE)</f>
        <v>#N/A</v>
      </c>
      <c r="W167" s="20" t="e">
        <v>#N/A</v>
      </c>
      <c r="X167" s="21"/>
      <c r="Y167" s="22">
        <v>1</v>
      </c>
      <c r="Z167" s="20">
        <v>0</v>
      </c>
      <c r="AA167" s="21"/>
      <c r="AB167" s="22">
        <v>288</v>
      </c>
      <c r="AC167" s="20">
        <v>24</v>
      </c>
      <c r="AD167" s="21"/>
      <c r="AE167" s="23" t="e">
        <v>#N/A</v>
      </c>
      <c r="AF167" s="21"/>
      <c r="AG167" s="13"/>
      <c r="AH167" s="13"/>
      <c r="AI167" s="13"/>
    </row>
    <row r="168" spans="1:35" ht="22.8" hidden="1" x14ac:dyDescent="0.3">
      <c r="A168" s="12">
        <v>50750</v>
      </c>
      <c r="B168" s="13" t="s">
        <v>247</v>
      </c>
      <c r="C168" s="14">
        <v>43594</v>
      </c>
      <c r="D168" s="14">
        <v>43604</v>
      </c>
      <c r="E168" s="15" t="s">
        <v>36</v>
      </c>
      <c r="F168" s="16" t="s">
        <v>37</v>
      </c>
      <c r="G168" s="12" t="s">
        <v>38</v>
      </c>
      <c r="H168" s="12"/>
      <c r="I168" s="12"/>
      <c r="J168" s="12"/>
      <c r="K168" s="12"/>
      <c r="L168" s="12"/>
      <c r="M168" s="17">
        <v>0</v>
      </c>
      <c r="N168" s="18">
        <v>0</v>
      </c>
      <c r="O168" s="18">
        <v>50000</v>
      </c>
      <c r="P168" s="18">
        <v>100000</v>
      </c>
      <c r="Q168" s="13"/>
      <c r="R168" s="13"/>
      <c r="S168" s="12"/>
      <c r="T168" s="12" t="s">
        <v>39</v>
      </c>
      <c r="U168" s="12" t="e">
        <v>#N/A</v>
      </c>
      <c r="V168" s="19" t="e">
        <f>VLOOKUP(A168,'2023 Stats'!$B$2:$D$192,3,FALSE)</f>
        <v>#N/A</v>
      </c>
      <c r="W168" s="20" t="e">
        <v>#N/A</v>
      </c>
      <c r="X168" s="21"/>
      <c r="Y168" s="22" t="e">
        <v>#N/A</v>
      </c>
      <c r="Z168" s="20" t="e">
        <v>#N/A</v>
      </c>
      <c r="AA168" s="21"/>
      <c r="AB168" s="22" t="e">
        <v>#N/A</v>
      </c>
      <c r="AC168" s="20"/>
      <c r="AD168" s="21"/>
      <c r="AE168" s="23" t="e">
        <v>#N/A</v>
      </c>
      <c r="AF168" s="21"/>
      <c r="AG168" s="13"/>
      <c r="AH168" s="13"/>
      <c r="AI168" s="13"/>
    </row>
    <row r="169" spans="1:35" ht="22.8" hidden="1" x14ac:dyDescent="0.3">
      <c r="A169" s="12">
        <v>50752</v>
      </c>
      <c r="B169" s="13" t="s">
        <v>248</v>
      </c>
      <c r="C169" s="14">
        <v>43420</v>
      </c>
      <c r="D169" s="14">
        <v>44024</v>
      </c>
      <c r="E169" s="15" t="s">
        <v>36</v>
      </c>
      <c r="F169" s="16" t="s">
        <v>37</v>
      </c>
      <c r="G169" s="12" t="s">
        <v>38</v>
      </c>
      <c r="H169" s="12"/>
      <c r="I169" s="12"/>
      <c r="J169" s="12"/>
      <c r="K169" s="12"/>
      <c r="L169" s="12"/>
      <c r="M169" s="17">
        <v>0</v>
      </c>
      <c r="N169" s="18">
        <v>1</v>
      </c>
      <c r="O169" s="18">
        <v>50000</v>
      </c>
      <c r="P169" s="18">
        <v>100000</v>
      </c>
      <c r="Q169" s="13"/>
      <c r="R169" s="13"/>
      <c r="S169" s="12"/>
      <c r="T169" s="12" t="s">
        <v>39</v>
      </c>
      <c r="U169" s="12" t="e">
        <v>#N/A</v>
      </c>
      <c r="V169" s="19" t="e">
        <f>VLOOKUP(A169,'2023 Stats'!$B$2:$D$192,3,FALSE)</f>
        <v>#N/A</v>
      </c>
      <c r="W169" s="20" t="e">
        <v>#N/A</v>
      </c>
      <c r="X169" s="21"/>
      <c r="Y169" s="22" t="e">
        <v>#N/A</v>
      </c>
      <c r="Z169" s="20" t="e">
        <v>#N/A</v>
      </c>
      <c r="AA169" s="21"/>
      <c r="AB169" s="22" t="e">
        <v>#N/A</v>
      </c>
      <c r="AC169" s="20"/>
      <c r="AD169" s="21"/>
      <c r="AE169" s="23" t="e">
        <v>#N/A</v>
      </c>
      <c r="AF169" s="21"/>
      <c r="AG169" s="13"/>
      <c r="AH169" s="13"/>
      <c r="AI169" s="13"/>
    </row>
    <row r="170" spans="1:35" ht="22.8" x14ac:dyDescent="0.3">
      <c r="A170" s="24">
        <v>50753</v>
      </c>
      <c r="B170" s="25" t="s">
        <v>249</v>
      </c>
      <c r="C170" s="26">
        <v>42186</v>
      </c>
      <c r="D170" s="26"/>
      <c r="E170" s="27" t="s">
        <v>43</v>
      </c>
      <c r="F170" s="16" t="s">
        <v>37</v>
      </c>
      <c r="G170" s="17" t="s">
        <v>38</v>
      </c>
      <c r="H170" s="17" t="s">
        <v>64</v>
      </c>
      <c r="I170" s="17"/>
      <c r="J170" s="17"/>
      <c r="K170" s="17"/>
      <c r="L170" s="17"/>
      <c r="M170" s="17">
        <v>0</v>
      </c>
      <c r="N170" s="28">
        <v>1</v>
      </c>
      <c r="O170" s="28">
        <v>50000</v>
      </c>
      <c r="P170" s="28">
        <v>100000</v>
      </c>
      <c r="Q170" s="17"/>
      <c r="R170" s="17"/>
      <c r="S170" s="12"/>
      <c r="T170" s="12" t="s">
        <v>39</v>
      </c>
      <c r="U170" s="12"/>
      <c r="V170" s="19" t="e">
        <f>VLOOKUP(A170,'2023 Stats'!$B$2:$D$192,3,FALSE)</f>
        <v>#N/A</v>
      </c>
      <c r="W170" s="29" t="e">
        <v>#N/A</v>
      </c>
      <c r="X170" s="30"/>
      <c r="Y170" s="19" t="e">
        <v>#N/A</v>
      </c>
      <c r="Z170" s="29" t="e">
        <v>#N/A</v>
      </c>
      <c r="AA170" s="30"/>
      <c r="AB170" s="19" t="e">
        <v>#N/A</v>
      </c>
      <c r="AC170" s="29"/>
      <c r="AD170" s="30"/>
      <c r="AE170" s="31" t="e">
        <v>#N/A</v>
      </c>
      <c r="AF170" s="30"/>
      <c r="AG170" s="25"/>
      <c r="AH170" s="25"/>
      <c r="AI170" s="25"/>
    </row>
    <row r="171" spans="1:35" ht="22.8" x14ac:dyDescent="0.3">
      <c r="A171" s="24">
        <v>50754</v>
      </c>
      <c r="B171" s="25" t="s">
        <v>250</v>
      </c>
      <c r="C171" s="26">
        <v>42186</v>
      </c>
      <c r="D171" s="26"/>
      <c r="E171" s="27" t="s">
        <v>43</v>
      </c>
      <c r="F171" s="16" t="s">
        <v>37</v>
      </c>
      <c r="G171" s="17" t="s">
        <v>38</v>
      </c>
      <c r="H171" s="40" t="s">
        <v>103</v>
      </c>
      <c r="I171" s="17"/>
      <c r="J171" s="17"/>
      <c r="K171" s="17"/>
      <c r="L171" s="17"/>
      <c r="M171" s="17">
        <v>10</v>
      </c>
      <c r="N171" s="28">
        <v>1</v>
      </c>
      <c r="O171" s="28">
        <v>50000</v>
      </c>
      <c r="P171" s="28">
        <v>100000</v>
      </c>
      <c r="Q171" s="17"/>
      <c r="R171" s="17"/>
      <c r="S171" s="12"/>
      <c r="T171" s="12" t="s">
        <v>39</v>
      </c>
      <c r="U171" s="12"/>
      <c r="V171" s="19" t="e">
        <f>VLOOKUP(A171,'2023 Stats'!$B$2:$D$192,3,FALSE)</f>
        <v>#N/A</v>
      </c>
      <c r="W171" s="29" t="e">
        <v>#N/A</v>
      </c>
      <c r="X171" s="30"/>
      <c r="Y171" s="19" t="e">
        <v>#N/A</v>
      </c>
      <c r="Z171" s="29" t="e">
        <v>#N/A</v>
      </c>
      <c r="AA171" s="30"/>
      <c r="AB171" s="19">
        <v>1</v>
      </c>
      <c r="AC171" s="29">
        <v>0</v>
      </c>
      <c r="AD171" s="30"/>
      <c r="AE171" s="31" t="e">
        <v>#N/A</v>
      </c>
      <c r="AF171" s="30"/>
      <c r="AG171" s="25"/>
      <c r="AH171" s="25"/>
      <c r="AI171" s="25"/>
    </row>
    <row r="172" spans="1:35" ht="22.8" x14ac:dyDescent="0.3">
      <c r="A172" s="24">
        <v>50755</v>
      </c>
      <c r="B172" s="25" t="s">
        <v>251</v>
      </c>
      <c r="C172" s="26">
        <v>42186</v>
      </c>
      <c r="D172" s="26"/>
      <c r="E172" s="27" t="s">
        <v>43</v>
      </c>
      <c r="F172" s="16" t="s">
        <v>37</v>
      </c>
      <c r="G172" s="17" t="s">
        <v>38</v>
      </c>
      <c r="H172" s="40" t="s">
        <v>103</v>
      </c>
      <c r="I172" s="17"/>
      <c r="J172" s="17"/>
      <c r="K172" s="17"/>
      <c r="L172" s="17"/>
      <c r="M172" s="17">
        <v>10</v>
      </c>
      <c r="N172" s="28">
        <v>1</v>
      </c>
      <c r="O172" s="28">
        <v>50000</v>
      </c>
      <c r="P172" s="28">
        <v>100000</v>
      </c>
      <c r="Q172" s="17"/>
      <c r="R172" s="17"/>
      <c r="S172" s="12"/>
      <c r="T172" s="12" t="s">
        <v>39</v>
      </c>
      <c r="U172" s="12"/>
      <c r="V172" s="19" t="e">
        <f>VLOOKUP(A172,'2023 Stats'!$B$2:$D$192,3,FALSE)</f>
        <v>#N/A</v>
      </c>
      <c r="W172" s="29" t="e">
        <v>#N/A</v>
      </c>
      <c r="X172" s="30"/>
      <c r="Y172" s="19" t="e">
        <v>#N/A</v>
      </c>
      <c r="Z172" s="29" t="e">
        <v>#N/A</v>
      </c>
      <c r="AA172" s="30"/>
      <c r="AB172" s="19" t="e">
        <v>#N/A</v>
      </c>
      <c r="AC172" s="29"/>
      <c r="AD172" s="30"/>
      <c r="AE172" s="31" t="e">
        <v>#N/A</v>
      </c>
      <c r="AF172" s="30"/>
      <c r="AG172" s="25"/>
      <c r="AH172" s="25"/>
      <c r="AI172" s="25"/>
    </row>
    <row r="173" spans="1:35" ht="22.8" x14ac:dyDescent="0.3">
      <c r="A173" s="24">
        <v>50757</v>
      </c>
      <c r="B173" s="25" t="s">
        <v>252</v>
      </c>
      <c r="C173" s="26">
        <v>42186</v>
      </c>
      <c r="D173" s="26"/>
      <c r="E173" s="27" t="s">
        <v>43</v>
      </c>
      <c r="F173" s="16" t="s">
        <v>37</v>
      </c>
      <c r="G173" s="17" t="s">
        <v>38</v>
      </c>
      <c r="H173" s="40" t="s">
        <v>103</v>
      </c>
      <c r="I173" s="17"/>
      <c r="J173" s="17"/>
      <c r="K173" s="17"/>
      <c r="L173" s="17"/>
      <c r="M173" s="17">
        <v>0</v>
      </c>
      <c r="N173" s="28">
        <v>1</v>
      </c>
      <c r="O173" s="28">
        <v>50000</v>
      </c>
      <c r="P173" s="28">
        <v>100000</v>
      </c>
      <c r="Q173" s="17"/>
      <c r="R173" s="17"/>
      <c r="S173" s="12"/>
      <c r="T173" s="12" t="s">
        <v>39</v>
      </c>
      <c r="U173" s="49">
        <v>44866</v>
      </c>
      <c r="V173" s="19" t="e">
        <f>VLOOKUP(A173,'2023 Stats'!$B$2:$D$192,3,FALSE)</f>
        <v>#N/A</v>
      </c>
      <c r="W173" s="29" t="e">
        <v>#N/A</v>
      </c>
      <c r="X173" s="30"/>
      <c r="Y173" s="19">
        <v>1</v>
      </c>
      <c r="Z173" s="29">
        <v>0</v>
      </c>
      <c r="AA173" s="30"/>
      <c r="AB173" s="19" t="e">
        <v>#N/A</v>
      </c>
      <c r="AC173" s="29"/>
      <c r="AD173" s="30"/>
      <c r="AE173" s="31" t="e">
        <v>#N/A</v>
      </c>
      <c r="AF173" s="30"/>
      <c r="AG173" s="25"/>
      <c r="AH173" s="25"/>
      <c r="AI173" s="25"/>
    </row>
    <row r="174" spans="1:35" ht="22.8" hidden="1" x14ac:dyDescent="0.3">
      <c r="A174" s="12">
        <v>50759</v>
      </c>
      <c r="B174" s="13" t="s">
        <v>253</v>
      </c>
      <c r="C174" s="14">
        <v>44748</v>
      </c>
      <c r="D174" s="14">
        <v>44780</v>
      </c>
      <c r="E174" s="15" t="s">
        <v>36</v>
      </c>
      <c r="F174" s="35" t="s">
        <v>37</v>
      </c>
      <c r="G174" s="12" t="s">
        <v>38</v>
      </c>
      <c r="H174" s="17" t="s">
        <v>64</v>
      </c>
      <c r="I174" s="17"/>
      <c r="J174" s="12"/>
      <c r="K174" s="12"/>
      <c r="L174" s="12"/>
      <c r="M174" s="17">
        <v>0</v>
      </c>
      <c r="N174" s="18">
        <v>0</v>
      </c>
      <c r="O174" s="18">
        <v>50000</v>
      </c>
      <c r="P174" s="18">
        <v>100000</v>
      </c>
      <c r="Q174" s="13"/>
      <c r="R174" s="13"/>
      <c r="S174" s="12"/>
      <c r="T174" s="12" t="s">
        <v>39</v>
      </c>
      <c r="U174" s="12" t="e">
        <v>#N/A</v>
      </c>
      <c r="V174" s="19" t="e">
        <f>VLOOKUP(A174,'2023 Stats'!$B$2:$D$192,3,FALSE)</f>
        <v>#N/A</v>
      </c>
      <c r="W174" s="20" t="e">
        <v>#N/A</v>
      </c>
      <c r="X174" s="21"/>
      <c r="Y174" s="22" t="e">
        <v>#N/A</v>
      </c>
      <c r="Z174" s="20" t="e">
        <v>#N/A</v>
      </c>
      <c r="AA174" s="21"/>
      <c r="AB174" s="22" t="e">
        <v>#N/A</v>
      </c>
      <c r="AC174" s="20"/>
      <c r="AD174" s="21"/>
      <c r="AE174" s="23" t="e">
        <v>#N/A</v>
      </c>
      <c r="AF174" s="21"/>
      <c r="AG174" s="13"/>
      <c r="AH174" s="13"/>
      <c r="AI174" s="13"/>
    </row>
    <row r="175" spans="1:35" ht="22.8" x14ac:dyDescent="0.3">
      <c r="A175" s="24">
        <v>50761</v>
      </c>
      <c r="B175" s="25" t="s">
        <v>254</v>
      </c>
      <c r="C175" s="26">
        <v>42186</v>
      </c>
      <c r="D175" s="26"/>
      <c r="E175" s="27" t="s">
        <v>43</v>
      </c>
      <c r="F175" s="16" t="s">
        <v>37</v>
      </c>
      <c r="G175" s="17" t="s">
        <v>38</v>
      </c>
      <c r="H175" s="40" t="s">
        <v>103</v>
      </c>
      <c r="I175" s="17"/>
      <c r="J175" s="17"/>
      <c r="K175" s="17"/>
      <c r="L175" s="17"/>
      <c r="M175" s="17">
        <v>10</v>
      </c>
      <c r="N175" s="28">
        <v>1</v>
      </c>
      <c r="O175" s="28">
        <v>50000</v>
      </c>
      <c r="P175" s="28">
        <v>100000</v>
      </c>
      <c r="Q175" s="17"/>
      <c r="R175" s="17"/>
      <c r="S175" s="12"/>
      <c r="T175" s="12" t="s">
        <v>39</v>
      </c>
      <c r="U175" s="12"/>
      <c r="V175" s="19" t="e">
        <f>VLOOKUP(A175,'2023 Stats'!$B$2:$D$192,3,FALSE)</f>
        <v>#N/A</v>
      </c>
      <c r="W175" s="29" t="e">
        <v>#N/A</v>
      </c>
      <c r="X175" s="30"/>
      <c r="Y175" s="19" t="e">
        <v>#N/A</v>
      </c>
      <c r="Z175" s="29" t="e">
        <v>#N/A</v>
      </c>
      <c r="AA175" s="30"/>
      <c r="AB175" s="19" t="e">
        <v>#N/A</v>
      </c>
      <c r="AC175" s="29"/>
      <c r="AD175" s="30"/>
      <c r="AE175" s="31" t="e">
        <v>#N/A</v>
      </c>
      <c r="AF175" s="30"/>
      <c r="AG175" s="25"/>
      <c r="AH175" s="25"/>
      <c r="AI175" s="25"/>
    </row>
    <row r="176" spans="1:35" ht="22.8" hidden="1" x14ac:dyDescent="0.3">
      <c r="A176" s="12">
        <v>50763</v>
      </c>
      <c r="B176" s="13" t="s">
        <v>255</v>
      </c>
      <c r="C176" s="14">
        <v>42186</v>
      </c>
      <c r="D176" s="14"/>
      <c r="E176" s="15" t="s">
        <v>36</v>
      </c>
      <c r="F176" s="35" t="s">
        <v>37</v>
      </c>
      <c r="G176" s="12" t="s">
        <v>38</v>
      </c>
      <c r="H176" s="17" t="s">
        <v>64</v>
      </c>
      <c r="I176" s="17"/>
      <c r="J176" s="12"/>
      <c r="K176" s="12"/>
      <c r="L176" s="12"/>
      <c r="M176" s="17">
        <v>0</v>
      </c>
      <c r="N176" s="18">
        <v>1</v>
      </c>
      <c r="O176" s="18">
        <v>50000</v>
      </c>
      <c r="P176" s="18">
        <v>100000</v>
      </c>
      <c r="Q176" s="13"/>
      <c r="R176" s="13"/>
      <c r="S176" s="12"/>
      <c r="T176" s="12" t="s">
        <v>39</v>
      </c>
      <c r="U176" s="12" t="e">
        <v>#N/A</v>
      </c>
      <c r="V176" s="19" t="e">
        <f>VLOOKUP(A176,'2023 Stats'!$B$2:$D$192,3,FALSE)</f>
        <v>#N/A</v>
      </c>
      <c r="W176" s="20" t="e">
        <v>#N/A</v>
      </c>
      <c r="X176" s="21"/>
      <c r="Y176" s="22" t="e">
        <v>#N/A</v>
      </c>
      <c r="Z176" s="20" t="e">
        <v>#N/A</v>
      </c>
      <c r="AA176" s="21"/>
      <c r="AB176" s="22" t="e">
        <v>#N/A</v>
      </c>
      <c r="AC176" s="20"/>
      <c r="AD176" s="21"/>
      <c r="AE176" s="23" t="e">
        <v>#N/A</v>
      </c>
      <c r="AF176" s="21"/>
      <c r="AG176" s="13"/>
      <c r="AH176" s="13"/>
      <c r="AI176" s="13"/>
    </row>
    <row r="177" spans="1:35" ht="22.8" x14ac:dyDescent="0.3">
      <c r="A177" s="24">
        <v>50766</v>
      </c>
      <c r="B177" s="25" t="s">
        <v>256</v>
      </c>
      <c r="C177" s="26">
        <v>42186</v>
      </c>
      <c r="D177" s="26"/>
      <c r="E177" s="27" t="s">
        <v>43</v>
      </c>
      <c r="F177" s="16" t="s">
        <v>37</v>
      </c>
      <c r="G177" s="17" t="s">
        <v>38</v>
      </c>
      <c r="H177" s="40" t="s">
        <v>77</v>
      </c>
      <c r="I177" s="17"/>
      <c r="J177" s="17"/>
      <c r="K177" s="17"/>
      <c r="L177" s="17"/>
      <c r="M177" s="17">
        <v>15</v>
      </c>
      <c r="N177" s="28">
        <v>1</v>
      </c>
      <c r="O177" s="28">
        <v>50000</v>
      </c>
      <c r="P177" s="28">
        <v>100000</v>
      </c>
      <c r="Q177" s="17"/>
      <c r="R177" s="17"/>
      <c r="S177" s="12"/>
      <c r="T177" s="12" t="s">
        <v>39</v>
      </c>
      <c r="U177" s="17" t="s">
        <v>45</v>
      </c>
      <c r="V177" s="19">
        <f>VLOOKUP(A177,'2023 Stats'!$B$2:$D$192,3,FALSE)</f>
        <v>52</v>
      </c>
      <c r="W177" s="29">
        <v>13</v>
      </c>
      <c r="X177" s="30"/>
      <c r="Y177" s="19">
        <v>61</v>
      </c>
      <c r="Z177" s="29">
        <v>5</v>
      </c>
      <c r="AA177" s="30"/>
      <c r="AB177" s="19">
        <v>75</v>
      </c>
      <c r="AC177" s="29">
        <v>6</v>
      </c>
      <c r="AD177" s="30"/>
      <c r="AE177" s="31">
        <v>8</v>
      </c>
      <c r="AF177" s="30"/>
      <c r="AG177" s="25"/>
      <c r="AH177" s="25"/>
      <c r="AI177" s="25"/>
    </row>
    <row r="178" spans="1:35" ht="22.8" x14ac:dyDescent="0.3">
      <c r="A178" s="24">
        <v>50774</v>
      </c>
      <c r="B178" s="25" t="s">
        <v>257</v>
      </c>
      <c r="C178" s="26">
        <v>44992</v>
      </c>
      <c r="D178" s="26"/>
      <c r="E178" s="27" t="s">
        <v>43</v>
      </c>
      <c r="F178" s="16" t="s">
        <v>37</v>
      </c>
      <c r="G178" s="17" t="s">
        <v>38</v>
      </c>
      <c r="H178" s="40" t="s">
        <v>103</v>
      </c>
      <c r="I178" s="17"/>
      <c r="J178" s="17"/>
      <c r="K178" s="17"/>
      <c r="L178" s="17"/>
      <c r="M178" s="17">
        <v>15</v>
      </c>
      <c r="N178" s="28">
        <v>1</v>
      </c>
      <c r="O178" s="28">
        <v>50000</v>
      </c>
      <c r="P178" s="28">
        <v>100000</v>
      </c>
      <c r="Q178" s="17"/>
      <c r="R178" s="17"/>
      <c r="S178" s="12"/>
      <c r="T178" s="12" t="s">
        <v>39</v>
      </c>
      <c r="U178" s="17" t="s">
        <v>45</v>
      </c>
      <c r="V178" s="19">
        <f>VLOOKUP(A178,'2023 Stats'!$B$2:$D$192,3,FALSE)</f>
        <v>52</v>
      </c>
      <c r="W178" s="29">
        <v>13</v>
      </c>
      <c r="X178" s="30"/>
      <c r="Y178" s="19">
        <v>118</v>
      </c>
      <c r="Z178" s="29">
        <v>10</v>
      </c>
      <c r="AA178" s="30"/>
      <c r="AB178" s="19">
        <v>359</v>
      </c>
      <c r="AC178" s="29">
        <v>30</v>
      </c>
      <c r="AD178" s="30"/>
      <c r="AE178" s="31">
        <v>18</v>
      </c>
      <c r="AF178" s="30"/>
      <c r="AG178" s="25"/>
      <c r="AH178" s="25"/>
      <c r="AI178" s="25"/>
    </row>
    <row r="179" spans="1:35" ht="22.8" hidden="1" x14ac:dyDescent="0.3">
      <c r="A179" s="17">
        <v>50777</v>
      </c>
      <c r="B179" s="25" t="s">
        <v>258</v>
      </c>
      <c r="C179" s="26">
        <v>42186</v>
      </c>
      <c r="D179" s="26"/>
      <c r="E179" s="27" t="s">
        <v>36</v>
      </c>
      <c r="F179" s="16" t="s">
        <v>37</v>
      </c>
      <c r="G179" s="17" t="s">
        <v>84</v>
      </c>
      <c r="H179" s="17" t="s">
        <v>259</v>
      </c>
      <c r="I179" s="17"/>
      <c r="J179" s="17"/>
      <c r="K179" s="17"/>
      <c r="L179" s="17"/>
      <c r="M179" s="17">
        <v>10</v>
      </c>
      <c r="N179" s="28">
        <v>1</v>
      </c>
      <c r="O179" s="28">
        <v>50000</v>
      </c>
      <c r="P179" s="28">
        <v>100000</v>
      </c>
      <c r="Q179" s="17"/>
      <c r="R179" s="17"/>
      <c r="S179" s="17"/>
      <c r="T179" s="17" t="s">
        <v>39</v>
      </c>
      <c r="U179" s="17" t="s">
        <v>45</v>
      </c>
      <c r="V179" s="19">
        <f>VLOOKUP(A179,'2023 Stats'!$B$2:$D$192,3,FALSE)</f>
        <v>35</v>
      </c>
      <c r="W179" s="29">
        <v>9</v>
      </c>
      <c r="X179" s="30"/>
      <c r="Y179" s="19">
        <v>40</v>
      </c>
      <c r="Z179" s="29">
        <v>3</v>
      </c>
      <c r="AA179" s="30"/>
      <c r="AB179" s="19">
        <v>58</v>
      </c>
      <c r="AC179" s="29">
        <v>5</v>
      </c>
      <c r="AD179" s="30"/>
      <c r="AE179" s="31">
        <v>6</v>
      </c>
      <c r="AF179" s="30"/>
      <c r="AG179" s="25"/>
      <c r="AH179" s="25"/>
      <c r="AI179" s="25"/>
    </row>
    <row r="180" spans="1:35" ht="22.8" x14ac:dyDescent="0.3">
      <c r="A180" s="24">
        <v>50785</v>
      </c>
      <c r="B180" s="25" t="s">
        <v>260</v>
      </c>
      <c r="C180" s="26">
        <v>42186</v>
      </c>
      <c r="D180" s="26"/>
      <c r="E180" s="27" t="s">
        <v>43</v>
      </c>
      <c r="F180" s="16" t="s">
        <v>37</v>
      </c>
      <c r="G180" s="17" t="s">
        <v>38</v>
      </c>
      <c r="H180" s="17" t="s">
        <v>123</v>
      </c>
      <c r="I180" s="17"/>
      <c r="J180" s="17"/>
      <c r="K180" s="17"/>
      <c r="L180" s="17"/>
      <c r="M180" s="17">
        <v>0</v>
      </c>
      <c r="N180" s="28">
        <v>1</v>
      </c>
      <c r="O180" s="28">
        <v>50000</v>
      </c>
      <c r="P180" s="28">
        <v>100000</v>
      </c>
      <c r="Q180" s="17"/>
      <c r="R180" s="17"/>
      <c r="S180" s="12"/>
      <c r="T180" s="12" t="s">
        <v>39</v>
      </c>
      <c r="U180" s="17" t="s">
        <v>45</v>
      </c>
      <c r="V180" s="19">
        <f>VLOOKUP(A180,'2023 Stats'!$B$2:$D$192,3,FALSE)</f>
        <v>3575</v>
      </c>
      <c r="W180" s="29">
        <v>894</v>
      </c>
      <c r="X180" s="30"/>
      <c r="Y180" s="19">
        <v>4471</v>
      </c>
      <c r="Z180" s="29">
        <v>373</v>
      </c>
      <c r="AA180" s="30"/>
      <c r="AB180" s="19">
        <v>5349</v>
      </c>
      <c r="AC180" s="29">
        <v>446</v>
      </c>
      <c r="AD180" s="30"/>
      <c r="AE180" s="31">
        <v>571</v>
      </c>
      <c r="AF180" s="30"/>
      <c r="AG180" s="25"/>
      <c r="AH180" s="25"/>
      <c r="AI180" s="25"/>
    </row>
    <row r="181" spans="1:35" ht="22.8" hidden="1" x14ac:dyDescent="0.3">
      <c r="A181" s="12">
        <v>50786</v>
      </c>
      <c r="B181" s="13" t="s">
        <v>261</v>
      </c>
      <c r="C181" s="14">
        <v>42186</v>
      </c>
      <c r="D181" s="14"/>
      <c r="E181" s="15" t="s">
        <v>36</v>
      </c>
      <c r="F181" s="33" t="s">
        <v>47</v>
      </c>
      <c r="G181" s="12" t="s">
        <v>38</v>
      </c>
      <c r="H181" s="40" t="s">
        <v>77</v>
      </c>
      <c r="I181" s="17"/>
      <c r="J181" s="12"/>
      <c r="K181" s="12"/>
      <c r="L181" s="12" t="s">
        <v>244</v>
      </c>
      <c r="M181" s="17">
        <v>0</v>
      </c>
      <c r="N181" s="18">
        <v>0</v>
      </c>
      <c r="O181" s="18">
        <v>50000</v>
      </c>
      <c r="P181" s="18">
        <v>100000</v>
      </c>
      <c r="Q181" s="13"/>
      <c r="R181" s="13"/>
      <c r="S181" s="12"/>
      <c r="T181" s="12" t="s">
        <v>39</v>
      </c>
      <c r="U181" s="12" t="s">
        <v>45</v>
      </c>
      <c r="V181" s="19">
        <f>VLOOKUP(A181,'2023 Stats'!$B$2:$D$192,3,FALSE)</f>
        <v>2854</v>
      </c>
      <c r="W181" s="20">
        <v>714</v>
      </c>
      <c r="X181" s="21"/>
      <c r="Y181" s="22">
        <v>3190</v>
      </c>
      <c r="Z181" s="20">
        <v>266</v>
      </c>
      <c r="AA181" s="21"/>
      <c r="AB181" s="22">
        <v>4415</v>
      </c>
      <c r="AC181" s="20">
        <v>368</v>
      </c>
      <c r="AD181" s="21"/>
      <c r="AE181" s="23">
        <v>449</v>
      </c>
      <c r="AF181" s="21"/>
      <c r="AG181" s="13"/>
      <c r="AH181" s="13"/>
      <c r="AI181" s="13"/>
    </row>
    <row r="182" spans="1:35" ht="22.8" hidden="1" x14ac:dyDescent="0.3">
      <c r="A182" s="12">
        <v>50787</v>
      </c>
      <c r="B182" s="13" t="s">
        <v>262</v>
      </c>
      <c r="C182" s="14">
        <v>42186</v>
      </c>
      <c r="D182" s="14"/>
      <c r="E182" s="15" t="s">
        <v>36</v>
      </c>
      <c r="F182" s="33" t="s">
        <v>47</v>
      </c>
      <c r="G182" s="12" t="s">
        <v>38</v>
      </c>
      <c r="H182" s="40" t="s">
        <v>77</v>
      </c>
      <c r="I182" s="40" t="s">
        <v>78</v>
      </c>
      <c r="J182" s="37" t="s">
        <v>79</v>
      </c>
      <c r="K182" s="37">
        <v>4</v>
      </c>
      <c r="L182" s="12" t="s">
        <v>244</v>
      </c>
      <c r="M182" s="17">
        <v>0</v>
      </c>
      <c r="N182" s="18">
        <v>0</v>
      </c>
      <c r="O182" s="18">
        <v>50000</v>
      </c>
      <c r="P182" s="18">
        <v>100000</v>
      </c>
      <c r="Q182" s="13"/>
      <c r="R182" s="13"/>
      <c r="S182" s="12"/>
      <c r="T182" s="12" t="s">
        <v>39</v>
      </c>
      <c r="U182" s="12" t="s">
        <v>45</v>
      </c>
      <c r="V182" s="19">
        <f>VLOOKUP(A182,'2023 Stats'!$B$2:$D$192,3,FALSE)</f>
        <v>50402</v>
      </c>
      <c r="W182" s="20">
        <v>12601</v>
      </c>
      <c r="X182" s="21">
        <v>7</v>
      </c>
      <c r="Y182" s="22">
        <v>59791</v>
      </c>
      <c r="Z182" s="20">
        <v>4983</v>
      </c>
      <c r="AA182" s="21">
        <v>10</v>
      </c>
      <c r="AB182" s="22">
        <v>84577</v>
      </c>
      <c r="AC182" s="20">
        <v>7048</v>
      </c>
      <c r="AD182" s="21">
        <v>5</v>
      </c>
      <c r="AE182" s="23">
        <v>8210</v>
      </c>
      <c r="AF182" s="21">
        <v>7</v>
      </c>
      <c r="AG182" s="13"/>
      <c r="AH182" s="13"/>
      <c r="AI182" s="13"/>
    </row>
    <row r="183" spans="1:35" ht="22.8" hidden="1" x14ac:dyDescent="0.3">
      <c r="A183" s="12">
        <v>50788</v>
      </c>
      <c r="B183" s="13" t="s">
        <v>263</v>
      </c>
      <c r="C183" s="14">
        <v>42186</v>
      </c>
      <c r="D183" s="14"/>
      <c r="E183" s="15" t="s">
        <v>36</v>
      </c>
      <c r="F183" s="33" t="s">
        <v>47</v>
      </c>
      <c r="G183" s="12" t="s">
        <v>38</v>
      </c>
      <c r="H183" s="40" t="s">
        <v>77</v>
      </c>
      <c r="I183" s="40" t="s">
        <v>78</v>
      </c>
      <c r="J183" s="37" t="s">
        <v>104</v>
      </c>
      <c r="K183" s="37">
        <v>4</v>
      </c>
      <c r="L183" s="12" t="s">
        <v>244</v>
      </c>
      <c r="M183" s="17">
        <v>0</v>
      </c>
      <c r="N183" s="18">
        <v>0</v>
      </c>
      <c r="O183" s="18">
        <v>50000</v>
      </c>
      <c r="P183" s="18">
        <v>100000</v>
      </c>
      <c r="Q183" s="13"/>
      <c r="R183" s="13"/>
      <c r="S183" s="12"/>
      <c r="T183" s="12" t="s">
        <v>39</v>
      </c>
      <c r="U183" s="12" t="s">
        <v>45</v>
      </c>
      <c r="V183" s="19">
        <f>VLOOKUP(A183,'2023 Stats'!$B$2:$D$192,3,FALSE)</f>
        <v>12130</v>
      </c>
      <c r="W183" s="20">
        <v>3033</v>
      </c>
      <c r="X183" s="21"/>
      <c r="Y183" s="22">
        <v>15631</v>
      </c>
      <c r="Z183" s="20">
        <v>1303</v>
      </c>
      <c r="AA183" s="21"/>
      <c r="AB183" s="22">
        <v>23762</v>
      </c>
      <c r="AC183" s="20">
        <v>1980</v>
      </c>
      <c r="AD183" s="21"/>
      <c r="AE183" s="23">
        <v>2105</v>
      </c>
      <c r="AF183" s="21"/>
      <c r="AG183" s="13"/>
      <c r="AH183" s="13"/>
      <c r="AI183" s="13"/>
    </row>
    <row r="184" spans="1:35" ht="22.8" hidden="1" x14ac:dyDescent="0.3">
      <c r="A184" s="12">
        <v>50789</v>
      </c>
      <c r="B184" s="13" t="s">
        <v>264</v>
      </c>
      <c r="C184" s="14">
        <v>42186</v>
      </c>
      <c r="D184" s="14">
        <v>43661</v>
      </c>
      <c r="E184" s="15" t="s">
        <v>36</v>
      </c>
      <c r="F184" s="16" t="s">
        <v>37</v>
      </c>
      <c r="G184" s="12" t="s">
        <v>38</v>
      </c>
      <c r="H184" s="12"/>
      <c r="I184" s="12"/>
      <c r="J184" s="12"/>
      <c r="K184" s="12"/>
      <c r="L184" s="12"/>
      <c r="M184" s="17">
        <v>0</v>
      </c>
      <c r="N184" s="18">
        <v>0</v>
      </c>
      <c r="O184" s="18">
        <v>50000</v>
      </c>
      <c r="P184" s="18">
        <v>100000</v>
      </c>
      <c r="Q184" s="13"/>
      <c r="R184" s="13"/>
      <c r="S184" s="12"/>
      <c r="T184" s="12" t="s">
        <v>39</v>
      </c>
      <c r="U184" s="12" t="e">
        <v>#N/A</v>
      </c>
      <c r="V184" s="19" t="e">
        <f>VLOOKUP(A184,'2023 Stats'!$B$2:$D$192,3,FALSE)</f>
        <v>#N/A</v>
      </c>
      <c r="W184" s="20" t="e">
        <v>#N/A</v>
      </c>
      <c r="X184" s="21"/>
      <c r="Y184" s="22" t="e">
        <v>#N/A</v>
      </c>
      <c r="Z184" s="20" t="e">
        <v>#N/A</v>
      </c>
      <c r="AA184" s="21"/>
      <c r="AB184" s="22" t="e">
        <v>#N/A</v>
      </c>
      <c r="AC184" s="20"/>
      <c r="AD184" s="21"/>
      <c r="AE184" s="23" t="e">
        <v>#N/A</v>
      </c>
      <c r="AF184" s="21"/>
      <c r="AG184" s="13"/>
      <c r="AH184" s="13"/>
      <c r="AI184" s="13"/>
    </row>
    <row r="185" spans="1:35" ht="22.8" hidden="1" x14ac:dyDescent="0.3">
      <c r="A185" s="12">
        <v>50792</v>
      </c>
      <c r="B185" s="13" t="s">
        <v>265</v>
      </c>
      <c r="C185" s="14">
        <v>42186</v>
      </c>
      <c r="D185" s="14">
        <v>44774</v>
      </c>
      <c r="E185" s="15" t="s">
        <v>36</v>
      </c>
      <c r="F185" s="16" t="s">
        <v>37</v>
      </c>
      <c r="G185" s="12" t="s">
        <v>38</v>
      </c>
      <c r="H185" s="12"/>
      <c r="I185" s="12"/>
      <c r="J185" s="12"/>
      <c r="K185" s="12"/>
      <c r="L185" s="12"/>
      <c r="M185" s="17">
        <v>0</v>
      </c>
      <c r="N185" s="18">
        <v>0</v>
      </c>
      <c r="O185" s="18">
        <v>50000</v>
      </c>
      <c r="P185" s="18">
        <v>100000</v>
      </c>
      <c r="Q185" s="13"/>
      <c r="R185" s="13"/>
      <c r="S185" s="12"/>
      <c r="T185" s="12" t="s">
        <v>39</v>
      </c>
      <c r="U185" s="12">
        <v>44773</v>
      </c>
      <c r="V185" s="19" t="e">
        <f>VLOOKUP(A185,'2023 Stats'!$B$2:$D$192,3,FALSE)</f>
        <v>#N/A</v>
      </c>
      <c r="W185" s="20" t="e">
        <v>#N/A</v>
      </c>
      <c r="X185" s="21"/>
      <c r="Y185" s="22">
        <v>65644</v>
      </c>
      <c r="Z185" s="20">
        <v>5470</v>
      </c>
      <c r="AA185" s="21">
        <v>7</v>
      </c>
      <c r="AB185" s="22">
        <v>187880</v>
      </c>
      <c r="AC185" s="20">
        <v>15657</v>
      </c>
      <c r="AD185" s="21">
        <v>2</v>
      </c>
      <c r="AE185" s="23" t="e">
        <v>#N/A</v>
      </c>
      <c r="AF185" s="21"/>
      <c r="AG185" s="13"/>
      <c r="AH185" s="13"/>
      <c r="AI185" s="13"/>
    </row>
    <row r="186" spans="1:35" ht="22.8" hidden="1" x14ac:dyDescent="0.3">
      <c r="A186" s="12">
        <v>50793</v>
      </c>
      <c r="B186" s="13" t="s">
        <v>266</v>
      </c>
      <c r="C186" s="14">
        <v>42186</v>
      </c>
      <c r="D186" s="14">
        <v>44774</v>
      </c>
      <c r="E186" s="15" t="s">
        <v>36</v>
      </c>
      <c r="F186" s="16" t="s">
        <v>37</v>
      </c>
      <c r="G186" s="12" t="s">
        <v>38</v>
      </c>
      <c r="H186" s="12"/>
      <c r="I186" s="12"/>
      <c r="J186" s="12"/>
      <c r="K186" s="12"/>
      <c r="L186" s="12"/>
      <c r="M186" s="17">
        <v>0</v>
      </c>
      <c r="N186" s="18">
        <v>0</v>
      </c>
      <c r="O186" s="18">
        <v>50000</v>
      </c>
      <c r="P186" s="18">
        <v>100000</v>
      </c>
      <c r="Q186" s="13"/>
      <c r="R186" s="13"/>
      <c r="S186" s="12"/>
      <c r="T186" s="12" t="s">
        <v>39</v>
      </c>
      <c r="U186" s="12">
        <v>44704</v>
      </c>
      <c r="V186" s="19" t="e">
        <f>VLOOKUP(A186,'2023 Stats'!$B$2:$D$192,3,FALSE)</f>
        <v>#N/A</v>
      </c>
      <c r="W186" s="20" t="e">
        <v>#N/A</v>
      </c>
      <c r="X186" s="21"/>
      <c r="Y186" s="22">
        <v>14</v>
      </c>
      <c r="Z186" s="20">
        <v>1</v>
      </c>
      <c r="AA186" s="21"/>
      <c r="AB186" s="22">
        <v>62</v>
      </c>
      <c r="AC186" s="20">
        <v>5</v>
      </c>
      <c r="AD186" s="21"/>
      <c r="AE186" s="23" t="e">
        <v>#N/A</v>
      </c>
      <c r="AF186" s="21"/>
      <c r="AG186" s="13"/>
      <c r="AH186" s="13"/>
      <c r="AI186" s="13"/>
    </row>
    <row r="187" spans="1:35" ht="22.8" hidden="1" x14ac:dyDescent="0.3">
      <c r="A187" s="17">
        <v>50795</v>
      </c>
      <c r="B187" s="25" t="s">
        <v>267</v>
      </c>
      <c r="C187" s="26">
        <v>42186</v>
      </c>
      <c r="D187" s="26"/>
      <c r="E187" s="27" t="s">
        <v>36</v>
      </c>
      <c r="F187" s="16" t="s">
        <v>37</v>
      </c>
      <c r="G187" s="17" t="s">
        <v>38</v>
      </c>
      <c r="H187" s="17" t="s">
        <v>64</v>
      </c>
      <c r="I187" s="40" t="s">
        <v>95</v>
      </c>
      <c r="J187" s="40" t="s">
        <v>79</v>
      </c>
      <c r="K187" s="40">
        <v>5</v>
      </c>
      <c r="L187" s="17"/>
      <c r="M187" s="17">
        <v>15</v>
      </c>
      <c r="N187" s="28">
        <v>1</v>
      </c>
      <c r="O187" s="28">
        <v>50000</v>
      </c>
      <c r="P187" s="28">
        <v>100000</v>
      </c>
      <c r="Q187" s="17"/>
      <c r="R187" s="17"/>
      <c r="S187" s="17"/>
      <c r="T187" s="17" t="s">
        <v>39</v>
      </c>
      <c r="U187" s="17" t="s">
        <v>45</v>
      </c>
      <c r="V187" s="19">
        <f>VLOOKUP(A187,'2023 Stats'!$B$2:$D$192,3,FALSE)</f>
        <v>6677</v>
      </c>
      <c r="W187" s="29">
        <v>1669</v>
      </c>
      <c r="X187" s="30"/>
      <c r="Y187" s="19">
        <v>11269</v>
      </c>
      <c r="Z187" s="29">
        <v>939</v>
      </c>
      <c r="AA187" s="30"/>
      <c r="AB187" s="19">
        <v>22487</v>
      </c>
      <c r="AC187" s="29">
        <v>1874</v>
      </c>
      <c r="AD187" s="30"/>
      <c r="AE187" s="31">
        <v>1494</v>
      </c>
      <c r="AF187" s="30"/>
      <c r="AG187" s="25"/>
      <c r="AH187" s="25"/>
      <c r="AI187" s="25"/>
    </row>
    <row r="188" spans="1:35" ht="22.8" hidden="1" x14ac:dyDescent="0.3">
      <c r="A188" s="17">
        <v>50799</v>
      </c>
      <c r="B188" s="25" t="s">
        <v>268</v>
      </c>
      <c r="C188" s="26">
        <v>42186</v>
      </c>
      <c r="D188" s="26"/>
      <c r="E188" s="50" t="s">
        <v>36</v>
      </c>
      <c r="F188" s="16" t="s">
        <v>37</v>
      </c>
      <c r="G188" s="17" t="s">
        <v>38</v>
      </c>
      <c r="H188" s="40" t="s">
        <v>103</v>
      </c>
      <c r="I188" s="17"/>
      <c r="J188" s="17"/>
      <c r="K188" s="17"/>
      <c r="L188" s="17"/>
      <c r="M188" s="17">
        <v>10</v>
      </c>
      <c r="N188" s="28">
        <v>1</v>
      </c>
      <c r="O188" s="28">
        <v>50000</v>
      </c>
      <c r="P188" s="28">
        <v>100000</v>
      </c>
      <c r="Q188" s="25"/>
      <c r="R188" s="25"/>
      <c r="S188" s="17"/>
      <c r="T188" s="17" t="s">
        <v>39</v>
      </c>
      <c r="U188" s="17" t="e">
        <v>#N/A</v>
      </c>
      <c r="V188" s="19" t="e">
        <f>VLOOKUP(A188,'2023 Stats'!$B$2:$D$192,3,FALSE)</f>
        <v>#N/A</v>
      </c>
      <c r="W188" s="29" t="e">
        <v>#N/A</v>
      </c>
      <c r="X188" s="30"/>
      <c r="Y188" s="19" t="e">
        <v>#N/A</v>
      </c>
      <c r="Z188" s="29" t="e">
        <v>#N/A</v>
      </c>
      <c r="AA188" s="30"/>
      <c r="AB188" s="19" t="e">
        <v>#N/A</v>
      </c>
      <c r="AC188" s="29"/>
      <c r="AD188" s="30"/>
      <c r="AE188" s="31" t="e">
        <v>#N/A</v>
      </c>
      <c r="AF188" s="30"/>
      <c r="AG188" s="25"/>
      <c r="AH188" s="25"/>
      <c r="AI188" s="25"/>
    </row>
    <row r="189" spans="1:35" ht="22.8" hidden="1" x14ac:dyDescent="0.3">
      <c r="A189" s="12">
        <v>50801</v>
      </c>
      <c r="B189" s="13" t="s">
        <v>269</v>
      </c>
      <c r="C189" s="14">
        <v>44179</v>
      </c>
      <c r="D189" s="14">
        <v>44206</v>
      </c>
      <c r="E189" s="15" t="s">
        <v>36</v>
      </c>
      <c r="F189" s="35" t="s">
        <v>37</v>
      </c>
      <c r="G189" s="12" t="s">
        <v>38</v>
      </c>
      <c r="H189" s="17" t="s">
        <v>64</v>
      </c>
      <c r="I189" s="17"/>
      <c r="J189" s="12"/>
      <c r="K189" s="12"/>
      <c r="L189" s="12"/>
      <c r="M189" s="17">
        <v>0</v>
      </c>
      <c r="N189" s="18">
        <v>1</v>
      </c>
      <c r="O189" s="18">
        <v>50000</v>
      </c>
      <c r="P189" s="18">
        <v>100000</v>
      </c>
      <c r="Q189" s="13"/>
      <c r="R189" s="13"/>
      <c r="S189" s="12"/>
      <c r="T189" s="12" t="s">
        <v>39</v>
      </c>
      <c r="U189" s="12" t="e">
        <v>#N/A</v>
      </c>
      <c r="V189" s="19" t="e">
        <f>VLOOKUP(A189,'2023 Stats'!$B$2:$D$192,3,FALSE)</f>
        <v>#N/A</v>
      </c>
      <c r="W189" s="20" t="e">
        <v>#N/A</v>
      </c>
      <c r="X189" s="21"/>
      <c r="Y189" s="22" t="e">
        <v>#N/A</v>
      </c>
      <c r="Z189" s="20" t="e">
        <v>#N/A</v>
      </c>
      <c r="AA189" s="21"/>
      <c r="AB189" s="22">
        <v>392</v>
      </c>
      <c r="AC189" s="20">
        <v>33</v>
      </c>
      <c r="AD189" s="21"/>
      <c r="AE189" s="23" t="e">
        <v>#N/A</v>
      </c>
      <c r="AF189" s="21"/>
      <c r="AG189" s="13"/>
      <c r="AH189" s="13"/>
      <c r="AI189" s="13"/>
    </row>
    <row r="190" spans="1:35" ht="22.8" hidden="1" x14ac:dyDescent="0.3">
      <c r="A190" s="12">
        <v>50802</v>
      </c>
      <c r="B190" s="13" t="s">
        <v>270</v>
      </c>
      <c r="C190" s="14">
        <v>44142</v>
      </c>
      <c r="D190" s="14">
        <v>44169</v>
      </c>
      <c r="E190" s="15" t="s">
        <v>36</v>
      </c>
      <c r="F190" s="35" t="s">
        <v>37</v>
      </c>
      <c r="G190" s="12" t="s">
        <v>38</v>
      </c>
      <c r="H190" s="17" t="s">
        <v>64</v>
      </c>
      <c r="I190" s="17"/>
      <c r="J190" s="12"/>
      <c r="K190" s="12"/>
      <c r="L190" s="12"/>
      <c r="M190" s="17">
        <v>0</v>
      </c>
      <c r="N190" s="18">
        <v>1</v>
      </c>
      <c r="O190" s="18">
        <v>50000</v>
      </c>
      <c r="P190" s="18">
        <v>100000</v>
      </c>
      <c r="Q190" s="13"/>
      <c r="R190" s="13"/>
      <c r="S190" s="12"/>
      <c r="T190" s="12" t="s">
        <v>39</v>
      </c>
      <c r="U190" s="12" t="e">
        <v>#N/A</v>
      </c>
      <c r="V190" s="19" t="e">
        <f>VLOOKUP(A190,'2023 Stats'!$B$2:$D$192,3,FALSE)</f>
        <v>#N/A</v>
      </c>
      <c r="W190" s="20" t="e">
        <v>#N/A</v>
      </c>
      <c r="X190" s="21"/>
      <c r="Y190" s="22" t="e">
        <v>#N/A</v>
      </c>
      <c r="Z190" s="20" t="e">
        <v>#N/A</v>
      </c>
      <c r="AA190" s="21"/>
      <c r="AB190" s="22" t="e">
        <v>#N/A</v>
      </c>
      <c r="AC190" s="20"/>
      <c r="AD190" s="21"/>
      <c r="AE190" s="23" t="e">
        <v>#N/A</v>
      </c>
      <c r="AF190" s="21"/>
      <c r="AG190" s="13"/>
      <c r="AH190" s="13"/>
      <c r="AI190" s="13"/>
    </row>
    <row r="191" spans="1:35" ht="22.8" hidden="1" x14ac:dyDescent="0.3">
      <c r="A191" s="12">
        <v>50804</v>
      </c>
      <c r="B191" s="13" t="s">
        <v>271</v>
      </c>
      <c r="C191" s="14">
        <v>42186</v>
      </c>
      <c r="D191" s="14">
        <v>43496</v>
      </c>
      <c r="E191" s="15" t="s">
        <v>36</v>
      </c>
      <c r="F191" s="16" t="s">
        <v>37</v>
      </c>
      <c r="G191" s="12" t="s">
        <v>38</v>
      </c>
      <c r="H191" s="12"/>
      <c r="I191" s="12"/>
      <c r="J191" s="12"/>
      <c r="K191" s="12"/>
      <c r="L191" s="12"/>
      <c r="M191" s="17">
        <v>0</v>
      </c>
      <c r="N191" s="18">
        <v>1</v>
      </c>
      <c r="O191" s="18">
        <v>50000</v>
      </c>
      <c r="P191" s="18">
        <v>100000</v>
      </c>
      <c r="Q191" s="13"/>
      <c r="R191" s="13"/>
      <c r="S191" s="12"/>
      <c r="T191" s="12" t="s">
        <v>39</v>
      </c>
      <c r="U191" s="12" t="e">
        <v>#N/A</v>
      </c>
      <c r="V191" s="19" t="e">
        <f>VLOOKUP(A191,'2023 Stats'!$B$2:$D$192,3,FALSE)</f>
        <v>#N/A</v>
      </c>
      <c r="W191" s="20" t="e">
        <v>#N/A</v>
      </c>
      <c r="X191" s="21"/>
      <c r="Y191" s="22" t="e">
        <v>#N/A</v>
      </c>
      <c r="Z191" s="20" t="e">
        <v>#N/A</v>
      </c>
      <c r="AA191" s="21"/>
      <c r="AB191" s="22" t="e">
        <v>#N/A</v>
      </c>
      <c r="AC191" s="20"/>
      <c r="AD191" s="21"/>
      <c r="AE191" s="23" t="e">
        <v>#N/A</v>
      </c>
      <c r="AF191" s="21"/>
      <c r="AG191" s="13"/>
      <c r="AH191" s="13"/>
      <c r="AI191" s="13"/>
    </row>
    <row r="192" spans="1:35" ht="22.8" x14ac:dyDescent="0.3">
      <c r="A192" s="24">
        <v>50808</v>
      </c>
      <c r="B192" s="25" t="s">
        <v>272</v>
      </c>
      <c r="C192" s="26">
        <v>42186</v>
      </c>
      <c r="D192" s="26"/>
      <c r="E192" s="27" t="s">
        <v>43</v>
      </c>
      <c r="F192" s="16" t="s">
        <v>37</v>
      </c>
      <c r="G192" s="17" t="s">
        <v>38</v>
      </c>
      <c r="H192" s="40" t="s">
        <v>103</v>
      </c>
      <c r="I192" s="17"/>
      <c r="J192" s="17"/>
      <c r="K192" s="17"/>
      <c r="L192" s="17"/>
      <c r="M192" s="17">
        <v>0</v>
      </c>
      <c r="N192" s="28">
        <v>1</v>
      </c>
      <c r="O192" s="28">
        <v>50000</v>
      </c>
      <c r="P192" s="28">
        <v>100000</v>
      </c>
      <c r="Q192" s="17"/>
      <c r="R192" s="17"/>
      <c r="S192" s="12"/>
      <c r="T192" s="12" t="s">
        <v>39</v>
      </c>
      <c r="U192" s="12"/>
      <c r="V192" s="19" t="e">
        <f>VLOOKUP(A192,'2023 Stats'!$B$2:$D$192,3,FALSE)</f>
        <v>#N/A</v>
      </c>
      <c r="W192" s="29" t="e">
        <v>#N/A</v>
      </c>
      <c r="X192" s="30"/>
      <c r="Y192" s="19" t="e">
        <v>#N/A</v>
      </c>
      <c r="Z192" s="29" t="e">
        <v>#N/A</v>
      </c>
      <c r="AA192" s="30"/>
      <c r="AB192" s="19" t="e">
        <v>#N/A</v>
      </c>
      <c r="AC192" s="29"/>
      <c r="AD192" s="30"/>
      <c r="AE192" s="31" t="e">
        <v>#N/A</v>
      </c>
      <c r="AF192" s="30"/>
      <c r="AG192" s="25"/>
      <c r="AH192" s="25"/>
      <c r="AI192" s="25"/>
    </row>
    <row r="193" spans="1:35" ht="22.8" hidden="1" x14ac:dyDescent="0.3">
      <c r="A193" s="12">
        <v>50809</v>
      </c>
      <c r="B193" s="13" t="s">
        <v>273</v>
      </c>
      <c r="C193" s="14">
        <v>42186</v>
      </c>
      <c r="D193" s="14">
        <v>43661</v>
      </c>
      <c r="E193" s="15" t="s">
        <v>36</v>
      </c>
      <c r="F193" s="16" t="s">
        <v>37</v>
      </c>
      <c r="G193" s="12" t="s">
        <v>38</v>
      </c>
      <c r="H193" s="12"/>
      <c r="I193" s="12"/>
      <c r="J193" s="12"/>
      <c r="K193" s="12"/>
      <c r="L193" s="12"/>
      <c r="M193" s="17">
        <v>0</v>
      </c>
      <c r="N193" s="18">
        <v>0</v>
      </c>
      <c r="O193" s="18">
        <v>50000</v>
      </c>
      <c r="P193" s="18">
        <v>100000</v>
      </c>
      <c r="Q193" s="13"/>
      <c r="R193" s="13"/>
      <c r="S193" s="12"/>
      <c r="T193" s="12" t="s">
        <v>39</v>
      </c>
      <c r="U193" s="12" t="e">
        <v>#N/A</v>
      </c>
      <c r="V193" s="19" t="e">
        <f>VLOOKUP(A193,'2023 Stats'!$B$2:$D$192,3,FALSE)</f>
        <v>#N/A</v>
      </c>
      <c r="W193" s="20" t="e">
        <v>#N/A</v>
      </c>
      <c r="X193" s="21"/>
      <c r="Y193" s="22" t="e">
        <v>#N/A</v>
      </c>
      <c r="Z193" s="20" t="e">
        <v>#N/A</v>
      </c>
      <c r="AA193" s="21"/>
      <c r="AB193" s="22" t="e">
        <v>#N/A</v>
      </c>
      <c r="AC193" s="20"/>
      <c r="AD193" s="21"/>
      <c r="AE193" s="23" t="e">
        <v>#N/A</v>
      </c>
      <c r="AF193" s="21"/>
      <c r="AG193" s="13"/>
      <c r="AH193" s="13"/>
      <c r="AI193" s="13"/>
    </row>
    <row r="194" spans="1:35" ht="22.8" hidden="1" x14ac:dyDescent="0.3">
      <c r="A194" s="12">
        <v>50810</v>
      </c>
      <c r="B194" s="13" t="s">
        <v>274</v>
      </c>
      <c r="C194" s="14">
        <v>42186</v>
      </c>
      <c r="D194" s="14">
        <v>43661</v>
      </c>
      <c r="E194" s="15" t="s">
        <v>36</v>
      </c>
      <c r="F194" s="16" t="s">
        <v>37</v>
      </c>
      <c r="G194" s="12" t="s">
        <v>38</v>
      </c>
      <c r="H194" s="12"/>
      <c r="I194" s="12"/>
      <c r="J194" s="12"/>
      <c r="K194" s="12"/>
      <c r="L194" s="12"/>
      <c r="M194" s="17">
        <v>0</v>
      </c>
      <c r="N194" s="18">
        <v>0</v>
      </c>
      <c r="O194" s="18">
        <v>50000</v>
      </c>
      <c r="P194" s="18">
        <v>100000</v>
      </c>
      <c r="Q194" s="13"/>
      <c r="R194" s="13"/>
      <c r="S194" s="12"/>
      <c r="T194" s="12" t="s">
        <v>39</v>
      </c>
      <c r="U194" s="12" t="e">
        <v>#N/A</v>
      </c>
      <c r="V194" s="19" t="e">
        <f>VLOOKUP(A194,'2023 Stats'!$B$2:$D$192,3,FALSE)</f>
        <v>#N/A</v>
      </c>
      <c r="W194" s="20" t="e">
        <v>#N/A</v>
      </c>
      <c r="X194" s="21"/>
      <c r="Y194" s="22" t="e">
        <v>#N/A</v>
      </c>
      <c r="Z194" s="20" t="e">
        <v>#N/A</v>
      </c>
      <c r="AA194" s="21"/>
      <c r="AB194" s="22" t="e">
        <v>#N/A</v>
      </c>
      <c r="AC194" s="20"/>
      <c r="AD194" s="21"/>
      <c r="AE194" s="23" t="e">
        <v>#N/A</v>
      </c>
      <c r="AF194" s="21"/>
      <c r="AG194" s="13"/>
      <c r="AH194" s="13"/>
      <c r="AI194" s="13"/>
    </row>
    <row r="195" spans="1:35" ht="22.8" hidden="1" x14ac:dyDescent="0.3">
      <c r="A195" s="12">
        <v>50812</v>
      </c>
      <c r="B195" s="13" t="s">
        <v>275</v>
      </c>
      <c r="C195" s="14">
        <v>42186</v>
      </c>
      <c r="D195" s="14">
        <v>43661</v>
      </c>
      <c r="E195" s="15" t="s">
        <v>36</v>
      </c>
      <c r="F195" s="16" t="s">
        <v>37</v>
      </c>
      <c r="G195" s="12" t="s">
        <v>38</v>
      </c>
      <c r="H195" s="12"/>
      <c r="I195" s="12"/>
      <c r="J195" s="12"/>
      <c r="K195" s="12"/>
      <c r="L195" s="12"/>
      <c r="M195" s="17">
        <v>0</v>
      </c>
      <c r="N195" s="18">
        <v>0</v>
      </c>
      <c r="O195" s="18">
        <v>50000</v>
      </c>
      <c r="P195" s="18">
        <v>100000</v>
      </c>
      <c r="Q195" s="13"/>
      <c r="R195" s="13"/>
      <c r="S195" s="12"/>
      <c r="T195" s="12" t="s">
        <v>39</v>
      </c>
      <c r="U195" s="12" t="e">
        <v>#N/A</v>
      </c>
      <c r="V195" s="19" t="e">
        <f>VLOOKUP(A195,'2023 Stats'!$B$2:$D$192,3,FALSE)</f>
        <v>#N/A</v>
      </c>
      <c r="W195" s="20" t="e">
        <v>#N/A</v>
      </c>
      <c r="X195" s="21"/>
      <c r="Y195" s="22" t="e">
        <v>#N/A</v>
      </c>
      <c r="Z195" s="20" t="e">
        <v>#N/A</v>
      </c>
      <c r="AA195" s="21"/>
      <c r="AB195" s="22" t="e">
        <v>#N/A</v>
      </c>
      <c r="AC195" s="20"/>
      <c r="AD195" s="21"/>
      <c r="AE195" s="23" t="e">
        <v>#N/A</v>
      </c>
      <c r="AF195" s="21"/>
      <c r="AG195" s="13"/>
      <c r="AH195" s="13"/>
      <c r="AI195" s="13"/>
    </row>
    <row r="196" spans="1:35" ht="22.8" hidden="1" x14ac:dyDescent="0.3">
      <c r="A196" s="12">
        <v>50814</v>
      </c>
      <c r="B196" s="13" t="s">
        <v>276</v>
      </c>
      <c r="C196" s="14">
        <v>42186</v>
      </c>
      <c r="D196" s="14"/>
      <c r="E196" s="15" t="s">
        <v>36</v>
      </c>
      <c r="F196" s="33" t="s">
        <v>47</v>
      </c>
      <c r="G196" s="12" t="s">
        <v>38</v>
      </c>
      <c r="H196" s="40" t="s">
        <v>77</v>
      </c>
      <c r="I196" s="17"/>
      <c r="J196" s="12"/>
      <c r="K196" s="12"/>
      <c r="L196" s="12" t="s">
        <v>244</v>
      </c>
      <c r="M196" s="17">
        <v>0</v>
      </c>
      <c r="N196" s="18">
        <v>0</v>
      </c>
      <c r="O196" s="18">
        <v>50000</v>
      </c>
      <c r="P196" s="18">
        <v>100000</v>
      </c>
      <c r="Q196" s="13"/>
      <c r="R196" s="13"/>
      <c r="S196" s="12"/>
      <c r="T196" s="12" t="s">
        <v>39</v>
      </c>
      <c r="U196" s="12" t="s">
        <v>45</v>
      </c>
      <c r="V196" s="19">
        <f>VLOOKUP(A196,'2023 Stats'!$B$2:$D$192,3,FALSE)</f>
        <v>190</v>
      </c>
      <c r="W196" s="20">
        <v>48</v>
      </c>
      <c r="X196" s="21"/>
      <c r="Y196" s="22">
        <v>258</v>
      </c>
      <c r="Z196" s="20">
        <v>22</v>
      </c>
      <c r="AA196" s="21"/>
      <c r="AB196" s="22">
        <v>326</v>
      </c>
      <c r="AC196" s="20">
        <v>27</v>
      </c>
      <c r="AD196" s="21"/>
      <c r="AE196" s="23">
        <v>32</v>
      </c>
      <c r="AF196" s="21"/>
      <c r="AG196" s="13"/>
      <c r="AH196" s="13"/>
      <c r="AI196" s="13"/>
    </row>
    <row r="197" spans="1:35" ht="22.8" hidden="1" x14ac:dyDescent="0.3">
      <c r="A197" s="12">
        <v>50815</v>
      </c>
      <c r="B197" s="13" t="s">
        <v>277</v>
      </c>
      <c r="C197" s="14">
        <v>42186</v>
      </c>
      <c r="D197" s="14"/>
      <c r="E197" s="15" t="s">
        <v>36</v>
      </c>
      <c r="F197" s="33" t="s">
        <v>47</v>
      </c>
      <c r="G197" s="12" t="s">
        <v>38</v>
      </c>
      <c r="H197" s="40" t="s">
        <v>64</v>
      </c>
      <c r="I197" s="17"/>
      <c r="J197" s="12"/>
      <c r="K197" s="12"/>
      <c r="L197" s="12" t="s">
        <v>244</v>
      </c>
      <c r="M197" s="17">
        <v>0</v>
      </c>
      <c r="N197" s="18">
        <v>0</v>
      </c>
      <c r="O197" s="18">
        <v>50000</v>
      </c>
      <c r="P197" s="18">
        <v>100000</v>
      </c>
      <c r="Q197" s="13"/>
      <c r="R197" s="13"/>
      <c r="S197" s="12"/>
      <c r="T197" s="12" t="s">
        <v>39</v>
      </c>
      <c r="U197" s="12" t="s">
        <v>278</v>
      </c>
      <c r="V197" s="19" t="e">
        <f>VLOOKUP(A197,'2023 Stats'!$B$2:$D$192,3,FALSE)</f>
        <v>#N/A</v>
      </c>
      <c r="W197" s="20" t="e">
        <v>#N/A</v>
      </c>
      <c r="X197" s="21"/>
      <c r="Y197" s="22">
        <v>1</v>
      </c>
      <c r="Z197" s="20">
        <v>0</v>
      </c>
      <c r="AA197" s="21"/>
      <c r="AB197" s="22">
        <v>7</v>
      </c>
      <c r="AC197" s="20">
        <v>1</v>
      </c>
      <c r="AD197" s="21"/>
      <c r="AE197" s="23" t="e">
        <v>#N/A</v>
      </c>
      <c r="AF197" s="21"/>
      <c r="AG197" s="13"/>
      <c r="AH197" s="13"/>
      <c r="AI197" s="13"/>
    </row>
    <row r="198" spans="1:35" ht="22.8" hidden="1" x14ac:dyDescent="0.3">
      <c r="A198" s="12">
        <v>50817</v>
      </c>
      <c r="B198" s="13" t="s">
        <v>279</v>
      </c>
      <c r="C198" s="14">
        <v>42186</v>
      </c>
      <c r="D198" s="14"/>
      <c r="E198" s="15" t="s">
        <v>36</v>
      </c>
      <c r="F198" s="33" t="s">
        <v>47</v>
      </c>
      <c r="G198" s="12" t="s">
        <v>38</v>
      </c>
      <c r="H198" s="40" t="s">
        <v>64</v>
      </c>
      <c r="I198" s="17"/>
      <c r="J198" s="12"/>
      <c r="K198" s="12"/>
      <c r="L198" s="12" t="s">
        <v>244</v>
      </c>
      <c r="M198" s="17">
        <v>0</v>
      </c>
      <c r="N198" s="18">
        <v>0</v>
      </c>
      <c r="O198" s="18">
        <v>50000</v>
      </c>
      <c r="P198" s="18">
        <v>100000</v>
      </c>
      <c r="Q198" s="13"/>
      <c r="R198" s="13"/>
      <c r="S198" s="12"/>
      <c r="T198" s="12" t="s">
        <v>39</v>
      </c>
      <c r="U198" s="12" t="s">
        <v>280</v>
      </c>
      <c r="V198" s="19" t="e">
        <f>VLOOKUP(A198,'2023 Stats'!$B$2:$D$192,3,FALSE)</f>
        <v>#N/A</v>
      </c>
      <c r="W198" s="20" t="e">
        <v>#N/A</v>
      </c>
      <c r="X198" s="21"/>
      <c r="Y198" s="22">
        <v>1</v>
      </c>
      <c r="Z198" s="20">
        <v>0</v>
      </c>
      <c r="AA198" s="21"/>
      <c r="AB198" s="22" t="e">
        <v>#N/A</v>
      </c>
      <c r="AC198" s="20"/>
      <c r="AD198" s="21"/>
      <c r="AE198" s="23" t="e">
        <v>#N/A</v>
      </c>
      <c r="AF198" s="21"/>
      <c r="AG198" s="13"/>
      <c r="AH198" s="13"/>
      <c r="AI198" s="13"/>
    </row>
    <row r="199" spans="1:35" ht="22.8" hidden="1" x14ac:dyDescent="0.3">
      <c r="A199" s="12">
        <v>50819</v>
      </c>
      <c r="B199" s="13" t="s">
        <v>281</v>
      </c>
      <c r="C199" s="14">
        <v>42186</v>
      </c>
      <c r="D199" s="14"/>
      <c r="E199" s="15" t="s">
        <v>36</v>
      </c>
      <c r="F199" s="33" t="s">
        <v>47</v>
      </c>
      <c r="G199" s="12" t="s">
        <v>38</v>
      </c>
      <c r="H199" s="12"/>
      <c r="I199" s="12"/>
      <c r="J199" s="12"/>
      <c r="K199" s="12"/>
      <c r="L199" s="12" t="s">
        <v>244</v>
      </c>
      <c r="M199" s="17">
        <v>0</v>
      </c>
      <c r="N199" s="18">
        <v>0</v>
      </c>
      <c r="O199" s="18">
        <v>50000</v>
      </c>
      <c r="P199" s="18">
        <v>100000</v>
      </c>
      <c r="Q199" s="13"/>
      <c r="R199" s="13"/>
      <c r="S199" s="12"/>
      <c r="T199" s="12" t="s">
        <v>39</v>
      </c>
      <c r="U199" s="12" t="e">
        <v>#N/A</v>
      </c>
      <c r="V199" s="19" t="e">
        <f>VLOOKUP(A199,'2023 Stats'!$B$2:$D$192,3,FALSE)</f>
        <v>#N/A</v>
      </c>
      <c r="W199" s="20" t="e">
        <v>#N/A</v>
      </c>
      <c r="X199" s="21"/>
      <c r="Y199" s="22" t="e">
        <v>#N/A</v>
      </c>
      <c r="Z199" s="20" t="e">
        <v>#N/A</v>
      </c>
      <c r="AA199" s="21"/>
      <c r="AB199" s="22" t="e">
        <v>#N/A</v>
      </c>
      <c r="AC199" s="20"/>
      <c r="AD199" s="21"/>
      <c r="AE199" s="23" t="e">
        <v>#N/A</v>
      </c>
      <c r="AF199" s="21"/>
      <c r="AG199" s="13"/>
      <c r="AH199" s="13"/>
      <c r="AI199" s="13"/>
    </row>
    <row r="200" spans="1:35" ht="22.8" hidden="1" x14ac:dyDescent="0.3">
      <c r="A200" s="12">
        <v>50821</v>
      </c>
      <c r="B200" s="13" t="s">
        <v>282</v>
      </c>
      <c r="C200" s="14">
        <v>42186</v>
      </c>
      <c r="D200" s="14"/>
      <c r="E200" s="15" t="s">
        <v>36</v>
      </c>
      <c r="F200" s="33" t="s">
        <v>47</v>
      </c>
      <c r="G200" s="12" t="s">
        <v>38</v>
      </c>
      <c r="H200" s="12"/>
      <c r="I200" s="12"/>
      <c r="J200" s="12"/>
      <c r="K200" s="12"/>
      <c r="L200" s="12" t="s">
        <v>244</v>
      </c>
      <c r="M200" s="17">
        <v>0</v>
      </c>
      <c r="N200" s="18">
        <v>0</v>
      </c>
      <c r="O200" s="18">
        <v>50000</v>
      </c>
      <c r="P200" s="18">
        <v>100000</v>
      </c>
      <c r="Q200" s="13"/>
      <c r="R200" s="13"/>
      <c r="S200" s="12"/>
      <c r="T200" s="12" t="s">
        <v>39</v>
      </c>
      <c r="U200" s="12" t="e">
        <v>#N/A</v>
      </c>
      <c r="V200" s="19" t="e">
        <f>VLOOKUP(A200,'2023 Stats'!$B$2:$D$192,3,FALSE)</f>
        <v>#N/A</v>
      </c>
      <c r="W200" s="20" t="e">
        <v>#N/A</v>
      </c>
      <c r="X200" s="21"/>
      <c r="Y200" s="22" t="e">
        <v>#N/A</v>
      </c>
      <c r="Z200" s="20" t="e">
        <v>#N/A</v>
      </c>
      <c r="AA200" s="21"/>
      <c r="AB200" s="22" t="e">
        <v>#N/A</v>
      </c>
      <c r="AC200" s="20"/>
      <c r="AD200" s="21"/>
      <c r="AE200" s="23" t="e">
        <v>#N/A</v>
      </c>
      <c r="AF200" s="21"/>
      <c r="AG200" s="13"/>
      <c r="AH200" s="13"/>
      <c r="AI200" s="13"/>
    </row>
    <row r="201" spans="1:35" ht="22.8" hidden="1" x14ac:dyDescent="0.3">
      <c r="A201" s="12">
        <v>50823</v>
      </c>
      <c r="B201" s="13" t="s">
        <v>283</v>
      </c>
      <c r="C201" s="14">
        <v>42186</v>
      </c>
      <c r="D201" s="14"/>
      <c r="E201" s="15" t="s">
        <v>36</v>
      </c>
      <c r="F201" s="33" t="s">
        <v>47</v>
      </c>
      <c r="G201" s="12" t="s">
        <v>38</v>
      </c>
      <c r="H201" s="40" t="s">
        <v>77</v>
      </c>
      <c r="I201" s="17"/>
      <c r="J201" s="12"/>
      <c r="K201" s="12"/>
      <c r="L201" s="12" t="s">
        <v>244</v>
      </c>
      <c r="M201" s="17">
        <v>0</v>
      </c>
      <c r="N201" s="18">
        <v>0</v>
      </c>
      <c r="O201" s="18">
        <v>50000</v>
      </c>
      <c r="P201" s="18">
        <v>100000</v>
      </c>
      <c r="Q201" s="13"/>
      <c r="R201" s="13"/>
      <c r="S201" s="12"/>
      <c r="T201" s="12" t="s">
        <v>39</v>
      </c>
      <c r="U201" s="12" t="s">
        <v>45</v>
      </c>
      <c r="V201" s="19">
        <f>VLOOKUP(A201,'2023 Stats'!$B$2:$D$192,3,FALSE)</f>
        <v>1424</v>
      </c>
      <c r="W201" s="20">
        <v>356</v>
      </c>
      <c r="X201" s="21"/>
      <c r="Y201" s="22">
        <v>2168</v>
      </c>
      <c r="Z201" s="20">
        <v>181</v>
      </c>
      <c r="AA201" s="21"/>
      <c r="AB201" s="22">
        <v>3675</v>
      </c>
      <c r="AC201" s="20">
        <v>306</v>
      </c>
      <c r="AD201" s="21"/>
      <c r="AE201" s="23">
        <v>281</v>
      </c>
      <c r="AF201" s="21"/>
      <c r="AG201" s="13"/>
      <c r="AH201" s="13"/>
      <c r="AI201" s="13"/>
    </row>
    <row r="202" spans="1:35" ht="22.8" hidden="1" x14ac:dyDescent="0.3">
      <c r="A202" s="12">
        <v>50825</v>
      </c>
      <c r="B202" s="13" t="s">
        <v>284</v>
      </c>
      <c r="C202" s="14">
        <v>42186</v>
      </c>
      <c r="D202" s="14"/>
      <c r="E202" s="15" t="s">
        <v>36</v>
      </c>
      <c r="F202" s="33" t="s">
        <v>47</v>
      </c>
      <c r="G202" s="12" t="s">
        <v>38</v>
      </c>
      <c r="H202" s="40" t="s">
        <v>77</v>
      </c>
      <c r="I202" s="17"/>
      <c r="J202" s="12"/>
      <c r="K202" s="12"/>
      <c r="L202" s="12" t="s">
        <v>244</v>
      </c>
      <c r="M202" s="17">
        <v>0</v>
      </c>
      <c r="N202" s="18">
        <v>0</v>
      </c>
      <c r="O202" s="18">
        <v>50000</v>
      </c>
      <c r="P202" s="18">
        <v>100000</v>
      </c>
      <c r="Q202" s="13"/>
      <c r="R202" s="13"/>
      <c r="S202" s="12"/>
      <c r="T202" s="12" t="s">
        <v>39</v>
      </c>
      <c r="U202" s="12" t="s">
        <v>45</v>
      </c>
      <c r="V202" s="19">
        <f>VLOOKUP(A202,'2023 Stats'!$B$2:$D$192,3,FALSE)</f>
        <v>11</v>
      </c>
      <c r="W202" s="20">
        <v>3</v>
      </c>
      <c r="X202" s="21"/>
      <c r="Y202" s="22">
        <v>20</v>
      </c>
      <c r="Z202" s="20">
        <v>2</v>
      </c>
      <c r="AA202" s="21"/>
      <c r="AB202" s="22">
        <v>42</v>
      </c>
      <c r="AC202" s="20">
        <v>4</v>
      </c>
      <c r="AD202" s="21"/>
      <c r="AE202" s="23">
        <v>3</v>
      </c>
      <c r="AF202" s="21"/>
      <c r="AG202" s="13"/>
      <c r="AH202" s="13"/>
      <c r="AI202" s="13"/>
    </row>
    <row r="203" spans="1:35" ht="22.8" hidden="1" x14ac:dyDescent="0.3">
      <c r="A203" s="12">
        <v>50829</v>
      </c>
      <c r="B203" s="13" t="s">
        <v>285</v>
      </c>
      <c r="C203" s="14">
        <v>42186</v>
      </c>
      <c r="D203" s="14">
        <v>44774</v>
      </c>
      <c r="E203" s="15" t="s">
        <v>36</v>
      </c>
      <c r="F203" s="16" t="s">
        <v>37</v>
      </c>
      <c r="G203" s="12" t="s">
        <v>38</v>
      </c>
      <c r="H203" s="12"/>
      <c r="I203" s="12"/>
      <c r="J203" s="12"/>
      <c r="K203" s="12"/>
      <c r="L203" s="12"/>
      <c r="M203" s="17">
        <v>0</v>
      </c>
      <c r="N203" s="18">
        <v>0</v>
      </c>
      <c r="O203" s="18">
        <v>50000</v>
      </c>
      <c r="P203" s="18">
        <v>100000</v>
      </c>
      <c r="Q203" s="13"/>
      <c r="R203" s="13"/>
      <c r="S203" s="12"/>
      <c r="T203" s="12" t="s">
        <v>39</v>
      </c>
      <c r="U203" s="12" t="e">
        <v>#N/A</v>
      </c>
      <c r="V203" s="19" t="e">
        <f>VLOOKUP(A203,'2023 Stats'!$B$2:$D$192,3,FALSE)</f>
        <v>#N/A</v>
      </c>
      <c r="W203" s="20" t="e">
        <v>#N/A</v>
      </c>
      <c r="X203" s="21"/>
      <c r="Y203" s="22" t="e">
        <v>#N/A</v>
      </c>
      <c r="Z203" s="20" t="e">
        <v>#N/A</v>
      </c>
      <c r="AA203" s="21"/>
      <c r="AB203" s="22" t="e">
        <v>#N/A</v>
      </c>
      <c r="AC203" s="20"/>
      <c r="AD203" s="21"/>
      <c r="AE203" s="23" t="e">
        <v>#N/A</v>
      </c>
      <c r="AF203" s="21"/>
      <c r="AG203" s="13"/>
      <c r="AH203" s="13"/>
      <c r="AI203" s="13"/>
    </row>
    <row r="204" spans="1:35" ht="22.8" x14ac:dyDescent="0.3">
      <c r="A204" s="24">
        <v>50831</v>
      </c>
      <c r="B204" s="25" t="s">
        <v>286</v>
      </c>
      <c r="C204" s="26">
        <v>42739</v>
      </c>
      <c r="D204" s="26"/>
      <c r="E204" s="27" t="s">
        <v>43</v>
      </c>
      <c r="F204" s="16" t="s">
        <v>37</v>
      </c>
      <c r="G204" s="17" t="s">
        <v>38</v>
      </c>
      <c r="H204" s="40" t="s">
        <v>103</v>
      </c>
      <c r="I204" s="17"/>
      <c r="J204" s="17"/>
      <c r="K204" s="17"/>
      <c r="L204" s="17"/>
      <c r="M204" s="17">
        <v>10</v>
      </c>
      <c r="N204" s="28">
        <v>1</v>
      </c>
      <c r="O204" s="28">
        <v>50000</v>
      </c>
      <c r="P204" s="28">
        <v>100000</v>
      </c>
      <c r="Q204" s="17"/>
      <c r="R204" s="17"/>
      <c r="S204" s="12"/>
      <c r="T204" s="12" t="s">
        <v>39</v>
      </c>
      <c r="U204" s="49">
        <v>44626</v>
      </c>
      <c r="V204" s="19" t="e">
        <f>VLOOKUP(A204,'2023 Stats'!$B$2:$D$192,3,FALSE)</f>
        <v>#N/A</v>
      </c>
      <c r="W204" s="29" t="e">
        <v>#N/A</v>
      </c>
      <c r="X204" s="30"/>
      <c r="Y204" s="19">
        <v>22</v>
      </c>
      <c r="Z204" s="29">
        <v>2</v>
      </c>
      <c r="AA204" s="30"/>
      <c r="AB204" s="19">
        <v>482</v>
      </c>
      <c r="AC204" s="29">
        <v>40</v>
      </c>
      <c r="AD204" s="30"/>
      <c r="AE204" s="31" t="e">
        <v>#N/A</v>
      </c>
      <c r="AF204" s="30"/>
      <c r="AG204" s="25"/>
      <c r="AH204" s="25"/>
      <c r="AI204" s="25"/>
    </row>
    <row r="205" spans="1:35" ht="22.8" x14ac:dyDescent="0.3">
      <c r="A205" s="24">
        <v>50832</v>
      </c>
      <c r="B205" s="25" t="s">
        <v>287</v>
      </c>
      <c r="C205" s="26">
        <v>42186</v>
      </c>
      <c r="D205" s="26"/>
      <c r="E205" s="27" t="s">
        <v>43</v>
      </c>
      <c r="F205" s="16" t="s">
        <v>37</v>
      </c>
      <c r="G205" s="17" t="s">
        <v>38</v>
      </c>
      <c r="H205" s="40" t="s">
        <v>103</v>
      </c>
      <c r="I205" s="17"/>
      <c r="J205" s="17"/>
      <c r="K205" s="17"/>
      <c r="L205" s="17"/>
      <c r="M205" s="17">
        <v>0</v>
      </c>
      <c r="N205" s="28">
        <v>1</v>
      </c>
      <c r="O205" s="28">
        <v>50000</v>
      </c>
      <c r="P205" s="28">
        <v>100000</v>
      </c>
      <c r="Q205" s="17"/>
      <c r="R205" s="17"/>
      <c r="S205" s="12"/>
      <c r="T205" s="12" t="s">
        <v>39</v>
      </c>
      <c r="U205" s="49">
        <v>44754</v>
      </c>
      <c r="V205" s="19" t="e">
        <f>VLOOKUP(A205,'2023 Stats'!$B$2:$D$192,3,FALSE)</f>
        <v>#N/A</v>
      </c>
      <c r="W205" s="29" t="e">
        <v>#N/A</v>
      </c>
      <c r="X205" s="30"/>
      <c r="Y205" s="19">
        <v>45</v>
      </c>
      <c r="Z205" s="29">
        <v>4</v>
      </c>
      <c r="AA205" s="30"/>
      <c r="AB205" s="19">
        <v>192</v>
      </c>
      <c r="AC205" s="29">
        <v>16</v>
      </c>
      <c r="AD205" s="30"/>
      <c r="AE205" s="31" t="e">
        <v>#N/A</v>
      </c>
      <c r="AF205" s="30"/>
      <c r="AG205" s="25"/>
      <c r="AH205" s="25"/>
      <c r="AI205" s="25"/>
    </row>
    <row r="206" spans="1:35" ht="22.8" x14ac:dyDescent="0.3">
      <c r="A206" s="24">
        <v>50834</v>
      </c>
      <c r="B206" s="25" t="s">
        <v>288</v>
      </c>
      <c r="C206" s="26">
        <v>44972</v>
      </c>
      <c r="D206" s="26"/>
      <c r="E206" s="27" t="s">
        <v>43</v>
      </c>
      <c r="F206" s="16" t="s">
        <v>37</v>
      </c>
      <c r="G206" s="17" t="s">
        <v>38</v>
      </c>
      <c r="H206" s="40" t="s">
        <v>103</v>
      </c>
      <c r="I206" s="17"/>
      <c r="J206" s="17"/>
      <c r="K206" s="17"/>
      <c r="L206" s="17"/>
      <c r="M206" s="17">
        <v>10</v>
      </c>
      <c r="N206" s="28">
        <v>1</v>
      </c>
      <c r="O206" s="28">
        <v>50000</v>
      </c>
      <c r="P206" s="28">
        <v>100000</v>
      </c>
      <c r="Q206" s="17"/>
      <c r="R206" s="17"/>
      <c r="S206" s="12"/>
      <c r="T206" s="12" t="s">
        <v>39</v>
      </c>
      <c r="U206" s="17" t="s">
        <v>45</v>
      </c>
      <c r="V206" s="19">
        <f>VLOOKUP(A206,'2023 Stats'!$B$2:$D$192,3,FALSE)</f>
        <v>192</v>
      </c>
      <c r="W206" s="29">
        <v>48</v>
      </c>
      <c r="X206" s="30"/>
      <c r="Y206" s="19">
        <v>134</v>
      </c>
      <c r="Z206" s="29">
        <v>11</v>
      </c>
      <c r="AA206" s="30"/>
      <c r="AB206" s="19">
        <v>2047</v>
      </c>
      <c r="AC206" s="29">
        <v>171</v>
      </c>
      <c r="AD206" s="30"/>
      <c r="AE206" s="31">
        <v>77</v>
      </c>
      <c r="AF206" s="30"/>
      <c r="AG206" s="25"/>
      <c r="AH206" s="25"/>
      <c r="AI206" s="25"/>
    </row>
    <row r="207" spans="1:35" ht="22.8" x14ac:dyDescent="0.3">
      <c r="A207" s="24">
        <v>50836</v>
      </c>
      <c r="B207" s="25" t="s">
        <v>289</v>
      </c>
      <c r="C207" s="26">
        <v>42186</v>
      </c>
      <c r="D207" s="26"/>
      <c r="E207" s="27" t="s">
        <v>43</v>
      </c>
      <c r="F207" s="16" t="s">
        <v>37</v>
      </c>
      <c r="G207" s="17" t="s">
        <v>38</v>
      </c>
      <c r="H207" s="17" t="s">
        <v>94</v>
      </c>
      <c r="I207" s="17"/>
      <c r="J207" s="17"/>
      <c r="K207" s="17"/>
      <c r="L207" s="17"/>
      <c r="M207" s="17">
        <v>10</v>
      </c>
      <c r="N207" s="28">
        <v>1</v>
      </c>
      <c r="O207" s="28">
        <v>50000</v>
      </c>
      <c r="P207" s="28">
        <v>100000</v>
      </c>
      <c r="Q207" s="17"/>
      <c r="R207" s="17"/>
      <c r="S207" s="12"/>
      <c r="T207" s="12" t="s">
        <v>39</v>
      </c>
      <c r="U207" s="17" t="s">
        <v>45</v>
      </c>
      <c r="V207" s="19">
        <f>VLOOKUP(A207,'2023 Stats'!$B$2:$D$192,3,FALSE)</f>
        <v>124</v>
      </c>
      <c r="W207" s="29">
        <v>31</v>
      </c>
      <c r="X207" s="30"/>
      <c r="Y207" s="19">
        <v>145</v>
      </c>
      <c r="Z207" s="29">
        <v>12</v>
      </c>
      <c r="AA207" s="30"/>
      <c r="AB207" s="19">
        <v>99</v>
      </c>
      <c r="AC207" s="29">
        <v>8</v>
      </c>
      <c r="AD207" s="30"/>
      <c r="AE207" s="31">
        <v>17</v>
      </c>
      <c r="AF207" s="30"/>
      <c r="AG207" s="25"/>
      <c r="AH207" s="25"/>
      <c r="AI207" s="25"/>
    </row>
    <row r="208" spans="1:35" ht="22.8" hidden="1" x14ac:dyDescent="0.3">
      <c r="A208" s="12">
        <v>50838</v>
      </c>
      <c r="B208" s="13" t="s">
        <v>290</v>
      </c>
      <c r="C208" s="14">
        <v>42186</v>
      </c>
      <c r="D208" s="14"/>
      <c r="E208" s="15" t="s">
        <v>36</v>
      </c>
      <c r="F208" s="35" t="s">
        <v>37</v>
      </c>
      <c r="G208" s="12" t="s">
        <v>38</v>
      </c>
      <c r="H208" s="40" t="s">
        <v>77</v>
      </c>
      <c r="I208" s="17"/>
      <c r="J208" s="12"/>
      <c r="K208" s="12"/>
      <c r="L208" s="12"/>
      <c r="M208" s="17">
        <v>0</v>
      </c>
      <c r="N208" s="18">
        <v>0</v>
      </c>
      <c r="O208" s="18">
        <v>0</v>
      </c>
      <c r="P208" s="18">
        <v>100000</v>
      </c>
      <c r="Q208" s="13"/>
      <c r="R208" s="13"/>
      <c r="S208" s="12"/>
      <c r="T208" s="12" t="s">
        <v>39</v>
      </c>
      <c r="U208" s="12" t="e">
        <v>#N/A</v>
      </c>
      <c r="V208" s="19" t="e">
        <f>VLOOKUP(A208,'2023 Stats'!$B$2:$D$192,3,FALSE)</f>
        <v>#N/A</v>
      </c>
      <c r="W208" s="20" t="e">
        <v>#N/A</v>
      </c>
      <c r="X208" s="21"/>
      <c r="Y208" s="22" t="e">
        <v>#N/A</v>
      </c>
      <c r="Z208" s="20" t="e">
        <v>#N/A</v>
      </c>
      <c r="AA208" s="21"/>
      <c r="AB208" s="22" t="e">
        <v>#N/A</v>
      </c>
      <c r="AC208" s="20"/>
      <c r="AD208" s="21"/>
      <c r="AE208" s="23" t="e">
        <v>#N/A</v>
      </c>
      <c r="AF208" s="21"/>
      <c r="AG208" s="13"/>
      <c r="AH208" s="13"/>
      <c r="AI208" s="13"/>
    </row>
    <row r="209" spans="1:35" ht="22.8" hidden="1" x14ac:dyDescent="0.3">
      <c r="A209" s="12">
        <v>50839</v>
      </c>
      <c r="B209" s="13" t="s">
        <v>291</v>
      </c>
      <c r="C209" s="14">
        <v>42186</v>
      </c>
      <c r="D209" s="14">
        <v>44356</v>
      </c>
      <c r="E209" s="15" t="s">
        <v>36</v>
      </c>
      <c r="F209" s="16" t="s">
        <v>37</v>
      </c>
      <c r="G209" s="12" t="s">
        <v>38</v>
      </c>
      <c r="H209" s="12"/>
      <c r="I209" s="12"/>
      <c r="J209" s="12"/>
      <c r="K209" s="12"/>
      <c r="L209" s="12"/>
      <c r="M209" s="17">
        <v>0</v>
      </c>
      <c r="N209" s="18">
        <v>0</v>
      </c>
      <c r="O209" s="18">
        <v>0</v>
      </c>
      <c r="P209" s="18">
        <v>100000</v>
      </c>
      <c r="Q209" s="13"/>
      <c r="R209" s="13"/>
      <c r="S209" s="12"/>
      <c r="T209" s="12" t="s">
        <v>39</v>
      </c>
      <c r="U209" s="12" t="e">
        <v>#N/A</v>
      </c>
      <c r="V209" s="19" t="e">
        <f>VLOOKUP(A209,'2023 Stats'!$B$2:$D$192,3,FALSE)</f>
        <v>#N/A</v>
      </c>
      <c r="W209" s="20" t="e">
        <v>#N/A</v>
      </c>
      <c r="X209" s="21"/>
      <c r="Y209" s="22" t="e">
        <v>#N/A</v>
      </c>
      <c r="Z209" s="20" t="e">
        <v>#N/A</v>
      </c>
      <c r="AA209" s="21"/>
      <c r="AB209" s="22">
        <v>1</v>
      </c>
      <c r="AC209" s="20">
        <v>0</v>
      </c>
      <c r="AD209" s="21"/>
      <c r="AE209" s="23" t="e">
        <v>#N/A</v>
      </c>
      <c r="AF209" s="21"/>
      <c r="AG209" s="13"/>
      <c r="AH209" s="13"/>
      <c r="AI209" s="13"/>
    </row>
    <row r="210" spans="1:35" ht="22.8" x14ac:dyDescent="0.3">
      <c r="A210" s="24">
        <v>50841</v>
      </c>
      <c r="B210" s="25" t="s">
        <v>292</v>
      </c>
      <c r="C210" s="26">
        <v>42186</v>
      </c>
      <c r="D210" s="26"/>
      <c r="E210" s="27" t="s">
        <v>43</v>
      </c>
      <c r="F210" s="16" t="s">
        <v>37</v>
      </c>
      <c r="G210" s="17" t="s">
        <v>38</v>
      </c>
      <c r="H210" s="17" t="s">
        <v>64</v>
      </c>
      <c r="I210" s="17"/>
      <c r="J210" s="17"/>
      <c r="K210" s="17"/>
      <c r="L210" s="17"/>
      <c r="M210" s="17">
        <v>0</v>
      </c>
      <c r="N210" s="28">
        <v>1</v>
      </c>
      <c r="O210" s="28">
        <v>50000</v>
      </c>
      <c r="P210" s="28">
        <v>100000</v>
      </c>
      <c r="Q210" s="17"/>
      <c r="R210" s="17"/>
      <c r="S210" s="12"/>
      <c r="T210" s="12" t="s">
        <v>39</v>
      </c>
      <c r="U210" s="17" t="s">
        <v>45</v>
      </c>
      <c r="V210" s="19">
        <f>VLOOKUP(A210,'2023 Stats'!$B$2:$D$192,3,FALSE)</f>
        <v>1412</v>
      </c>
      <c r="W210" s="29">
        <v>353</v>
      </c>
      <c r="X210" s="30"/>
      <c r="Y210" s="19">
        <v>1008</v>
      </c>
      <c r="Z210" s="29">
        <v>84</v>
      </c>
      <c r="AA210" s="30"/>
      <c r="AB210" s="19">
        <v>123</v>
      </c>
      <c r="AC210" s="29">
        <v>10</v>
      </c>
      <c r="AD210" s="30"/>
      <c r="AE210" s="31">
        <v>149</v>
      </c>
      <c r="AF210" s="30"/>
      <c r="AG210" s="25"/>
      <c r="AH210" s="25"/>
      <c r="AI210" s="25"/>
    </row>
    <row r="211" spans="1:35" ht="22.8" x14ac:dyDescent="0.3">
      <c r="A211" s="24">
        <v>50842</v>
      </c>
      <c r="B211" s="25" t="s">
        <v>293</v>
      </c>
      <c r="C211" s="26">
        <v>42186</v>
      </c>
      <c r="D211" s="26"/>
      <c r="E211" s="27" t="s">
        <v>43</v>
      </c>
      <c r="F211" s="16" t="s">
        <v>37</v>
      </c>
      <c r="G211" s="17" t="s">
        <v>38</v>
      </c>
      <c r="H211" s="17" t="s">
        <v>64</v>
      </c>
      <c r="I211" s="17"/>
      <c r="J211" s="17"/>
      <c r="K211" s="17"/>
      <c r="L211" s="17"/>
      <c r="M211" s="17">
        <v>0</v>
      </c>
      <c r="N211" s="28">
        <v>1</v>
      </c>
      <c r="O211" s="28">
        <v>50000</v>
      </c>
      <c r="P211" s="28">
        <v>100000</v>
      </c>
      <c r="Q211" s="17"/>
      <c r="R211" s="17"/>
      <c r="S211" s="12"/>
      <c r="T211" s="12" t="s">
        <v>39</v>
      </c>
      <c r="U211" s="17" t="s">
        <v>45</v>
      </c>
      <c r="V211" s="19">
        <f>VLOOKUP(A211,'2023 Stats'!$B$2:$D$192,3,FALSE)</f>
        <v>68</v>
      </c>
      <c r="W211" s="29">
        <v>17</v>
      </c>
      <c r="X211" s="30"/>
      <c r="Y211" s="19">
        <v>40</v>
      </c>
      <c r="Z211" s="29">
        <v>3</v>
      </c>
      <c r="AA211" s="30"/>
      <c r="AB211" s="19">
        <v>5</v>
      </c>
      <c r="AC211" s="29">
        <v>0</v>
      </c>
      <c r="AD211" s="30"/>
      <c r="AE211" s="31">
        <v>7</v>
      </c>
      <c r="AF211" s="30"/>
      <c r="AG211" s="25"/>
      <c r="AH211" s="25"/>
      <c r="AI211" s="25"/>
    </row>
    <row r="212" spans="1:35" ht="22.8" hidden="1" x14ac:dyDescent="0.3">
      <c r="A212" s="17">
        <v>50843</v>
      </c>
      <c r="B212" s="25" t="s">
        <v>294</v>
      </c>
      <c r="C212" s="26">
        <v>42186</v>
      </c>
      <c r="D212" s="26"/>
      <c r="E212" s="27" t="s">
        <v>36</v>
      </c>
      <c r="F212" s="16" t="s">
        <v>37</v>
      </c>
      <c r="G212" s="17" t="s">
        <v>38</v>
      </c>
      <c r="H212" s="17" t="s">
        <v>101</v>
      </c>
      <c r="I212" s="17"/>
      <c r="J212" s="17"/>
      <c r="K212" s="17"/>
      <c r="L212" s="17"/>
      <c r="M212" s="17">
        <v>0</v>
      </c>
      <c r="N212" s="28">
        <v>1</v>
      </c>
      <c r="O212" s="28">
        <v>50000</v>
      </c>
      <c r="P212" s="28">
        <v>100000</v>
      </c>
      <c r="Q212" s="17"/>
      <c r="R212" s="17"/>
      <c r="S212" s="17"/>
      <c r="T212" s="17" t="s">
        <v>39</v>
      </c>
      <c r="U212" s="17" t="s">
        <v>295</v>
      </c>
      <c r="V212" s="19">
        <f>VLOOKUP(A212,'2023 Stats'!$B$2:$D$192,3,FALSE)</f>
        <v>2</v>
      </c>
      <c r="W212" s="29">
        <v>1</v>
      </c>
      <c r="X212" s="30"/>
      <c r="Y212" s="19">
        <v>2</v>
      </c>
      <c r="Z212" s="29">
        <v>0</v>
      </c>
      <c r="AA212" s="30"/>
      <c r="AB212" s="19">
        <v>6</v>
      </c>
      <c r="AC212" s="29">
        <v>1</v>
      </c>
      <c r="AD212" s="30"/>
      <c r="AE212" s="31">
        <v>0</v>
      </c>
      <c r="AF212" s="30"/>
      <c r="AG212" s="25"/>
      <c r="AH212" s="25"/>
      <c r="AI212" s="25"/>
    </row>
    <row r="213" spans="1:35" ht="22.8" hidden="1" x14ac:dyDescent="0.3">
      <c r="A213" s="12">
        <v>50846</v>
      </c>
      <c r="B213" s="13" t="s">
        <v>296</v>
      </c>
      <c r="C213" s="14">
        <v>42186</v>
      </c>
      <c r="D213" s="14">
        <v>44774</v>
      </c>
      <c r="E213" s="15" t="s">
        <v>36</v>
      </c>
      <c r="F213" s="16" t="s">
        <v>37</v>
      </c>
      <c r="G213" s="12" t="s">
        <v>38</v>
      </c>
      <c r="H213" s="12"/>
      <c r="I213" s="12"/>
      <c r="J213" s="12"/>
      <c r="K213" s="12"/>
      <c r="L213" s="12"/>
      <c r="M213" s="17">
        <v>0</v>
      </c>
      <c r="N213" s="18">
        <v>0</v>
      </c>
      <c r="O213" s="18">
        <v>50000</v>
      </c>
      <c r="P213" s="18">
        <v>100000</v>
      </c>
      <c r="Q213" s="13"/>
      <c r="R213" s="13"/>
      <c r="S213" s="12"/>
      <c r="T213" s="12" t="s">
        <v>39</v>
      </c>
      <c r="U213" s="12" t="e">
        <v>#N/A</v>
      </c>
      <c r="V213" s="19" t="e">
        <f>VLOOKUP(A213,'2023 Stats'!$B$2:$D$192,3,FALSE)</f>
        <v>#N/A</v>
      </c>
      <c r="W213" s="20" t="e">
        <v>#N/A</v>
      </c>
      <c r="X213" s="21"/>
      <c r="Y213" s="22" t="e">
        <v>#N/A</v>
      </c>
      <c r="Z213" s="20" t="e">
        <v>#N/A</v>
      </c>
      <c r="AA213" s="21"/>
      <c r="AB213" s="22" t="e">
        <v>#N/A</v>
      </c>
      <c r="AC213" s="20"/>
      <c r="AD213" s="21"/>
      <c r="AE213" s="23" t="e">
        <v>#N/A</v>
      </c>
      <c r="AF213" s="21"/>
      <c r="AG213" s="13"/>
      <c r="AH213" s="13"/>
      <c r="AI213" s="13"/>
    </row>
    <row r="214" spans="1:35" ht="22.8" hidden="1" x14ac:dyDescent="0.3">
      <c r="A214" s="17">
        <v>50848</v>
      </c>
      <c r="B214" s="25" t="s">
        <v>297</v>
      </c>
      <c r="C214" s="26">
        <v>42186</v>
      </c>
      <c r="D214" s="26"/>
      <c r="E214" s="27" t="s">
        <v>36</v>
      </c>
      <c r="F214" s="16" t="s">
        <v>37</v>
      </c>
      <c r="G214" s="17" t="s">
        <v>38</v>
      </c>
      <c r="H214" s="17" t="s">
        <v>101</v>
      </c>
      <c r="I214" s="17"/>
      <c r="J214" s="17"/>
      <c r="K214" s="17"/>
      <c r="L214" s="17"/>
      <c r="M214" s="17">
        <v>0</v>
      </c>
      <c r="N214" s="28">
        <v>0</v>
      </c>
      <c r="O214" s="28">
        <v>50000</v>
      </c>
      <c r="P214" s="28">
        <v>100000</v>
      </c>
      <c r="Q214" s="17"/>
      <c r="R214" s="17"/>
      <c r="S214" s="17"/>
      <c r="T214" s="17" t="s">
        <v>39</v>
      </c>
      <c r="U214" s="17" t="s">
        <v>45</v>
      </c>
      <c r="V214" s="19">
        <f>VLOOKUP(A214,'2023 Stats'!$B$2:$D$192,3,FALSE)</f>
        <v>42</v>
      </c>
      <c r="W214" s="29">
        <v>11</v>
      </c>
      <c r="X214" s="30"/>
      <c r="Y214" s="19">
        <v>53</v>
      </c>
      <c r="Z214" s="29">
        <v>4</v>
      </c>
      <c r="AA214" s="30"/>
      <c r="AB214" s="19">
        <v>101</v>
      </c>
      <c r="AC214" s="29">
        <v>8</v>
      </c>
      <c r="AD214" s="30"/>
      <c r="AE214" s="31">
        <v>8</v>
      </c>
      <c r="AF214" s="30"/>
      <c r="AG214" s="25"/>
      <c r="AH214" s="25"/>
      <c r="AI214" s="25"/>
    </row>
    <row r="215" spans="1:35" ht="22.8" x14ac:dyDescent="0.3">
      <c r="A215" s="24">
        <v>50849</v>
      </c>
      <c r="B215" s="25" t="s">
        <v>298</v>
      </c>
      <c r="C215" s="26">
        <v>42186</v>
      </c>
      <c r="D215" s="26"/>
      <c r="E215" s="27" t="s">
        <v>43</v>
      </c>
      <c r="F215" s="16" t="s">
        <v>37</v>
      </c>
      <c r="G215" s="17" t="s">
        <v>38</v>
      </c>
      <c r="H215" s="40" t="s">
        <v>103</v>
      </c>
      <c r="I215" s="17"/>
      <c r="J215" s="17"/>
      <c r="K215" s="17"/>
      <c r="L215" s="17"/>
      <c r="M215" s="17">
        <v>10</v>
      </c>
      <c r="N215" s="28">
        <v>1</v>
      </c>
      <c r="O215" s="28">
        <v>50000</v>
      </c>
      <c r="P215" s="28">
        <v>100000</v>
      </c>
      <c r="Q215" s="17"/>
      <c r="R215" s="17"/>
      <c r="S215" s="12"/>
      <c r="T215" s="12" t="s">
        <v>39</v>
      </c>
      <c r="U215" s="17" t="s">
        <v>299</v>
      </c>
      <c r="V215" s="19" t="e">
        <f>VLOOKUP(A215,'2023 Stats'!$B$2:$D$192,3,FALSE)</f>
        <v>#N/A</v>
      </c>
      <c r="W215" s="29" t="e">
        <v>#N/A</v>
      </c>
      <c r="X215" s="30"/>
      <c r="Y215" s="19">
        <v>3</v>
      </c>
      <c r="Z215" s="29">
        <v>0</v>
      </c>
      <c r="AA215" s="30"/>
      <c r="AB215" s="19">
        <v>2</v>
      </c>
      <c r="AC215" s="29">
        <v>0</v>
      </c>
      <c r="AD215" s="30"/>
      <c r="AE215" s="31" t="e">
        <v>#N/A</v>
      </c>
      <c r="AF215" s="30"/>
      <c r="AG215" s="25"/>
      <c r="AH215" s="25"/>
      <c r="AI215" s="25"/>
    </row>
    <row r="216" spans="1:35" ht="22.8" x14ac:dyDescent="0.3">
      <c r="A216" s="24">
        <v>50851</v>
      </c>
      <c r="B216" s="25" t="s">
        <v>300</v>
      </c>
      <c r="C216" s="26">
        <v>42186</v>
      </c>
      <c r="D216" s="26"/>
      <c r="E216" s="27" t="s">
        <v>43</v>
      </c>
      <c r="F216" s="36" t="s">
        <v>58</v>
      </c>
      <c r="G216" s="17" t="s">
        <v>38</v>
      </c>
      <c r="H216" s="17" t="s">
        <v>64</v>
      </c>
      <c r="I216" s="17"/>
      <c r="J216" s="17"/>
      <c r="K216" s="17"/>
      <c r="L216" s="17"/>
      <c r="M216" s="17">
        <v>0</v>
      </c>
      <c r="N216" s="28">
        <v>1</v>
      </c>
      <c r="O216" s="28">
        <v>50000</v>
      </c>
      <c r="P216" s="28">
        <v>100000</v>
      </c>
      <c r="Q216" s="17"/>
      <c r="R216" s="17"/>
      <c r="S216" s="12"/>
      <c r="T216" s="12" t="s">
        <v>39</v>
      </c>
      <c r="U216" s="17" t="s">
        <v>45</v>
      </c>
      <c r="V216" s="19">
        <f>VLOOKUP(A216,'2023 Stats'!$B$2:$D$192,3,FALSE)</f>
        <v>473</v>
      </c>
      <c r="W216" s="29">
        <v>118</v>
      </c>
      <c r="X216" s="30"/>
      <c r="Y216" s="19">
        <v>313</v>
      </c>
      <c r="Z216" s="29">
        <v>26</v>
      </c>
      <c r="AA216" s="30"/>
      <c r="AB216" s="19">
        <v>225</v>
      </c>
      <c r="AC216" s="29">
        <v>19</v>
      </c>
      <c r="AD216" s="30"/>
      <c r="AE216" s="31">
        <v>54</v>
      </c>
      <c r="AF216" s="30"/>
      <c r="AG216" s="25"/>
      <c r="AH216" s="25"/>
      <c r="AI216" s="25"/>
    </row>
    <row r="217" spans="1:35" ht="22.8" x14ac:dyDescent="0.3">
      <c r="A217" s="24">
        <v>50855</v>
      </c>
      <c r="B217" s="25" t="s">
        <v>301</v>
      </c>
      <c r="C217" s="26">
        <v>42186</v>
      </c>
      <c r="D217" s="26"/>
      <c r="E217" s="27" t="s">
        <v>43</v>
      </c>
      <c r="F217" s="36" t="s">
        <v>58</v>
      </c>
      <c r="G217" s="17" t="s">
        <v>38</v>
      </c>
      <c r="H217" s="17" t="s">
        <v>302</v>
      </c>
      <c r="I217" s="40" t="s">
        <v>303</v>
      </c>
      <c r="J217" s="40" t="s">
        <v>79</v>
      </c>
      <c r="K217" s="40"/>
      <c r="L217" s="17"/>
      <c r="M217" s="17">
        <v>0</v>
      </c>
      <c r="N217" s="28">
        <v>1</v>
      </c>
      <c r="O217" s="28">
        <v>50000</v>
      </c>
      <c r="P217" s="28">
        <v>100000</v>
      </c>
      <c r="Q217" s="17"/>
      <c r="R217" s="17"/>
      <c r="S217" s="12"/>
      <c r="T217" s="12" t="s">
        <v>39</v>
      </c>
      <c r="U217" s="17" t="s">
        <v>45</v>
      </c>
      <c r="V217" s="19">
        <f>VLOOKUP(A217,'2023 Stats'!$B$2:$D$192,3,FALSE)</f>
        <v>2919</v>
      </c>
      <c r="W217" s="29">
        <v>730</v>
      </c>
      <c r="X217" s="30"/>
      <c r="Y217" s="19">
        <v>8054</v>
      </c>
      <c r="Z217" s="29">
        <v>671</v>
      </c>
      <c r="AA217" s="30"/>
      <c r="AB217" s="19">
        <v>63</v>
      </c>
      <c r="AC217" s="29">
        <v>5</v>
      </c>
      <c r="AD217" s="30"/>
      <c r="AE217" s="31">
        <v>469</v>
      </c>
      <c r="AF217" s="30"/>
      <c r="AG217" s="25"/>
      <c r="AH217" s="25"/>
      <c r="AI217" s="25"/>
    </row>
    <row r="218" spans="1:35" ht="22.8" x14ac:dyDescent="0.3">
      <c r="A218" s="24">
        <v>50856</v>
      </c>
      <c r="B218" s="25" t="s">
        <v>304</v>
      </c>
      <c r="C218" s="26">
        <v>42186</v>
      </c>
      <c r="D218" s="26"/>
      <c r="E218" s="27" t="s">
        <v>43</v>
      </c>
      <c r="F218" s="16" t="s">
        <v>37</v>
      </c>
      <c r="G218" s="17" t="s">
        <v>38</v>
      </c>
      <c r="H218" s="17" t="s">
        <v>94</v>
      </c>
      <c r="I218" s="17"/>
      <c r="J218" s="17"/>
      <c r="K218" s="17"/>
      <c r="L218" s="17"/>
      <c r="M218" s="17">
        <v>10</v>
      </c>
      <c r="N218" s="28">
        <v>1</v>
      </c>
      <c r="O218" s="28">
        <v>50000</v>
      </c>
      <c r="P218" s="28">
        <v>100000</v>
      </c>
      <c r="Q218" s="17"/>
      <c r="R218" s="17"/>
      <c r="S218" s="12"/>
      <c r="T218" s="12" t="s">
        <v>39</v>
      </c>
      <c r="U218" s="17" t="s">
        <v>45</v>
      </c>
      <c r="V218" s="19">
        <f>VLOOKUP(A218,'2023 Stats'!$B$2:$D$192,3,FALSE)</f>
        <v>1441</v>
      </c>
      <c r="W218" s="29">
        <v>360</v>
      </c>
      <c r="X218" s="30"/>
      <c r="Y218" s="19">
        <v>1800</v>
      </c>
      <c r="Z218" s="29">
        <v>150</v>
      </c>
      <c r="AA218" s="30"/>
      <c r="AB218" s="19">
        <v>2370</v>
      </c>
      <c r="AC218" s="29">
        <v>198</v>
      </c>
      <c r="AD218" s="30"/>
      <c r="AE218" s="31">
        <v>236</v>
      </c>
      <c r="AF218" s="30"/>
      <c r="AG218" s="25"/>
      <c r="AH218" s="25"/>
      <c r="AI218" s="25"/>
    </row>
    <row r="219" spans="1:35" ht="22.8" hidden="1" x14ac:dyDescent="0.3">
      <c r="A219" s="12">
        <v>50857</v>
      </c>
      <c r="B219" s="13" t="s">
        <v>305</v>
      </c>
      <c r="C219" s="14">
        <v>42186</v>
      </c>
      <c r="D219" s="14">
        <v>44377</v>
      </c>
      <c r="E219" s="15" t="s">
        <v>36</v>
      </c>
      <c r="F219" s="16" t="s">
        <v>37</v>
      </c>
      <c r="G219" s="12" t="s">
        <v>38</v>
      </c>
      <c r="H219" s="12"/>
      <c r="I219" s="12"/>
      <c r="J219" s="12"/>
      <c r="K219" s="12"/>
      <c r="L219" s="12"/>
      <c r="M219" s="17">
        <v>0</v>
      </c>
      <c r="N219" s="18">
        <v>1</v>
      </c>
      <c r="O219" s="18">
        <v>100060</v>
      </c>
      <c r="P219" s="18">
        <v>100000</v>
      </c>
      <c r="Q219" s="13"/>
      <c r="R219" s="13"/>
      <c r="S219" s="12"/>
      <c r="T219" s="12" t="s">
        <v>39</v>
      </c>
      <c r="U219" s="12" t="e">
        <v>#N/A</v>
      </c>
      <c r="V219" s="19" t="e">
        <f>VLOOKUP(A219,'2023 Stats'!$B$2:$D$192,3,FALSE)</f>
        <v>#N/A</v>
      </c>
      <c r="W219" s="20" t="e">
        <v>#N/A</v>
      </c>
      <c r="X219" s="21"/>
      <c r="Y219" s="22" t="e">
        <v>#N/A</v>
      </c>
      <c r="Z219" s="20" t="e">
        <v>#N/A</v>
      </c>
      <c r="AA219" s="21"/>
      <c r="AB219" s="22">
        <v>307</v>
      </c>
      <c r="AC219" s="20">
        <v>26</v>
      </c>
      <c r="AD219" s="21"/>
      <c r="AE219" s="23" t="e">
        <v>#N/A</v>
      </c>
      <c r="AF219" s="21"/>
      <c r="AG219" s="13"/>
      <c r="AH219" s="13"/>
      <c r="AI219" s="13"/>
    </row>
    <row r="220" spans="1:35" ht="22.8" hidden="1" x14ac:dyDescent="0.3">
      <c r="A220" s="12">
        <v>50859</v>
      </c>
      <c r="B220" s="13" t="s">
        <v>306</v>
      </c>
      <c r="C220" s="14">
        <v>42186</v>
      </c>
      <c r="D220" s="14"/>
      <c r="E220" s="15" t="s">
        <v>36</v>
      </c>
      <c r="F220" s="35" t="s">
        <v>37</v>
      </c>
      <c r="G220" s="12" t="s">
        <v>38</v>
      </c>
      <c r="H220" s="17" t="s">
        <v>94</v>
      </c>
      <c r="I220" s="17"/>
      <c r="J220" s="12"/>
      <c r="K220" s="12"/>
      <c r="L220" s="12"/>
      <c r="M220" s="17">
        <v>0</v>
      </c>
      <c r="N220" s="18">
        <v>0</v>
      </c>
      <c r="O220" s="18">
        <v>50000</v>
      </c>
      <c r="P220" s="18">
        <v>100000</v>
      </c>
      <c r="Q220" s="13"/>
      <c r="R220" s="13"/>
      <c r="S220" s="12"/>
      <c r="T220" s="12" t="s">
        <v>39</v>
      </c>
      <c r="U220" s="12" t="e">
        <v>#N/A</v>
      </c>
      <c r="V220" s="19" t="e">
        <f>VLOOKUP(A220,'2023 Stats'!$B$2:$D$192,3,FALSE)</f>
        <v>#N/A</v>
      </c>
      <c r="W220" s="20" t="e">
        <v>#N/A</v>
      </c>
      <c r="X220" s="21"/>
      <c r="Y220" s="22" t="e">
        <v>#N/A</v>
      </c>
      <c r="Z220" s="20" t="e">
        <v>#N/A</v>
      </c>
      <c r="AA220" s="21"/>
      <c r="AB220" s="22" t="e">
        <v>#N/A</v>
      </c>
      <c r="AC220" s="20"/>
      <c r="AD220" s="21"/>
      <c r="AE220" s="23" t="e">
        <v>#N/A</v>
      </c>
      <c r="AF220" s="21"/>
      <c r="AG220" s="13"/>
      <c r="AH220" s="13"/>
      <c r="AI220" s="13"/>
    </row>
    <row r="221" spans="1:35" ht="22.8" hidden="1" x14ac:dyDescent="0.3">
      <c r="A221" s="12">
        <v>50863</v>
      </c>
      <c r="B221" s="51" t="s">
        <v>307</v>
      </c>
      <c r="C221" s="14">
        <v>42186</v>
      </c>
      <c r="D221" s="14"/>
      <c r="E221" s="15" t="s">
        <v>36</v>
      </c>
      <c r="F221" s="35" t="s">
        <v>37</v>
      </c>
      <c r="G221" s="12" t="s">
        <v>38</v>
      </c>
      <c r="H221" s="17" t="s">
        <v>64</v>
      </c>
      <c r="I221" s="17"/>
      <c r="J221" s="12"/>
      <c r="K221" s="12"/>
      <c r="L221" s="12"/>
      <c r="M221" s="17">
        <v>0</v>
      </c>
      <c r="N221" s="18">
        <v>0</v>
      </c>
      <c r="O221" s="18">
        <v>50000</v>
      </c>
      <c r="P221" s="18">
        <v>100000</v>
      </c>
      <c r="Q221" s="12"/>
      <c r="R221" s="12"/>
      <c r="S221" s="12"/>
      <c r="T221" s="12" t="s">
        <v>39</v>
      </c>
      <c r="U221" s="12" t="e">
        <v>#N/A</v>
      </c>
      <c r="V221" s="19" t="e">
        <f>VLOOKUP(A221,'2023 Stats'!$B$2:$D$192,3,FALSE)</f>
        <v>#N/A</v>
      </c>
      <c r="W221" s="20" t="e">
        <v>#N/A</v>
      </c>
      <c r="X221" s="21"/>
      <c r="Y221" s="22" t="e">
        <v>#N/A</v>
      </c>
      <c r="Z221" s="20" t="e">
        <v>#N/A</v>
      </c>
      <c r="AA221" s="21"/>
      <c r="AB221" s="22" t="e">
        <v>#N/A</v>
      </c>
      <c r="AC221" s="20"/>
      <c r="AD221" s="21"/>
      <c r="AE221" s="23" t="e">
        <v>#N/A</v>
      </c>
      <c r="AF221" s="21"/>
      <c r="AG221" s="12"/>
      <c r="AH221" s="12"/>
      <c r="AI221" s="12"/>
    </row>
    <row r="222" spans="1:35" ht="22.8" hidden="1" x14ac:dyDescent="0.3">
      <c r="A222" s="12">
        <v>50867</v>
      </c>
      <c r="B222" s="13" t="s">
        <v>308</v>
      </c>
      <c r="C222" s="14">
        <v>42186</v>
      </c>
      <c r="D222" s="14">
        <v>44269</v>
      </c>
      <c r="E222" s="15" t="s">
        <v>36</v>
      </c>
      <c r="F222" s="16" t="s">
        <v>37</v>
      </c>
      <c r="G222" s="12" t="s">
        <v>38</v>
      </c>
      <c r="H222" s="12"/>
      <c r="I222" s="12"/>
      <c r="J222" s="12"/>
      <c r="K222" s="12"/>
      <c r="L222" s="12"/>
      <c r="M222" s="17">
        <v>0</v>
      </c>
      <c r="N222" s="18">
        <v>1</v>
      </c>
      <c r="O222" s="18">
        <v>50000</v>
      </c>
      <c r="P222" s="18">
        <v>100000</v>
      </c>
      <c r="Q222" s="13"/>
      <c r="R222" s="13"/>
      <c r="S222" s="12"/>
      <c r="T222" s="12" t="s">
        <v>39</v>
      </c>
      <c r="U222" s="12" t="e">
        <v>#N/A</v>
      </c>
      <c r="V222" s="19" t="e">
        <f>VLOOKUP(A222,'2023 Stats'!$B$2:$D$192,3,FALSE)</f>
        <v>#N/A</v>
      </c>
      <c r="W222" s="20" t="e">
        <v>#N/A</v>
      </c>
      <c r="X222" s="21"/>
      <c r="Y222" s="22" t="e">
        <v>#N/A</v>
      </c>
      <c r="Z222" s="20" t="e">
        <v>#N/A</v>
      </c>
      <c r="AA222" s="21"/>
      <c r="AB222" s="22">
        <v>2</v>
      </c>
      <c r="AC222" s="20">
        <v>0</v>
      </c>
      <c r="AD222" s="21"/>
      <c r="AE222" s="23" t="e">
        <v>#N/A</v>
      </c>
      <c r="AF222" s="21"/>
      <c r="AG222" s="13"/>
      <c r="AH222" s="13"/>
      <c r="AI222" s="13"/>
    </row>
    <row r="223" spans="1:35" ht="22.8" hidden="1" x14ac:dyDescent="0.3">
      <c r="A223" s="12">
        <v>50872</v>
      </c>
      <c r="B223" s="13" t="s">
        <v>309</v>
      </c>
      <c r="C223" s="14">
        <v>42186</v>
      </c>
      <c r="D223" s="14">
        <v>45016</v>
      </c>
      <c r="E223" s="15" t="s">
        <v>36</v>
      </c>
      <c r="F223" s="16" t="s">
        <v>37</v>
      </c>
      <c r="G223" s="12" t="s">
        <v>38</v>
      </c>
      <c r="H223" s="12"/>
      <c r="I223" s="12"/>
      <c r="J223" s="12"/>
      <c r="K223" s="12"/>
      <c r="L223" s="12"/>
      <c r="M223" s="17">
        <v>0</v>
      </c>
      <c r="N223" s="18">
        <v>1</v>
      </c>
      <c r="O223" s="18">
        <v>50000</v>
      </c>
      <c r="P223" s="18">
        <v>100000</v>
      </c>
      <c r="Q223" s="13"/>
      <c r="R223" s="13"/>
      <c r="S223" s="12"/>
      <c r="T223" s="12" t="s">
        <v>39</v>
      </c>
      <c r="U223" s="12">
        <v>45016</v>
      </c>
      <c r="V223" s="19">
        <f>VLOOKUP(A223,'2023 Stats'!$B$2:$D$192,3,FALSE)</f>
        <v>24</v>
      </c>
      <c r="W223" s="20">
        <v>6</v>
      </c>
      <c r="X223" s="21"/>
      <c r="Y223" s="22">
        <v>256</v>
      </c>
      <c r="Z223" s="20">
        <v>21</v>
      </c>
      <c r="AA223" s="21"/>
      <c r="AB223" s="22">
        <v>935</v>
      </c>
      <c r="AC223" s="20">
        <v>78</v>
      </c>
      <c r="AD223" s="21"/>
      <c r="AE223" s="23">
        <v>35</v>
      </c>
      <c r="AF223" s="21"/>
      <c r="AG223" s="13"/>
      <c r="AH223" s="13"/>
      <c r="AI223" s="13"/>
    </row>
    <row r="224" spans="1:35" ht="22.8" hidden="1" x14ac:dyDescent="0.3">
      <c r="A224" s="12">
        <v>50874</v>
      </c>
      <c r="B224" s="13" t="s">
        <v>310</v>
      </c>
      <c r="C224" s="14">
        <v>42186</v>
      </c>
      <c r="D224" s="14">
        <v>42675</v>
      </c>
      <c r="E224" s="15" t="s">
        <v>36</v>
      </c>
      <c r="F224" s="16" t="s">
        <v>37</v>
      </c>
      <c r="G224" s="12" t="s">
        <v>38</v>
      </c>
      <c r="H224" s="12"/>
      <c r="I224" s="12"/>
      <c r="J224" s="12"/>
      <c r="K224" s="12"/>
      <c r="L224" s="12"/>
      <c r="M224" s="17">
        <v>0</v>
      </c>
      <c r="N224" s="18">
        <v>1</v>
      </c>
      <c r="O224" s="18">
        <v>50000</v>
      </c>
      <c r="P224" s="18">
        <v>100000</v>
      </c>
      <c r="Q224" s="13"/>
      <c r="R224" s="13"/>
      <c r="S224" s="12"/>
      <c r="T224" s="12" t="s">
        <v>39</v>
      </c>
      <c r="U224" s="12" t="e">
        <v>#N/A</v>
      </c>
      <c r="V224" s="19" t="e">
        <f>VLOOKUP(A224,'2023 Stats'!$B$2:$D$192,3,FALSE)</f>
        <v>#N/A</v>
      </c>
      <c r="W224" s="20" t="e">
        <v>#N/A</v>
      </c>
      <c r="X224" s="21"/>
      <c r="Y224" s="22" t="e">
        <v>#N/A</v>
      </c>
      <c r="Z224" s="20" t="e">
        <v>#N/A</v>
      </c>
      <c r="AA224" s="21"/>
      <c r="AB224" s="22" t="e">
        <v>#N/A</v>
      </c>
      <c r="AC224" s="20"/>
      <c r="AD224" s="21"/>
      <c r="AE224" s="23" t="e">
        <v>#N/A</v>
      </c>
      <c r="AF224" s="21"/>
      <c r="AG224" s="13"/>
      <c r="AH224" s="13"/>
      <c r="AI224" s="13"/>
    </row>
    <row r="225" spans="1:35" ht="22.8" hidden="1" x14ac:dyDescent="0.3">
      <c r="A225" s="12">
        <v>50882</v>
      </c>
      <c r="B225" s="13" t="s">
        <v>311</v>
      </c>
      <c r="C225" s="14">
        <v>42186</v>
      </c>
      <c r="D225" s="14"/>
      <c r="E225" s="15" t="s">
        <v>36</v>
      </c>
      <c r="F225" s="35" t="s">
        <v>37</v>
      </c>
      <c r="G225" s="12" t="s">
        <v>38</v>
      </c>
      <c r="H225" s="17" t="s">
        <v>64</v>
      </c>
      <c r="I225" s="17"/>
      <c r="J225" s="12"/>
      <c r="K225" s="12"/>
      <c r="L225" s="12"/>
      <c r="M225" s="17">
        <v>0</v>
      </c>
      <c r="N225" s="18">
        <v>0</v>
      </c>
      <c r="O225" s="18">
        <v>0</v>
      </c>
      <c r="P225" s="18">
        <v>100000</v>
      </c>
      <c r="Q225" s="13"/>
      <c r="R225" s="13"/>
      <c r="S225" s="12"/>
      <c r="T225" s="12" t="s">
        <v>39</v>
      </c>
      <c r="U225" s="12" t="e">
        <v>#N/A</v>
      </c>
      <c r="V225" s="19" t="e">
        <f>VLOOKUP(A225,'2023 Stats'!$B$2:$D$192,3,FALSE)</f>
        <v>#N/A</v>
      </c>
      <c r="W225" s="20" t="e">
        <v>#N/A</v>
      </c>
      <c r="X225" s="21"/>
      <c r="Y225" s="22" t="e">
        <v>#N/A</v>
      </c>
      <c r="Z225" s="20" t="e">
        <v>#N/A</v>
      </c>
      <c r="AA225" s="21"/>
      <c r="AB225" s="22" t="e">
        <v>#N/A</v>
      </c>
      <c r="AC225" s="20"/>
      <c r="AD225" s="21"/>
      <c r="AE225" s="23" t="e">
        <v>#N/A</v>
      </c>
      <c r="AF225" s="21"/>
      <c r="AG225" s="13"/>
      <c r="AH225" s="13"/>
      <c r="AI225" s="13"/>
    </row>
    <row r="226" spans="1:35" ht="22.8" hidden="1" x14ac:dyDescent="0.3">
      <c r="A226" s="12">
        <v>50883</v>
      </c>
      <c r="B226" s="13" t="s">
        <v>312</v>
      </c>
      <c r="C226" s="14">
        <v>42186</v>
      </c>
      <c r="D226" s="14"/>
      <c r="E226" s="15" t="s">
        <v>36</v>
      </c>
      <c r="F226" s="35" t="s">
        <v>37</v>
      </c>
      <c r="G226" s="12" t="s">
        <v>38</v>
      </c>
      <c r="H226" s="17" t="s">
        <v>123</v>
      </c>
      <c r="I226" s="17"/>
      <c r="J226" s="12"/>
      <c r="K226" s="12"/>
      <c r="L226" s="12"/>
      <c r="M226" s="17">
        <v>0</v>
      </c>
      <c r="N226" s="18">
        <v>1</v>
      </c>
      <c r="O226" s="18">
        <v>0</v>
      </c>
      <c r="P226" s="18">
        <v>100000</v>
      </c>
      <c r="Q226" s="13"/>
      <c r="R226" s="13"/>
      <c r="S226" s="12"/>
      <c r="T226" s="12" t="s">
        <v>39</v>
      </c>
      <c r="U226" s="12" t="e">
        <v>#N/A</v>
      </c>
      <c r="V226" s="19" t="e">
        <f>VLOOKUP(A226,'2023 Stats'!$B$2:$D$192,3,FALSE)</f>
        <v>#N/A</v>
      </c>
      <c r="W226" s="20" t="e">
        <v>#N/A</v>
      </c>
      <c r="X226" s="21"/>
      <c r="Y226" s="22" t="e">
        <v>#N/A</v>
      </c>
      <c r="Z226" s="20" t="e">
        <v>#N/A</v>
      </c>
      <c r="AA226" s="21"/>
      <c r="AB226" s="22" t="e">
        <v>#N/A</v>
      </c>
      <c r="AC226" s="20"/>
      <c r="AD226" s="21"/>
      <c r="AE226" s="23" t="e">
        <v>#N/A</v>
      </c>
      <c r="AF226" s="21"/>
      <c r="AG226" s="13"/>
      <c r="AH226" s="13"/>
      <c r="AI226" s="13"/>
    </row>
    <row r="227" spans="1:35" ht="22.8" hidden="1" x14ac:dyDescent="0.3">
      <c r="A227" s="17">
        <v>50886</v>
      </c>
      <c r="B227" s="25" t="s">
        <v>313</v>
      </c>
      <c r="C227" s="26">
        <v>42186</v>
      </c>
      <c r="D227" s="26"/>
      <c r="E227" s="27" t="s">
        <v>36</v>
      </c>
      <c r="F227" s="16" t="s">
        <v>37</v>
      </c>
      <c r="G227" s="17" t="s">
        <v>38</v>
      </c>
      <c r="H227" s="17" t="s">
        <v>94</v>
      </c>
      <c r="I227" s="17"/>
      <c r="J227" s="17"/>
      <c r="K227" s="17"/>
      <c r="L227" s="17"/>
      <c r="M227" s="17">
        <v>15</v>
      </c>
      <c r="N227" s="28">
        <v>1</v>
      </c>
      <c r="O227" s="28">
        <v>50000</v>
      </c>
      <c r="P227" s="28">
        <v>100000</v>
      </c>
      <c r="Q227" s="17"/>
      <c r="R227" s="17"/>
      <c r="S227" s="17"/>
      <c r="T227" s="17" t="s">
        <v>39</v>
      </c>
      <c r="U227" s="17" t="s">
        <v>45</v>
      </c>
      <c r="V227" s="19">
        <f>VLOOKUP(A227,'2023 Stats'!$B$2:$D$192,3,FALSE)</f>
        <v>76</v>
      </c>
      <c r="W227" s="29">
        <v>19</v>
      </c>
      <c r="X227" s="30"/>
      <c r="Y227" s="19">
        <v>128</v>
      </c>
      <c r="Z227" s="29">
        <v>11</v>
      </c>
      <c r="AA227" s="30"/>
      <c r="AB227" s="19">
        <v>241</v>
      </c>
      <c r="AC227" s="29">
        <v>20</v>
      </c>
      <c r="AD227" s="30"/>
      <c r="AE227" s="31">
        <v>17</v>
      </c>
      <c r="AF227" s="30"/>
      <c r="AG227" s="25"/>
      <c r="AH227" s="25"/>
      <c r="AI227" s="25"/>
    </row>
    <row r="228" spans="1:35" ht="22.8" x14ac:dyDescent="0.3">
      <c r="A228" s="24">
        <v>50888</v>
      </c>
      <c r="B228" s="25" t="s">
        <v>314</v>
      </c>
      <c r="C228" s="26">
        <v>42186</v>
      </c>
      <c r="D228" s="26"/>
      <c r="E228" s="27" t="s">
        <v>43</v>
      </c>
      <c r="F228" s="16" t="s">
        <v>37</v>
      </c>
      <c r="G228" s="17" t="s">
        <v>38</v>
      </c>
      <c r="H228" s="17" t="s">
        <v>64</v>
      </c>
      <c r="I228" s="40" t="s">
        <v>120</v>
      </c>
      <c r="J228" s="40" t="s">
        <v>79</v>
      </c>
      <c r="K228" s="40">
        <v>6</v>
      </c>
      <c r="L228" s="17"/>
      <c r="M228" s="17">
        <v>0</v>
      </c>
      <c r="N228" s="28">
        <v>1</v>
      </c>
      <c r="O228" s="28">
        <v>50000</v>
      </c>
      <c r="P228" s="28">
        <v>100000</v>
      </c>
      <c r="Q228" s="17"/>
      <c r="R228" s="17"/>
      <c r="S228" s="12"/>
      <c r="T228" s="12" t="s">
        <v>39</v>
      </c>
      <c r="U228" s="17" t="s">
        <v>45</v>
      </c>
      <c r="V228" s="19">
        <f>VLOOKUP(A228,'2023 Stats'!$B$2:$D$192,3,FALSE)</f>
        <v>23917</v>
      </c>
      <c r="W228" s="29">
        <v>5979</v>
      </c>
      <c r="X228" s="30"/>
      <c r="Y228" s="19">
        <v>28165</v>
      </c>
      <c r="Z228" s="29">
        <v>2347</v>
      </c>
      <c r="AA228" s="30"/>
      <c r="AB228" s="19">
        <v>35558</v>
      </c>
      <c r="AC228" s="29">
        <v>2963</v>
      </c>
      <c r="AD228" s="30"/>
      <c r="AE228" s="31">
        <v>3763</v>
      </c>
      <c r="AF228" s="30"/>
      <c r="AG228" s="25"/>
      <c r="AH228" s="25"/>
      <c r="AI228" s="25"/>
    </row>
    <row r="229" spans="1:35" ht="22.8" x14ac:dyDescent="0.3">
      <c r="A229" s="24">
        <v>50890</v>
      </c>
      <c r="B229" s="25" t="s">
        <v>315</v>
      </c>
      <c r="C229" s="26">
        <v>42186</v>
      </c>
      <c r="D229" s="26"/>
      <c r="E229" s="27" t="s">
        <v>43</v>
      </c>
      <c r="F229" s="16" t="s">
        <v>37</v>
      </c>
      <c r="G229" s="17" t="s">
        <v>38</v>
      </c>
      <c r="H229" s="17" t="s">
        <v>64</v>
      </c>
      <c r="I229" s="17"/>
      <c r="J229" s="17"/>
      <c r="K229" s="17"/>
      <c r="L229" s="17"/>
      <c r="M229" s="17">
        <v>10</v>
      </c>
      <c r="N229" s="28">
        <v>1</v>
      </c>
      <c r="O229" s="28">
        <v>50000</v>
      </c>
      <c r="P229" s="28">
        <v>100000</v>
      </c>
      <c r="Q229" s="17"/>
      <c r="R229" s="17"/>
      <c r="S229" s="12"/>
      <c r="T229" s="12" t="s">
        <v>39</v>
      </c>
      <c r="U229" s="17" t="s">
        <v>45</v>
      </c>
      <c r="V229" s="19">
        <f>VLOOKUP(A229,'2023 Stats'!$B$2:$D$192,3,FALSE)</f>
        <v>317</v>
      </c>
      <c r="W229" s="29">
        <v>79</v>
      </c>
      <c r="X229" s="30"/>
      <c r="Y229" s="19">
        <v>279</v>
      </c>
      <c r="Z229" s="29">
        <v>23</v>
      </c>
      <c r="AA229" s="30"/>
      <c r="AB229" s="19">
        <v>1225</v>
      </c>
      <c r="AC229" s="29">
        <v>102</v>
      </c>
      <c r="AD229" s="30"/>
      <c r="AE229" s="31">
        <v>68</v>
      </c>
      <c r="AF229" s="30"/>
      <c r="AG229" s="25"/>
      <c r="AH229" s="25"/>
      <c r="AI229" s="25"/>
    </row>
    <row r="230" spans="1:35" ht="22.8" hidden="1" x14ac:dyDescent="0.3">
      <c r="A230" s="12">
        <v>50891</v>
      </c>
      <c r="B230" s="13" t="s">
        <v>316</v>
      </c>
      <c r="C230" s="14">
        <v>42185</v>
      </c>
      <c r="D230" s="14">
        <v>44378</v>
      </c>
      <c r="E230" s="15" t="s">
        <v>36</v>
      </c>
      <c r="F230" s="16" t="s">
        <v>37</v>
      </c>
      <c r="G230" s="12" t="s">
        <v>38</v>
      </c>
      <c r="H230" s="12"/>
      <c r="I230" s="12"/>
      <c r="J230" s="12"/>
      <c r="K230" s="12"/>
      <c r="L230" s="12"/>
      <c r="M230" s="17">
        <v>0</v>
      </c>
      <c r="N230" s="18">
        <v>1</v>
      </c>
      <c r="O230" s="18">
        <v>50000</v>
      </c>
      <c r="P230" s="18">
        <v>100000</v>
      </c>
      <c r="Q230" s="13"/>
      <c r="R230" s="13"/>
      <c r="S230" s="12"/>
      <c r="T230" s="12" t="s">
        <v>39</v>
      </c>
      <c r="U230" s="12" t="e">
        <v>#N/A</v>
      </c>
      <c r="V230" s="19" t="e">
        <f>VLOOKUP(A230,'2023 Stats'!$B$2:$D$192,3,FALSE)</f>
        <v>#N/A</v>
      </c>
      <c r="W230" s="20" t="e">
        <v>#N/A</v>
      </c>
      <c r="X230" s="21"/>
      <c r="Y230" s="22" t="e">
        <v>#N/A</v>
      </c>
      <c r="Z230" s="20" t="e">
        <v>#N/A</v>
      </c>
      <c r="AA230" s="21"/>
      <c r="AB230" s="22">
        <v>81</v>
      </c>
      <c r="AC230" s="20">
        <v>7</v>
      </c>
      <c r="AD230" s="21"/>
      <c r="AE230" s="23" t="e">
        <v>#N/A</v>
      </c>
      <c r="AF230" s="21"/>
      <c r="AG230" s="13"/>
      <c r="AH230" s="13"/>
      <c r="AI230" s="13"/>
    </row>
    <row r="231" spans="1:35" ht="22.8" hidden="1" x14ac:dyDescent="0.3">
      <c r="A231" s="12">
        <v>50893</v>
      </c>
      <c r="B231" s="13" t="s">
        <v>317</v>
      </c>
      <c r="C231" s="14">
        <v>42186</v>
      </c>
      <c r="D231" s="14">
        <v>44378</v>
      </c>
      <c r="E231" s="15" t="s">
        <v>36</v>
      </c>
      <c r="F231" s="16" t="s">
        <v>37</v>
      </c>
      <c r="G231" s="12" t="s">
        <v>38</v>
      </c>
      <c r="H231" s="12"/>
      <c r="I231" s="12"/>
      <c r="J231" s="12"/>
      <c r="K231" s="12"/>
      <c r="L231" s="12"/>
      <c r="M231" s="17">
        <v>0</v>
      </c>
      <c r="N231" s="18">
        <v>1</v>
      </c>
      <c r="O231" s="18">
        <v>50000</v>
      </c>
      <c r="P231" s="18">
        <v>100000</v>
      </c>
      <c r="Q231" s="13"/>
      <c r="R231" s="13"/>
      <c r="S231" s="12"/>
      <c r="T231" s="12" t="s">
        <v>39</v>
      </c>
      <c r="U231" s="12" t="e">
        <v>#N/A</v>
      </c>
      <c r="V231" s="19" t="e">
        <f>VLOOKUP(A231,'2023 Stats'!$B$2:$D$192,3,FALSE)</f>
        <v>#N/A</v>
      </c>
      <c r="W231" s="20" t="e">
        <v>#N/A</v>
      </c>
      <c r="X231" s="21"/>
      <c r="Y231" s="22" t="e">
        <v>#N/A</v>
      </c>
      <c r="Z231" s="20" t="e">
        <v>#N/A</v>
      </c>
      <c r="AA231" s="21"/>
      <c r="AB231" s="22" t="e">
        <v>#N/A</v>
      </c>
      <c r="AC231" s="20"/>
      <c r="AD231" s="21"/>
      <c r="AE231" s="23" t="e">
        <v>#N/A</v>
      </c>
      <c r="AF231" s="21"/>
      <c r="AG231" s="13"/>
      <c r="AH231" s="13"/>
      <c r="AI231" s="13"/>
    </row>
    <row r="232" spans="1:35" ht="22.8" x14ac:dyDescent="0.3">
      <c r="A232" s="24">
        <v>50898</v>
      </c>
      <c r="B232" s="25" t="s">
        <v>318</v>
      </c>
      <c r="C232" s="26">
        <v>42186</v>
      </c>
      <c r="D232" s="26"/>
      <c r="E232" s="27" t="s">
        <v>43</v>
      </c>
      <c r="F232" s="16" t="s">
        <v>37</v>
      </c>
      <c r="G232" s="17" t="s">
        <v>38</v>
      </c>
      <c r="H232" s="17" t="s">
        <v>101</v>
      </c>
      <c r="I232" s="17"/>
      <c r="J232" s="17"/>
      <c r="K232" s="17"/>
      <c r="L232" s="17"/>
      <c r="M232" s="17">
        <v>15</v>
      </c>
      <c r="N232" s="28">
        <v>1</v>
      </c>
      <c r="O232" s="28">
        <v>50000</v>
      </c>
      <c r="P232" s="28">
        <v>100000</v>
      </c>
      <c r="Q232" s="17"/>
      <c r="R232" s="17"/>
      <c r="S232" s="12"/>
      <c r="T232" s="12" t="s">
        <v>39</v>
      </c>
      <c r="U232" s="17" t="s">
        <v>45</v>
      </c>
      <c r="V232" s="19">
        <f>VLOOKUP(A232,'2023 Stats'!$B$2:$D$192,3,FALSE)</f>
        <v>482</v>
      </c>
      <c r="W232" s="29">
        <v>121</v>
      </c>
      <c r="X232" s="30"/>
      <c r="Y232" s="19">
        <v>770</v>
      </c>
      <c r="Z232" s="29">
        <v>64</v>
      </c>
      <c r="AA232" s="30"/>
      <c r="AB232" s="19">
        <v>1171</v>
      </c>
      <c r="AC232" s="29">
        <v>98</v>
      </c>
      <c r="AD232" s="30"/>
      <c r="AE232" s="31">
        <v>94</v>
      </c>
      <c r="AF232" s="30"/>
      <c r="AG232" s="25"/>
      <c r="AH232" s="25"/>
      <c r="AI232" s="25"/>
    </row>
    <row r="233" spans="1:35" ht="22.8" x14ac:dyDescent="0.3">
      <c r="A233" s="24">
        <v>50902</v>
      </c>
      <c r="B233" s="25" t="s">
        <v>319</v>
      </c>
      <c r="C233" s="26">
        <v>42186</v>
      </c>
      <c r="D233" s="26"/>
      <c r="E233" s="27" t="s">
        <v>43</v>
      </c>
      <c r="F233" s="16" t="s">
        <v>37</v>
      </c>
      <c r="G233" s="17" t="s">
        <v>38</v>
      </c>
      <c r="H233" s="17" t="s">
        <v>44</v>
      </c>
      <c r="I233" s="17"/>
      <c r="J233" s="17"/>
      <c r="K233" s="17"/>
      <c r="L233" s="17"/>
      <c r="M233" s="17">
        <v>0</v>
      </c>
      <c r="N233" s="28">
        <v>1</v>
      </c>
      <c r="O233" s="28">
        <v>50000</v>
      </c>
      <c r="P233" s="28">
        <v>100000</v>
      </c>
      <c r="Q233" s="17"/>
      <c r="R233" s="17"/>
      <c r="S233" s="12"/>
      <c r="T233" s="12" t="s">
        <v>39</v>
      </c>
      <c r="U233" s="17">
        <v>44551</v>
      </c>
      <c r="V233" s="19" t="e">
        <f>VLOOKUP(A233,'2023 Stats'!$B$2:$D$192,3,FALSE)</f>
        <v>#N/A</v>
      </c>
      <c r="W233" s="29" t="e">
        <v>#N/A</v>
      </c>
      <c r="X233" s="30"/>
      <c r="Y233" s="19" t="e">
        <v>#N/A</v>
      </c>
      <c r="Z233" s="29" t="e">
        <v>#N/A</v>
      </c>
      <c r="AA233" s="30"/>
      <c r="AB233" s="19">
        <v>38</v>
      </c>
      <c r="AC233" s="29">
        <v>3</v>
      </c>
      <c r="AD233" s="30"/>
      <c r="AE233" s="31" t="e">
        <v>#N/A</v>
      </c>
      <c r="AF233" s="30"/>
      <c r="AG233" s="25"/>
      <c r="AH233" s="25"/>
      <c r="AI233" s="25"/>
    </row>
    <row r="234" spans="1:35" ht="22.8" x14ac:dyDescent="0.3">
      <c r="A234" s="24">
        <v>50904</v>
      </c>
      <c r="B234" s="25" t="s">
        <v>320</v>
      </c>
      <c r="C234" s="26">
        <v>42186</v>
      </c>
      <c r="D234" s="26"/>
      <c r="E234" s="27" t="s">
        <v>43</v>
      </c>
      <c r="F234" s="16" t="s">
        <v>37</v>
      </c>
      <c r="G234" s="17" t="s">
        <v>38</v>
      </c>
      <c r="H234" s="17" t="s">
        <v>101</v>
      </c>
      <c r="I234" s="17"/>
      <c r="J234" s="17"/>
      <c r="K234" s="17"/>
      <c r="L234" s="17"/>
      <c r="M234" s="17">
        <v>0</v>
      </c>
      <c r="N234" s="28">
        <v>1</v>
      </c>
      <c r="O234" s="28">
        <v>50000</v>
      </c>
      <c r="P234" s="28">
        <v>100000</v>
      </c>
      <c r="Q234" s="17"/>
      <c r="R234" s="17"/>
      <c r="S234" s="12"/>
      <c r="T234" s="12" t="s">
        <v>39</v>
      </c>
      <c r="U234" s="49">
        <v>44775</v>
      </c>
      <c r="V234" s="19" t="e">
        <f>VLOOKUP(A234,'2023 Stats'!$B$2:$D$192,3,FALSE)</f>
        <v>#N/A</v>
      </c>
      <c r="W234" s="29" t="e">
        <v>#N/A</v>
      </c>
      <c r="X234" s="30"/>
      <c r="Y234" s="19">
        <v>1</v>
      </c>
      <c r="Z234" s="29">
        <v>0</v>
      </c>
      <c r="AA234" s="30"/>
      <c r="AB234" s="19">
        <v>28</v>
      </c>
      <c r="AC234" s="29">
        <v>2</v>
      </c>
      <c r="AD234" s="30"/>
      <c r="AE234" s="31" t="e">
        <v>#N/A</v>
      </c>
      <c r="AF234" s="30"/>
      <c r="AG234" s="25"/>
      <c r="AH234" s="25"/>
      <c r="AI234" s="25"/>
    </row>
    <row r="235" spans="1:35" ht="22.8" x14ac:dyDescent="0.3">
      <c r="A235" s="24">
        <v>50905</v>
      </c>
      <c r="B235" s="25" t="s">
        <v>321</v>
      </c>
      <c r="C235" s="26">
        <v>42186</v>
      </c>
      <c r="D235" s="26"/>
      <c r="E235" s="27" t="s">
        <v>43</v>
      </c>
      <c r="F235" s="16" t="s">
        <v>37</v>
      </c>
      <c r="G235" s="17" t="s">
        <v>38</v>
      </c>
      <c r="H235" s="17" t="s">
        <v>101</v>
      </c>
      <c r="I235" s="17"/>
      <c r="J235" s="17"/>
      <c r="K235" s="17"/>
      <c r="L235" s="17"/>
      <c r="M235" s="17">
        <v>0</v>
      </c>
      <c r="N235" s="28">
        <v>1</v>
      </c>
      <c r="O235" s="28">
        <v>50000</v>
      </c>
      <c r="P235" s="28">
        <v>100000</v>
      </c>
      <c r="Q235" s="17"/>
      <c r="R235" s="17"/>
      <c r="S235" s="12"/>
      <c r="T235" s="12" t="s">
        <v>39</v>
      </c>
      <c r="U235" s="17" t="s">
        <v>45</v>
      </c>
      <c r="V235" s="19">
        <f>VLOOKUP(A235,'2023 Stats'!$B$2:$D$192,3,FALSE)</f>
        <v>1498</v>
      </c>
      <c r="W235" s="29">
        <v>375</v>
      </c>
      <c r="X235" s="30"/>
      <c r="Y235" s="19">
        <v>1510</v>
      </c>
      <c r="Z235" s="29">
        <v>126</v>
      </c>
      <c r="AA235" s="30"/>
      <c r="AB235" s="19">
        <v>3324</v>
      </c>
      <c r="AC235" s="29">
        <v>277</v>
      </c>
      <c r="AD235" s="30"/>
      <c r="AE235" s="31">
        <v>259</v>
      </c>
      <c r="AF235" s="30"/>
      <c r="AG235" s="25"/>
      <c r="AH235" s="25"/>
      <c r="AI235" s="25"/>
    </row>
    <row r="236" spans="1:35" ht="22.8" hidden="1" x14ac:dyDescent="0.3">
      <c r="A236" s="17">
        <v>50915</v>
      </c>
      <c r="B236" s="25" t="s">
        <v>322</v>
      </c>
      <c r="C236" s="26">
        <v>42186</v>
      </c>
      <c r="D236" s="26"/>
      <c r="E236" s="27" t="s">
        <v>36</v>
      </c>
      <c r="F236" s="27" t="s">
        <v>47</v>
      </c>
      <c r="G236" s="17" t="s">
        <v>38</v>
      </c>
      <c r="H236" s="17" t="s">
        <v>64</v>
      </c>
      <c r="I236" s="40" t="s">
        <v>95</v>
      </c>
      <c r="J236" s="40" t="s">
        <v>79</v>
      </c>
      <c r="K236" s="40">
        <v>7</v>
      </c>
      <c r="L236" s="17" t="s">
        <v>323</v>
      </c>
      <c r="M236" s="17">
        <v>15</v>
      </c>
      <c r="N236" s="28">
        <v>1</v>
      </c>
      <c r="O236" s="28">
        <v>50000</v>
      </c>
      <c r="P236" s="28">
        <v>100000</v>
      </c>
      <c r="Q236" s="17"/>
      <c r="R236" s="17"/>
      <c r="S236" s="17"/>
      <c r="T236" s="17" t="s">
        <v>39</v>
      </c>
      <c r="U236" s="17" t="s">
        <v>45</v>
      </c>
      <c r="V236" s="19">
        <f>VLOOKUP(A236,'2023 Stats'!$B$2:$D$192,3,FALSE)</f>
        <v>12763</v>
      </c>
      <c r="W236" s="29">
        <v>3191</v>
      </c>
      <c r="X236" s="30"/>
      <c r="Y236" s="19">
        <v>15839</v>
      </c>
      <c r="Z236" s="29">
        <v>1320</v>
      </c>
      <c r="AA236" s="30"/>
      <c r="AB236" s="19">
        <v>15315</v>
      </c>
      <c r="AC236" s="29">
        <v>1276</v>
      </c>
      <c r="AD236" s="30"/>
      <c r="AE236" s="31">
        <v>1929</v>
      </c>
      <c r="AF236" s="30"/>
      <c r="AG236" s="25"/>
      <c r="AH236" s="25"/>
      <c r="AI236" s="25"/>
    </row>
    <row r="237" spans="1:35" ht="22.8" hidden="1" x14ac:dyDescent="0.3">
      <c r="A237" s="17">
        <v>50916</v>
      </c>
      <c r="B237" s="25" t="s">
        <v>324</v>
      </c>
      <c r="C237" s="26">
        <v>42186</v>
      </c>
      <c r="D237" s="26"/>
      <c r="E237" s="27" t="s">
        <v>36</v>
      </c>
      <c r="F237" s="27" t="s">
        <v>47</v>
      </c>
      <c r="G237" s="17" t="s">
        <v>38</v>
      </c>
      <c r="H237" s="17" t="s">
        <v>64</v>
      </c>
      <c r="I237" s="17"/>
      <c r="J237" s="17"/>
      <c r="K237" s="17"/>
      <c r="L237" s="17" t="s">
        <v>323</v>
      </c>
      <c r="M237" s="17">
        <v>15</v>
      </c>
      <c r="N237" s="28">
        <v>1</v>
      </c>
      <c r="O237" s="28">
        <v>50000</v>
      </c>
      <c r="P237" s="28">
        <v>100000</v>
      </c>
      <c r="Q237" s="17"/>
      <c r="R237" s="17"/>
      <c r="S237" s="17"/>
      <c r="T237" s="17" t="s">
        <v>39</v>
      </c>
      <c r="U237" s="17" t="s">
        <v>45</v>
      </c>
      <c r="V237" s="19">
        <f>VLOOKUP(A237,'2023 Stats'!$B$2:$D$192,3,FALSE)</f>
        <v>756</v>
      </c>
      <c r="W237" s="29">
        <v>189</v>
      </c>
      <c r="X237" s="30"/>
      <c r="Y237" s="19">
        <v>736</v>
      </c>
      <c r="Z237" s="29">
        <v>61</v>
      </c>
      <c r="AA237" s="30"/>
      <c r="AB237" s="19">
        <v>893</v>
      </c>
      <c r="AC237" s="29">
        <v>74</v>
      </c>
      <c r="AD237" s="30"/>
      <c r="AE237" s="31">
        <v>108</v>
      </c>
      <c r="AF237" s="30"/>
      <c r="AG237" s="25"/>
      <c r="AH237" s="25"/>
      <c r="AI237" s="25"/>
    </row>
    <row r="238" spans="1:35" ht="22.8" hidden="1" x14ac:dyDescent="0.3">
      <c r="A238" s="12">
        <v>50918</v>
      </c>
      <c r="B238" s="13" t="s">
        <v>325</v>
      </c>
      <c r="C238" s="14">
        <v>42186</v>
      </c>
      <c r="D238" s="12" t="s">
        <v>326</v>
      </c>
      <c r="E238" s="15" t="s">
        <v>36</v>
      </c>
      <c r="F238" s="16" t="s">
        <v>37</v>
      </c>
      <c r="G238" s="12" t="s">
        <v>38</v>
      </c>
      <c r="H238" s="12"/>
      <c r="I238" s="12"/>
      <c r="J238" s="12"/>
      <c r="K238" s="12"/>
      <c r="L238" s="12"/>
      <c r="M238" s="17">
        <v>0</v>
      </c>
      <c r="N238" s="18">
        <v>1</v>
      </c>
      <c r="O238" s="18">
        <v>50000</v>
      </c>
      <c r="P238" s="18">
        <v>100000</v>
      </c>
      <c r="Q238" s="13"/>
      <c r="R238" s="13"/>
      <c r="S238" s="12"/>
      <c r="T238" s="12" t="s">
        <v>39</v>
      </c>
      <c r="U238" s="12" t="e">
        <v>#N/A</v>
      </c>
      <c r="V238" s="19" t="e">
        <f>VLOOKUP(A238,'2023 Stats'!$B$2:$D$192,3,FALSE)</f>
        <v>#N/A</v>
      </c>
      <c r="W238" s="20" t="e">
        <v>#N/A</v>
      </c>
      <c r="X238" s="21"/>
      <c r="Y238" s="22" t="e">
        <v>#N/A</v>
      </c>
      <c r="Z238" s="20" t="e">
        <v>#N/A</v>
      </c>
      <c r="AA238" s="21"/>
      <c r="AB238" s="22" t="e">
        <v>#N/A</v>
      </c>
      <c r="AC238" s="20"/>
      <c r="AD238" s="21"/>
      <c r="AE238" s="23" t="e">
        <v>#N/A</v>
      </c>
      <c r="AF238" s="21"/>
      <c r="AG238" s="13"/>
      <c r="AH238" s="13"/>
      <c r="AI238" s="13"/>
    </row>
    <row r="239" spans="1:35" ht="22.8" hidden="1" x14ac:dyDescent="0.3">
      <c r="A239" s="12">
        <v>50921</v>
      </c>
      <c r="B239" s="13" t="s">
        <v>327</v>
      </c>
      <c r="C239" s="14">
        <v>42186</v>
      </c>
      <c r="D239" s="14"/>
      <c r="E239" s="15" t="s">
        <v>36</v>
      </c>
      <c r="F239" s="35" t="s">
        <v>37</v>
      </c>
      <c r="G239" s="12" t="s">
        <v>38</v>
      </c>
      <c r="H239" s="17" t="s">
        <v>64</v>
      </c>
      <c r="I239" s="17"/>
      <c r="J239" s="12"/>
      <c r="K239" s="12"/>
      <c r="L239" s="12"/>
      <c r="M239" s="17">
        <v>0</v>
      </c>
      <c r="N239" s="18">
        <v>0</v>
      </c>
      <c r="O239" s="18">
        <v>0</v>
      </c>
      <c r="P239" s="18">
        <v>100000</v>
      </c>
      <c r="Q239" s="13"/>
      <c r="R239" s="13"/>
      <c r="S239" s="12"/>
      <c r="T239" s="12" t="s">
        <v>39</v>
      </c>
      <c r="U239" s="12" t="e">
        <v>#N/A</v>
      </c>
      <c r="V239" s="19" t="e">
        <f>VLOOKUP(A239,'2023 Stats'!$B$2:$D$192,3,FALSE)</f>
        <v>#N/A</v>
      </c>
      <c r="W239" s="20" t="e">
        <v>#N/A</v>
      </c>
      <c r="X239" s="21"/>
      <c r="Y239" s="22" t="e">
        <v>#N/A</v>
      </c>
      <c r="Z239" s="20" t="e">
        <v>#N/A</v>
      </c>
      <c r="AA239" s="21"/>
      <c r="AB239" s="22" t="e">
        <v>#N/A</v>
      </c>
      <c r="AC239" s="20"/>
      <c r="AD239" s="21"/>
      <c r="AE239" s="23" t="e">
        <v>#N/A</v>
      </c>
      <c r="AF239" s="21"/>
      <c r="AG239" s="13"/>
      <c r="AH239" s="13"/>
      <c r="AI239" s="13"/>
    </row>
    <row r="240" spans="1:35" ht="22.8" hidden="1" x14ac:dyDescent="0.3">
      <c r="A240" s="12">
        <v>50922</v>
      </c>
      <c r="B240" s="13" t="s">
        <v>328</v>
      </c>
      <c r="C240" s="14">
        <v>42186</v>
      </c>
      <c r="D240" s="14"/>
      <c r="E240" s="15" t="s">
        <v>36</v>
      </c>
      <c r="F240" s="35" t="s">
        <v>37</v>
      </c>
      <c r="G240" s="12" t="s">
        <v>38</v>
      </c>
      <c r="H240" s="17" t="s">
        <v>64</v>
      </c>
      <c r="I240" s="17"/>
      <c r="J240" s="12"/>
      <c r="K240" s="12"/>
      <c r="L240" s="12"/>
      <c r="M240" s="17">
        <v>0</v>
      </c>
      <c r="N240" s="18">
        <v>1</v>
      </c>
      <c r="O240" s="18">
        <v>50000</v>
      </c>
      <c r="P240" s="18">
        <v>100000</v>
      </c>
      <c r="Q240" s="13"/>
      <c r="R240" s="13"/>
      <c r="S240" s="12"/>
      <c r="T240" s="12" t="s">
        <v>39</v>
      </c>
      <c r="U240" s="12" t="e">
        <v>#N/A</v>
      </c>
      <c r="V240" s="19" t="e">
        <f>VLOOKUP(A240,'2023 Stats'!$B$2:$D$192,3,FALSE)</f>
        <v>#N/A</v>
      </c>
      <c r="W240" s="20" t="e">
        <v>#N/A</v>
      </c>
      <c r="X240" s="21"/>
      <c r="Y240" s="22" t="e">
        <v>#N/A</v>
      </c>
      <c r="Z240" s="20" t="e">
        <v>#N/A</v>
      </c>
      <c r="AA240" s="21"/>
      <c r="AB240" s="22" t="e">
        <v>#N/A</v>
      </c>
      <c r="AC240" s="20"/>
      <c r="AD240" s="21"/>
      <c r="AE240" s="23" t="e">
        <v>#N/A</v>
      </c>
      <c r="AF240" s="21"/>
      <c r="AG240" s="13"/>
      <c r="AH240" s="13"/>
      <c r="AI240" s="13"/>
    </row>
    <row r="241" spans="1:35" ht="22.8" hidden="1" x14ac:dyDescent="0.3">
      <c r="A241" s="17">
        <v>50926</v>
      </c>
      <c r="B241" s="25" t="s">
        <v>329</v>
      </c>
      <c r="C241" s="26">
        <v>42186</v>
      </c>
      <c r="D241" s="26"/>
      <c r="E241" s="27" t="s">
        <v>36</v>
      </c>
      <c r="F241" s="27" t="s">
        <v>47</v>
      </c>
      <c r="G241" s="17" t="s">
        <v>38</v>
      </c>
      <c r="H241" s="17" t="s">
        <v>64</v>
      </c>
      <c r="I241" s="17"/>
      <c r="J241" s="17"/>
      <c r="K241" s="17"/>
      <c r="L241" s="17" t="s">
        <v>330</v>
      </c>
      <c r="M241" s="17">
        <v>0</v>
      </c>
      <c r="N241" s="28">
        <v>0</v>
      </c>
      <c r="O241" s="28">
        <v>50000</v>
      </c>
      <c r="P241" s="28">
        <v>100000</v>
      </c>
      <c r="Q241" s="17"/>
      <c r="R241" s="17"/>
      <c r="S241" s="17"/>
      <c r="T241" s="17" t="s">
        <v>39</v>
      </c>
      <c r="U241" s="17" t="e">
        <v>#N/A</v>
      </c>
      <c r="V241" s="19" t="e">
        <f>VLOOKUP(A241,'2023 Stats'!$B$2:$D$192,3,FALSE)</f>
        <v>#N/A</v>
      </c>
      <c r="W241" s="29" t="e">
        <v>#N/A</v>
      </c>
      <c r="X241" s="30"/>
      <c r="Y241" s="19" t="e">
        <v>#N/A</v>
      </c>
      <c r="Z241" s="29" t="e">
        <v>#N/A</v>
      </c>
      <c r="AA241" s="30"/>
      <c r="AB241" s="19">
        <v>1</v>
      </c>
      <c r="AC241" s="29">
        <v>0</v>
      </c>
      <c r="AD241" s="30"/>
      <c r="AE241" s="31" t="e">
        <v>#N/A</v>
      </c>
      <c r="AF241" s="30"/>
      <c r="AG241" s="25"/>
      <c r="AH241" s="25"/>
      <c r="AI241" s="25"/>
    </row>
    <row r="242" spans="1:35" ht="22.8" hidden="1" x14ac:dyDescent="0.3">
      <c r="A242" s="12">
        <v>50928</v>
      </c>
      <c r="B242" s="13" t="s">
        <v>331</v>
      </c>
      <c r="C242" s="14">
        <v>42186</v>
      </c>
      <c r="D242" s="14"/>
      <c r="E242" s="15" t="s">
        <v>36</v>
      </c>
      <c r="F242" s="35" t="s">
        <v>37</v>
      </c>
      <c r="G242" s="12" t="s">
        <v>38</v>
      </c>
      <c r="H242" s="17" t="s">
        <v>64</v>
      </c>
      <c r="I242" s="17"/>
      <c r="J242" s="12"/>
      <c r="K242" s="12"/>
      <c r="L242" s="12"/>
      <c r="M242" s="17">
        <v>0</v>
      </c>
      <c r="N242" s="18">
        <v>0</v>
      </c>
      <c r="O242" s="18">
        <v>0</v>
      </c>
      <c r="P242" s="18">
        <v>100000</v>
      </c>
      <c r="Q242" s="13"/>
      <c r="R242" s="13"/>
      <c r="S242" s="12"/>
      <c r="T242" s="12" t="s">
        <v>39</v>
      </c>
      <c r="U242" s="12" t="e">
        <v>#N/A</v>
      </c>
      <c r="V242" s="19" t="e">
        <f>VLOOKUP(A242,'2023 Stats'!$B$2:$D$192,3,FALSE)</f>
        <v>#N/A</v>
      </c>
      <c r="W242" s="20" t="e">
        <v>#N/A</v>
      </c>
      <c r="X242" s="21"/>
      <c r="Y242" s="22" t="e">
        <v>#N/A</v>
      </c>
      <c r="Z242" s="20" t="e">
        <v>#N/A</v>
      </c>
      <c r="AA242" s="21"/>
      <c r="AB242" s="22" t="e">
        <v>#N/A</v>
      </c>
      <c r="AC242" s="20"/>
      <c r="AD242" s="21"/>
      <c r="AE242" s="23" t="e">
        <v>#N/A</v>
      </c>
      <c r="AF242" s="21"/>
      <c r="AG242" s="13"/>
      <c r="AH242" s="13"/>
      <c r="AI242" s="13"/>
    </row>
    <row r="243" spans="1:35" ht="22.8" x14ac:dyDescent="0.3">
      <c r="A243" s="24">
        <v>50930</v>
      </c>
      <c r="B243" s="25" t="s">
        <v>332</v>
      </c>
      <c r="C243" s="26">
        <v>42186</v>
      </c>
      <c r="D243" s="26"/>
      <c r="E243" s="27" t="s">
        <v>43</v>
      </c>
      <c r="F243" s="16" t="s">
        <v>37</v>
      </c>
      <c r="G243" s="17" t="s">
        <v>38</v>
      </c>
      <c r="H243" s="17" t="s">
        <v>94</v>
      </c>
      <c r="I243" s="17"/>
      <c r="J243" s="17"/>
      <c r="K243" s="17"/>
      <c r="L243" s="17"/>
      <c r="M243" s="17">
        <v>0</v>
      </c>
      <c r="N243" s="28">
        <v>1</v>
      </c>
      <c r="O243" s="28">
        <v>50000</v>
      </c>
      <c r="P243" s="28">
        <v>100000</v>
      </c>
      <c r="Q243" s="17"/>
      <c r="R243" s="17"/>
      <c r="S243" s="12"/>
      <c r="T243" s="12" t="s">
        <v>39</v>
      </c>
      <c r="U243" s="17" t="s">
        <v>45</v>
      </c>
      <c r="V243" s="19">
        <f>VLOOKUP(A243,'2023 Stats'!$B$2:$D$192,3,FALSE)</f>
        <v>455</v>
      </c>
      <c r="W243" s="29">
        <v>114</v>
      </c>
      <c r="X243" s="30"/>
      <c r="Y243" s="19">
        <v>573</v>
      </c>
      <c r="Z243" s="29">
        <v>48</v>
      </c>
      <c r="AA243" s="30"/>
      <c r="AB243" s="19">
        <v>726</v>
      </c>
      <c r="AC243" s="29">
        <v>61</v>
      </c>
      <c r="AD243" s="30"/>
      <c r="AE243" s="31">
        <v>74</v>
      </c>
      <c r="AF243" s="30"/>
      <c r="AG243" s="25"/>
      <c r="AH243" s="25"/>
      <c r="AI243" s="25"/>
    </row>
    <row r="244" spans="1:35" ht="22.8" x14ac:dyDescent="0.3">
      <c r="A244" s="24">
        <v>50932</v>
      </c>
      <c r="B244" s="25" t="s">
        <v>333</v>
      </c>
      <c r="C244" s="26">
        <v>42186</v>
      </c>
      <c r="D244" s="26"/>
      <c r="E244" s="27" t="s">
        <v>43</v>
      </c>
      <c r="F244" s="16" t="s">
        <v>37</v>
      </c>
      <c r="G244" s="17" t="s">
        <v>38</v>
      </c>
      <c r="H244" s="40" t="s">
        <v>103</v>
      </c>
      <c r="I244" s="17"/>
      <c r="J244" s="17"/>
      <c r="K244" s="17"/>
      <c r="L244" s="17"/>
      <c r="M244" s="17">
        <v>10</v>
      </c>
      <c r="N244" s="28">
        <v>1</v>
      </c>
      <c r="O244" s="28">
        <v>50000</v>
      </c>
      <c r="P244" s="28">
        <v>100000</v>
      </c>
      <c r="Q244" s="17"/>
      <c r="R244" s="17"/>
      <c r="S244" s="12"/>
      <c r="T244" s="12" t="s">
        <v>39</v>
      </c>
      <c r="U244" s="17" t="s">
        <v>45</v>
      </c>
      <c r="V244" s="19">
        <f>VLOOKUP(A244,'2023 Stats'!$B$2:$D$192,3,FALSE)</f>
        <v>166</v>
      </c>
      <c r="W244" s="29">
        <v>42</v>
      </c>
      <c r="X244" s="30"/>
      <c r="Y244" s="19">
        <v>233</v>
      </c>
      <c r="Z244" s="29">
        <v>19</v>
      </c>
      <c r="AA244" s="30"/>
      <c r="AB244" s="19">
        <v>282</v>
      </c>
      <c r="AC244" s="29">
        <v>24</v>
      </c>
      <c r="AD244" s="30"/>
      <c r="AE244" s="31">
        <v>28</v>
      </c>
      <c r="AF244" s="30"/>
      <c r="AG244" s="25"/>
      <c r="AH244" s="25"/>
      <c r="AI244" s="25"/>
    </row>
    <row r="245" spans="1:35" ht="22.8" hidden="1" x14ac:dyDescent="0.3">
      <c r="A245" s="12">
        <v>50934</v>
      </c>
      <c r="B245" s="13" t="s">
        <v>334</v>
      </c>
      <c r="C245" s="14">
        <v>42186</v>
      </c>
      <c r="D245" s="14">
        <v>43770</v>
      </c>
      <c r="E245" s="15" t="s">
        <v>36</v>
      </c>
      <c r="F245" s="35" t="s">
        <v>37</v>
      </c>
      <c r="G245" s="12" t="s">
        <v>38</v>
      </c>
      <c r="H245" s="12"/>
      <c r="I245" s="12"/>
      <c r="J245" s="12"/>
      <c r="K245" s="12"/>
      <c r="L245" s="12"/>
      <c r="M245" s="17">
        <v>0</v>
      </c>
      <c r="N245" s="18">
        <v>0</v>
      </c>
      <c r="O245" s="18">
        <v>0</v>
      </c>
      <c r="P245" s="18">
        <v>100000</v>
      </c>
      <c r="Q245" s="13"/>
      <c r="R245" s="13"/>
      <c r="S245" s="12"/>
      <c r="T245" s="12" t="s">
        <v>39</v>
      </c>
      <c r="U245" s="12" t="e">
        <v>#N/A</v>
      </c>
      <c r="V245" s="19" t="e">
        <f>VLOOKUP(A245,'2023 Stats'!$B$2:$D$192,3,FALSE)</f>
        <v>#N/A</v>
      </c>
      <c r="W245" s="20" t="e">
        <v>#N/A</v>
      </c>
      <c r="X245" s="21"/>
      <c r="Y245" s="22" t="e">
        <v>#N/A</v>
      </c>
      <c r="Z245" s="20" t="e">
        <v>#N/A</v>
      </c>
      <c r="AA245" s="21"/>
      <c r="AB245" s="22" t="e">
        <v>#N/A</v>
      </c>
      <c r="AC245" s="20"/>
      <c r="AD245" s="21"/>
      <c r="AE245" s="23" t="e">
        <v>#N/A</v>
      </c>
      <c r="AF245" s="21"/>
      <c r="AG245" s="13"/>
      <c r="AH245" s="13"/>
      <c r="AI245" s="13"/>
    </row>
    <row r="246" spans="1:35" ht="22.8" hidden="1" x14ac:dyDescent="0.3">
      <c r="A246" s="12">
        <v>50935</v>
      </c>
      <c r="B246" s="13" t="s">
        <v>335</v>
      </c>
      <c r="C246" s="14">
        <v>42186</v>
      </c>
      <c r="D246" s="14">
        <v>43770</v>
      </c>
      <c r="E246" s="15" t="s">
        <v>36</v>
      </c>
      <c r="F246" s="35" t="s">
        <v>37</v>
      </c>
      <c r="G246" s="12" t="s">
        <v>38</v>
      </c>
      <c r="H246" s="12"/>
      <c r="I246" s="12"/>
      <c r="J246" s="12"/>
      <c r="K246" s="12"/>
      <c r="L246" s="12"/>
      <c r="M246" s="17">
        <v>0</v>
      </c>
      <c r="N246" s="18">
        <v>0</v>
      </c>
      <c r="O246" s="18">
        <v>0</v>
      </c>
      <c r="P246" s="18">
        <v>100000</v>
      </c>
      <c r="Q246" s="13"/>
      <c r="R246" s="13"/>
      <c r="S246" s="12"/>
      <c r="T246" s="12" t="s">
        <v>39</v>
      </c>
      <c r="U246" s="12" t="e">
        <v>#N/A</v>
      </c>
      <c r="V246" s="19" t="e">
        <f>VLOOKUP(A246,'2023 Stats'!$B$2:$D$192,3,FALSE)</f>
        <v>#N/A</v>
      </c>
      <c r="W246" s="20" t="e">
        <v>#N/A</v>
      </c>
      <c r="X246" s="21"/>
      <c r="Y246" s="22" t="e">
        <v>#N/A</v>
      </c>
      <c r="Z246" s="20" t="e">
        <v>#N/A</v>
      </c>
      <c r="AA246" s="21"/>
      <c r="AB246" s="22" t="e">
        <v>#N/A</v>
      </c>
      <c r="AC246" s="20"/>
      <c r="AD246" s="21"/>
      <c r="AE246" s="23" t="e">
        <v>#N/A</v>
      </c>
      <c r="AF246" s="21"/>
      <c r="AG246" s="13"/>
      <c r="AH246" s="13"/>
      <c r="AI246" s="13"/>
    </row>
    <row r="247" spans="1:35" ht="22.8" hidden="1" x14ac:dyDescent="0.3">
      <c r="A247" s="12">
        <v>50936</v>
      </c>
      <c r="B247" s="13" t="s">
        <v>336</v>
      </c>
      <c r="C247" s="14">
        <v>42186</v>
      </c>
      <c r="D247" s="14"/>
      <c r="E247" s="15" t="s">
        <v>36</v>
      </c>
      <c r="F247" s="35" t="s">
        <v>37</v>
      </c>
      <c r="G247" s="12" t="s">
        <v>38</v>
      </c>
      <c r="H247" s="17" t="s">
        <v>94</v>
      </c>
      <c r="I247" s="17"/>
      <c r="J247" s="12"/>
      <c r="K247" s="12"/>
      <c r="L247" s="12"/>
      <c r="M247" s="17">
        <v>0</v>
      </c>
      <c r="N247" s="18">
        <v>0</v>
      </c>
      <c r="O247" s="18">
        <v>50000</v>
      </c>
      <c r="P247" s="18">
        <v>100000</v>
      </c>
      <c r="Q247" s="13"/>
      <c r="R247" s="13"/>
      <c r="S247" s="12"/>
      <c r="T247" s="12" t="s">
        <v>39</v>
      </c>
      <c r="U247" s="12" t="e">
        <v>#N/A</v>
      </c>
      <c r="V247" s="19" t="e">
        <f>VLOOKUP(A247,'2023 Stats'!$B$2:$D$192,3,FALSE)</f>
        <v>#N/A</v>
      </c>
      <c r="W247" s="20" t="e">
        <v>#N/A</v>
      </c>
      <c r="X247" s="21"/>
      <c r="Y247" s="22" t="e">
        <v>#N/A</v>
      </c>
      <c r="Z247" s="20" t="e">
        <v>#N/A</v>
      </c>
      <c r="AA247" s="21"/>
      <c r="AB247" s="22" t="e">
        <v>#N/A</v>
      </c>
      <c r="AC247" s="20"/>
      <c r="AD247" s="21"/>
      <c r="AE247" s="23" t="e">
        <v>#N/A</v>
      </c>
      <c r="AF247" s="21"/>
      <c r="AG247" s="13"/>
      <c r="AH247" s="13"/>
      <c r="AI247" s="13"/>
    </row>
    <row r="248" spans="1:35" ht="22.8" hidden="1" x14ac:dyDescent="0.3">
      <c r="A248" s="12">
        <v>50937</v>
      </c>
      <c r="B248" s="13" t="s">
        <v>337</v>
      </c>
      <c r="C248" s="14">
        <v>42186</v>
      </c>
      <c r="D248" s="14"/>
      <c r="E248" s="15" t="s">
        <v>36</v>
      </c>
      <c r="F248" s="35" t="s">
        <v>37</v>
      </c>
      <c r="G248" s="12" t="s">
        <v>38</v>
      </c>
      <c r="H248" s="17" t="s">
        <v>94</v>
      </c>
      <c r="I248" s="17"/>
      <c r="J248" s="12"/>
      <c r="K248" s="12"/>
      <c r="L248" s="12"/>
      <c r="M248" s="17">
        <v>0</v>
      </c>
      <c r="N248" s="18">
        <v>0</v>
      </c>
      <c r="O248" s="18">
        <v>50000</v>
      </c>
      <c r="P248" s="18">
        <v>100000</v>
      </c>
      <c r="Q248" s="13"/>
      <c r="R248" s="13"/>
      <c r="S248" s="12"/>
      <c r="T248" s="12" t="s">
        <v>39</v>
      </c>
      <c r="U248" s="12" t="e">
        <v>#N/A</v>
      </c>
      <c r="V248" s="19" t="e">
        <f>VLOOKUP(A248,'2023 Stats'!$B$2:$D$192,3,FALSE)</f>
        <v>#N/A</v>
      </c>
      <c r="W248" s="20" t="e">
        <v>#N/A</v>
      </c>
      <c r="X248" s="21"/>
      <c r="Y248" s="22" t="e">
        <v>#N/A</v>
      </c>
      <c r="Z248" s="20" t="e">
        <v>#N/A</v>
      </c>
      <c r="AA248" s="21"/>
      <c r="AB248" s="22" t="e">
        <v>#N/A</v>
      </c>
      <c r="AC248" s="20"/>
      <c r="AD248" s="21"/>
      <c r="AE248" s="23" t="e">
        <v>#N/A</v>
      </c>
      <c r="AF248" s="21"/>
      <c r="AG248" s="13"/>
      <c r="AH248" s="13"/>
      <c r="AI248" s="13"/>
    </row>
    <row r="249" spans="1:35" ht="22.8" hidden="1" x14ac:dyDescent="0.3">
      <c r="A249" s="17">
        <v>50945</v>
      </c>
      <c r="B249" s="25" t="s">
        <v>338</v>
      </c>
      <c r="C249" s="26">
        <v>42186</v>
      </c>
      <c r="D249" s="26"/>
      <c r="E249" s="27" t="s">
        <v>36</v>
      </c>
      <c r="F249" s="16" t="s">
        <v>37</v>
      </c>
      <c r="G249" s="17" t="s">
        <v>38</v>
      </c>
      <c r="H249" s="17" t="s">
        <v>64</v>
      </c>
      <c r="I249" s="17"/>
      <c r="J249" s="17"/>
      <c r="K249" s="17"/>
      <c r="L249" s="17"/>
      <c r="M249" s="17">
        <v>0</v>
      </c>
      <c r="N249" s="28">
        <v>0</v>
      </c>
      <c r="O249" s="28">
        <v>0</v>
      </c>
      <c r="P249" s="28">
        <v>100000</v>
      </c>
      <c r="Q249" s="17"/>
      <c r="R249" s="17"/>
      <c r="S249" s="17"/>
      <c r="T249" s="17" t="s">
        <v>39</v>
      </c>
      <c r="U249" s="17" t="e">
        <v>#N/A</v>
      </c>
      <c r="V249" s="19" t="e">
        <f>VLOOKUP(A249,'2023 Stats'!$B$2:$D$192,3,FALSE)</f>
        <v>#N/A</v>
      </c>
      <c r="W249" s="29" t="e">
        <v>#N/A</v>
      </c>
      <c r="X249" s="30"/>
      <c r="Y249" s="19" t="e">
        <v>#N/A</v>
      </c>
      <c r="Z249" s="29" t="e">
        <v>#N/A</v>
      </c>
      <c r="AA249" s="30"/>
      <c r="AB249" s="19" t="e">
        <v>#N/A</v>
      </c>
      <c r="AC249" s="29"/>
      <c r="AD249" s="30"/>
      <c r="AE249" s="31" t="e">
        <v>#N/A</v>
      </c>
      <c r="AF249" s="30"/>
      <c r="AG249" s="25"/>
      <c r="AH249" s="25"/>
      <c r="AI249" s="25"/>
    </row>
    <row r="250" spans="1:35" ht="22.8" hidden="1" x14ac:dyDescent="0.3">
      <c r="A250" s="17">
        <v>50947</v>
      </c>
      <c r="B250" s="52" t="s">
        <v>339</v>
      </c>
      <c r="C250" s="26">
        <v>42186</v>
      </c>
      <c r="D250" s="26"/>
      <c r="E250" s="27" t="s">
        <v>36</v>
      </c>
      <c r="F250" s="27" t="s">
        <v>47</v>
      </c>
      <c r="G250" s="17" t="s">
        <v>38</v>
      </c>
      <c r="H250" s="17" t="s">
        <v>64</v>
      </c>
      <c r="I250" s="17"/>
      <c r="J250" s="17"/>
      <c r="K250" s="17"/>
      <c r="L250" s="17" t="s">
        <v>340</v>
      </c>
      <c r="M250" s="17">
        <v>0</v>
      </c>
      <c r="N250" s="28">
        <v>0</v>
      </c>
      <c r="O250" s="28">
        <v>50000</v>
      </c>
      <c r="P250" s="28">
        <v>100000</v>
      </c>
      <c r="Q250" s="17"/>
      <c r="R250" s="17"/>
      <c r="S250" s="17"/>
      <c r="T250" s="17" t="s">
        <v>39</v>
      </c>
      <c r="U250" s="17" t="e">
        <v>#N/A</v>
      </c>
      <c r="V250" s="19">
        <f>VLOOKUP(A250,'2023 Stats'!$B$2:$D$192,3,FALSE)</f>
        <v>36</v>
      </c>
      <c r="W250" s="29">
        <v>9</v>
      </c>
      <c r="X250" s="30"/>
      <c r="Y250" s="19" t="e">
        <v>#N/A</v>
      </c>
      <c r="Z250" s="29" t="e">
        <v>#N/A</v>
      </c>
      <c r="AA250" s="30"/>
      <c r="AB250" s="19" t="e">
        <v>#N/A</v>
      </c>
      <c r="AC250" s="29"/>
      <c r="AD250" s="30"/>
      <c r="AE250" s="31" t="e">
        <v>#N/A</v>
      </c>
      <c r="AF250" s="30"/>
      <c r="AG250" s="25"/>
      <c r="AH250" s="25"/>
      <c r="AI250" s="25"/>
    </row>
    <row r="251" spans="1:35" ht="22.8" x14ac:dyDescent="0.3">
      <c r="A251" s="24">
        <v>50948</v>
      </c>
      <c r="B251" s="52" t="s">
        <v>341</v>
      </c>
      <c r="C251" s="26">
        <v>42186</v>
      </c>
      <c r="D251" s="26"/>
      <c r="E251" s="27" t="s">
        <v>43</v>
      </c>
      <c r="F251" s="27" t="s">
        <v>47</v>
      </c>
      <c r="G251" s="17" t="s">
        <v>38</v>
      </c>
      <c r="H251" s="17" t="s">
        <v>64</v>
      </c>
      <c r="I251" s="17"/>
      <c r="J251" s="17"/>
      <c r="K251" s="17"/>
      <c r="L251" s="17" t="s">
        <v>340</v>
      </c>
      <c r="M251" s="17">
        <v>0</v>
      </c>
      <c r="N251" s="28">
        <v>1</v>
      </c>
      <c r="O251" s="28">
        <v>50000</v>
      </c>
      <c r="P251" s="28">
        <v>100000</v>
      </c>
      <c r="Q251" s="17"/>
      <c r="R251" s="17"/>
      <c r="S251" s="12"/>
      <c r="T251" s="12" t="s">
        <v>39</v>
      </c>
      <c r="U251" s="12"/>
      <c r="V251" s="19">
        <f>VLOOKUP(A251,'2023 Stats'!$B$2:$D$192,3,FALSE)</f>
        <v>8380</v>
      </c>
      <c r="W251" s="29">
        <v>2095</v>
      </c>
      <c r="X251" s="30"/>
      <c r="Y251" s="19" t="e">
        <v>#N/A</v>
      </c>
      <c r="Z251" s="29" t="e">
        <v>#N/A</v>
      </c>
      <c r="AA251" s="30"/>
      <c r="AB251" s="19" t="e">
        <v>#N/A</v>
      </c>
      <c r="AC251" s="29"/>
      <c r="AD251" s="30"/>
      <c r="AE251" s="31" t="e">
        <v>#N/A</v>
      </c>
      <c r="AF251" s="30"/>
      <c r="AG251" s="25"/>
      <c r="AH251" s="25"/>
      <c r="AI251" s="25"/>
    </row>
    <row r="252" spans="1:35" ht="22.8" hidden="1" x14ac:dyDescent="0.3">
      <c r="A252" s="17">
        <v>50949</v>
      </c>
      <c r="B252" s="25" t="s">
        <v>342</v>
      </c>
      <c r="C252" s="26">
        <v>44347</v>
      </c>
      <c r="D252" s="26"/>
      <c r="E252" s="27" t="s">
        <v>36</v>
      </c>
      <c r="F252" s="27" t="s">
        <v>47</v>
      </c>
      <c r="G252" s="17" t="s">
        <v>38</v>
      </c>
      <c r="H252" s="17" t="s">
        <v>64</v>
      </c>
      <c r="I252" s="17"/>
      <c r="J252" s="17"/>
      <c r="K252" s="17"/>
      <c r="L252" s="17" t="s">
        <v>340</v>
      </c>
      <c r="M252" s="17">
        <v>0</v>
      </c>
      <c r="N252" s="28">
        <v>100</v>
      </c>
      <c r="O252" s="28">
        <v>35000</v>
      </c>
      <c r="P252" s="28">
        <v>100000</v>
      </c>
      <c r="Q252" s="17"/>
      <c r="R252" s="17"/>
      <c r="S252" s="17"/>
      <c r="T252" s="17" t="s">
        <v>39</v>
      </c>
      <c r="U252" s="49">
        <v>44682</v>
      </c>
      <c r="V252" s="19" t="e">
        <f>VLOOKUP(A252,'2023 Stats'!$B$2:$D$192,3,FALSE)</f>
        <v>#N/A</v>
      </c>
      <c r="W252" s="29" t="e">
        <v>#N/A</v>
      </c>
      <c r="X252" s="30"/>
      <c r="Y252" s="19">
        <v>1</v>
      </c>
      <c r="Z252" s="29">
        <v>0</v>
      </c>
      <c r="AA252" s="30"/>
      <c r="AB252" s="19" t="e">
        <v>#N/A</v>
      </c>
      <c r="AC252" s="29"/>
      <c r="AD252" s="30"/>
      <c r="AE252" s="31" t="e">
        <v>#N/A</v>
      </c>
      <c r="AF252" s="30"/>
      <c r="AG252" s="25"/>
      <c r="AH252" s="25"/>
      <c r="AI252" s="25"/>
    </row>
    <row r="253" spans="1:35" ht="22.8" hidden="1" x14ac:dyDescent="0.3">
      <c r="A253" s="17">
        <v>50953</v>
      </c>
      <c r="B253" s="25" t="s">
        <v>343</v>
      </c>
      <c r="C253" s="26">
        <v>42186</v>
      </c>
      <c r="D253" s="26"/>
      <c r="E253" s="27" t="s">
        <v>36</v>
      </c>
      <c r="F253" s="16" t="s">
        <v>37</v>
      </c>
      <c r="G253" s="17" t="s">
        <v>38</v>
      </c>
      <c r="H253" s="17" t="s">
        <v>101</v>
      </c>
      <c r="I253" s="17"/>
      <c r="J253" s="17"/>
      <c r="K253" s="17"/>
      <c r="L253" s="17"/>
      <c r="M253" s="17">
        <v>0</v>
      </c>
      <c r="N253" s="28">
        <v>0</v>
      </c>
      <c r="O253" s="28">
        <v>0</v>
      </c>
      <c r="P253" s="28">
        <v>100000</v>
      </c>
      <c r="Q253" s="17"/>
      <c r="R253" s="17"/>
      <c r="S253" s="17"/>
      <c r="T253" s="17" t="s">
        <v>39</v>
      </c>
      <c r="U253" s="17" t="e">
        <v>#N/A</v>
      </c>
      <c r="V253" s="19" t="e">
        <f>VLOOKUP(A253,'2023 Stats'!$B$2:$D$192,3,FALSE)</f>
        <v>#N/A</v>
      </c>
      <c r="W253" s="29" t="e">
        <v>#N/A</v>
      </c>
      <c r="X253" s="30"/>
      <c r="Y253" s="19" t="e">
        <v>#N/A</v>
      </c>
      <c r="Z253" s="29" t="e">
        <v>#N/A</v>
      </c>
      <c r="AA253" s="30"/>
      <c r="AB253" s="19">
        <v>1</v>
      </c>
      <c r="AC253" s="29">
        <v>0</v>
      </c>
      <c r="AD253" s="30"/>
      <c r="AE253" s="31" t="e">
        <v>#N/A</v>
      </c>
      <c r="AF253" s="30"/>
      <c r="AG253" s="25"/>
      <c r="AH253" s="25"/>
      <c r="AI253" s="25"/>
    </row>
    <row r="254" spans="1:35" ht="22.8" x14ac:dyDescent="0.3">
      <c r="A254" s="24">
        <v>50955</v>
      </c>
      <c r="B254" s="25" t="s">
        <v>344</v>
      </c>
      <c r="C254" s="26">
        <v>42186</v>
      </c>
      <c r="D254" s="26"/>
      <c r="E254" s="27" t="s">
        <v>43</v>
      </c>
      <c r="F254" s="16" t="s">
        <v>37</v>
      </c>
      <c r="G254" s="17" t="s">
        <v>38</v>
      </c>
      <c r="H254" s="17" t="s">
        <v>101</v>
      </c>
      <c r="I254" s="17"/>
      <c r="J254" s="17"/>
      <c r="K254" s="17"/>
      <c r="L254" s="17"/>
      <c r="M254" s="17">
        <v>0</v>
      </c>
      <c r="N254" s="28">
        <v>1</v>
      </c>
      <c r="O254" s="28">
        <v>50000</v>
      </c>
      <c r="P254" s="28">
        <v>100000</v>
      </c>
      <c r="Q254" s="17"/>
      <c r="R254" s="17"/>
      <c r="S254" s="12"/>
      <c r="T254" s="12" t="s">
        <v>39</v>
      </c>
      <c r="U254" s="17" t="s">
        <v>45</v>
      </c>
      <c r="V254" s="19">
        <f>VLOOKUP(A254,'2023 Stats'!$B$2:$D$192,3,FALSE)</f>
        <v>2524</v>
      </c>
      <c r="W254" s="29">
        <v>631</v>
      </c>
      <c r="X254" s="30"/>
      <c r="Y254" s="19">
        <v>3489</v>
      </c>
      <c r="Z254" s="29">
        <v>291</v>
      </c>
      <c r="AA254" s="30"/>
      <c r="AB254" s="19">
        <v>5365</v>
      </c>
      <c r="AC254" s="29">
        <v>447</v>
      </c>
      <c r="AD254" s="30"/>
      <c r="AE254" s="31">
        <v>456</v>
      </c>
      <c r="AF254" s="30"/>
      <c r="AG254" s="25"/>
      <c r="AH254" s="25"/>
      <c r="AI254" s="25"/>
    </row>
    <row r="255" spans="1:35" ht="22.8" x14ac:dyDescent="0.3">
      <c r="A255" s="24">
        <v>50957</v>
      </c>
      <c r="B255" s="25" t="s">
        <v>345</v>
      </c>
      <c r="C255" s="26">
        <v>42186</v>
      </c>
      <c r="D255" s="26"/>
      <c r="E255" s="27" t="s">
        <v>43</v>
      </c>
      <c r="F255" s="16" t="s">
        <v>37</v>
      </c>
      <c r="G255" s="17" t="s">
        <v>38</v>
      </c>
      <c r="H255" s="17" t="s">
        <v>101</v>
      </c>
      <c r="I255" s="17"/>
      <c r="J255" s="17"/>
      <c r="K255" s="17"/>
      <c r="L255" s="17"/>
      <c r="M255" s="17">
        <v>15</v>
      </c>
      <c r="N255" s="28">
        <v>1</v>
      </c>
      <c r="O255" s="28">
        <v>50000</v>
      </c>
      <c r="P255" s="28">
        <v>100000</v>
      </c>
      <c r="Q255" s="17"/>
      <c r="R255" s="17"/>
      <c r="S255" s="12"/>
      <c r="T255" s="12" t="s">
        <v>39</v>
      </c>
      <c r="U255" s="17" t="s">
        <v>45</v>
      </c>
      <c r="V255" s="19">
        <f>VLOOKUP(A255,'2023 Stats'!$B$2:$D$192,3,FALSE)</f>
        <v>7</v>
      </c>
      <c r="W255" s="29">
        <v>2</v>
      </c>
      <c r="X255" s="30"/>
      <c r="Y255" s="19">
        <v>23</v>
      </c>
      <c r="Z255" s="29">
        <v>2</v>
      </c>
      <c r="AA255" s="30"/>
      <c r="AB255" s="19">
        <v>30</v>
      </c>
      <c r="AC255" s="29">
        <v>3</v>
      </c>
      <c r="AD255" s="30"/>
      <c r="AE255" s="31">
        <v>2</v>
      </c>
      <c r="AF255" s="30"/>
      <c r="AG255" s="25"/>
      <c r="AH255" s="25"/>
      <c r="AI255" s="25"/>
    </row>
    <row r="256" spans="1:35" ht="22.8" hidden="1" x14ac:dyDescent="0.3">
      <c r="A256" s="12">
        <v>50959</v>
      </c>
      <c r="B256" s="13" t="s">
        <v>346</v>
      </c>
      <c r="C256" s="14">
        <v>42186</v>
      </c>
      <c r="D256" s="14"/>
      <c r="E256" s="15" t="s">
        <v>36</v>
      </c>
      <c r="F256" s="35" t="s">
        <v>37</v>
      </c>
      <c r="G256" s="12" t="s">
        <v>38</v>
      </c>
      <c r="H256" s="17" t="s">
        <v>123</v>
      </c>
      <c r="I256" s="17"/>
      <c r="J256" s="12"/>
      <c r="K256" s="12"/>
      <c r="L256" s="12"/>
      <c r="M256" s="17">
        <v>0</v>
      </c>
      <c r="N256" s="18">
        <v>1</v>
      </c>
      <c r="O256" s="18">
        <v>50000</v>
      </c>
      <c r="P256" s="18">
        <v>100000</v>
      </c>
      <c r="Q256" s="13"/>
      <c r="R256" s="13"/>
      <c r="S256" s="12"/>
      <c r="T256" s="12" t="s">
        <v>39</v>
      </c>
      <c r="U256" s="12" t="e">
        <v>#N/A</v>
      </c>
      <c r="V256" s="19" t="e">
        <f>VLOOKUP(A256,'2023 Stats'!$B$2:$D$192,3,FALSE)</f>
        <v>#N/A</v>
      </c>
      <c r="W256" s="20" t="e">
        <v>#N/A</v>
      </c>
      <c r="X256" s="21"/>
      <c r="Y256" s="22" t="e">
        <v>#N/A</v>
      </c>
      <c r="Z256" s="20" t="e">
        <v>#N/A</v>
      </c>
      <c r="AA256" s="21"/>
      <c r="AB256" s="22" t="e">
        <v>#N/A</v>
      </c>
      <c r="AC256" s="20"/>
      <c r="AD256" s="21"/>
      <c r="AE256" s="23" t="e">
        <v>#N/A</v>
      </c>
      <c r="AF256" s="21"/>
      <c r="AG256" s="13"/>
      <c r="AH256" s="13"/>
      <c r="AI256" s="13"/>
    </row>
    <row r="257" spans="1:35" ht="22.8" x14ac:dyDescent="0.3">
      <c r="A257" s="24">
        <v>50961</v>
      </c>
      <c r="B257" s="25" t="s">
        <v>347</v>
      </c>
      <c r="C257" s="26">
        <v>42186</v>
      </c>
      <c r="D257" s="26"/>
      <c r="E257" s="27" t="s">
        <v>43</v>
      </c>
      <c r="F257" s="16" t="s">
        <v>37</v>
      </c>
      <c r="G257" s="17" t="s">
        <v>84</v>
      </c>
      <c r="H257" s="40" t="s">
        <v>77</v>
      </c>
      <c r="I257" s="40" t="s">
        <v>120</v>
      </c>
      <c r="J257" s="40" t="s">
        <v>79</v>
      </c>
      <c r="K257" s="40">
        <v>4</v>
      </c>
      <c r="L257" s="17"/>
      <c r="M257" s="17">
        <v>10</v>
      </c>
      <c r="N257" s="28">
        <v>1</v>
      </c>
      <c r="O257" s="28">
        <v>50000</v>
      </c>
      <c r="P257" s="28">
        <v>100000</v>
      </c>
      <c r="Q257" s="17"/>
      <c r="R257" s="17"/>
      <c r="S257" s="12"/>
      <c r="T257" s="12" t="s">
        <v>39</v>
      </c>
      <c r="U257" s="17" t="s">
        <v>45</v>
      </c>
      <c r="V257" s="19">
        <f>VLOOKUP(A257,'2023 Stats'!$B$2:$D$192,3,FALSE)</f>
        <v>34946</v>
      </c>
      <c r="W257" s="29">
        <v>8737</v>
      </c>
      <c r="X257" s="30"/>
      <c r="Y257" s="19">
        <v>47393</v>
      </c>
      <c r="Z257" s="29">
        <v>3949</v>
      </c>
      <c r="AA257" s="30"/>
      <c r="AB257" s="19">
        <v>63804</v>
      </c>
      <c r="AC257" s="29">
        <v>5317</v>
      </c>
      <c r="AD257" s="30">
        <v>9</v>
      </c>
      <c r="AE257" s="31">
        <v>6001</v>
      </c>
      <c r="AF257" s="30"/>
      <c r="AG257" s="25"/>
      <c r="AH257" s="25"/>
      <c r="AI257" s="25"/>
    </row>
    <row r="258" spans="1:35" ht="22.8" hidden="1" x14ac:dyDescent="0.3">
      <c r="A258" s="17">
        <v>50963</v>
      </c>
      <c r="B258" s="25" t="s">
        <v>348</v>
      </c>
      <c r="C258" s="26">
        <v>42186</v>
      </c>
      <c r="D258" s="26"/>
      <c r="E258" s="27" t="s">
        <v>36</v>
      </c>
      <c r="F258" s="16" t="s">
        <v>37</v>
      </c>
      <c r="G258" s="17" t="s">
        <v>38</v>
      </c>
      <c r="H258" s="40" t="s">
        <v>94</v>
      </c>
      <c r="I258" s="17"/>
      <c r="J258" s="17"/>
      <c r="K258" s="17"/>
      <c r="L258" s="17"/>
      <c r="M258" s="17">
        <v>15</v>
      </c>
      <c r="N258" s="28">
        <v>1</v>
      </c>
      <c r="O258" s="28">
        <v>50000</v>
      </c>
      <c r="P258" s="28">
        <v>100000</v>
      </c>
      <c r="Q258" s="17"/>
      <c r="R258" s="17"/>
      <c r="S258" s="17"/>
      <c r="T258" s="17" t="s">
        <v>39</v>
      </c>
      <c r="U258" s="17" t="s">
        <v>45</v>
      </c>
      <c r="V258" s="19">
        <f>VLOOKUP(A258,'2023 Stats'!$B$2:$D$192,3,FALSE)</f>
        <v>130</v>
      </c>
      <c r="W258" s="29">
        <v>33</v>
      </c>
      <c r="X258" s="30"/>
      <c r="Y258" s="19">
        <v>253</v>
      </c>
      <c r="Z258" s="29">
        <v>21</v>
      </c>
      <c r="AA258" s="30"/>
      <c r="AB258" s="19">
        <v>465</v>
      </c>
      <c r="AC258" s="29">
        <v>39</v>
      </c>
      <c r="AD258" s="30"/>
      <c r="AE258" s="31">
        <v>31</v>
      </c>
      <c r="AF258" s="30"/>
      <c r="AG258" s="25"/>
      <c r="AH258" s="25"/>
      <c r="AI258" s="25"/>
    </row>
    <row r="259" spans="1:35" ht="22.8" hidden="1" x14ac:dyDescent="0.3">
      <c r="A259" s="17">
        <v>50964</v>
      </c>
      <c r="B259" s="25" t="s">
        <v>349</v>
      </c>
      <c r="C259" s="26">
        <v>42186</v>
      </c>
      <c r="D259" s="26"/>
      <c r="E259" s="27" t="s">
        <v>36</v>
      </c>
      <c r="F259" s="27" t="s">
        <v>47</v>
      </c>
      <c r="G259" s="17" t="s">
        <v>84</v>
      </c>
      <c r="H259" s="17" t="s">
        <v>64</v>
      </c>
      <c r="I259" s="17"/>
      <c r="J259" s="17"/>
      <c r="K259" s="17"/>
      <c r="L259" s="17" t="s">
        <v>350</v>
      </c>
      <c r="M259" s="17">
        <v>0</v>
      </c>
      <c r="N259" s="28">
        <v>0</v>
      </c>
      <c r="O259" s="28">
        <v>50000</v>
      </c>
      <c r="P259" s="28">
        <v>100000</v>
      </c>
      <c r="Q259" s="17"/>
      <c r="R259" s="17"/>
      <c r="S259" s="17"/>
      <c r="T259" s="17" t="s">
        <v>39</v>
      </c>
      <c r="U259" s="17" t="e">
        <v>#N/A</v>
      </c>
      <c r="V259" s="19" t="e">
        <f>VLOOKUP(A259,'2023 Stats'!$B$2:$D$192,3,FALSE)</f>
        <v>#N/A</v>
      </c>
      <c r="W259" s="29" t="e">
        <v>#N/A</v>
      </c>
      <c r="X259" s="30"/>
      <c r="Y259" s="19" t="e">
        <v>#N/A</v>
      </c>
      <c r="Z259" s="29" t="e">
        <v>#N/A</v>
      </c>
      <c r="AA259" s="30"/>
      <c r="AB259" s="19" t="e">
        <v>#N/A</v>
      </c>
      <c r="AC259" s="29"/>
      <c r="AD259" s="30"/>
      <c r="AE259" s="31" t="e">
        <v>#N/A</v>
      </c>
      <c r="AF259" s="30"/>
      <c r="AG259" s="25"/>
      <c r="AH259" s="25"/>
      <c r="AI259" s="25"/>
    </row>
    <row r="260" spans="1:35" ht="22.8" hidden="1" x14ac:dyDescent="0.3">
      <c r="A260" s="12">
        <v>50967</v>
      </c>
      <c r="B260" s="13" t="s">
        <v>351</v>
      </c>
      <c r="C260" s="14">
        <v>42186</v>
      </c>
      <c r="D260" s="14"/>
      <c r="E260" s="15" t="s">
        <v>36</v>
      </c>
      <c r="F260" s="33" t="s">
        <v>47</v>
      </c>
      <c r="G260" s="12" t="s">
        <v>84</v>
      </c>
      <c r="H260" s="12"/>
      <c r="I260" s="12"/>
      <c r="J260" s="12"/>
      <c r="K260" s="12"/>
      <c r="L260" s="12" t="s">
        <v>352</v>
      </c>
      <c r="M260" s="17">
        <v>0</v>
      </c>
      <c r="N260" s="18">
        <v>0</v>
      </c>
      <c r="O260" s="18">
        <v>50000</v>
      </c>
      <c r="P260" s="18">
        <v>100000</v>
      </c>
      <c r="Q260" s="13"/>
      <c r="R260" s="13"/>
      <c r="S260" s="12"/>
      <c r="T260" s="12" t="s">
        <v>39</v>
      </c>
      <c r="U260" s="12" t="e">
        <v>#N/A</v>
      </c>
      <c r="V260" s="19" t="e">
        <f>VLOOKUP(A260,'2023 Stats'!$B$2:$D$192,3,FALSE)</f>
        <v>#N/A</v>
      </c>
      <c r="W260" s="20" t="e">
        <v>#N/A</v>
      </c>
      <c r="X260" s="21"/>
      <c r="Y260" s="22" t="e">
        <v>#N/A</v>
      </c>
      <c r="Z260" s="20" t="e">
        <v>#N/A</v>
      </c>
      <c r="AA260" s="21"/>
      <c r="AB260" s="22" t="e">
        <v>#N/A</v>
      </c>
      <c r="AC260" s="20"/>
      <c r="AD260" s="21"/>
      <c r="AE260" s="23" t="e">
        <v>#N/A</v>
      </c>
      <c r="AF260" s="21"/>
      <c r="AG260" s="13"/>
      <c r="AH260" s="13"/>
      <c r="AI260" s="13"/>
    </row>
    <row r="261" spans="1:35" ht="22.8" hidden="1" x14ac:dyDescent="0.3">
      <c r="A261" s="12">
        <v>50970</v>
      </c>
      <c r="B261" s="13" t="s">
        <v>353</v>
      </c>
      <c r="C261" s="14">
        <v>42186</v>
      </c>
      <c r="D261" s="14"/>
      <c r="E261" s="15" t="s">
        <v>36</v>
      </c>
      <c r="F261" s="16" t="s">
        <v>37</v>
      </c>
      <c r="G261" s="12" t="s">
        <v>84</v>
      </c>
      <c r="H261" s="12"/>
      <c r="I261" s="12"/>
      <c r="J261" s="12"/>
      <c r="K261" s="12"/>
      <c r="L261" s="12"/>
      <c r="M261" s="17">
        <v>0</v>
      </c>
      <c r="N261" s="18">
        <v>0</v>
      </c>
      <c r="O261" s="18">
        <v>50000</v>
      </c>
      <c r="P261" s="18">
        <v>100000</v>
      </c>
      <c r="Q261" s="13"/>
      <c r="R261" s="13"/>
      <c r="S261" s="12"/>
      <c r="T261" s="12" t="s">
        <v>39</v>
      </c>
      <c r="U261" s="12" t="e">
        <v>#N/A</v>
      </c>
      <c r="V261" s="19" t="e">
        <f>VLOOKUP(A261,'2023 Stats'!$B$2:$D$192,3,FALSE)</f>
        <v>#N/A</v>
      </c>
      <c r="W261" s="20" t="e">
        <v>#N/A</v>
      </c>
      <c r="X261" s="21"/>
      <c r="Y261" s="22" t="e">
        <v>#N/A</v>
      </c>
      <c r="Z261" s="20" t="e">
        <v>#N/A</v>
      </c>
      <c r="AA261" s="21"/>
      <c r="AB261" s="22" t="e">
        <v>#N/A</v>
      </c>
      <c r="AC261" s="20"/>
      <c r="AD261" s="21"/>
      <c r="AE261" s="23" t="e">
        <v>#N/A</v>
      </c>
      <c r="AF261" s="21"/>
      <c r="AG261" s="13"/>
      <c r="AH261" s="13"/>
      <c r="AI261" s="13"/>
    </row>
    <row r="262" spans="1:35" ht="22.8" hidden="1" x14ac:dyDescent="0.3">
      <c r="A262" s="12">
        <v>50971</v>
      </c>
      <c r="B262" s="13" t="s">
        <v>354</v>
      </c>
      <c r="C262" s="14">
        <v>42186</v>
      </c>
      <c r="D262" s="14">
        <v>43220</v>
      </c>
      <c r="E262" s="15" t="s">
        <v>36</v>
      </c>
      <c r="F262" s="16" t="s">
        <v>37</v>
      </c>
      <c r="G262" s="12" t="s">
        <v>84</v>
      </c>
      <c r="H262" s="12"/>
      <c r="I262" s="12"/>
      <c r="J262" s="12"/>
      <c r="K262" s="12"/>
      <c r="L262" s="12"/>
      <c r="M262" s="17">
        <v>0</v>
      </c>
      <c r="N262" s="18">
        <v>0</v>
      </c>
      <c r="O262" s="18">
        <v>50000</v>
      </c>
      <c r="P262" s="18">
        <v>100000</v>
      </c>
      <c r="Q262" s="13"/>
      <c r="R262" s="13"/>
      <c r="S262" s="12"/>
      <c r="T262" s="12" t="s">
        <v>39</v>
      </c>
      <c r="U262" s="12" t="e">
        <v>#N/A</v>
      </c>
      <c r="V262" s="19" t="e">
        <f>VLOOKUP(A262,'2023 Stats'!$B$2:$D$192,3,FALSE)</f>
        <v>#N/A</v>
      </c>
      <c r="W262" s="20" t="e">
        <v>#N/A</v>
      </c>
      <c r="X262" s="21"/>
      <c r="Y262" s="22" t="e">
        <v>#N/A</v>
      </c>
      <c r="Z262" s="20" t="e">
        <v>#N/A</v>
      </c>
      <c r="AA262" s="21"/>
      <c r="AB262" s="22" t="e">
        <v>#N/A</v>
      </c>
      <c r="AC262" s="20"/>
      <c r="AD262" s="21"/>
      <c r="AE262" s="23" t="e">
        <v>#N/A</v>
      </c>
      <c r="AF262" s="21"/>
      <c r="AG262" s="13"/>
      <c r="AH262" s="13"/>
      <c r="AI262" s="13"/>
    </row>
    <row r="263" spans="1:35" ht="22.8" hidden="1" x14ac:dyDescent="0.3">
      <c r="A263" s="17">
        <v>50974</v>
      </c>
      <c r="B263" s="25" t="s">
        <v>355</v>
      </c>
      <c r="C263" s="26">
        <v>42186</v>
      </c>
      <c r="D263" s="26"/>
      <c r="E263" s="27" t="s">
        <v>36</v>
      </c>
      <c r="F263" s="27" t="s">
        <v>47</v>
      </c>
      <c r="G263" s="17" t="s">
        <v>38</v>
      </c>
      <c r="H263" s="17" t="s">
        <v>64</v>
      </c>
      <c r="I263" s="17"/>
      <c r="J263" s="17"/>
      <c r="K263" s="17"/>
      <c r="L263" s="17" t="s">
        <v>330</v>
      </c>
      <c r="M263" s="17">
        <v>20</v>
      </c>
      <c r="N263" s="28">
        <v>0</v>
      </c>
      <c r="O263" s="28">
        <v>50000</v>
      </c>
      <c r="P263" s="28">
        <v>100000</v>
      </c>
      <c r="Q263" s="17"/>
      <c r="R263" s="17"/>
      <c r="S263" s="17"/>
      <c r="T263" s="17" t="s">
        <v>39</v>
      </c>
      <c r="U263" s="17" t="s">
        <v>45</v>
      </c>
      <c r="V263" s="19">
        <f>VLOOKUP(A263,'2023 Stats'!$B$2:$D$192,3,FALSE)</f>
        <v>90</v>
      </c>
      <c r="W263" s="29">
        <v>23</v>
      </c>
      <c r="X263" s="30"/>
      <c r="Y263" s="19">
        <v>145</v>
      </c>
      <c r="Z263" s="29">
        <v>12</v>
      </c>
      <c r="AA263" s="30"/>
      <c r="AB263" s="19">
        <v>19</v>
      </c>
      <c r="AC263" s="29">
        <v>2</v>
      </c>
      <c r="AD263" s="30"/>
      <c r="AE263" s="31">
        <v>12</v>
      </c>
      <c r="AF263" s="30"/>
      <c r="AG263" s="25"/>
      <c r="AH263" s="25"/>
      <c r="AI263" s="25"/>
    </row>
    <row r="264" spans="1:35" ht="22.8" x14ac:dyDescent="0.3">
      <c r="A264" s="24">
        <v>50975</v>
      </c>
      <c r="B264" s="25" t="s">
        <v>356</v>
      </c>
      <c r="C264" s="26">
        <v>42186</v>
      </c>
      <c r="D264" s="26"/>
      <c r="E264" s="27" t="s">
        <v>43</v>
      </c>
      <c r="F264" s="27" t="s">
        <v>47</v>
      </c>
      <c r="G264" s="17" t="s">
        <v>38</v>
      </c>
      <c r="H264" s="17" t="s">
        <v>85</v>
      </c>
      <c r="I264" s="17"/>
      <c r="J264" s="17"/>
      <c r="K264" s="17"/>
      <c r="L264" s="17" t="s">
        <v>352</v>
      </c>
      <c r="M264" s="17">
        <v>15</v>
      </c>
      <c r="N264" s="28">
        <v>1</v>
      </c>
      <c r="O264" s="28">
        <v>50000</v>
      </c>
      <c r="P264" s="28">
        <v>100000</v>
      </c>
      <c r="Q264" s="17"/>
      <c r="R264" s="17"/>
      <c r="S264" s="12"/>
      <c r="T264" s="12" t="s">
        <v>39</v>
      </c>
      <c r="U264" s="17" t="s">
        <v>45</v>
      </c>
      <c r="V264" s="19">
        <f>VLOOKUP(A264,'2023 Stats'!$B$2:$D$192,3,FALSE)</f>
        <v>1461</v>
      </c>
      <c r="W264" s="29">
        <v>365</v>
      </c>
      <c r="X264" s="30"/>
      <c r="Y264" s="19">
        <v>2418</v>
      </c>
      <c r="Z264" s="29">
        <v>202</v>
      </c>
      <c r="AA264" s="30"/>
      <c r="AB264" s="19">
        <v>4360</v>
      </c>
      <c r="AC264" s="29">
        <v>363</v>
      </c>
      <c r="AD264" s="30"/>
      <c r="AE264" s="31">
        <v>310</v>
      </c>
      <c r="AF264" s="30"/>
      <c r="AG264" s="25"/>
      <c r="AH264" s="25"/>
      <c r="AI264" s="25"/>
    </row>
    <row r="265" spans="1:35" ht="22.8" hidden="1" x14ac:dyDescent="0.3">
      <c r="A265" s="12">
        <v>50977</v>
      </c>
      <c r="B265" s="13" t="s">
        <v>357</v>
      </c>
      <c r="C265" s="14">
        <v>42186</v>
      </c>
      <c r="D265" s="14"/>
      <c r="E265" s="15" t="s">
        <v>36</v>
      </c>
      <c r="F265" s="35" t="s">
        <v>37</v>
      </c>
      <c r="G265" s="12" t="s">
        <v>38</v>
      </c>
      <c r="H265" s="17" t="s">
        <v>64</v>
      </c>
      <c r="I265" s="17"/>
      <c r="J265" s="12"/>
      <c r="K265" s="12"/>
      <c r="L265" s="12"/>
      <c r="M265" s="17">
        <v>0</v>
      </c>
      <c r="N265" s="18">
        <v>0</v>
      </c>
      <c r="O265" s="18">
        <v>0</v>
      </c>
      <c r="P265" s="18">
        <v>100000</v>
      </c>
      <c r="Q265" s="13"/>
      <c r="R265" s="13"/>
      <c r="S265" s="12"/>
      <c r="T265" s="12" t="s">
        <v>39</v>
      </c>
      <c r="U265" s="12" t="e">
        <v>#N/A</v>
      </c>
      <c r="V265" s="19" t="e">
        <f>VLOOKUP(A265,'2023 Stats'!$B$2:$D$192,3,FALSE)</f>
        <v>#N/A</v>
      </c>
      <c r="W265" s="20" t="e">
        <v>#N/A</v>
      </c>
      <c r="X265" s="21"/>
      <c r="Y265" s="22" t="e">
        <v>#N/A</v>
      </c>
      <c r="Z265" s="20" t="e">
        <v>#N/A</v>
      </c>
      <c r="AA265" s="21"/>
      <c r="AB265" s="22">
        <v>2</v>
      </c>
      <c r="AC265" s="20">
        <v>0</v>
      </c>
      <c r="AD265" s="21"/>
      <c r="AE265" s="23" t="e">
        <v>#N/A</v>
      </c>
      <c r="AF265" s="21"/>
      <c r="AG265" s="13"/>
      <c r="AH265" s="13"/>
      <c r="AI265" s="13"/>
    </row>
    <row r="266" spans="1:35" ht="22.8" x14ac:dyDescent="0.3">
      <c r="A266" s="17">
        <v>50981</v>
      </c>
      <c r="B266" s="25" t="s">
        <v>358</v>
      </c>
      <c r="C266" s="26">
        <v>42186</v>
      </c>
      <c r="D266" s="26"/>
      <c r="E266" s="27" t="s">
        <v>43</v>
      </c>
      <c r="F266" s="27" t="s">
        <v>47</v>
      </c>
      <c r="G266" s="17" t="s">
        <v>84</v>
      </c>
      <c r="H266" s="17" t="s">
        <v>64</v>
      </c>
      <c r="I266" s="17"/>
      <c r="J266" s="17"/>
      <c r="K266" s="17"/>
      <c r="L266" s="17" t="s">
        <v>352</v>
      </c>
      <c r="M266" s="17">
        <v>15</v>
      </c>
      <c r="N266" s="28">
        <v>1</v>
      </c>
      <c r="O266" s="28">
        <v>50000</v>
      </c>
      <c r="P266" s="28">
        <v>100000</v>
      </c>
      <c r="Q266" s="17"/>
      <c r="R266" s="17"/>
      <c r="S266" s="17"/>
      <c r="T266" s="17" t="s">
        <v>39</v>
      </c>
      <c r="U266" s="17" t="s">
        <v>45</v>
      </c>
      <c r="V266" s="19">
        <f>VLOOKUP(A266,'2023 Stats'!$B$2:$D$192,3,FALSE)</f>
        <v>1305</v>
      </c>
      <c r="W266" s="29">
        <v>326</v>
      </c>
      <c r="X266" s="30"/>
      <c r="Y266" s="19">
        <v>2039</v>
      </c>
      <c r="Z266" s="29">
        <v>170</v>
      </c>
      <c r="AA266" s="30"/>
      <c r="AB266" s="19">
        <v>3512</v>
      </c>
      <c r="AC266" s="29">
        <v>293</v>
      </c>
      <c r="AD266" s="30"/>
      <c r="AE266" s="31">
        <v>263</v>
      </c>
      <c r="AF266" s="30"/>
      <c r="AG266" s="25"/>
      <c r="AH266" s="25"/>
      <c r="AI266" s="25"/>
    </row>
    <row r="267" spans="1:35" ht="22.8" x14ac:dyDescent="0.3">
      <c r="A267" s="24">
        <v>50982</v>
      </c>
      <c r="B267" s="25" t="s">
        <v>359</v>
      </c>
      <c r="C267" s="26">
        <v>42186</v>
      </c>
      <c r="D267" s="26"/>
      <c r="E267" s="27" t="s">
        <v>43</v>
      </c>
      <c r="F267" s="16" t="s">
        <v>37</v>
      </c>
      <c r="G267" s="17" t="s">
        <v>84</v>
      </c>
      <c r="H267" s="40" t="s">
        <v>85</v>
      </c>
      <c r="I267" s="40" t="s">
        <v>95</v>
      </c>
      <c r="J267" s="40" t="s">
        <v>104</v>
      </c>
      <c r="K267" s="40">
        <v>11</v>
      </c>
      <c r="L267" s="17"/>
      <c r="M267" s="17" t="s">
        <v>360</v>
      </c>
      <c r="N267" s="28">
        <v>1</v>
      </c>
      <c r="O267" s="28">
        <v>50000</v>
      </c>
      <c r="P267" s="28">
        <v>100000</v>
      </c>
      <c r="Q267" s="17"/>
      <c r="R267" s="17"/>
      <c r="S267" s="12" t="s">
        <v>82</v>
      </c>
      <c r="T267" s="12" t="s">
        <v>39</v>
      </c>
      <c r="U267" s="17" t="s">
        <v>45</v>
      </c>
      <c r="V267" s="19">
        <f>VLOOKUP(A267,'2023 Stats'!$B$2:$D$192,3,FALSE)</f>
        <v>63548</v>
      </c>
      <c r="W267" s="29">
        <v>15887</v>
      </c>
      <c r="X267" s="30">
        <v>6</v>
      </c>
      <c r="Y267" s="19">
        <v>77725</v>
      </c>
      <c r="Z267" s="29">
        <v>6477</v>
      </c>
      <c r="AA267" s="30">
        <v>6</v>
      </c>
      <c r="AB267" s="19">
        <v>100925</v>
      </c>
      <c r="AC267" s="29">
        <v>8410</v>
      </c>
      <c r="AD267" s="30">
        <v>4</v>
      </c>
      <c r="AE267" s="31">
        <v>10258</v>
      </c>
      <c r="AF267" s="30">
        <v>6</v>
      </c>
      <c r="AG267" s="25"/>
      <c r="AH267" s="25"/>
      <c r="AI267" s="25"/>
    </row>
    <row r="268" spans="1:35" ht="22.8" hidden="1" x14ac:dyDescent="0.3">
      <c r="A268" s="12">
        <v>50985</v>
      </c>
      <c r="B268" s="13" t="s">
        <v>361</v>
      </c>
      <c r="C268" s="14">
        <v>42186</v>
      </c>
      <c r="D268" s="14"/>
      <c r="E268" s="15" t="s">
        <v>36</v>
      </c>
      <c r="F268" s="35" t="s">
        <v>37</v>
      </c>
      <c r="G268" s="12" t="s">
        <v>38</v>
      </c>
      <c r="H268" s="17" t="s">
        <v>64</v>
      </c>
      <c r="I268" s="40" t="s">
        <v>120</v>
      </c>
      <c r="J268" s="37" t="s">
        <v>79</v>
      </c>
      <c r="K268" s="37">
        <v>7</v>
      </c>
      <c r="L268" s="12"/>
      <c r="M268" s="17">
        <v>15</v>
      </c>
      <c r="N268" s="18">
        <v>1</v>
      </c>
      <c r="O268" s="18">
        <v>50000</v>
      </c>
      <c r="P268" s="18">
        <v>100000</v>
      </c>
      <c r="Q268" s="13"/>
      <c r="R268" s="13"/>
      <c r="S268" s="12"/>
      <c r="T268" s="12" t="s">
        <v>39</v>
      </c>
      <c r="U268" s="12" t="s">
        <v>45</v>
      </c>
      <c r="V268" s="19">
        <f>VLOOKUP(A268,'2023 Stats'!$B$2:$D$192,3,FALSE)</f>
        <v>3263</v>
      </c>
      <c r="W268" s="20">
        <v>816</v>
      </c>
      <c r="X268" s="21"/>
      <c r="Y268" s="22">
        <v>50376</v>
      </c>
      <c r="Z268" s="20">
        <v>4198</v>
      </c>
      <c r="AA268" s="21"/>
      <c r="AB268" s="22">
        <v>9386</v>
      </c>
      <c r="AC268" s="20">
        <v>782</v>
      </c>
      <c r="AD268" s="21"/>
      <c r="AE268" s="23">
        <v>1932</v>
      </c>
      <c r="AF268" s="21"/>
      <c r="AG268" s="13"/>
      <c r="AH268" s="13"/>
      <c r="AI268" s="13"/>
    </row>
    <row r="269" spans="1:35" ht="22.8" hidden="1" x14ac:dyDescent="0.3">
      <c r="A269" s="12">
        <v>50988</v>
      </c>
      <c r="B269" s="13" t="s">
        <v>362</v>
      </c>
      <c r="C269" s="14">
        <v>42186</v>
      </c>
      <c r="D269" s="14"/>
      <c r="E269" s="15" t="s">
        <v>36</v>
      </c>
      <c r="F269" s="35" t="s">
        <v>37</v>
      </c>
      <c r="G269" s="12" t="s">
        <v>38</v>
      </c>
      <c r="H269" s="12"/>
      <c r="I269" s="12"/>
      <c r="J269" s="12"/>
      <c r="K269" s="12"/>
      <c r="L269" s="12"/>
      <c r="M269" s="17">
        <v>0</v>
      </c>
      <c r="N269" s="18">
        <v>1</v>
      </c>
      <c r="O269" s="18">
        <v>50000</v>
      </c>
      <c r="P269" s="18">
        <v>100000</v>
      </c>
      <c r="Q269" s="13"/>
      <c r="R269" s="13"/>
      <c r="S269" s="12"/>
      <c r="T269" s="12" t="s">
        <v>39</v>
      </c>
      <c r="U269" s="12" t="e">
        <v>#N/A</v>
      </c>
      <c r="V269" s="19" t="e">
        <f>VLOOKUP(A269,'2023 Stats'!$B$2:$D$192,3,FALSE)</f>
        <v>#N/A</v>
      </c>
      <c r="W269" s="20" t="e">
        <v>#N/A</v>
      </c>
      <c r="X269" s="21"/>
      <c r="Y269" s="22" t="e">
        <v>#N/A</v>
      </c>
      <c r="Z269" s="20" t="e">
        <v>#N/A</v>
      </c>
      <c r="AA269" s="21"/>
      <c r="AB269" s="22">
        <v>2</v>
      </c>
      <c r="AC269" s="20">
        <v>0</v>
      </c>
      <c r="AD269" s="21"/>
      <c r="AE269" s="23" t="e">
        <v>#N/A</v>
      </c>
      <c r="AF269" s="21"/>
      <c r="AG269" s="13"/>
      <c r="AH269" s="13"/>
      <c r="AI269" s="13"/>
    </row>
    <row r="270" spans="1:35" ht="22.8" x14ac:dyDescent="0.3">
      <c r="A270" s="24">
        <v>50989</v>
      </c>
      <c r="B270" s="25" t="s">
        <v>363</v>
      </c>
      <c r="C270" s="26">
        <v>42550</v>
      </c>
      <c r="D270" s="26"/>
      <c r="E270" s="27" t="s">
        <v>43</v>
      </c>
      <c r="F270" s="16" t="s">
        <v>37</v>
      </c>
      <c r="G270" s="17" t="s">
        <v>38</v>
      </c>
      <c r="H270" s="17" t="s">
        <v>77</v>
      </c>
      <c r="I270" s="17"/>
      <c r="J270" s="17"/>
      <c r="K270" s="17"/>
      <c r="L270" s="17"/>
      <c r="M270" s="17" t="s">
        <v>364</v>
      </c>
      <c r="N270" s="28">
        <v>1</v>
      </c>
      <c r="O270" s="28">
        <v>50000</v>
      </c>
      <c r="P270" s="28">
        <v>100000</v>
      </c>
      <c r="Q270" s="17"/>
      <c r="R270" s="17"/>
      <c r="S270" s="12"/>
      <c r="T270" s="12" t="s">
        <v>39</v>
      </c>
      <c r="U270" s="17" t="s">
        <v>45</v>
      </c>
      <c r="V270" s="19">
        <f>VLOOKUP(A270,'2023 Stats'!$B$2:$D$192,3,FALSE)</f>
        <v>1226</v>
      </c>
      <c r="W270" s="29">
        <v>307</v>
      </c>
      <c r="X270" s="30"/>
      <c r="Y270" s="19">
        <v>1755</v>
      </c>
      <c r="Z270" s="29">
        <v>146</v>
      </c>
      <c r="AA270" s="30"/>
      <c r="AB270" s="19">
        <v>2725</v>
      </c>
      <c r="AC270" s="29">
        <v>227</v>
      </c>
      <c r="AD270" s="30"/>
      <c r="AE270" s="31">
        <v>227</v>
      </c>
      <c r="AF270" s="30"/>
      <c r="AG270" s="25"/>
      <c r="AH270" s="25"/>
      <c r="AI270" s="25"/>
    </row>
    <row r="271" spans="1:35" ht="22.8" hidden="1" x14ac:dyDescent="0.3">
      <c r="A271" s="12">
        <v>50991</v>
      </c>
      <c r="B271" s="13" t="s">
        <v>365</v>
      </c>
      <c r="C271" s="43">
        <v>42011</v>
      </c>
      <c r="D271" s="14"/>
      <c r="E271" s="15" t="s">
        <v>36</v>
      </c>
      <c r="F271" s="16" t="s">
        <v>37</v>
      </c>
      <c r="G271" s="12"/>
      <c r="H271" s="17"/>
      <c r="I271" s="17"/>
      <c r="J271" s="12"/>
      <c r="K271" s="12"/>
      <c r="L271" s="12"/>
      <c r="M271" s="17">
        <v>0</v>
      </c>
      <c r="N271" s="18">
        <v>0</v>
      </c>
      <c r="O271" s="18">
        <v>0</v>
      </c>
      <c r="P271" s="18">
        <v>100000</v>
      </c>
      <c r="Q271" s="13"/>
      <c r="R271" s="13"/>
      <c r="S271" s="13"/>
      <c r="T271" s="13"/>
      <c r="U271" s="46"/>
      <c r="V271" s="19" t="e">
        <f>VLOOKUP(A271,'2023 Stats'!$B$2:$D$192,3,FALSE)</f>
        <v>#N/A</v>
      </c>
      <c r="W271" s="20"/>
      <c r="X271" s="21"/>
      <c r="Y271" s="22"/>
      <c r="Z271" s="20"/>
      <c r="AA271" s="21"/>
      <c r="AB271" s="22"/>
      <c r="AC271" s="20"/>
      <c r="AD271" s="21"/>
      <c r="AE271" s="23"/>
      <c r="AF271" s="21"/>
      <c r="AG271" s="13"/>
      <c r="AH271" s="13"/>
      <c r="AI271" s="13"/>
    </row>
    <row r="272" spans="1:35" ht="22.8" hidden="1" x14ac:dyDescent="0.3">
      <c r="A272" s="12">
        <v>50994</v>
      </c>
      <c r="B272" s="13" t="s">
        <v>366</v>
      </c>
      <c r="C272" s="14">
        <v>42186</v>
      </c>
      <c r="D272" s="14"/>
      <c r="E272" s="15" t="s">
        <v>36</v>
      </c>
      <c r="F272" s="35" t="s">
        <v>37</v>
      </c>
      <c r="G272" s="12" t="s">
        <v>38</v>
      </c>
      <c r="H272" s="12"/>
      <c r="I272" s="12"/>
      <c r="J272" s="12"/>
      <c r="K272" s="12"/>
      <c r="L272" s="12"/>
      <c r="M272" s="17">
        <v>0</v>
      </c>
      <c r="N272" s="18">
        <v>0</v>
      </c>
      <c r="O272" s="18">
        <v>50000</v>
      </c>
      <c r="P272" s="18">
        <v>100000</v>
      </c>
      <c r="Q272" s="13"/>
      <c r="R272" s="13"/>
      <c r="S272" s="12"/>
      <c r="T272" s="12" t="s">
        <v>39</v>
      </c>
      <c r="U272" s="12" t="e">
        <v>#N/A</v>
      </c>
      <c r="V272" s="19" t="e">
        <f>VLOOKUP(A272,'2023 Stats'!$B$2:$D$192,3,FALSE)</f>
        <v>#N/A</v>
      </c>
      <c r="W272" s="20" t="e">
        <v>#N/A</v>
      </c>
      <c r="X272" s="21"/>
      <c r="Y272" s="22" t="e">
        <v>#N/A</v>
      </c>
      <c r="Z272" s="20" t="e">
        <v>#N/A</v>
      </c>
      <c r="AA272" s="21"/>
      <c r="AB272" s="22" t="e">
        <v>#N/A</v>
      </c>
      <c r="AC272" s="20"/>
      <c r="AD272" s="21"/>
      <c r="AE272" s="23" t="e">
        <v>#N/A</v>
      </c>
      <c r="AF272" s="21"/>
      <c r="AG272" s="13"/>
      <c r="AH272" s="13"/>
      <c r="AI272" s="13"/>
    </row>
    <row r="273" spans="1:35" ht="22.8" hidden="1" x14ac:dyDescent="0.3">
      <c r="A273" s="12">
        <v>50995</v>
      </c>
      <c r="B273" s="13" t="s">
        <v>367</v>
      </c>
      <c r="C273" s="43">
        <v>42011</v>
      </c>
      <c r="D273" s="14"/>
      <c r="E273" s="15" t="s">
        <v>36</v>
      </c>
      <c r="F273" s="16" t="s">
        <v>37</v>
      </c>
      <c r="G273" s="12"/>
      <c r="H273" s="17"/>
      <c r="I273" s="17"/>
      <c r="J273" s="12"/>
      <c r="K273" s="12"/>
      <c r="L273" s="12"/>
      <c r="M273" s="17">
        <v>0</v>
      </c>
      <c r="N273" s="18">
        <v>0</v>
      </c>
      <c r="O273" s="18">
        <v>0</v>
      </c>
      <c r="P273" s="18">
        <v>100000</v>
      </c>
      <c r="Q273" s="13"/>
      <c r="R273" s="13"/>
      <c r="S273" s="13"/>
      <c r="T273" s="13"/>
      <c r="U273" s="46"/>
      <c r="V273" s="19" t="e">
        <f>VLOOKUP(A273,'2023 Stats'!$B$2:$D$192,3,FALSE)</f>
        <v>#N/A</v>
      </c>
      <c r="W273" s="20"/>
      <c r="X273" s="21"/>
      <c r="Y273" s="22"/>
      <c r="Z273" s="20"/>
      <c r="AA273" s="21"/>
      <c r="AB273" s="22"/>
      <c r="AC273" s="20"/>
      <c r="AD273" s="21"/>
      <c r="AE273" s="23"/>
      <c r="AF273" s="21"/>
      <c r="AG273" s="13"/>
      <c r="AH273" s="13"/>
      <c r="AI273" s="13"/>
    </row>
    <row r="274" spans="1:35" ht="22.8" hidden="1" x14ac:dyDescent="0.3">
      <c r="A274" s="12">
        <v>50997</v>
      </c>
      <c r="B274" s="13" t="s">
        <v>368</v>
      </c>
      <c r="C274" s="14">
        <v>42550</v>
      </c>
      <c r="D274" s="12" t="s">
        <v>369</v>
      </c>
      <c r="E274" s="15" t="s">
        <v>36</v>
      </c>
      <c r="F274" s="16" t="s">
        <v>37</v>
      </c>
      <c r="G274" s="12" t="s">
        <v>38</v>
      </c>
      <c r="H274" s="12"/>
      <c r="I274" s="12"/>
      <c r="J274" s="12"/>
      <c r="K274" s="12"/>
      <c r="L274" s="12"/>
      <c r="M274" s="17">
        <v>0</v>
      </c>
      <c r="N274" s="18">
        <v>1</v>
      </c>
      <c r="O274" s="18">
        <v>50000</v>
      </c>
      <c r="P274" s="18">
        <v>100000</v>
      </c>
      <c r="Q274" s="13"/>
      <c r="R274" s="13"/>
      <c r="S274" s="12"/>
      <c r="T274" s="12" t="s">
        <v>39</v>
      </c>
      <c r="U274" s="12">
        <v>44839</v>
      </c>
      <c r="V274" s="19" t="e">
        <f>VLOOKUP(A274,'2023 Stats'!$B$2:$D$192,3,FALSE)</f>
        <v>#N/A</v>
      </c>
      <c r="W274" s="20" t="e">
        <v>#N/A</v>
      </c>
      <c r="X274" s="21"/>
      <c r="Y274" s="22">
        <v>7</v>
      </c>
      <c r="Z274" s="20">
        <v>1</v>
      </c>
      <c r="AA274" s="21"/>
      <c r="AB274" s="22">
        <v>10</v>
      </c>
      <c r="AC274" s="20">
        <v>1</v>
      </c>
      <c r="AD274" s="21"/>
      <c r="AE274" s="23" t="e">
        <v>#N/A</v>
      </c>
      <c r="AF274" s="21"/>
      <c r="AG274" s="13"/>
      <c r="AH274" s="13"/>
      <c r="AI274" s="13"/>
    </row>
    <row r="275" spans="1:35" ht="22.8" hidden="1" x14ac:dyDescent="0.3">
      <c r="A275" s="12">
        <v>50999</v>
      </c>
      <c r="B275" s="13" t="s">
        <v>244</v>
      </c>
      <c r="C275" s="14">
        <v>42186</v>
      </c>
      <c r="D275" s="14"/>
      <c r="E275" s="15" t="s">
        <v>36</v>
      </c>
      <c r="F275" s="33" t="s">
        <v>47</v>
      </c>
      <c r="G275" s="12" t="s">
        <v>38</v>
      </c>
      <c r="H275" s="40" t="s">
        <v>77</v>
      </c>
      <c r="I275" s="17"/>
      <c r="J275" s="12"/>
      <c r="K275" s="12"/>
      <c r="L275" s="12" t="s">
        <v>244</v>
      </c>
      <c r="M275" s="17">
        <v>0</v>
      </c>
      <c r="N275" s="18">
        <v>0</v>
      </c>
      <c r="O275" s="18">
        <v>50000</v>
      </c>
      <c r="P275" s="18">
        <v>100000</v>
      </c>
      <c r="Q275" s="13"/>
      <c r="R275" s="13"/>
      <c r="S275" s="12"/>
      <c r="T275" s="12" t="s">
        <v>39</v>
      </c>
      <c r="U275" s="12" t="s">
        <v>45</v>
      </c>
      <c r="V275" s="19" t="e">
        <f>VLOOKUP(A275,'2023 Stats'!$B$2:$D$192,3,FALSE)</f>
        <v>#N/A</v>
      </c>
      <c r="W275" s="20" t="e">
        <v>#N/A</v>
      </c>
      <c r="X275" s="21"/>
      <c r="Y275" s="22">
        <v>66</v>
      </c>
      <c r="Z275" s="20">
        <v>6</v>
      </c>
      <c r="AA275" s="21"/>
      <c r="AB275" s="22">
        <v>346</v>
      </c>
      <c r="AC275" s="20">
        <v>29</v>
      </c>
      <c r="AD275" s="21"/>
      <c r="AE275" s="23" t="e">
        <v>#N/A</v>
      </c>
      <c r="AF275" s="21"/>
      <c r="AG275" s="13"/>
      <c r="AH275" s="13"/>
      <c r="AI275" s="13"/>
    </row>
    <row r="276" spans="1:35" ht="22.8" x14ac:dyDescent="0.3">
      <c r="A276" s="24">
        <v>51003</v>
      </c>
      <c r="B276" s="25" t="s">
        <v>370</v>
      </c>
      <c r="C276" s="26">
        <v>42186</v>
      </c>
      <c r="D276" s="26"/>
      <c r="E276" s="27" t="s">
        <v>43</v>
      </c>
      <c r="F276" s="16" t="s">
        <v>37</v>
      </c>
      <c r="G276" s="17" t="s">
        <v>38</v>
      </c>
      <c r="H276" s="17" t="s">
        <v>123</v>
      </c>
      <c r="I276" s="17"/>
      <c r="J276" s="17"/>
      <c r="K276" s="17"/>
      <c r="L276" s="17"/>
      <c r="M276" s="17">
        <v>15</v>
      </c>
      <c r="N276" s="28">
        <v>1</v>
      </c>
      <c r="O276" s="28">
        <v>50000</v>
      </c>
      <c r="P276" s="28">
        <v>100000</v>
      </c>
      <c r="Q276" s="17"/>
      <c r="R276" s="17"/>
      <c r="S276" s="12"/>
      <c r="T276" s="12" t="s">
        <v>39</v>
      </c>
      <c r="U276" s="17" t="s">
        <v>45</v>
      </c>
      <c r="V276" s="19">
        <f>VLOOKUP(A276,'2023 Stats'!$B$2:$D$192,3,FALSE)</f>
        <v>137</v>
      </c>
      <c r="W276" s="29">
        <v>34</v>
      </c>
      <c r="X276" s="30"/>
      <c r="Y276" s="19">
        <v>163</v>
      </c>
      <c r="Z276" s="29">
        <v>14</v>
      </c>
      <c r="AA276" s="30"/>
      <c r="AB276" s="19">
        <v>248</v>
      </c>
      <c r="AC276" s="29">
        <v>21</v>
      </c>
      <c r="AD276" s="30"/>
      <c r="AE276" s="31">
        <v>23</v>
      </c>
      <c r="AF276" s="30"/>
      <c r="AG276" s="25"/>
      <c r="AH276" s="25"/>
      <c r="AI276" s="25"/>
    </row>
    <row r="277" spans="1:35" ht="22.8" hidden="1" x14ac:dyDescent="0.3">
      <c r="A277" s="24">
        <v>51008</v>
      </c>
      <c r="B277" s="25" t="s">
        <v>371</v>
      </c>
      <c r="C277" s="26">
        <v>42186</v>
      </c>
      <c r="D277" s="17" t="s">
        <v>93</v>
      </c>
      <c r="E277" s="27" t="s">
        <v>36</v>
      </c>
      <c r="F277" s="16" t="s">
        <v>37</v>
      </c>
      <c r="G277" s="17" t="s">
        <v>38</v>
      </c>
      <c r="H277" s="40" t="s">
        <v>94</v>
      </c>
      <c r="I277" s="40" t="s">
        <v>95</v>
      </c>
      <c r="J277" s="40" t="s">
        <v>79</v>
      </c>
      <c r="K277" s="40">
        <v>5</v>
      </c>
      <c r="L277" s="17"/>
      <c r="M277" s="17">
        <v>10</v>
      </c>
      <c r="N277" s="28">
        <v>1</v>
      </c>
      <c r="O277" s="28">
        <v>50000</v>
      </c>
      <c r="P277" s="28">
        <v>100000</v>
      </c>
      <c r="Q277" s="17"/>
      <c r="R277" s="17"/>
      <c r="S277" s="12"/>
      <c r="T277" s="12" t="s">
        <v>39</v>
      </c>
      <c r="U277" s="17" t="s">
        <v>45</v>
      </c>
      <c r="V277" s="19">
        <f>VLOOKUP(A277,'2023 Stats'!$B$2:$D$192,3,FALSE)</f>
        <v>32363</v>
      </c>
      <c r="W277" s="29">
        <v>8091</v>
      </c>
      <c r="X277" s="30"/>
      <c r="Y277" s="19">
        <v>41880</v>
      </c>
      <c r="Z277" s="29">
        <v>3490</v>
      </c>
      <c r="AA277" s="30"/>
      <c r="AB277" s="19">
        <v>56437</v>
      </c>
      <c r="AC277" s="29">
        <v>4703</v>
      </c>
      <c r="AD277" s="30"/>
      <c r="AE277" s="31">
        <v>5428</v>
      </c>
      <c r="AF277" s="30"/>
      <c r="AG277" s="25"/>
      <c r="AH277" s="25"/>
      <c r="AI277" s="25"/>
    </row>
    <row r="278" spans="1:35" ht="22.8" x14ac:dyDescent="0.3">
      <c r="A278" s="24">
        <v>51014</v>
      </c>
      <c r="B278" s="25" t="s">
        <v>372</v>
      </c>
      <c r="C278" s="26">
        <v>42186</v>
      </c>
      <c r="D278" s="26"/>
      <c r="E278" s="27" t="s">
        <v>43</v>
      </c>
      <c r="F278" s="36" t="s">
        <v>58</v>
      </c>
      <c r="G278" s="17" t="s">
        <v>38</v>
      </c>
      <c r="H278" s="17" t="s">
        <v>373</v>
      </c>
      <c r="I278" s="17"/>
      <c r="J278" s="17"/>
      <c r="K278" s="17"/>
      <c r="L278" s="17"/>
      <c r="M278" s="17">
        <v>0</v>
      </c>
      <c r="N278" s="28">
        <v>1</v>
      </c>
      <c r="O278" s="28">
        <v>50000</v>
      </c>
      <c r="P278" s="28">
        <v>100000</v>
      </c>
      <c r="Q278" s="17"/>
      <c r="R278" s="17"/>
      <c r="S278" s="12"/>
      <c r="T278" s="12" t="s">
        <v>39</v>
      </c>
      <c r="U278" s="17" t="s">
        <v>45</v>
      </c>
      <c r="V278" s="19">
        <f>VLOOKUP(A278,'2023 Stats'!$B$2:$D$192,3,FALSE)</f>
        <v>427</v>
      </c>
      <c r="W278" s="29">
        <v>107</v>
      </c>
      <c r="X278" s="30"/>
      <c r="Y278" s="19">
        <v>746</v>
      </c>
      <c r="Z278" s="29">
        <v>62</v>
      </c>
      <c r="AA278" s="30"/>
      <c r="AB278" s="19">
        <v>821</v>
      </c>
      <c r="AC278" s="29">
        <v>68</v>
      </c>
      <c r="AD278" s="30"/>
      <c r="AE278" s="31">
        <v>79</v>
      </c>
      <c r="AF278" s="30"/>
      <c r="AG278" s="25"/>
      <c r="AH278" s="25"/>
      <c r="AI278" s="25"/>
    </row>
    <row r="279" spans="1:35" ht="22.8" x14ac:dyDescent="0.3">
      <c r="A279" s="24">
        <v>51015</v>
      </c>
      <c r="B279" s="25" t="s">
        <v>374</v>
      </c>
      <c r="C279" s="26">
        <v>42186</v>
      </c>
      <c r="D279" s="26"/>
      <c r="E279" s="27" t="s">
        <v>43</v>
      </c>
      <c r="F279" s="36" t="s">
        <v>58</v>
      </c>
      <c r="G279" s="17" t="s">
        <v>38</v>
      </c>
      <c r="H279" s="17" t="s">
        <v>373</v>
      </c>
      <c r="I279" s="17"/>
      <c r="J279" s="17"/>
      <c r="K279" s="17"/>
      <c r="L279" s="17"/>
      <c r="M279" s="17">
        <v>0</v>
      </c>
      <c r="N279" s="28">
        <v>1</v>
      </c>
      <c r="O279" s="28">
        <v>50000</v>
      </c>
      <c r="P279" s="28">
        <v>100000</v>
      </c>
      <c r="Q279" s="17"/>
      <c r="R279" s="17"/>
      <c r="S279" s="12"/>
      <c r="T279" s="12" t="s">
        <v>39</v>
      </c>
      <c r="U279" s="17" t="s">
        <v>45</v>
      </c>
      <c r="V279" s="19">
        <f>VLOOKUP(A279,'2023 Stats'!$B$2:$D$192,3,FALSE)</f>
        <v>56</v>
      </c>
      <c r="W279" s="29">
        <v>14</v>
      </c>
      <c r="X279" s="30"/>
      <c r="Y279" s="19">
        <v>70</v>
      </c>
      <c r="Z279" s="29">
        <v>6</v>
      </c>
      <c r="AA279" s="30"/>
      <c r="AB279" s="19">
        <v>112</v>
      </c>
      <c r="AC279" s="29">
        <v>9</v>
      </c>
      <c r="AD279" s="30"/>
      <c r="AE279" s="31">
        <v>10</v>
      </c>
      <c r="AF279" s="30"/>
      <c r="AG279" s="25"/>
      <c r="AH279" s="25"/>
      <c r="AI279" s="25"/>
    </row>
    <row r="280" spans="1:35" ht="45.6" x14ac:dyDescent="0.3">
      <c r="A280" s="24">
        <v>51017</v>
      </c>
      <c r="B280" s="25" t="s">
        <v>375</v>
      </c>
      <c r="C280" s="26">
        <v>42186</v>
      </c>
      <c r="D280" s="26"/>
      <c r="E280" s="27" t="s">
        <v>43</v>
      </c>
      <c r="F280" s="16" t="s">
        <v>37</v>
      </c>
      <c r="G280" s="17" t="s">
        <v>38</v>
      </c>
      <c r="H280" s="17" t="s">
        <v>64</v>
      </c>
      <c r="I280" s="17"/>
      <c r="J280" s="17"/>
      <c r="K280" s="17"/>
      <c r="L280" s="17"/>
      <c r="M280" s="17">
        <v>10</v>
      </c>
      <c r="N280" s="28">
        <v>1</v>
      </c>
      <c r="O280" s="28">
        <v>50000</v>
      </c>
      <c r="P280" s="28">
        <v>100000</v>
      </c>
      <c r="Q280" s="17"/>
      <c r="R280" s="17"/>
      <c r="S280" s="12"/>
      <c r="T280" s="12" t="s">
        <v>39</v>
      </c>
      <c r="U280" s="17" t="s">
        <v>45</v>
      </c>
      <c r="V280" s="19">
        <f>VLOOKUP(A280,'2023 Stats'!$B$2:$D$192,3,FALSE)</f>
        <v>463</v>
      </c>
      <c r="W280" s="29">
        <v>116</v>
      </c>
      <c r="X280" s="30"/>
      <c r="Y280" s="19">
        <v>635</v>
      </c>
      <c r="Z280" s="29">
        <v>53</v>
      </c>
      <c r="AA280" s="30"/>
      <c r="AB280" s="19">
        <v>564</v>
      </c>
      <c r="AC280" s="29">
        <v>47</v>
      </c>
      <c r="AD280" s="30"/>
      <c r="AE280" s="31">
        <v>72</v>
      </c>
      <c r="AF280" s="30"/>
      <c r="AG280" s="25"/>
      <c r="AH280" s="25"/>
      <c r="AI280" s="25"/>
    </row>
    <row r="281" spans="1:35" ht="45.6" x14ac:dyDescent="0.3">
      <c r="A281" s="24">
        <v>51018</v>
      </c>
      <c r="B281" s="25" t="s">
        <v>376</v>
      </c>
      <c r="C281" s="26">
        <v>42186</v>
      </c>
      <c r="D281" s="26"/>
      <c r="E281" s="27" t="s">
        <v>43</v>
      </c>
      <c r="F281" s="16" t="s">
        <v>37</v>
      </c>
      <c r="G281" s="17" t="s">
        <v>38</v>
      </c>
      <c r="H281" s="17" t="s">
        <v>64</v>
      </c>
      <c r="I281" s="17"/>
      <c r="J281" s="17"/>
      <c r="K281" s="17"/>
      <c r="L281" s="17"/>
      <c r="M281" s="17">
        <v>10</v>
      </c>
      <c r="N281" s="28">
        <v>1</v>
      </c>
      <c r="O281" s="28">
        <v>50000</v>
      </c>
      <c r="P281" s="28">
        <v>100000</v>
      </c>
      <c r="Q281" s="17"/>
      <c r="R281" s="17"/>
      <c r="S281" s="12"/>
      <c r="T281" s="12" t="s">
        <v>39</v>
      </c>
      <c r="U281" s="17" t="s">
        <v>45</v>
      </c>
      <c r="V281" s="19">
        <f>VLOOKUP(A281,'2023 Stats'!$B$2:$D$192,3,FALSE)</f>
        <v>27</v>
      </c>
      <c r="W281" s="29">
        <v>7</v>
      </c>
      <c r="X281" s="30"/>
      <c r="Y281" s="19">
        <v>207</v>
      </c>
      <c r="Z281" s="29">
        <v>17</v>
      </c>
      <c r="AA281" s="30"/>
      <c r="AB281" s="19">
        <v>307</v>
      </c>
      <c r="AC281" s="29">
        <v>26</v>
      </c>
      <c r="AD281" s="30"/>
      <c r="AE281" s="31">
        <v>17</v>
      </c>
      <c r="AF281" s="30"/>
      <c r="AG281" s="25"/>
      <c r="AH281" s="25"/>
      <c r="AI281" s="25"/>
    </row>
    <row r="282" spans="1:35" ht="22.8" hidden="1" x14ac:dyDescent="0.3">
      <c r="A282" s="12">
        <v>51019</v>
      </c>
      <c r="B282" s="13" t="s">
        <v>377</v>
      </c>
      <c r="C282" s="14">
        <v>42186</v>
      </c>
      <c r="D282" s="14">
        <v>43100</v>
      </c>
      <c r="E282" s="15" t="s">
        <v>36</v>
      </c>
      <c r="F282" s="16" t="s">
        <v>37</v>
      </c>
      <c r="G282" s="12" t="s">
        <v>38</v>
      </c>
      <c r="H282" s="12"/>
      <c r="I282" s="12"/>
      <c r="J282" s="12"/>
      <c r="K282" s="12"/>
      <c r="L282" s="12"/>
      <c r="M282" s="17">
        <v>0</v>
      </c>
      <c r="N282" s="18">
        <v>0</v>
      </c>
      <c r="O282" s="18">
        <v>50000</v>
      </c>
      <c r="P282" s="18">
        <v>100000</v>
      </c>
      <c r="Q282" s="13"/>
      <c r="R282" s="13"/>
      <c r="S282" s="12"/>
      <c r="T282" s="12" t="s">
        <v>39</v>
      </c>
      <c r="U282" s="12" t="e">
        <v>#N/A</v>
      </c>
      <c r="V282" s="19" t="e">
        <f>VLOOKUP(A282,'2023 Stats'!$B$2:$D$192,3,FALSE)</f>
        <v>#N/A</v>
      </c>
      <c r="W282" s="20" t="e">
        <v>#N/A</v>
      </c>
      <c r="X282" s="21"/>
      <c r="Y282" s="22" t="e">
        <v>#N/A</v>
      </c>
      <c r="Z282" s="20" t="e">
        <v>#N/A</v>
      </c>
      <c r="AA282" s="21"/>
      <c r="AB282" s="22" t="e">
        <v>#N/A</v>
      </c>
      <c r="AC282" s="20"/>
      <c r="AD282" s="21"/>
      <c r="AE282" s="23" t="e">
        <v>#N/A</v>
      </c>
      <c r="AF282" s="21"/>
      <c r="AG282" s="13"/>
      <c r="AH282" s="13"/>
      <c r="AI282" s="13"/>
    </row>
    <row r="283" spans="1:35" ht="22.8" x14ac:dyDescent="0.3">
      <c r="A283" s="24">
        <v>51020</v>
      </c>
      <c r="B283" s="25" t="s">
        <v>378</v>
      </c>
      <c r="C283" s="26">
        <v>42186</v>
      </c>
      <c r="D283" s="26"/>
      <c r="E283" s="27" t="s">
        <v>43</v>
      </c>
      <c r="F283" s="27" t="s">
        <v>47</v>
      </c>
      <c r="G283" s="17" t="s">
        <v>38</v>
      </c>
      <c r="H283" s="17" t="s">
        <v>64</v>
      </c>
      <c r="I283" s="17"/>
      <c r="J283" s="17"/>
      <c r="K283" s="17"/>
      <c r="L283" s="17" t="s">
        <v>379</v>
      </c>
      <c r="M283" s="17">
        <v>10</v>
      </c>
      <c r="N283" s="28">
        <v>1</v>
      </c>
      <c r="O283" s="28">
        <v>50000</v>
      </c>
      <c r="P283" s="28">
        <v>100000</v>
      </c>
      <c r="Q283" s="17" t="s">
        <v>39</v>
      </c>
      <c r="R283" s="17" t="s">
        <v>39</v>
      </c>
      <c r="S283" s="12"/>
      <c r="T283" s="12" t="s">
        <v>39</v>
      </c>
      <c r="U283" s="17" t="s">
        <v>45</v>
      </c>
      <c r="V283" s="19">
        <f>VLOOKUP(A283,'2023 Stats'!$B$2:$D$192,3,FALSE)</f>
        <v>473</v>
      </c>
      <c r="W283" s="29">
        <v>118</v>
      </c>
      <c r="X283" s="30"/>
      <c r="Y283" s="19">
        <v>707</v>
      </c>
      <c r="Z283" s="29">
        <v>59</v>
      </c>
      <c r="AA283" s="30"/>
      <c r="AB283" s="19">
        <v>1186</v>
      </c>
      <c r="AC283" s="29">
        <v>99</v>
      </c>
      <c r="AD283" s="30"/>
      <c r="AE283" s="31">
        <v>92</v>
      </c>
      <c r="AF283" s="30"/>
      <c r="AG283" s="25"/>
      <c r="AH283" s="25"/>
      <c r="AI283" s="25"/>
    </row>
    <row r="284" spans="1:35" ht="22.8" hidden="1" x14ac:dyDescent="0.3">
      <c r="A284" s="12">
        <v>51025</v>
      </c>
      <c r="B284" s="13" t="s">
        <v>380</v>
      </c>
      <c r="C284" s="14">
        <v>42186</v>
      </c>
      <c r="D284" s="14"/>
      <c r="E284" s="15" t="s">
        <v>36</v>
      </c>
      <c r="F284" s="53" t="s">
        <v>58</v>
      </c>
      <c r="G284" s="12" t="s">
        <v>38</v>
      </c>
      <c r="H284" s="17" t="s">
        <v>101</v>
      </c>
      <c r="I284" s="17"/>
      <c r="J284" s="12"/>
      <c r="K284" s="12"/>
      <c r="L284" s="12"/>
      <c r="M284" s="17">
        <v>0</v>
      </c>
      <c r="N284" s="18">
        <v>0</v>
      </c>
      <c r="O284" s="18">
        <v>0</v>
      </c>
      <c r="P284" s="18">
        <v>100000</v>
      </c>
      <c r="Q284" s="13"/>
      <c r="R284" s="13"/>
      <c r="S284" s="12"/>
      <c r="T284" s="12" t="s">
        <v>39</v>
      </c>
      <c r="U284" s="12" t="s">
        <v>45</v>
      </c>
      <c r="V284" s="19">
        <f>VLOOKUP(A284,'2023 Stats'!$B$2:$D$192,3,FALSE)</f>
        <v>21</v>
      </c>
      <c r="W284" s="20">
        <v>5</v>
      </c>
      <c r="X284" s="21"/>
      <c r="Y284" s="22">
        <v>66</v>
      </c>
      <c r="Z284" s="20">
        <v>6</v>
      </c>
      <c r="AA284" s="21"/>
      <c r="AB284" s="22">
        <v>70</v>
      </c>
      <c r="AC284" s="20">
        <v>6</v>
      </c>
      <c r="AD284" s="21"/>
      <c r="AE284" s="23">
        <v>6</v>
      </c>
      <c r="AF284" s="21"/>
      <c r="AG284" s="13"/>
      <c r="AH284" s="13"/>
      <c r="AI284" s="13"/>
    </row>
    <row r="285" spans="1:35" ht="22.8" hidden="1" x14ac:dyDescent="0.3">
      <c r="A285" s="12">
        <v>51026</v>
      </c>
      <c r="B285" s="13" t="s">
        <v>381</v>
      </c>
      <c r="C285" s="14">
        <v>42186</v>
      </c>
      <c r="D285" s="14">
        <v>44197</v>
      </c>
      <c r="E285" s="15" t="s">
        <v>36</v>
      </c>
      <c r="F285" s="16" t="s">
        <v>37</v>
      </c>
      <c r="G285" s="12" t="s">
        <v>38</v>
      </c>
      <c r="H285" s="12"/>
      <c r="I285" s="12"/>
      <c r="J285" s="12"/>
      <c r="K285" s="12"/>
      <c r="L285" s="12"/>
      <c r="M285" s="17">
        <v>0</v>
      </c>
      <c r="N285" s="18">
        <v>1</v>
      </c>
      <c r="O285" s="18">
        <v>50000</v>
      </c>
      <c r="P285" s="18">
        <v>100000</v>
      </c>
      <c r="Q285" s="13"/>
      <c r="R285" s="13"/>
      <c r="S285" s="12"/>
      <c r="T285" s="12" t="s">
        <v>39</v>
      </c>
      <c r="U285" s="12" t="e">
        <v>#N/A</v>
      </c>
      <c r="V285" s="19" t="e">
        <f>VLOOKUP(A285,'2023 Stats'!$B$2:$D$192,3,FALSE)</f>
        <v>#N/A</v>
      </c>
      <c r="W285" s="20" t="e">
        <v>#N/A</v>
      </c>
      <c r="X285" s="21"/>
      <c r="Y285" s="22" t="e">
        <v>#N/A</v>
      </c>
      <c r="Z285" s="20" t="e">
        <v>#N/A</v>
      </c>
      <c r="AA285" s="21"/>
      <c r="AB285" s="22" t="e">
        <v>#N/A</v>
      </c>
      <c r="AC285" s="20"/>
      <c r="AD285" s="21"/>
      <c r="AE285" s="23" t="e">
        <v>#N/A</v>
      </c>
      <c r="AF285" s="21"/>
      <c r="AG285" s="13"/>
      <c r="AH285" s="13"/>
      <c r="AI285" s="13"/>
    </row>
    <row r="286" spans="1:35" ht="22.8" hidden="1" x14ac:dyDescent="0.3">
      <c r="A286" s="17">
        <v>51028</v>
      </c>
      <c r="B286" s="25" t="s">
        <v>382</v>
      </c>
      <c r="C286" s="26">
        <v>42186</v>
      </c>
      <c r="D286" s="26"/>
      <c r="E286" s="27" t="s">
        <v>36</v>
      </c>
      <c r="F286" s="16" t="s">
        <v>37</v>
      </c>
      <c r="G286" s="17" t="s">
        <v>38</v>
      </c>
      <c r="H286" s="17" t="s">
        <v>123</v>
      </c>
      <c r="I286" s="17"/>
      <c r="J286" s="17"/>
      <c r="K286" s="17"/>
      <c r="L286" s="17"/>
      <c r="M286" s="17">
        <v>0</v>
      </c>
      <c r="N286" s="28">
        <v>1</v>
      </c>
      <c r="O286" s="28">
        <v>50000</v>
      </c>
      <c r="P286" s="28">
        <v>100000</v>
      </c>
      <c r="Q286" s="17"/>
      <c r="R286" s="17"/>
      <c r="S286" s="17"/>
      <c r="T286" s="17" t="s">
        <v>39</v>
      </c>
      <c r="U286" s="17" t="s">
        <v>45</v>
      </c>
      <c r="V286" s="19">
        <f>VLOOKUP(A286,'2023 Stats'!$B$2:$D$192,3,FALSE)</f>
        <v>1</v>
      </c>
      <c r="W286" s="29">
        <v>0</v>
      </c>
      <c r="X286" s="30"/>
      <c r="Y286" s="19">
        <v>35</v>
      </c>
      <c r="Z286" s="29">
        <v>3</v>
      </c>
      <c r="AA286" s="30"/>
      <c r="AB286" s="19">
        <v>162</v>
      </c>
      <c r="AC286" s="29">
        <v>14</v>
      </c>
      <c r="AD286" s="30"/>
      <c r="AE286" s="31">
        <v>6</v>
      </c>
      <c r="AF286" s="30"/>
      <c r="AG286" s="25"/>
      <c r="AH286" s="25"/>
      <c r="AI286" s="25"/>
    </row>
    <row r="287" spans="1:35" ht="22.8" hidden="1" x14ac:dyDescent="0.3">
      <c r="A287" s="12">
        <v>51034</v>
      </c>
      <c r="B287" s="13" t="s">
        <v>383</v>
      </c>
      <c r="C287" s="14">
        <v>42186</v>
      </c>
      <c r="D287" s="14"/>
      <c r="E287" s="15" t="s">
        <v>36</v>
      </c>
      <c r="F287" s="16" t="s">
        <v>37</v>
      </c>
      <c r="G287" s="12" t="s">
        <v>38</v>
      </c>
      <c r="H287" s="12"/>
      <c r="I287" s="12"/>
      <c r="J287" s="12"/>
      <c r="K287" s="12"/>
      <c r="L287" s="12"/>
      <c r="M287" s="17">
        <v>0</v>
      </c>
      <c r="N287" s="18">
        <v>0</v>
      </c>
      <c r="O287" s="18">
        <v>50000</v>
      </c>
      <c r="P287" s="18">
        <v>100000</v>
      </c>
      <c r="Q287" s="13"/>
      <c r="R287" s="13"/>
      <c r="S287" s="12"/>
      <c r="T287" s="12" t="s">
        <v>39</v>
      </c>
      <c r="U287" s="12" t="e">
        <v>#N/A</v>
      </c>
      <c r="V287" s="19" t="e">
        <f>VLOOKUP(A287,'2023 Stats'!$B$2:$D$192,3,FALSE)</f>
        <v>#N/A</v>
      </c>
      <c r="W287" s="20" t="e">
        <v>#N/A</v>
      </c>
      <c r="X287" s="21"/>
      <c r="Y287" s="22" t="e">
        <v>#N/A</v>
      </c>
      <c r="Z287" s="20" t="e">
        <v>#N/A</v>
      </c>
      <c r="AA287" s="21"/>
      <c r="AB287" s="22" t="e">
        <v>#N/A</v>
      </c>
      <c r="AC287" s="20"/>
      <c r="AD287" s="21"/>
      <c r="AE287" s="23" t="e">
        <v>#N/A</v>
      </c>
      <c r="AF287" s="21"/>
      <c r="AG287" s="13"/>
      <c r="AH287" s="13"/>
      <c r="AI287" s="13"/>
    </row>
    <row r="288" spans="1:35" ht="22.8" hidden="1" x14ac:dyDescent="0.3">
      <c r="A288" s="12">
        <v>51035</v>
      </c>
      <c r="B288" s="13" t="s">
        <v>384</v>
      </c>
      <c r="C288" s="14">
        <v>42186</v>
      </c>
      <c r="D288" s="14"/>
      <c r="E288" s="15" t="s">
        <v>36</v>
      </c>
      <c r="F288" s="16" t="s">
        <v>37</v>
      </c>
      <c r="G288" s="12" t="s">
        <v>38</v>
      </c>
      <c r="H288" s="12"/>
      <c r="I288" s="12"/>
      <c r="J288" s="12"/>
      <c r="K288" s="12"/>
      <c r="L288" s="12"/>
      <c r="M288" s="17">
        <v>0</v>
      </c>
      <c r="N288" s="18">
        <v>0</v>
      </c>
      <c r="O288" s="18">
        <v>50000</v>
      </c>
      <c r="P288" s="18">
        <v>100000</v>
      </c>
      <c r="Q288" s="13"/>
      <c r="R288" s="13"/>
      <c r="S288" s="12"/>
      <c r="T288" s="12" t="s">
        <v>39</v>
      </c>
      <c r="U288" s="12" t="e">
        <v>#N/A</v>
      </c>
      <c r="V288" s="19" t="e">
        <f>VLOOKUP(A288,'2023 Stats'!$B$2:$D$192,3,FALSE)</f>
        <v>#N/A</v>
      </c>
      <c r="W288" s="20" t="e">
        <v>#N/A</v>
      </c>
      <c r="X288" s="21"/>
      <c r="Y288" s="22" t="e">
        <v>#N/A</v>
      </c>
      <c r="Z288" s="20" t="e">
        <v>#N/A</v>
      </c>
      <c r="AA288" s="21"/>
      <c r="AB288" s="22" t="e">
        <v>#N/A</v>
      </c>
      <c r="AC288" s="20"/>
      <c r="AD288" s="21"/>
      <c r="AE288" s="23" t="e">
        <v>#N/A</v>
      </c>
      <c r="AF288" s="21"/>
      <c r="AG288" s="13"/>
      <c r="AH288" s="13"/>
      <c r="AI288" s="13"/>
    </row>
    <row r="289" spans="1:35" ht="22.8" hidden="1" x14ac:dyDescent="0.3">
      <c r="A289" s="12">
        <v>51036</v>
      </c>
      <c r="B289" s="13" t="s">
        <v>385</v>
      </c>
      <c r="C289" s="14">
        <v>42186</v>
      </c>
      <c r="D289" s="14">
        <v>45007</v>
      </c>
      <c r="E289" s="15" t="s">
        <v>36</v>
      </c>
      <c r="F289" s="16" t="s">
        <v>37</v>
      </c>
      <c r="G289" s="12" t="s">
        <v>38</v>
      </c>
      <c r="H289" s="12"/>
      <c r="I289" s="12"/>
      <c r="J289" s="12"/>
      <c r="K289" s="12"/>
      <c r="L289" s="12"/>
      <c r="M289" s="17">
        <v>0</v>
      </c>
      <c r="N289" s="18">
        <v>0</v>
      </c>
      <c r="O289" s="18">
        <v>0</v>
      </c>
      <c r="P289" s="18">
        <v>100000</v>
      </c>
      <c r="Q289" s="13"/>
      <c r="R289" s="13"/>
      <c r="S289" s="12"/>
      <c r="T289" s="12" t="s">
        <v>39</v>
      </c>
      <c r="U289" s="12" t="e">
        <v>#N/A</v>
      </c>
      <c r="V289" s="19" t="e">
        <f>VLOOKUP(A289,'2023 Stats'!$B$2:$D$192,3,FALSE)</f>
        <v>#N/A</v>
      </c>
      <c r="W289" s="20" t="e">
        <v>#N/A</v>
      </c>
      <c r="X289" s="21"/>
      <c r="Y289" s="22" t="e">
        <v>#N/A</v>
      </c>
      <c r="Z289" s="20" t="e">
        <v>#N/A</v>
      </c>
      <c r="AA289" s="21"/>
      <c r="AB289" s="22" t="e">
        <v>#N/A</v>
      </c>
      <c r="AC289" s="20"/>
      <c r="AD289" s="21"/>
      <c r="AE289" s="23" t="e">
        <v>#N/A</v>
      </c>
      <c r="AF289" s="21"/>
      <c r="AG289" s="13"/>
      <c r="AH289" s="13"/>
      <c r="AI289" s="13"/>
    </row>
    <row r="290" spans="1:35" ht="22.8" hidden="1" x14ac:dyDescent="0.3">
      <c r="A290" s="12">
        <v>51038</v>
      </c>
      <c r="B290" s="13" t="s">
        <v>386</v>
      </c>
      <c r="C290" s="14">
        <v>42186</v>
      </c>
      <c r="D290" s="14"/>
      <c r="E290" s="15" t="s">
        <v>36</v>
      </c>
      <c r="F290" s="35" t="s">
        <v>37</v>
      </c>
      <c r="G290" s="12" t="s">
        <v>38</v>
      </c>
      <c r="H290" s="17" t="s">
        <v>64</v>
      </c>
      <c r="I290" s="17"/>
      <c r="J290" s="12"/>
      <c r="K290" s="12"/>
      <c r="L290" s="12"/>
      <c r="M290" s="17">
        <v>0</v>
      </c>
      <c r="N290" s="18">
        <v>0</v>
      </c>
      <c r="O290" s="18">
        <v>50000</v>
      </c>
      <c r="P290" s="18">
        <v>100000</v>
      </c>
      <c r="Q290" s="13"/>
      <c r="R290" s="13"/>
      <c r="S290" s="12"/>
      <c r="T290" s="12" t="s">
        <v>39</v>
      </c>
      <c r="U290" s="12" t="s">
        <v>387</v>
      </c>
      <c r="V290" s="19" t="e">
        <f>VLOOKUP(A290,'2023 Stats'!$B$2:$D$192,3,FALSE)</f>
        <v>#N/A</v>
      </c>
      <c r="W290" s="20" t="e">
        <v>#N/A</v>
      </c>
      <c r="X290" s="21"/>
      <c r="Y290" s="22">
        <v>4</v>
      </c>
      <c r="Z290" s="20">
        <v>0</v>
      </c>
      <c r="AA290" s="21"/>
      <c r="AB290" s="22">
        <v>1</v>
      </c>
      <c r="AC290" s="20">
        <v>0</v>
      </c>
      <c r="AD290" s="21"/>
      <c r="AE290" s="23" t="e">
        <v>#N/A</v>
      </c>
      <c r="AF290" s="21"/>
      <c r="AG290" s="13"/>
      <c r="AH290" s="13"/>
      <c r="AI290" s="13"/>
    </row>
    <row r="291" spans="1:35" ht="22.8" hidden="1" x14ac:dyDescent="0.3">
      <c r="A291" s="12">
        <v>51039</v>
      </c>
      <c r="B291" s="13" t="s">
        <v>388</v>
      </c>
      <c r="C291" s="14">
        <v>42186</v>
      </c>
      <c r="D291" s="14"/>
      <c r="E291" s="15" t="s">
        <v>36</v>
      </c>
      <c r="F291" s="35" t="s">
        <v>37</v>
      </c>
      <c r="G291" s="12" t="s">
        <v>38</v>
      </c>
      <c r="H291" s="17" t="s">
        <v>64</v>
      </c>
      <c r="I291" s="17"/>
      <c r="J291" s="12"/>
      <c r="K291" s="12"/>
      <c r="L291" s="12"/>
      <c r="M291" s="17">
        <v>0</v>
      </c>
      <c r="N291" s="18">
        <v>1</v>
      </c>
      <c r="O291" s="18">
        <v>50000</v>
      </c>
      <c r="P291" s="18">
        <v>100000</v>
      </c>
      <c r="Q291" s="13"/>
      <c r="R291" s="13"/>
      <c r="S291" s="12"/>
      <c r="T291" s="12" t="s">
        <v>39</v>
      </c>
      <c r="U291" s="12" t="e">
        <v>#N/A</v>
      </c>
      <c r="V291" s="19" t="e">
        <f>VLOOKUP(A291,'2023 Stats'!$B$2:$D$192,3,FALSE)</f>
        <v>#N/A</v>
      </c>
      <c r="W291" s="20" t="e">
        <v>#N/A</v>
      </c>
      <c r="X291" s="21"/>
      <c r="Y291" s="22" t="e">
        <v>#N/A</v>
      </c>
      <c r="Z291" s="20" t="e">
        <v>#N/A</v>
      </c>
      <c r="AA291" s="21"/>
      <c r="AB291" s="22" t="e">
        <v>#N/A</v>
      </c>
      <c r="AC291" s="20"/>
      <c r="AD291" s="21"/>
      <c r="AE291" s="23" t="e">
        <v>#N/A</v>
      </c>
      <c r="AF291" s="21"/>
      <c r="AG291" s="13"/>
      <c r="AH291" s="13"/>
      <c r="AI291" s="13"/>
    </row>
    <row r="292" spans="1:35" ht="22.8" x14ac:dyDescent="0.3">
      <c r="A292" s="24">
        <v>51041</v>
      </c>
      <c r="B292" s="25" t="s">
        <v>389</v>
      </c>
      <c r="C292" s="26">
        <v>42186</v>
      </c>
      <c r="D292" s="26"/>
      <c r="E292" s="27" t="s">
        <v>43</v>
      </c>
      <c r="F292" s="16" t="s">
        <v>37</v>
      </c>
      <c r="G292" s="17" t="s">
        <v>38</v>
      </c>
      <c r="H292" s="17" t="s">
        <v>64</v>
      </c>
      <c r="I292" s="17"/>
      <c r="J292" s="17"/>
      <c r="K292" s="17"/>
      <c r="L292" s="17"/>
      <c r="M292" s="17">
        <v>15</v>
      </c>
      <c r="N292" s="28">
        <v>1</v>
      </c>
      <c r="O292" s="28">
        <v>50000</v>
      </c>
      <c r="P292" s="28">
        <v>100000</v>
      </c>
      <c r="Q292" s="17"/>
      <c r="R292" s="17"/>
      <c r="S292" s="12"/>
      <c r="T292" s="12" t="s">
        <v>39</v>
      </c>
      <c r="U292" s="17" t="s">
        <v>45</v>
      </c>
      <c r="V292" s="19">
        <f>VLOOKUP(A292,'2023 Stats'!$B$2:$D$192,3,FALSE)</f>
        <v>61</v>
      </c>
      <c r="W292" s="29">
        <v>15</v>
      </c>
      <c r="X292" s="30"/>
      <c r="Y292" s="19">
        <v>234</v>
      </c>
      <c r="Z292" s="29">
        <v>20</v>
      </c>
      <c r="AA292" s="30"/>
      <c r="AB292" s="19">
        <v>240</v>
      </c>
      <c r="AC292" s="29">
        <v>20</v>
      </c>
      <c r="AD292" s="30"/>
      <c r="AE292" s="31">
        <v>18</v>
      </c>
      <c r="AF292" s="30"/>
      <c r="AG292" s="25"/>
      <c r="AH292" s="25"/>
      <c r="AI292" s="25"/>
    </row>
    <row r="293" spans="1:35" ht="22.8" x14ac:dyDescent="0.3">
      <c r="A293" s="24">
        <v>51043</v>
      </c>
      <c r="B293" s="25" t="s">
        <v>390</v>
      </c>
      <c r="C293" s="26">
        <v>42186</v>
      </c>
      <c r="D293" s="26"/>
      <c r="E293" s="27" t="s">
        <v>43</v>
      </c>
      <c r="F293" s="16" t="s">
        <v>37</v>
      </c>
      <c r="G293" s="17" t="s">
        <v>38</v>
      </c>
      <c r="H293" s="17" t="s">
        <v>64</v>
      </c>
      <c r="I293" s="40" t="s">
        <v>120</v>
      </c>
      <c r="J293" s="40" t="s">
        <v>79</v>
      </c>
      <c r="K293" s="40">
        <v>6</v>
      </c>
      <c r="L293" s="17"/>
      <c r="M293" s="17">
        <v>15</v>
      </c>
      <c r="N293" s="28">
        <v>1</v>
      </c>
      <c r="O293" s="28">
        <v>50000</v>
      </c>
      <c r="P293" s="28">
        <v>100000</v>
      </c>
      <c r="Q293" s="17"/>
      <c r="R293" s="17"/>
      <c r="S293" s="12"/>
      <c r="T293" s="12" t="s">
        <v>39</v>
      </c>
      <c r="U293" s="17" t="s">
        <v>45</v>
      </c>
      <c r="V293" s="19">
        <f>VLOOKUP(A293,'2023 Stats'!$B$2:$D$192,3,FALSE)</f>
        <v>12654</v>
      </c>
      <c r="W293" s="29">
        <v>3164</v>
      </c>
      <c r="X293" s="30"/>
      <c r="Y293" s="19">
        <v>13801</v>
      </c>
      <c r="Z293" s="29">
        <v>1150</v>
      </c>
      <c r="AA293" s="30"/>
      <c r="AB293" s="19">
        <v>15846</v>
      </c>
      <c r="AC293" s="29">
        <v>1321</v>
      </c>
      <c r="AD293" s="30"/>
      <c r="AE293" s="31">
        <v>1878</v>
      </c>
      <c r="AF293" s="30"/>
      <c r="AG293" s="25"/>
      <c r="AH293" s="25"/>
      <c r="AI293" s="25"/>
    </row>
    <row r="294" spans="1:35" ht="22.8" hidden="1" x14ac:dyDescent="0.3">
      <c r="A294" s="12">
        <v>51045</v>
      </c>
      <c r="B294" s="13" t="s">
        <v>391</v>
      </c>
      <c r="C294" s="14">
        <v>42186</v>
      </c>
      <c r="D294" s="14">
        <v>44513</v>
      </c>
      <c r="E294" s="15" t="s">
        <v>36</v>
      </c>
      <c r="F294" s="16" t="s">
        <v>37</v>
      </c>
      <c r="G294" s="12" t="s">
        <v>38</v>
      </c>
      <c r="H294" s="12"/>
      <c r="I294" s="12"/>
      <c r="J294" s="12"/>
      <c r="K294" s="12"/>
      <c r="L294" s="12"/>
      <c r="M294" s="17">
        <v>0</v>
      </c>
      <c r="N294" s="18">
        <v>1</v>
      </c>
      <c r="O294" s="18">
        <v>50000</v>
      </c>
      <c r="P294" s="18">
        <v>100000</v>
      </c>
      <c r="Q294" s="13"/>
      <c r="R294" s="13"/>
      <c r="S294" s="12"/>
      <c r="T294" s="12" t="s">
        <v>39</v>
      </c>
      <c r="U294" s="12">
        <v>44463</v>
      </c>
      <c r="V294" s="19" t="e">
        <f>VLOOKUP(A294,'2023 Stats'!$B$2:$D$192,3,FALSE)</f>
        <v>#N/A</v>
      </c>
      <c r="W294" s="20" t="e">
        <v>#N/A</v>
      </c>
      <c r="X294" s="21"/>
      <c r="Y294" s="22" t="e">
        <v>#N/A</v>
      </c>
      <c r="Z294" s="20" t="e">
        <v>#N/A</v>
      </c>
      <c r="AA294" s="21"/>
      <c r="AB294" s="22">
        <v>120</v>
      </c>
      <c r="AC294" s="20">
        <v>10</v>
      </c>
      <c r="AD294" s="21"/>
      <c r="AE294" s="23" t="e">
        <v>#N/A</v>
      </c>
      <c r="AF294" s="21"/>
      <c r="AG294" s="13"/>
      <c r="AH294" s="13"/>
      <c r="AI294" s="13"/>
    </row>
    <row r="295" spans="1:35" ht="22.8" hidden="1" x14ac:dyDescent="0.3">
      <c r="A295" s="12">
        <v>51047</v>
      </c>
      <c r="B295" s="13" t="s">
        <v>392</v>
      </c>
      <c r="C295" s="14">
        <v>42186</v>
      </c>
      <c r="D295" s="14"/>
      <c r="E295" s="15" t="s">
        <v>36</v>
      </c>
      <c r="F295" s="35" t="s">
        <v>37</v>
      </c>
      <c r="G295" s="12" t="s">
        <v>38</v>
      </c>
      <c r="H295" s="17" t="s">
        <v>119</v>
      </c>
      <c r="I295" s="17"/>
      <c r="J295" s="12"/>
      <c r="K295" s="12"/>
      <c r="L295" s="12"/>
      <c r="M295" s="17">
        <v>0</v>
      </c>
      <c r="N295" s="18">
        <v>1</v>
      </c>
      <c r="O295" s="18">
        <v>50000</v>
      </c>
      <c r="P295" s="18">
        <v>100000</v>
      </c>
      <c r="Q295" s="13"/>
      <c r="R295" s="13"/>
      <c r="S295" s="12"/>
      <c r="T295" s="12" t="s">
        <v>39</v>
      </c>
      <c r="U295" s="12" t="e">
        <v>#N/A</v>
      </c>
      <c r="V295" s="19" t="e">
        <f>VLOOKUP(A295,'2023 Stats'!$B$2:$D$192,3,FALSE)</f>
        <v>#N/A</v>
      </c>
      <c r="W295" s="20" t="e">
        <v>#N/A</v>
      </c>
      <c r="X295" s="21"/>
      <c r="Y295" s="22" t="e">
        <v>#N/A</v>
      </c>
      <c r="Z295" s="20" t="e">
        <v>#N/A</v>
      </c>
      <c r="AA295" s="21"/>
      <c r="AB295" s="22" t="e">
        <v>#N/A</v>
      </c>
      <c r="AC295" s="20"/>
      <c r="AD295" s="21"/>
      <c r="AE295" s="23" t="e">
        <v>#N/A</v>
      </c>
      <c r="AF295" s="21"/>
      <c r="AG295" s="13"/>
      <c r="AH295" s="13"/>
      <c r="AI295" s="13"/>
    </row>
    <row r="296" spans="1:35" ht="22.8" x14ac:dyDescent="0.3">
      <c r="A296" s="24">
        <v>51049</v>
      </c>
      <c r="B296" s="25" t="s">
        <v>393</v>
      </c>
      <c r="C296" s="26">
        <v>45047</v>
      </c>
      <c r="D296" s="26"/>
      <c r="E296" s="27" t="s">
        <v>43</v>
      </c>
      <c r="F296" s="16" t="s">
        <v>37</v>
      </c>
      <c r="G296" s="17" t="s">
        <v>38</v>
      </c>
      <c r="H296" s="17" t="s">
        <v>64</v>
      </c>
      <c r="I296" s="17"/>
      <c r="J296" s="17"/>
      <c r="K296" s="17"/>
      <c r="L296" s="17"/>
      <c r="M296" s="17">
        <v>10</v>
      </c>
      <c r="N296" s="28">
        <v>1</v>
      </c>
      <c r="O296" s="28">
        <v>50000</v>
      </c>
      <c r="P296" s="28">
        <v>100000</v>
      </c>
      <c r="Q296" s="17"/>
      <c r="R296" s="17"/>
      <c r="S296" s="12"/>
      <c r="T296" s="12" t="s">
        <v>39</v>
      </c>
      <c r="U296" s="17" t="s">
        <v>45</v>
      </c>
      <c r="V296" s="19">
        <f>VLOOKUP(A296,'2023 Stats'!$B$2:$D$192,3,FALSE)</f>
        <v>307</v>
      </c>
      <c r="W296" s="29">
        <v>77</v>
      </c>
      <c r="X296" s="30"/>
      <c r="Y296" s="19">
        <v>494</v>
      </c>
      <c r="Z296" s="29">
        <v>41</v>
      </c>
      <c r="AA296" s="30"/>
      <c r="AB296" s="19">
        <v>1272</v>
      </c>
      <c r="AC296" s="29">
        <v>106</v>
      </c>
      <c r="AD296" s="30"/>
      <c r="AE296" s="31">
        <v>75</v>
      </c>
      <c r="AF296" s="30"/>
      <c r="AG296" s="25"/>
      <c r="AH296" s="25"/>
      <c r="AI296" s="25"/>
    </row>
    <row r="297" spans="1:35" ht="22.8" hidden="1" x14ac:dyDescent="0.3">
      <c r="A297" s="12">
        <v>51051</v>
      </c>
      <c r="B297" s="13" t="s">
        <v>394</v>
      </c>
      <c r="C297" s="14">
        <v>42186</v>
      </c>
      <c r="D297" s="14">
        <v>43343</v>
      </c>
      <c r="E297" s="15" t="s">
        <v>36</v>
      </c>
      <c r="F297" s="16" t="s">
        <v>37</v>
      </c>
      <c r="G297" s="12" t="s">
        <v>38</v>
      </c>
      <c r="H297" s="12"/>
      <c r="I297" s="12"/>
      <c r="J297" s="12"/>
      <c r="K297" s="12"/>
      <c r="L297" s="12"/>
      <c r="M297" s="17">
        <v>0</v>
      </c>
      <c r="N297" s="18">
        <v>0</v>
      </c>
      <c r="O297" s="18">
        <v>0</v>
      </c>
      <c r="P297" s="18">
        <v>100000</v>
      </c>
      <c r="Q297" s="13"/>
      <c r="R297" s="13"/>
      <c r="S297" s="12"/>
      <c r="T297" s="12" t="s">
        <v>39</v>
      </c>
      <c r="U297" s="12" t="e">
        <v>#N/A</v>
      </c>
      <c r="V297" s="19" t="e">
        <f>VLOOKUP(A297,'2023 Stats'!$B$2:$D$192,3,FALSE)</f>
        <v>#N/A</v>
      </c>
      <c r="W297" s="20" t="e">
        <v>#N/A</v>
      </c>
      <c r="X297" s="21"/>
      <c r="Y297" s="22" t="e">
        <v>#N/A</v>
      </c>
      <c r="Z297" s="20" t="e">
        <v>#N/A</v>
      </c>
      <c r="AA297" s="21"/>
      <c r="AB297" s="22" t="e">
        <v>#N/A</v>
      </c>
      <c r="AC297" s="20"/>
      <c r="AD297" s="21"/>
      <c r="AE297" s="23" t="e">
        <v>#N/A</v>
      </c>
      <c r="AF297" s="21"/>
      <c r="AG297" s="13"/>
      <c r="AH297" s="13"/>
      <c r="AI297" s="13"/>
    </row>
    <row r="298" spans="1:35" ht="22.8" x14ac:dyDescent="0.3">
      <c r="A298" s="24">
        <v>51052</v>
      </c>
      <c r="B298" s="25" t="s">
        <v>395</v>
      </c>
      <c r="C298" s="26">
        <v>42186</v>
      </c>
      <c r="D298" s="26"/>
      <c r="E298" s="27" t="s">
        <v>43</v>
      </c>
      <c r="F298" s="16" t="s">
        <v>37</v>
      </c>
      <c r="G298" s="17" t="s">
        <v>38</v>
      </c>
      <c r="H298" s="17" t="s">
        <v>64</v>
      </c>
      <c r="I298" s="17"/>
      <c r="J298" s="17"/>
      <c r="K298" s="17"/>
      <c r="L298" s="17"/>
      <c r="M298" s="17">
        <v>0</v>
      </c>
      <c r="N298" s="28">
        <v>1</v>
      </c>
      <c r="O298" s="28">
        <v>50000</v>
      </c>
      <c r="P298" s="28">
        <v>100000</v>
      </c>
      <c r="Q298" s="17"/>
      <c r="R298" s="17"/>
      <c r="S298" s="12"/>
      <c r="T298" s="12" t="s">
        <v>39</v>
      </c>
      <c r="U298" s="12"/>
      <c r="V298" s="19" t="e">
        <f>VLOOKUP(A298,'2023 Stats'!$B$2:$D$192,3,FALSE)</f>
        <v>#N/A</v>
      </c>
      <c r="W298" s="29" t="e">
        <v>#N/A</v>
      </c>
      <c r="X298" s="30"/>
      <c r="Y298" s="19" t="e">
        <v>#N/A</v>
      </c>
      <c r="Z298" s="29" t="e">
        <v>#N/A</v>
      </c>
      <c r="AA298" s="30"/>
      <c r="AB298" s="19" t="e">
        <v>#N/A</v>
      </c>
      <c r="AC298" s="29"/>
      <c r="AD298" s="30"/>
      <c r="AE298" s="31" t="e">
        <v>#N/A</v>
      </c>
      <c r="AF298" s="30"/>
      <c r="AG298" s="25"/>
      <c r="AH298" s="25"/>
      <c r="AI298" s="25"/>
    </row>
    <row r="299" spans="1:35" ht="22.8" hidden="1" x14ac:dyDescent="0.3">
      <c r="A299" s="12">
        <v>51054</v>
      </c>
      <c r="B299" s="13" t="s">
        <v>396</v>
      </c>
      <c r="C299" s="14">
        <v>42186</v>
      </c>
      <c r="D299" s="14"/>
      <c r="E299" s="15" t="s">
        <v>36</v>
      </c>
      <c r="F299" s="35" t="s">
        <v>37</v>
      </c>
      <c r="G299" s="12" t="s">
        <v>38</v>
      </c>
      <c r="H299" s="17" t="s">
        <v>101</v>
      </c>
      <c r="I299" s="17"/>
      <c r="J299" s="12"/>
      <c r="K299" s="12"/>
      <c r="L299" s="12"/>
      <c r="M299" s="17">
        <v>0</v>
      </c>
      <c r="N299" s="18">
        <v>1</v>
      </c>
      <c r="O299" s="18">
        <v>50000</v>
      </c>
      <c r="P299" s="18">
        <v>100000</v>
      </c>
      <c r="Q299" s="13"/>
      <c r="R299" s="13"/>
      <c r="S299" s="12"/>
      <c r="T299" s="12" t="s">
        <v>39</v>
      </c>
      <c r="U299" s="12" t="e">
        <v>#N/A</v>
      </c>
      <c r="V299" s="19" t="e">
        <f>VLOOKUP(A299,'2023 Stats'!$B$2:$D$192,3,FALSE)</f>
        <v>#N/A</v>
      </c>
      <c r="W299" s="20" t="e">
        <v>#N/A</v>
      </c>
      <c r="X299" s="21"/>
      <c r="Y299" s="22" t="e">
        <v>#N/A</v>
      </c>
      <c r="Z299" s="20" t="e">
        <v>#N/A</v>
      </c>
      <c r="AA299" s="21"/>
      <c r="AB299" s="22" t="e">
        <v>#N/A</v>
      </c>
      <c r="AC299" s="20"/>
      <c r="AD299" s="21"/>
      <c r="AE299" s="23" t="e">
        <v>#N/A</v>
      </c>
      <c r="AF299" s="21"/>
      <c r="AG299" s="13"/>
      <c r="AH299" s="13"/>
      <c r="AI299" s="13"/>
    </row>
    <row r="300" spans="1:35" ht="22.8" hidden="1" x14ac:dyDescent="0.3">
      <c r="A300" s="12">
        <v>51055</v>
      </c>
      <c r="B300" s="13" t="s">
        <v>397</v>
      </c>
      <c r="C300" s="14">
        <v>41851</v>
      </c>
      <c r="D300" s="14"/>
      <c r="E300" s="15" t="s">
        <v>36</v>
      </c>
      <c r="F300" s="35" t="s">
        <v>37</v>
      </c>
      <c r="G300" s="12" t="s">
        <v>38</v>
      </c>
      <c r="H300" s="40" t="s">
        <v>77</v>
      </c>
      <c r="I300" s="17"/>
      <c r="J300" s="12"/>
      <c r="K300" s="12"/>
      <c r="L300" s="12"/>
      <c r="M300" s="17">
        <v>0</v>
      </c>
      <c r="N300" s="18">
        <v>0</v>
      </c>
      <c r="O300" s="18">
        <v>50000</v>
      </c>
      <c r="P300" s="18">
        <v>100000</v>
      </c>
      <c r="Q300" s="13"/>
      <c r="R300" s="13"/>
      <c r="S300" s="12"/>
      <c r="T300" s="12" t="s">
        <v>39</v>
      </c>
      <c r="U300" s="12" t="e">
        <v>#N/A</v>
      </c>
      <c r="V300" s="19" t="e">
        <f>VLOOKUP(A300,'2023 Stats'!$B$2:$D$192,3,FALSE)</f>
        <v>#N/A</v>
      </c>
      <c r="W300" s="20" t="e">
        <v>#N/A</v>
      </c>
      <c r="X300" s="21"/>
      <c r="Y300" s="22" t="e">
        <v>#N/A</v>
      </c>
      <c r="Z300" s="20" t="e">
        <v>#N/A</v>
      </c>
      <c r="AA300" s="21"/>
      <c r="AB300" s="22" t="e">
        <v>#N/A</v>
      </c>
      <c r="AC300" s="20"/>
      <c r="AD300" s="21"/>
      <c r="AE300" s="23" t="e">
        <v>#N/A</v>
      </c>
      <c r="AF300" s="21"/>
      <c r="AG300" s="13"/>
      <c r="AH300" s="13"/>
      <c r="AI300" s="13"/>
    </row>
    <row r="301" spans="1:35" ht="22.8" hidden="1" x14ac:dyDescent="0.3">
      <c r="A301" s="12">
        <v>51056</v>
      </c>
      <c r="B301" s="13" t="s">
        <v>398</v>
      </c>
      <c r="C301" s="14">
        <v>41851</v>
      </c>
      <c r="D301" s="14"/>
      <c r="E301" s="15" t="s">
        <v>36</v>
      </c>
      <c r="F301" s="35" t="s">
        <v>37</v>
      </c>
      <c r="G301" s="12" t="s">
        <v>38</v>
      </c>
      <c r="H301" s="40" t="s">
        <v>77</v>
      </c>
      <c r="I301" s="17"/>
      <c r="J301" s="12"/>
      <c r="K301" s="12"/>
      <c r="L301" s="12"/>
      <c r="M301" s="17">
        <v>0</v>
      </c>
      <c r="N301" s="18">
        <v>0</v>
      </c>
      <c r="O301" s="18">
        <v>50000</v>
      </c>
      <c r="P301" s="18">
        <v>100000</v>
      </c>
      <c r="Q301" s="13"/>
      <c r="R301" s="13"/>
      <c r="S301" s="12"/>
      <c r="T301" s="12" t="s">
        <v>39</v>
      </c>
      <c r="U301" s="12" t="e">
        <v>#N/A</v>
      </c>
      <c r="V301" s="19" t="e">
        <f>VLOOKUP(A301,'2023 Stats'!$B$2:$D$192,3,FALSE)</f>
        <v>#N/A</v>
      </c>
      <c r="W301" s="20" t="e">
        <v>#N/A</v>
      </c>
      <c r="X301" s="21"/>
      <c r="Y301" s="22" t="e">
        <v>#N/A</v>
      </c>
      <c r="Z301" s="20" t="e">
        <v>#N/A</v>
      </c>
      <c r="AA301" s="21"/>
      <c r="AB301" s="22" t="e">
        <v>#N/A</v>
      </c>
      <c r="AC301" s="20"/>
      <c r="AD301" s="21"/>
      <c r="AE301" s="23" t="e">
        <v>#N/A</v>
      </c>
      <c r="AF301" s="21"/>
      <c r="AG301" s="13"/>
      <c r="AH301" s="13"/>
      <c r="AI301" s="13"/>
    </row>
    <row r="302" spans="1:35" ht="22.8" hidden="1" x14ac:dyDescent="0.3">
      <c r="A302" s="12">
        <v>51057</v>
      </c>
      <c r="B302" s="13" t="s">
        <v>399</v>
      </c>
      <c r="C302" s="14">
        <v>41851</v>
      </c>
      <c r="D302" s="14"/>
      <c r="E302" s="15" t="s">
        <v>36</v>
      </c>
      <c r="F302" s="35" t="s">
        <v>37</v>
      </c>
      <c r="G302" s="12" t="s">
        <v>38</v>
      </c>
      <c r="H302" s="40" t="s">
        <v>77</v>
      </c>
      <c r="I302" s="17"/>
      <c r="J302" s="12"/>
      <c r="K302" s="12"/>
      <c r="L302" s="12"/>
      <c r="M302" s="17">
        <v>0</v>
      </c>
      <c r="N302" s="18">
        <v>0</v>
      </c>
      <c r="O302" s="18">
        <v>50000</v>
      </c>
      <c r="P302" s="18">
        <v>100000</v>
      </c>
      <c r="Q302" s="13"/>
      <c r="R302" s="13"/>
      <c r="S302" s="12"/>
      <c r="T302" s="12" t="s">
        <v>39</v>
      </c>
      <c r="U302" s="12" t="e">
        <v>#N/A</v>
      </c>
      <c r="V302" s="19" t="e">
        <f>VLOOKUP(A302,'2023 Stats'!$B$2:$D$192,3,FALSE)</f>
        <v>#N/A</v>
      </c>
      <c r="W302" s="20" t="e">
        <v>#N/A</v>
      </c>
      <c r="X302" s="21"/>
      <c r="Y302" s="22" t="e">
        <v>#N/A</v>
      </c>
      <c r="Z302" s="20" t="e">
        <v>#N/A</v>
      </c>
      <c r="AA302" s="21"/>
      <c r="AB302" s="22" t="e">
        <v>#N/A</v>
      </c>
      <c r="AC302" s="20"/>
      <c r="AD302" s="21"/>
      <c r="AE302" s="23" t="e">
        <v>#N/A</v>
      </c>
      <c r="AF302" s="21"/>
      <c r="AG302" s="13"/>
      <c r="AH302" s="13"/>
      <c r="AI302" s="13"/>
    </row>
    <row r="303" spans="1:35" ht="22.8" hidden="1" x14ac:dyDescent="0.3">
      <c r="A303" s="12">
        <v>51058</v>
      </c>
      <c r="B303" s="13" t="s">
        <v>400</v>
      </c>
      <c r="C303" s="14">
        <v>41851</v>
      </c>
      <c r="D303" s="14"/>
      <c r="E303" s="15" t="s">
        <v>36</v>
      </c>
      <c r="F303" s="35" t="s">
        <v>37</v>
      </c>
      <c r="G303" s="12" t="s">
        <v>38</v>
      </c>
      <c r="H303" s="40" t="s">
        <v>77</v>
      </c>
      <c r="I303" s="17"/>
      <c r="J303" s="12"/>
      <c r="K303" s="12"/>
      <c r="L303" s="12"/>
      <c r="M303" s="17">
        <v>0</v>
      </c>
      <c r="N303" s="18">
        <v>0</v>
      </c>
      <c r="O303" s="18">
        <v>50000</v>
      </c>
      <c r="P303" s="18">
        <v>100000</v>
      </c>
      <c r="Q303" s="13"/>
      <c r="R303" s="13"/>
      <c r="S303" s="12"/>
      <c r="T303" s="12" t="s">
        <v>39</v>
      </c>
      <c r="U303" s="12" t="e">
        <v>#N/A</v>
      </c>
      <c r="V303" s="19" t="e">
        <f>VLOOKUP(A303,'2023 Stats'!$B$2:$D$192,3,FALSE)</f>
        <v>#N/A</v>
      </c>
      <c r="W303" s="20" t="e">
        <v>#N/A</v>
      </c>
      <c r="X303" s="21"/>
      <c r="Y303" s="22" t="e">
        <v>#N/A</v>
      </c>
      <c r="Z303" s="20" t="e">
        <v>#N/A</v>
      </c>
      <c r="AA303" s="21"/>
      <c r="AB303" s="22" t="e">
        <v>#N/A</v>
      </c>
      <c r="AC303" s="20"/>
      <c r="AD303" s="21"/>
      <c r="AE303" s="23" t="e">
        <v>#N/A</v>
      </c>
      <c r="AF303" s="21"/>
      <c r="AG303" s="13"/>
      <c r="AH303" s="13"/>
      <c r="AI303" s="13"/>
    </row>
    <row r="304" spans="1:35" ht="22.8" hidden="1" x14ac:dyDescent="0.3">
      <c r="A304" s="12">
        <v>51059</v>
      </c>
      <c r="B304" s="13" t="s">
        <v>401</v>
      </c>
      <c r="C304" s="14">
        <v>42186</v>
      </c>
      <c r="D304" s="12" t="s">
        <v>402</v>
      </c>
      <c r="E304" s="15" t="s">
        <v>36</v>
      </c>
      <c r="F304" s="16" t="s">
        <v>37</v>
      </c>
      <c r="G304" s="12" t="s">
        <v>38</v>
      </c>
      <c r="H304" s="12"/>
      <c r="I304" s="12"/>
      <c r="J304" s="12"/>
      <c r="K304" s="12"/>
      <c r="L304" s="12"/>
      <c r="M304" s="17">
        <v>0</v>
      </c>
      <c r="N304" s="18">
        <v>0</v>
      </c>
      <c r="O304" s="18">
        <v>50000</v>
      </c>
      <c r="P304" s="18">
        <v>100000</v>
      </c>
      <c r="Q304" s="13"/>
      <c r="R304" s="13"/>
      <c r="S304" s="12"/>
      <c r="T304" s="12" t="s">
        <v>39</v>
      </c>
      <c r="U304" s="12">
        <v>44469</v>
      </c>
      <c r="V304" s="19" t="e">
        <f>VLOOKUP(A304,'2023 Stats'!$B$2:$D$192,3,FALSE)</f>
        <v>#N/A</v>
      </c>
      <c r="W304" s="20" t="e">
        <v>#N/A</v>
      </c>
      <c r="X304" s="21"/>
      <c r="Y304" s="22" t="e">
        <v>#N/A</v>
      </c>
      <c r="Z304" s="20" t="e">
        <v>#N/A</v>
      </c>
      <c r="AA304" s="21"/>
      <c r="AB304" s="22">
        <v>270</v>
      </c>
      <c r="AC304" s="20">
        <v>23</v>
      </c>
      <c r="AD304" s="21"/>
      <c r="AE304" s="23" t="e">
        <v>#N/A</v>
      </c>
      <c r="AF304" s="21"/>
      <c r="AG304" s="13"/>
      <c r="AH304" s="13"/>
      <c r="AI304" s="13"/>
    </row>
    <row r="305" spans="1:35" ht="22.8" hidden="1" x14ac:dyDescent="0.3">
      <c r="A305" s="12">
        <v>51060</v>
      </c>
      <c r="B305" s="13" t="s">
        <v>403</v>
      </c>
      <c r="C305" s="14">
        <v>42186</v>
      </c>
      <c r="D305" s="14">
        <v>43465</v>
      </c>
      <c r="E305" s="15" t="s">
        <v>36</v>
      </c>
      <c r="F305" s="16" t="s">
        <v>37</v>
      </c>
      <c r="G305" s="12" t="s">
        <v>38</v>
      </c>
      <c r="H305" s="12"/>
      <c r="I305" s="12"/>
      <c r="J305" s="12"/>
      <c r="K305" s="12"/>
      <c r="L305" s="12"/>
      <c r="M305" s="17">
        <v>0</v>
      </c>
      <c r="N305" s="18">
        <v>0</v>
      </c>
      <c r="O305" s="18">
        <v>50000</v>
      </c>
      <c r="P305" s="18">
        <v>100000</v>
      </c>
      <c r="Q305" s="13"/>
      <c r="R305" s="13"/>
      <c r="S305" s="12"/>
      <c r="T305" s="12" t="s">
        <v>39</v>
      </c>
      <c r="U305" s="12" t="e">
        <v>#N/A</v>
      </c>
      <c r="V305" s="19" t="e">
        <f>VLOOKUP(A305,'2023 Stats'!$B$2:$D$192,3,FALSE)</f>
        <v>#N/A</v>
      </c>
      <c r="W305" s="20" t="e">
        <v>#N/A</v>
      </c>
      <c r="X305" s="21"/>
      <c r="Y305" s="22" t="e">
        <v>#N/A</v>
      </c>
      <c r="Z305" s="20" t="e">
        <v>#N/A</v>
      </c>
      <c r="AA305" s="21"/>
      <c r="AB305" s="22" t="e">
        <v>#N/A</v>
      </c>
      <c r="AC305" s="20"/>
      <c r="AD305" s="21"/>
      <c r="AE305" s="23" t="e">
        <v>#N/A</v>
      </c>
      <c r="AF305" s="21"/>
      <c r="AG305" s="13"/>
      <c r="AH305" s="13"/>
      <c r="AI305" s="13"/>
    </row>
    <row r="306" spans="1:35" ht="22.8" hidden="1" x14ac:dyDescent="0.3">
      <c r="A306" s="17">
        <v>51062</v>
      </c>
      <c r="B306" s="25" t="s">
        <v>404</v>
      </c>
      <c r="C306" s="26">
        <v>42186</v>
      </c>
      <c r="D306" s="26"/>
      <c r="E306" s="27" t="s">
        <v>36</v>
      </c>
      <c r="F306" s="16" t="s">
        <v>37</v>
      </c>
      <c r="G306" s="17" t="s">
        <v>38</v>
      </c>
      <c r="H306" s="17" t="s">
        <v>101</v>
      </c>
      <c r="I306" s="17"/>
      <c r="J306" s="17"/>
      <c r="K306" s="17"/>
      <c r="L306" s="17"/>
      <c r="M306" s="17">
        <v>0</v>
      </c>
      <c r="N306" s="28">
        <v>1</v>
      </c>
      <c r="O306" s="28">
        <v>50000</v>
      </c>
      <c r="P306" s="28">
        <v>100000</v>
      </c>
      <c r="Q306" s="17"/>
      <c r="R306" s="17"/>
      <c r="S306" s="17"/>
      <c r="T306" s="17" t="s">
        <v>39</v>
      </c>
      <c r="U306" s="17" t="e">
        <v>#N/A</v>
      </c>
      <c r="V306" s="19" t="e">
        <f>VLOOKUP(A306,'2023 Stats'!$B$2:$D$192,3,FALSE)</f>
        <v>#N/A</v>
      </c>
      <c r="W306" s="29" t="e">
        <v>#N/A</v>
      </c>
      <c r="X306" s="30"/>
      <c r="Y306" s="19" t="e">
        <v>#N/A</v>
      </c>
      <c r="Z306" s="29" t="e">
        <v>#N/A</v>
      </c>
      <c r="AA306" s="30"/>
      <c r="AB306" s="19" t="e">
        <v>#N/A</v>
      </c>
      <c r="AC306" s="29"/>
      <c r="AD306" s="30"/>
      <c r="AE306" s="31" t="e">
        <v>#N/A</v>
      </c>
      <c r="AF306" s="30"/>
      <c r="AG306" s="25"/>
      <c r="AH306" s="25"/>
      <c r="AI306" s="25"/>
    </row>
    <row r="307" spans="1:35" ht="22.8" hidden="1" x14ac:dyDescent="0.3">
      <c r="A307" s="12">
        <v>51063</v>
      </c>
      <c r="B307" s="13" t="s">
        <v>405</v>
      </c>
      <c r="C307" s="14">
        <v>42186</v>
      </c>
      <c r="D307" s="14"/>
      <c r="E307" s="15" t="s">
        <v>36</v>
      </c>
      <c r="F307" s="35" t="s">
        <v>37</v>
      </c>
      <c r="G307" s="12" t="s">
        <v>38</v>
      </c>
      <c r="H307" s="40" t="s">
        <v>119</v>
      </c>
      <c r="I307" s="17"/>
      <c r="J307" s="12"/>
      <c r="K307" s="12"/>
      <c r="L307" s="12"/>
      <c r="M307" s="17">
        <v>0</v>
      </c>
      <c r="N307" s="18">
        <v>1</v>
      </c>
      <c r="O307" s="18">
        <v>50000</v>
      </c>
      <c r="P307" s="18">
        <v>100000</v>
      </c>
      <c r="Q307" s="13"/>
      <c r="R307" s="13"/>
      <c r="S307" s="12"/>
      <c r="T307" s="12" t="s">
        <v>39</v>
      </c>
      <c r="U307" s="12" t="e">
        <v>#N/A</v>
      </c>
      <c r="V307" s="19" t="e">
        <f>VLOOKUP(A307,'2023 Stats'!$B$2:$D$192,3,FALSE)</f>
        <v>#N/A</v>
      </c>
      <c r="W307" s="20" t="e">
        <v>#N/A</v>
      </c>
      <c r="X307" s="21"/>
      <c r="Y307" s="22" t="e">
        <v>#N/A</v>
      </c>
      <c r="Z307" s="20" t="e">
        <v>#N/A</v>
      </c>
      <c r="AA307" s="21"/>
      <c r="AB307" s="22" t="e">
        <v>#N/A</v>
      </c>
      <c r="AC307" s="20"/>
      <c r="AD307" s="21"/>
      <c r="AE307" s="23" t="e">
        <v>#N/A</v>
      </c>
      <c r="AF307" s="21"/>
      <c r="AG307" s="13"/>
      <c r="AH307" s="13"/>
      <c r="AI307" s="13"/>
    </row>
    <row r="308" spans="1:35" ht="22.8" hidden="1" x14ac:dyDescent="0.3">
      <c r="A308" s="12">
        <v>51064</v>
      </c>
      <c r="B308" s="13" t="s">
        <v>406</v>
      </c>
      <c r="C308" s="14">
        <v>42186</v>
      </c>
      <c r="D308" s="14"/>
      <c r="E308" s="15" t="s">
        <v>36</v>
      </c>
      <c r="F308" s="35" t="s">
        <v>37</v>
      </c>
      <c r="G308" s="12" t="s">
        <v>38</v>
      </c>
      <c r="H308" s="17" t="s">
        <v>64</v>
      </c>
      <c r="I308" s="17"/>
      <c r="J308" s="12"/>
      <c r="K308" s="12"/>
      <c r="L308" s="12"/>
      <c r="M308" s="17">
        <v>0</v>
      </c>
      <c r="N308" s="18">
        <v>0</v>
      </c>
      <c r="O308" s="18">
        <v>0</v>
      </c>
      <c r="P308" s="18">
        <v>100000</v>
      </c>
      <c r="Q308" s="13"/>
      <c r="R308" s="13"/>
      <c r="S308" s="12"/>
      <c r="T308" s="12" t="s">
        <v>39</v>
      </c>
      <c r="U308" s="12" t="e">
        <v>#N/A</v>
      </c>
      <c r="V308" s="19" t="e">
        <f>VLOOKUP(A308,'2023 Stats'!$B$2:$D$192,3,FALSE)</f>
        <v>#N/A</v>
      </c>
      <c r="W308" s="20" t="e">
        <v>#N/A</v>
      </c>
      <c r="X308" s="21"/>
      <c r="Y308" s="22" t="e">
        <v>#N/A</v>
      </c>
      <c r="Z308" s="20" t="e">
        <v>#N/A</v>
      </c>
      <c r="AA308" s="21"/>
      <c r="AB308" s="22" t="e">
        <v>#N/A</v>
      </c>
      <c r="AC308" s="20"/>
      <c r="AD308" s="21"/>
      <c r="AE308" s="23" t="e">
        <v>#N/A</v>
      </c>
      <c r="AF308" s="21"/>
      <c r="AG308" s="13"/>
      <c r="AH308" s="13"/>
      <c r="AI308" s="13"/>
    </row>
    <row r="309" spans="1:35" ht="22.8" hidden="1" x14ac:dyDescent="0.3">
      <c r="A309" s="12">
        <v>51066</v>
      </c>
      <c r="B309" s="13" t="s">
        <v>407</v>
      </c>
      <c r="C309" s="14">
        <v>42170</v>
      </c>
      <c r="D309" s="14">
        <v>43252</v>
      </c>
      <c r="E309" s="15" t="s">
        <v>36</v>
      </c>
      <c r="F309" s="16" t="s">
        <v>37</v>
      </c>
      <c r="G309" s="12" t="s">
        <v>38</v>
      </c>
      <c r="H309" s="12"/>
      <c r="I309" s="12"/>
      <c r="J309" s="12"/>
      <c r="K309" s="12"/>
      <c r="L309" s="12"/>
      <c r="M309" s="17">
        <v>0</v>
      </c>
      <c r="N309" s="18">
        <v>1</v>
      </c>
      <c r="O309" s="18">
        <v>50000</v>
      </c>
      <c r="P309" s="18">
        <v>100000</v>
      </c>
      <c r="Q309" s="13"/>
      <c r="R309" s="13"/>
      <c r="S309" s="12"/>
      <c r="T309" s="12" t="s">
        <v>39</v>
      </c>
      <c r="U309" s="12" t="e">
        <v>#N/A</v>
      </c>
      <c r="V309" s="19" t="e">
        <f>VLOOKUP(A309,'2023 Stats'!$B$2:$D$192,3,FALSE)</f>
        <v>#N/A</v>
      </c>
      <c r="W309" s="20" t="e">
        <v>#N/A</v>
      </c>
      <c r="X309" s="21"/>
      <c r="Y309" s="22" t="e">
        <v>#N/A</v>
      </c>
      <c r="Z309" s="20" t="e">
        <v>#N/A</v>
      </c>
      <c r="AA309" s="21"/>
      <c r="AB309" s="22" t="e">
        <v>#N/A</v>
      </c>
      <c r="AC309" s="20"/>
      <c r="AD309" s="21"/>
      <c r="AE309" s="23" t="e">
        <v>#N/A</v>
      </c>
      <c r="AF309" s="21"/>
      <c r="AG309" s="13"/>
      <c r="AH309" s="13"/>
      <c r="AI309" s="13"/>
    </row>
    <row r="310" spans="1:35" ht="22.8" hidden="1" x14ac:dyDescent="0.3">
      <c r="A310" s="12">
        <v>51068</v>
      </c>
      <c r="B310" s="13" t="s">
        <v>408</v>
      </c>
      <c r="C310" s="14">
        <v>42186</v>
      </c>
      <c r="D310" s="14"/>
      <c r="E310" s="15" t="s">
        <v>36</v>
      </c>
      <c r="F310" s="16" t="s">
        <v>37</v>
      </c>
      <c r="G310" s="12" t="s">
        <v>38</v>
      </c>
      <c r="H310" s="12"/>
      <c r="I310" s="12"/>
      <c r="J310" s="12"/>
      <c r="K310" s="12"/>
      <c r="L310" s="12"/>
      <c r="M310" s="17">
        <v>0</v>
      </c>
      <c r="N310" s="18">
        <v>0</v>
      </c>
      <c r="O310" s="18">
        <v>50000</v>
      </c>
      <c r="P310" s="18">
        <v>100000</v>
      </c>
      <c r="Q310" s="13"/>
      <c r="R310" s="13"/>
      <c r="S310" s="12"/>
      <c r="T310" s="12" t="s">
        <v>39</v>
      </c>
      <c r="U310" s="12" t="e">
        <v>#N/A</v>
      </c>
      <c r="V310" s="19" t="e">
        <f>VLOOKUP(A310,'2023 Stats'!$B$2:$D$192,3,FALSE)</f>
        <v>#N/A</v>
      </c>
      <c r="W310" s="20" t="e">
        <v>#N/A</v>
      </c>
      <c r="X310" s="21"/>
      <c r="Y310" s="22" t="e">
        <v>#N/A</v>
      </c>
      <c r="Z310" s="20" t="e">
        <v>#N/A</v>
      </c>
      <c r="AA310" s="21"/>
      <c r="AB310" s="22" t="e">
        <v>#N/A</v>
      </c>
      <c r="AC310" s="20"/>
      <c r="AD310" s="21"/>
      <c r="AE310" s="23" t="e">
        <v>#N/A</v>
      </c>
      <c r="AF310" s="21"/>
      <c r="AG310" s="13"/>
      <c r="AH310" s="13"/>
      <c r="AI310" s="13"/>
    </row>
    <row r="311" spans="1:35" ht="22.8" x14ac:dyDescent="0.3">
      <c r="A311" s="24">
        <v>51069</v>
      </c>
      <c r="B311" s="25" t="s">
        <v>409</v>
      </c>
      <c r="C311" s="26">
        <v>42039</v>
      </c>
      <c r="D311" s="26"/>
      <c r="E311" s="27" t="s">
        <v>43</v>
      </c>
      <c r="F311" s="16" t="s">
        <v>37</v>
      </c>
      <c r="G311" s="17" t="s">
        <v>38</v>
      </c>
      <c r="H311" s="40" t="s">
        <v>103</v>
      </c>
      <c r="I311" s="17"/>
      <c r="J311" s="17"/>
      <c r="K311" s="17"/>
      <c r="L311" s="17"/>
      <c r="M311" s="17">
        <v>10</v>
      </c>
      <c r="N311" s="28">
        <v>1</v>
      </c>
      <c r="O311" s="28">
        <v>50000</v>
      </c>
      <c r="P311" s="28">
        <v>100000</v>
      </c>
      <c r="Q311" s="17"/>
      <c r="R311" s="17"/>
      <c r="S311" s="12"/>
      <c r="T311" s="12" t="s">
        <v>39</v>
      </c>
      <c r="U311" s="17" t="s">
        <v>45</v>
      </c>
      <c r="V311" s="19">
        <f>VLOOKUP(A311,'2023 Stats'!$B$2:$D$192,3,FALSE)</f>
        <v>606</v>
      </c>
      <c r="W311" s="29">
        <v>152</v>
      </c>
      <c r="X311" s="30"/>
      <c r="Y311" s="19">
        <v>522</v>
      </c>
      <c r="Z311" s="29">
        <v>44</v>
      </c>
      <c r="AA311" s="30"/>
      <c r="AB311" s="19">
        <v>483</v>
      </c>
      <c r="AC311" s="29">
        <v>40</v>
      </c>
      <c r="AD311" s="30"/>
      <c r="AE311" s="31">
        <v>78</v>
      </c>
      <c r="AF311" s="30"/>
      <c r="AG311" s="25"/>
      <c r="AH311" s="25"/>
      <c r="AI311" s="25"/>
    </row>
    <row r="312" spans="1:35" ht="22.8" hidden="1" x14ac:dyDescent="0.3">
      <c r="A312" s="12">
        <v>51070</v>
      </c>
      <c r="B312" s="13" t="s">
        <v>410</v>
      </c>
      <c r="C312" s="12" t="s">
        <v>411</v>
      </c>
      <c r="D312" s="14">
        <v>43997</v>
      </c>
      <c r="E312" s="15" t="s">
        <v>36</v>
      </c>
      <c r="F312" s="16" t="s">
        <v>37</v>
      </c>
      <c r="G312" s="12" t="s">
        <v>38</v>
      </c>
      <c r="H312" s="12"/>
      <c r="I312" s="12"/>
      <c r="J312" s="12"/>
      <c r="K312" s="12"/>
      <c r="L312" s="12"/>
      <c r="M312" s="17">
        <v>0</v>
      </c>
      <c r="N312" s="18">
        <v>0</v>
      </c>
      <c r="O312" s="18">
        <v>50000</v>
      </c>
      <c r="P312" s="18">
        <v>100000</v>
      </c>
      <c r="Q312" s="13"/>
      <c r="R312" s="13"/>
      <c r="S312" s="12"/>
      <c r="T312" s="12" t="s">
        <v>39</v>
      </c>
      <c r="U312" s="12" t="e">
        <v>#N/A</v>
      </c>
      <c r="V312" s="19" t="e">
        <f>VLOOKUP(A312,'2023 Stats'!$B$2:$D$192,3,FALSE)</f>
        <v>#N/A</v>
      </c>
      <c r="W312" s="20" t="e">
        <v>#N/A</v>
      </c>
      <c r="X312" s="21"/>
      <c r="Y312" s="22" t="e">
        <v>#N/A</v>
      </c>
      <c r="Z312" s="20" t="e">
        <v>#N/A</v>
      </c>
      <c r="AA312" s="21"/>
      <c r="AB312" s="22" t="e">
        <v>#N/A</v>
      </c>
      <c r="AC312" s="20"/>
      <c r="AD312" s="21"/>
      <c r="AE312" s="23" t="e">
        <v>#N/A</v>
      </c>
      <c r="AF312" s="21"/>
      <c r="AG312" s="13"/>
      <c r="AH312" s="13"/>
      <c r="AI312" s="13"/>
    </row>
    <row r="313" spans="1:35" ht="22.8" hidden="1" x14ac:dyDescent="0.3">
      <c r="A313" s="12">
        <v>51072</v>
      </c>
      <c r="B313" s="13" t="s">
        <v>412</v>
      </c>
      <c r="C313" s="14">
        <v>42121</v>
      </c>
      <c r="D313" s="14"/>
      <c r="E313" s="15" t="s">
        <v>36</v>
      </c>
      <c r="F313" s="35" t="s">
        <v>37</v>
      </c>
      <c r="G313" s="12" t="s">
        <v>38</v>
      </c>
      <c r="H313" s="12"/>
      <c r="I313" s="12"/>
      <c r="J313" s="12"/>
      <c r="K313" s="12"/>
      <c r="L313" s="12"/>
      <c r="M313" s="17">
        <v>0</v>
      </c>
      <c r="N313" s="18">
        <v>0</v>
      </c>
      <c r="O313" s="18">
        <v>50000</v>
      </c>
      <c r="P313" s="18">
        <v>100000</v>
      </c>
      <c r="Q313" s="13"/>
      <c r="R313" s="13"/>
      <c r="S313" s="12"/>
      <c r="T313" s="12" t="s">
        <v>39</v>
      </c>
      <c r="U313" s="12" t="e">
        <v>#N/A</v>
      </c>
      <c r="V313" s="19" t="e">
        <f>VLOOKUP(A313,'2023 Stats'!$B$2:$D$192,3,FALSE)</f>
        <v>#N/A</v>
      </c>
      <c r="W313" s="20" t="e">
        <v>#N/A</v>
      </c>
      <c r="X313" s="21"/>
      <c r="Y313" s="22" t="e">
        <v>#N/A</v>
      </c>
      <c r="Z313" s="20" t="e">
        <v>#N/A</v>
      </c>
      <c r="AA313" s="21"/>
      <c r="AB313" s="22" t="e">
        <v>#N/A</v>
      </c>
      <c r="AC313" s="20"/>
      <c r="AD313" s="21"/>
      <c r="AE313" s="23" t="e">
        <v>#N/A</v>
      </c>
      <c r="AF313" s="21"/>
      <c r="AG313" s="13"/>
      <c r="AH313" s="13"/>
      <c r="AI313" s="13"/>
    </row>
    <row r="314" spans="1:35" ht="22.8" x14ac:dyDescent="0.3">
      <c r="A314" s="24">
        <v>51081</v>
      </c>
      <c r="B314" s="25" t="s">
        <v>413</v>
      </c>
      <c r="C314" s="26">
        <v>37687.409837962965</v>
      </c>
      <c r="D314" s="26"/>
      <c r="E314" s="27" t="s">
        <v>43</v>
      </c>
      <c r="F314" s="27" t="s">
        <v>47</v>
      </c>
      <c r="G314" s="17" t="s">
        <v>38</v>
      </c>
      <c r="H314" s="17" t="s">
        <v>101</v>
      </c>
      <c r="I314" s="17"/>
      <c r="J314" s="17"/>
      <c r="K314" s="17"/>
      <c r="L314" s="17" t="s">
        <v>110</v>
      </c>
      <c r="M314" s="17">
        <v>0</v>
      </c>
      <c r="N314" s="28">
        <v>1</v>
      </c>
      <c r="O314" s="28">
        <v>50000</v>
      </c>
      <c r="P314" s="28">
        <v>100000</v>
      </c>
      <c r="Q314" s="17"/>
      <c r="R314" s="17"/>
      <c r="S314" s="12"/>
      <c r="T314" s="12" t="s">
        <v>39</v>
      </c>
      <c r="U314" s="17" t="s">
        <v>45</v>
      </c>
      <c r="V314" s="19">
        <f>VLOOKUP(A314,'2023 Stats'!$B$2:$D$192,3,FALSE)</f>
        <v>119</v>
      </c>
      <c r="W314" s="29">
        <v>30</v>
      </c>
      <c r="X314" s="30"/>
      <c r="Y314" s="19">
        <v>151</v>
      </c>
      <c r="Z314" s="29">
        <v>13</v>
      </c>
      <c r="AA314" s="30"/>
      <c r="AB314" s="19">
        <v>228</v>
      </c>
      <c r="AC314" s="29">
        <v>19</v>
      </c>
      <c r="AD314" s="30"/>
      <c r="AE314" s="31">
        <v>20</v>
      </c>
      <c r="AF314" s="30"/>
      <c r="AG314" s="25"/>
      <c r="AH314" s="25"/>
      <c r="AI314" s="25"/>
    </row>
    <row r="315" spans="1:35" ht="22.8" hidden="1" x14ac:dyDescent="0.3">
      <c r="A315" s="12">
        <v>51083</v>
      </c>
      <c r="B315" s="13" t="s">
        <v>414</v>
      </c>
      <c r="C315" s="14">
        <v>42710</v>
      </c>
      <c r="D315" s="14">
        <v>43891</v>
      </c>
      <c r="E315" s="15" t="s">
        <v>36</v>
      </c>
      <c r="F315" s="16" t="s">
        <v>37</v>
      </c>
      <c r="G315" s="12" t="s">
        <v>38</v>
      </c>
      <c r="H315" s="12"/>
      <c r="I315" s="12"/>
      <c r="J315" s="12"/>
      <c r="K315" s="12"/>
      <c r="L315" s="12"/>
      <c r="M315" s="17">
        <v>0</v>
      </c>
      <c r="N315" s="18">
        <v>0</v>
      </c>
      <c r="O315" s="18">
        <v>50000</v>
      </c>
      <c r="P315" s="18">
        <v>100000</v>
      </c>
      <c r="Q315" s="13"/>
      <c r="R315" s="13"/>
      <c r="S315" s="12"/>
      <c r="T315" s="12" t="s">
        <v>39</v>
      </c>
      <c r="U315" s="12" t="e">
        <v>#N/A</v>
      </c>
      <c r="V315" s="19" t="e">
        <f>VLOOKUP(A315,'2023 Stats'!$B$2:$D$192,3,FALSE)</f>
        <v>#N/A</v>
      </c>
      <c r="W315" s="20" t="e">
        <v>#N/A</v>
      </c>
      <c r="X315" s="21"/>
      <c r="Y315" s="22" t="e">
        <v>#N/A</v>
      </c>
      <c r="Z315" s="20" t="e">
        <v>#N/A</v>
      </c>
      <c r="AA315" s="21"/>
      <c r="AB315" s="22" t="e">
        <v>#N/A</v>
      </c>
      <c r="AC315" s="20"/>
      <c r="AD315" s="21"/>
      <c r="AE315" s="23" t="e">
        <v>#N/A</v>
      </c>
      <c r="AF315" s="21"/>
      <c r="AG315" s="13"/>
      <c r="AH315" s="13"/>
      <c r="AI315" s="13"/>
    </row>
    <row r="316" spans="1:35" ht="22.8" hidden="1" x14ac:dyDescent="0.3">
      <c r="A316" s="12">
        <v>51085</v>
      </c>
      <c r="B316" s="13" t="s">
        <v>415</v>
      </c>
      <c r="C316" s="14">
        <v>42710</v>
      </c>
      <c r="D316" s="14">
        <v>43891</v>
      </c>
      <c r="E316" s="15" t="s">
        <v>36</v>
      </c>
      <c r="F316" s="16" t="s">
        <v>37</v>
      </c>
      <c r="G316" s="12" t="s">
        <v>38</v>
      </c>
      <c r="H316" s="12"/>
      <c r="I316" s="12"/>
      <c r="J316" s="12"/>
      <c r="K316" s="12"/>
      <c r="L316" s="12"/>
      <c r="M316" s="17">
        <v>0</v>
      </c>
      <c r="N316" s="18">
        <v>0</v>
      </c>
      <c r="O316" s="18">
        <v>50000</v>
      </c>
      <c r="P316" s="18">
        <v>100000</v>
      </c>
      <c r="Q316" s="13"/>
      <c r="R316" s="13"/>
      <c r="S316" s="12"/>
      <c r="T316" s="12" t="s">
        <v>39</v>
      </c>
      <c r="U316" s="12" t="e">
        <v>#N/A</v>
      </c>
      <c r="V316" s="19" t="e">
        <f>VLOOKUP(A316,'2023 Stats'!$B$2:$D$192,3,FALSE)</f>
        <v>#N/A</v>
      </c>
      <c r="W316" s="20" t="e">
        <v>#N/A</v>
      </c>
      <c r="X316" s="21"/>
      <c r="Y316" s="22" t="e">
        <v>#N/A</v>
      </c>
      <c r="Z316" s="20" t="e">
        <v>#N/A</v>
      </c>
      <c r="AA316" s="21"/>
      <c r="AB316" s="22" t="e">
        <v>#N/A</v>
      </c>
      <c r="AC316" s="20"/>
      <c r="AD316" s="21"/>
      <c r="AE316" s="23" t="e">
        <v>#N/A</v>
      </c>
      <c r="AF316" s="21"/>
      <c r="AG316" s="13"/>
      <c r="AH316" s="13"/>
      <c r="AI316" s="13"/>
    </row>
    <row r="317" spans="1:35" ht="22.8" x14ac:dyDescent="0.3">
      <c r="A317" s="24">
        <v>51086</v>
      </c>
      <c r="B317" s="25" t="s">
        <v>416</v>
      </c>
      <c r="C317" s="26">
        <v>42310</v>
      </c>
      <c r="D317" s="26"/>
      <c r="E317" s="27" t="s">
        <v>43</v>
      </c>
      <c r="F317" s="36" t="s">
        <v>58</v>
      </c>
      <c r="G317" s="17" t="s">
        <v>38</v>
      </c>
      <c r="H317" s="17" t="s">
        <v>373</v>
      </c>
      <c r="I317" s="17"/>
      <c r="J317" s="17"/>
      <c r="K317" s="17"/>
      <c r="L317" s="17"/>
      <c r="M317" s="17">
        <v>0</v>
      </c>
      <c r="N317" s="28">
        <v>1</v>
      </c>
      <c r="O317" s="28">
        <v>50000</v>
      </c>
      <c r="P317" s="28">
        <v>100000</v>
      </c>
      <c r="Q317" s="17"/>
      <c r="R317" s="17"/>
      <c r="S317" s="12"/>
      <c r="T317" s="12" t="s">
        <v>39</v>
      </c>
      <c r="U317" s="17" t="s">
        <v>417</v>
      </c>
      <c r="V317" s="19" t="e">
        <f>VLOOKUP(A317,'2023 Stats'!$B$2:$D$192,3,FALSE)</f>
        <v>#N/A</v>
      </c>
      <c r="W317" s="29" t="e">
        <v>#N/A</v>
      </c>
      <c r="X317" s="30"/>
      <c r="Y317" s="19">
        <v>3</v>
      </c>
      <c r="Z317" s="29">
        <v>0</v>
      </c>
      <c r="AA317" s="30"/>
      <c r="AB317" s="19">
        <v>649</v>
      </c>
      <c r="AC317" s="29">
        <v>54</v>
      </c>
      <c r="AD317" s="30"/>
      <c r="AE317" s="31" t="e">
        <v>#N/A</v>
      </c>
      <c r="AF317" s="30"/>
      <c r="AG317" s="25"/>
      <c r="AH317" s="25"/>
      <c r="AI317" s="25"/>
    </row>
    <row r="318" spans="1:35" ht="22.8" hidden="1" x14ac:dyDescent="0.3">
      <c r="A318" s="12">
        <v>51087</v>
      </c>
      <c r="B318" s="13" t="s">
        <v>418</v>
      </c>
      <c r="C318" s="14">
        <v>42319</v>
      </c>
      <c r="D318" s="14"/>
      <c r="E318" s="15" t="s">
        <v>36</v>
      </c>
      <c r="F318" s="35" t="s">
        <v>37</v>
      </c>
      <c r="G318" s="12" t="s">
        <v>38</v>
      </c>
      <c r="H318" s="40" t="s">
        <v>119</v>
      </c>
      <c r="I318" s="17"/>
      <c r="J318" s="12"/>
      <c r="K318" s="12"/>
      <c r="L318" s="12"/>
      <c r="M318" s="17">
        <v>0</v>
      </c>
      <c r="N318" s="18">
        <v>0</v>
      </c>
      <c r="O318" s="18">
        <v>50000</v>
      </c>
      <c r="P318" s="18">
        <v>100000</v>
      </c>
      <c r="Q318" s="13"/>
      <c r="R318" s="13"/>
      <c r="S318" s="12"/>
      <c r="T318" s="12" t="s">
        <v>39</v>
      </c>
      <c r="U318" s="12" t="e">
        <v>#N/A</v>
      </c>
      <c r="V318" s="19" t="e">
        <f>VLOOKUP(A318,'2023 Stats'!$B$2:$D$192,3,FALSE)</f>
        <v>#N/A</v>
      </c>
      <c r="W318" s="20" t="e">
        <v>#N/A</v>
      </c>
      <c r="X318" s="21"/>
      <c r="Y318" s="22" t="e">
        <v>#N/A</v>
      </c>
      <c r="Z318" s="20" t="e">
        <v>#N/A</v>
      </c>
      <c r="AA318" s="21"/>
      <c r="AB318" s="22" t="e">
        <v>#N/A</v>
      </c>
      <c r="AC318" s="20"/>
      <c r="AD318" s="21"/>
      <c r="AE318" s="23" t="e">
        <v>#N/A</v>
      </c>
      <c r="AF318" s="21"/>
      <c r="AG318" s="13"/>
      <c r="AH318" s="13"/>
      <c r="AI318" s="13"/>
    </row>
    <row r="319" spans="1:35" ht="22.8" x14ac:dyDescent="0.3">
      <c r="A319" s="24">
        <v>51089</v>
      </c>
      <c r="B319" s="25" t="s">
        <v>419</v>
      </c>
      <c r="C319" s="26">
        <v>42767</v>
      </c>
      <c r="D319" s="26"/>
      <c r="E319" s="27" t="s">
        <v>43</v>
      </c>
      <c r="F319" s="27" t="s">
        <v>47</v>
      </c>
      <c r="G319" s="17" t="s">
        <v>84</v>
      </c>
      <c r="H319" s="17" t="s">
        <v>85</v>
      </c>
      <c r="I319" s="17"/>
      <c r="J319" s="17"/>
      <c r="K319" s="17"/>
      <c r="L319" s="17" t="s">
        <v>352</v>
      </c>
      <c r="M319" s="17">
        <v>15</v>
      </c>
      <c r="N319" s="28">
        <v>1</v>
      </c>
      <c r="O319" s="28">
        <v>50000</v>
      </c>
      <c r="P319" s="28">
        <v>100000</v>
      </c>
      <c r="Q319" s="17"/>
      <c r="R319" s="17"/>
      <c r="S319" s="12" t="s">
        <v>82</v>
      </c>
      <c r="T319" s="12" t="s">
        <v>39</v>
      </c>
      <c r="U319" s="17" t="s">
        <v>45</v>
      </c>
      <c r="V319" s="19">
        <f>VLOOKUP(A319,'2023 Stats'!$B$2:$D$192,3,FALSE)</f>
        <v>677</v>
      </c>
      <c r="W319" s="29">
        <v>169</v>
      </c>
      <c r="X319" s="30"/>
      <c r="Y319" s="19">
        <v>1026</v>
      </c>
      <c r="Z319" s="29">
        <v>86</v>
      </c>
      <c r="AA319" s="30"/>
      <c r="AB319" s="19">
        <v>1460</v>
      </c>
      <c r="AC319" s="29">
        <v>122</v>
      </c>
      <c r="AD319" s="30"/>
      <c r="AE319" s="31">
        <v>125</v>
      </c>
      <c r="AF319" s="30"/>
      <c r="AG319" s="25"/>
      <c r="AH319" s="25"/>
      <c r="AI319" s="25"/>
    </row>
    <row r="320" spans="1:35" ht="22.8" hidden="1" x14ac:dyDescent="0.3">
      <c r="A320" s="12">
        <v>51095</v>
      </c>
      <c r="B320" s="13" t="s">
        <v>420</v>
      </c>
      <c r="C320" s="14">
        <v>41645</v>
      </c>
      <c r="D320" s="14"/>
      <c r="E320" s="15" t="s">
        <v>36</v>
      </c>
      <c r="F320" s="16" t="s">
        <v>37</v>
      </c>
      <c r="G320" s="12" t="s">
        <v>38</v>
      </c>
      <c r="H320" s="12"/>
      <c r="I320" s="12"/>
      <c r="J320" s="12"/>
      <c r="K320" s="12"/>
      <c r="L320" s="12"/>
      <c r="M320" s="17">
        <v>0</v>
      </c>
      <c r="N320" s="18">
        <v>1</v>
      </c>
      <c r="O320" s="18">
        <v>50000</v>
      </c>
      <c r="P320" s="18">
        <v>100000</v>
      </c>
      <c r="Q320" s="13"/>
      <c r="R320" s="13"/>
      <c r="S320" s="12"/>
      <c r="T320" s="12" t="s">
        <v>39</v>
      </c>
      <c r="U320" s="12" t="e">
        <v>#N/A</v>
      </c>
      <c r="V320" s="19" t="e">
        <f>VLOOKUP(A320,'2023 Stats'!$B$2:$D$192,3,FALSE)</f>
        <v>#N/A</v>
      </c>
      <c r="W320" s="20" t="e">
        <v>#N/A</v>
      </c>
      <c r="X320" s="21"/>
      <c r="Y320" s="22" t="e">
        <v>#N/A</v>
      </c>
      <c r="Z320" s="20" t="e">
        <v>#N/A</v>
      </c>
      <c r="AA320" s="21"/>
      <c r="AB320" s="22" t="e">
        <v>#N/A</v>
      </c>
      <c r="AC320" s="20"/>
      <c r="AD320" s="21"/>
      <c r="AE320" s="23" t="e">
        <v>#N/A</v>
      </c>
      <c r="AF320" s="21"/>
      <c r="AG320" s="13"/>
      <c r="AH320" s="13"/>
      <c r="AI320" s="13"/>
    </row>
    <row r="321" spans="1:35" ht="22.8" x14ac:dyDescent="0.3">
      <c r="A321" s="24">
        <v>51099</v>
      </c>
      <c r="B321" s="25" t="s">
        <v>421</v>
      </c>
      <c r="C321" s="26">
        <v>42210</v>
      </c>
      <c r="D321" s="26"/>
      <c r="E321" s="27" t="s">
        <v>43</v>
      </c>
      <c r="F321" s="54" t="s">
        <v>422</v>
      </c>
      <c r="G321" s="17" t="s">
        <v>38</v>
      </c>
      <c r="H321" s="17" t="s">
        <v>64</v>
      </c>
      <c r="I321" s="17"/>
      <c r="J321" s="17"/>
      <c r="K321" s="17"/>
      <c r="L321" s="17"/>
      <c r="M321" s="17">
        <v>0</v>
      </c>
      <c r="N321" s="28">
        <v>1</v>
      </c>
      <c r="O321" s="28">
        <v>50000</v>
      </c>
      <c r="P321" s="28">
        <v>100000</v>
      </c>
      <c r="Q321" s="17"/>
      <c r="R321" s="17"/>
      <c r="S321" s="12"/>
      <c r="T321" s="12" t="s">
        <v>39</v>
      </c>
      <c r="U321" s="17" t="s">
        <v>45</v>
      </c>
      <c r="V321" s="19">
        <f>VLOOKUP(A321,'2023 Stats'!$B$2:$D$192,3,FALSE)</f>
        <v>2727</v>
      </c>
      <c r="W321" s="29">
        <v>682</v>
      </c>
      <c r="X321" s="30"/>
      <c r="Y321" s="19">
        <v>3900</v>
      </c>
      <c r="Z321" s="29">
        <v>325</v>
      </c>
      <c r="AA321" s="30"/>
      <c r="AB321" s="19">
        <v>6480</v>
      </c>
      <c r="AC321" s="29">
        <v>540</v>
      </c>
      <c r="AD321" s="30"/>
      <c r="AE321" s="31">
        <v>516</v>
      </c>
      <c r="AF321" s="30"/>
      <c r="AG321" s="25"/>
      <c r="AH321" s="25"/>
      <c r="AI321" s="25"/>
    </row>
    <row r="322" spans="1:35" ht="22.8" hidden="1" x14ac:dyDescent="0.3">
      <c r="A322" s="12">
        <v>51103</v>
      </c>
      <c r="B322" s="13" t="s">
        <v>423</v>
      </c>
      <c r="C322" s="14">
        <v>42186</v>
      </c>
      <c r="D322" s="14">
        <v>43157</v>
      </c>
      <c r="E322" s="15" t="s">
        <v>36</v>
      </c>
      <c r="F322" s="16" t="s">
        <v>37</v>
      </c>
      <c r="G322" s="12" t="s">
        <v>38</v>
      </c>
      <c r="H322" s="12"/>
      <c r="I322" s="12"/>
      <c r="J322" s="12"/>
      <c r="K322" s="12"/>
      <c r="L322" s="12"/>
      <c r="M322" s="17">
        <v>0</v>
      </c>
      <c r="N322" s="18">
        <v>0</v>
      </c>
      <c r="O322" s="18">
        <v>0</v>
      </c>
      <c r="P322" s="18">
        <v>100000</v>
      </c>
      <c r="Q322" s="13"/>
      <c r="R322" s="13"/>
      <c r="S322" s="12"/>
      <c r="T322" s="12" t="s">
        <v>39</v>
      </c>
      <c r="U322" s="12" t="e">
        <v>#N/A</v>
      </c>
      <c r="V322" s="19" t="e">
        <f>VLOOKUP(A322,'2023 Stats'!$B$2:$D$192,3,FALSE)</f>
        <v>#N/A</v>
      </c>
      <c r="W322" s="20" t="e">
        <v>#N/A</v>
      </c>
      <c r="X322" s="21"/>
      <c r="Y322" s="22" t="e">
        <v>#N/A</v>
      </c>
      <c r="Z322" s="20" t="e">
        <v>#N/A</v>
      </c>
      <c r="AA322" s="21"/>
      <c r="AB322" s="22" t="e">
        <v>#N/A</v>
      </c>
      <c r="AC322" s="20"/>
      <c r="AD322" s="21"/>
      <c r="AE322" s="23" t="e">
        <v>#N/A</v>
      </c>
      <c r="AF322" s="21"/>
      <c r="AG322" s="13"/>
      <c r="AH322" s="13"/>
      <c r="AI322" s="13"/>
    </row>
    <row r="323" spans="1:35" ht="22.8" x14ac:dyDescent="0.3">
      <c r="A323" s="24">
        <v>51106</v>
      </c>
      <c r="B323" s="25" t="s">
        <v>424</v>
      </c>
      <c r="C323" s="26">
        <v>42349</v>
      </c>
      <c r="D323" s="26"/>
      <c r="E323" s="27" t="s">
        <v>43</v>
      </c>
      <c r="F323" s="27" t="s">
        <v>47</v>
      </c>
      <c r="G323" s="17" t="s">
        <v>38</v>
      </c>
      <c r="H323" s="17" t="s">
        <v>64</v>
      </c>
      <c r="I323" s="40" t="s">
        <v>120</v>
      </c>
      <c r="J323" s="40" t="s">
        <v>79</v>
      </c>
      <c r="K323" s="40">
        <v>7</v>
      </c>
      <c r="L323" s="17" t="s">
        <v>425</v>
      </c>
      <c r="M323" s="17">
        <v>15</v>
      </c>
      <c r="N323" s="28">
        <v>1</v>
      </c>
      <c r="O323" s="28">
        <v>50000</v>
      </c>
      <c r="P323" s="28">
        <v>100000</v>
      </c>
      <c r="Q323" s="17"/>
      <c r="R323" s="17"/>
      <c r="S323" s="12"/>
      <c r="T323" s="12" t="s">
        <v>39</v>
      </c>
      <c r="U323" s="17" t="s">
        <v>45</v>
      </c>
      <c r="V323" s="19">
        <f>VLOOKUP(A323,'2023 Stats'!$B$2:$D$192,3,FALSE)</f>
        <v>23696</v>
      </c>
      <c r="W323" s="29">
        <v>5924</v>
      </c>
      <c r="X323" s="30"/>
      <c r="Y323" s="19">
        <v>32139</v>
      </c>
      <c r="Z323" s="29">
        <v>2678</v>
      </c>
      <c r="AA323" s="30"/>
      <c r="AB323" s="19">
        <v>48054</v>
      </c>
      <c r="AC323" s="29">
        <v>4005</v>
      </c>
      <c r="AD323" s="30"/>
      <c r="AE323" s="31">
        <v>4202</v>
      </c>
      <c r="AF323" s="30"/>
      <c r="AG323" s="25"/>
      <c r="AH323" s="25"/>
      <c r="AI323" s="25"/>
    </row>
    <row r="324" spans="1:35" ht="22.8" x14ac:dyDescent="0.3">
      <c r="A324" s="24">
        <v>51107</v>
      </c>
      <c r="B324" s="25" t="s">
        <v>424</v>
      </c>
      <c r="C324" s="26">
        <v>42349</v>
      </c>
      <c r="D324" s="26"/>
      <c r="E324" s="27" t="s">
        <v>43</v>
      </c>
      <c r="F324" s="27" t="s">
        <v>47</v>
      </c>
      <c r="G324" s="17" t="s">
        <v>38</v>
      </c>
      <c r="H324" s="17" t="s">
        <v>64</v>
      </c>
      <c r="I324" s="17"/>
      <c r="J324" s="17"/>
      <c r="K324" s="17"/>
      <c r="L324" s="17" t="s">
        <v>425</v>
      </c>
      <c r="M324" s="17">
        <v>15</v>
      </c>
      <c r="N324" s="28">
        <v>1</v>
      </c>
      <c r="O324" s="28">
        <v>50000</v>
      </c>
      <c r="P324" s="28">
        <v>100000</v>
      </c>
      <c r="Q324" s="17"/>
      <c r="R324" s="17"/>
      <c r="S324" s="12"/>
      <c r="T324" s="12" t="s">
        <v>39</v>
      </c>
      <c r="U324" s="17" t="s">
        <v>45</v>
      </c>
      <c r="V324" s="19">
        <f>VLOOKUP(A324,'2023 Stats'!$B$2:$D$192,3,FALSE)</f>
        <v>3811</v>
      </c>
      <c r="W324" s="29">
        <v>953</v>
      </c>
      <c r="X324" s="30"/>
      <c r="Y324" s="19">
        <v>3789</v>
      </c>
      <c r="Z324" s="29">
        <v>316</v>
      </c>
      <c r="AA324" s="30"/>
      <c r="AB324" s="19">
        <v>5073</v>
      </c>
      <c r="AC324" s="29">
        <v>423</v>
      </c>
      <c r="AD324" s="30"/>
      <c r="AE324" s="31">
        <v>564</v>
      </c>
      <c r="AF324" s="30"/>
      <c r="AG324" s="25"/>
      <c r="AH324" s="25"/>
      <c r="AI324" s="25"/>
    </row>
    <row r="325" spans="1:35" ht="22.8" hidden="1" x14ac:dyDescent="0.3">
      <c r="A325" s="17">
        <v>51111</v>
      </c>
      <c r="B325" s="25" t="s">
        <v>426</v>
      </c>
      <c r="C325" s="26">
        <v>42186</v>
      </c>
      <c r="D325" s="26"/>
      <c r="E325" s="27" t="s">
        <v>36</v>
      </c>
      <c r="F325" s="16" t="s">
        <v>37</v>
      </c>
      <c r="G325" s="17" t="s">
        <v>38</v>
      </c>
      <c r="H325" s="17" t="s">
        <v>64</v>
      </c>
      <c r="I325" s="17"/>
      <c r="J325" s="17"/>
      <c r="K325" s="17"/>
      <c r="L325" s="17"/>
      <c r="M325" s="17">
        <v>0</v>
      </c>
      <c r="N325" s="28">
        <v>0</v>
      </c>
      <c r="O325" s="28">
        <v>0</v>
      </c>
      <c r="P325" s="28">
        <v>100000</v>
      </c>
      <c r="Q325" s="17"/>
      <c r="R325" s="17"/>
      <c r="S325" s="17"/>
      <c r="T325" s="17" t="s">
        <v>39</v>
      </c>
      <c r="U325" s="17" t="e">
        <v>#N/A</v>
      </c>
      <c r="V325" s="19" t="e">
        <f>VLOOKUP(A325,'2023 Stats'!$B$2:$D$192,3,FALSE)</f>
        <v>#N/A</v>
      </c>
      <c r="W325" s="29" t="e">
        <v>#N/A</v>
      </c>
      <c r="X325" s="30"/>
      <c r="Y325" s="19" t="e">
        <v>#N/A</v>
      </c>
      <c r="Z325" s="29" t="e">
        <v>#N/A</v>
      </c>
      <c r="AA325" s="30"/>
      <c r="AB325" s="19" t="e">
        <v>#N/A</v>
      </c>
      <c r="AC325" s="29"/>
      <c r="AD325" s="30"/>
      <c r="AE325" s="31" t="e">
        <v>#N/A</v>
      </c>
      <c r="AF325" s="30"/>
      <c r="AG325" s="25"/>
      <c r="AH325" s="25"/>
      <c r="AI325" s="25"/>
    </row>
    <row r="326" spans="1:35" ht="22.8" x14ac:dyDescent="0.3">
      <c r="A326" s="24">
        <v>51115</v>
      </c>
      <c r="B326" s="25" t="s">
        <v>427</v>
      </c>
      <c r="C326" s="26">
        <v>42795</v>
      </c>
      <c r="D326" s="26"/>
      <c r="E326" s="27" t="s">
        <v>43</v>
      </c>
      <c r="F326" s="16" t="s">
        <v>37</v>
      </c>
      <c r="G326" s="17" t="s">
        <v>38</v>
      </c>
      <c r="H326" s="17" t="s">
        <v>101</v>
      </c>
      <c r="I326" s="17"/>
      <c r="J326" s="17"/>
      <c r="K326" s="17"/>
      <c r="L326" s="17"/>
      <c r="M326" s="17">
        <v>15</v>
      </c>
      <c r="N326" s="28">
        <v>1</v>
      </c>
      <c r="O326" s="28">
        <v>50000</v>
      </c>
      <c r="P326" s="28">
        <v>100000</v>
      </c>
      <c r="Q326" s="17"/>
      <c r="R326" s="17"/>
      <c r="S326" s="12"/>
      <c r="T326" s="12" t="s">
        <v>39</v>
      </c>
      <c r="U326" s="17" t="s">
        <v>45</v>
      </c>
      <c r="V326" s="19">
        <f>VLOOKUP(A326,'2023 Stats'!$B$2:$D$192,3,FALSE)</f>
        <v>668</v>
      </c>
      <c r="W326" s="29">
        <v>167</v>
      </c>
      <c r="X326" s="30"/>
      <c r="Y326" s="19">
        <v>690</v>
      </c>
      <c r="Z326" s="29">
        <v>58</v>
      </c>
      <c r="AA326" s="30"/>
      <c r="AB326" s="19">
        <v>889</v>
      </c>
      <c r="AC326" s="29">
        <v>74</v>
      </c>
      <c r="AD326" s="30"/>
      <c r="AE326" s="31">
        <v>100</v>
      </c>
      <c r="AF326" s="30"/>
      <c r="AG326" s="25"/>
      <c r="AH326" s="25"/>
      <c r="AI326" s="25"/>
    </row>
    <row r="327" spans="1:35" ht="22.8" x14ac:dyDescent="0.3">
      <c r="A327" s="24">
        <v>51116</v>
      </c>
      <c r="B327" s="25" t="s">
        <v>428</v>
      </c>
      <c r="C327" s="26">
        <v>42795</v>
      </c>
      <c r="D327" s="26"/>
      <c r="E327" s="27" t="s">
        <v>43</v>
      </c>
      <c r="F327" s="16" t="s">
        <v>37</v>
      </c>
      <c r="G327" s="17" t="s">
        <v>38</v>
      </c>
      <c r="H327" s="17" t="s">
        <v>101</v>
      </c>
      <c r="I327" s="17"/>
      <c r="J327" s="17"/>
      <c r="K327" s="17"/>
      <c r="L327" s="17"/>
      <c r="M327" s="17">
        <v>15</v>
      </c>
      <c r="N327" s="28">
        <v>1</v>
      </c>
      <c r="O327" s="28">
        <v>50000</v>
      </c>
      <c r="P327" s="28">
        <v>100000</v>
      </c>
      <c r="Q327" s="17"/>
      <c r="R327" s="17"/>
      <c r="S327" s="12"/>
      <c r="T327" s="12" t="s">
        <v>39</v>
      </c>
      <c r="U327" s="17" t="s">
        <v>45</v>
      </c>
      <c r="V327" s="19">
        <f>VLOOKUP(A327,'2023 Stats'!$B$2:$D$192,3,FALSE)</f>
        <v>74</v>
      </c>
      <c r="W327" s="29">
        <v>19</v>
      </c>
      <c r="X327" s="30"/>
      <c r="Y327" s="19">
        <v>125</v>
      </c>
      <c r="Z327" s="29">
        <v>10</v>
      </c>
      <c r="AA327" s="30"/>
      <c r="AB327" s="19">
        <v>4</v>
      </c>
      <c r="AC327" s="29">
        <v>0</v>
      </c>
      <c r="AD327" s="30"/>
      <c r="AE327" s="31">
        <v>10</v>
      </c>
      <c r="AF327" s="30"/>
      <c r="AG327" s="25"/>
      <c r="AH327" s="25"/>
      <c r="AI327" s="25"/>
    </row>
    <row r="328" spans="1:35" ht="22.8" x14ac:dyDescent="0.3">
      <c r="A328" s="24">
        <v>51119</v>
      </c>
      <c r="B328" s="25" t="s">
        <v>429</v>
      </c>
      <c r="C328" s="26">
        <v>44893</v>
      </c>
      <c r="D328" s="26"/>
      <c r="E328" s="27" t="s">
        <v>43</v>
      </c>
      <c r="F328" s="16" t="s">
        <v>37</v>
      </c>
      <c r="G328" s="17" t="s">
        <v>38</v>
      </c>
      <c r="H328" s="17" t="s">
        <v>44</v>
      </c>
      <c r="I328" s="17"/>
      <c r="J328" s="17"/>
      <c r="K328" s="17"/>
      <c r="L328" s="17"/>
      <c r="M328" s="17">
        <v>300</v>
      </c>
      <c r="N328" s="28">
        <v>1</v>
      </c>
      <c r="O328" s="28">
        <v>50000</v>
      </c>
      <c r="P328" s="28">
        <v>100000</v>
      </c>
      <c r="Q328" s="17"/>
      <c r="R328" s="17"/>
      <c r="S328" s="12" t="s">
        <v>82</v>
      </c>
      <c r="T328" s="12" t="s">
        <v>39</v>
      </c>
      <c r="U328" s="17" t="s">
        <v>430</v>
      </c>
      <c r="V328" s="19">
        <f>VLOOKUP(A328,'2023 Stats'!$B$2:$D$192,3,FALSE)</f>
        <v>184</v>
      </c>
      <c r="W328" s="29">
        <v>46</v>
      </c>
      <c r="X328" s="30"/>
      <c r="Y328" s="19">
        <v>116</v>
      </c>
      <c r="Z328" s="29">
        <v>10</v>
      </c>
      <c r="AA328" s="30"/>
      <c r="AB328" s="19">
        <v>729</v>
      </c>
      <c r="AC328" s="29">
        <v>61</v>
      </c>
      <c r="AD328" s="30"/>
      <c r="AE328" s="31">
        <v>39</v>
      </c>
      <c r="AF328" s="30"/>
      <c r="AG328" s="25"/>
      <c r="AH328" s="25"/>
      <c r="AI328" s="25"/>
    </row>
    <row r="329" spans="1:35" ht="22.8" x14ac:dyDescent="0.3">
      <c r="A329" s="24">
        <v>51120</v>
      </c>
      <c r="B329" s="25" t="s">
        <v>431</v>
      </c>
      <c r="C329" s="26">
        <v>44166</v>
      </c>
      <c r="D329" s="26"/>
      <c r="E329" s="27" t="s">
        <v>43</v>
      </c>
      <c r="F329" s="16" t="s">
        <v>37</v>
      </c>
      <c r="G329" s="17" t="s">
        <v>38</v>
      </c>
      <c r="H329" s="17" t="s">
        <v>44</v>
      </c>
      <c r="I329" s="17"/>
      <c r="J329" s="17"/>
      <c r="K329" s="17"/>
      <c r="L329" s="17"/>
      <c r="M329" s="17">
        <v>0</v>
      </c>
      <c r="N329" s="28">
        <v>1</v>
      </c>
      <c r="O329" s="28">
        <v>50000</v>
      </c>
      <c r="P329" s="28">
        <v>100000</v>
      </c>
      <c r="Q329" s="17"/>
      <c r="R329" s="17"/>
      <c r="S329" s="12" t="s">
        <v>82</v>
      </c>
      <c r="T329" s="12" t="s">
        <v>39</v>
      </c>
      <c r="U329" s="12"/>
      <c r="V329" s="19">
        <f>VLOOKUP(A329,'2023 Stats'!$B$2:$D$192,3,FALSE)</f>
        <v>2222</v>
      </c>
      <c r="W329" s="29">
        <v>556</v>
      </c>
      <c r="X329" s="30"/>
      <c r="Y329" s="19" t="e">
        <v>#N/A</v>
      </c>
      <c r="Z329" s="29" t="e">
        <v>#N/A</v>
      </c>
      <c r="AA329" s="30"/>
      <c r="AB329" s="19" t="e">
        <v>#N/A</v>
      </c>
      <c r="AC329" s="29"/>
      <c r="AD329" s="30"/>
      <c r="AE329" s="31" t="e">
        <v>#N/A</v>
      </c>
      <c r="AF329" s="30"/>
      <c r="AG329" s="25"/>
      <c r="AH329" s="25"/>
      <c r="AI329" s="25"/>
    </row>
    <row r="330" spans="1:35" ht="22.8" x14ac:dyDescent="0.3">
      <c r="A330" s="24">
        <v>51121</v>
      </c>
      <c r="B330" s="25" t="s">
        <v>432</v>
      </c>
      <c r="C330" s="26">
        <v>42565</v>
      </c>
      <c r="D330" s="26"/>
      <c r="E330" s="27" t="s">
        <v>43</v>
      </c>
      <c r="F330" s="16" t="s">
        <v>37</v>
      </c>
      <c r="G330" s="17" t="s">
        <v>38</v>
      </c>
      <c r="H330" s="17" t="s">
        <v>64</v>
      </c>
      <c r="I330" s="40" t="s">
        <v>120</v>
      </c>
      <c r="J330" s="40" t="s">
        <v>79</v>
      </c>
      <c r="K330" s="40">
        <v>7</v>
      </c>
      <c r="L330" s="17"/>
      <c r="M330" s="17">
        <v>10</v>
      </c>
      <c r="N330" s="28">
        <v>1</v>
      </c>
      <c r="O330" s="28">
        <v>50000</v>
      </c>
      <c r="P330" s="28">
        <v>100000</v>
      </c>
      <c r="Q330" s="17"/>
      <c r="R330" s="17"/>
      <c r="S330" s="12"/>
      <c r="T330" s="12" t="s">
        <v>39</v>
      </c>
      <c r="U330" s="17" t="s">
        <v>45</v>
      </c>
      <c r="V330" s="19">
        <f>VLOOKUP(A330,'2023 Stats'!$B$2:$D$192,3,FALSE)</f>
        <v>9055</v>
      </c>
      <c r="W330" s="29">
        <v>2264</v>
      </c>
      <c r="X330" s="30"/>
      <c r="Y330" s="19">
        <v>12078</v>
      </c>
      <c r="Z330" s="29">
        <v>1007</v>
      </c>
      <c r="AA330" s="30"/>
      <c r="AB330" s="19">
        <v>20568</v>
      </c>
      <c r="AC330" s="29">
        <v>1714</v>
      </c>
      <c r="AD330" s="30"/>
      <c r="AE330" s="31">
        <v>1661</v>
      </c>
      <c r="AF330" s="30"/>
      <c r="AG330" s="25"/>
      <c r="AH330" s="25"/>
      <c r="AI330" s="25"/>
    </row>
    <row r="331" spans="1:35" ht="22.8" x14ac:dyDescent="0.3">
      <c r="A331" s="24">
        <v>51130</v>
      </c>
      <c r="B331" s="25" t="s">
        <v>433</v>
      </c>
      <c r="C331" s="26">
        <v>42608</v>
      </c>
      <c r="D331" s="26"/>
      <c r="E331" s="27" t="s">
        <v>43</v>
      </c>
      <c r="F331" s="27" t="s">
        <v>47</v>
      </c>
      <c r="G331" s="17" t="s">
        <v>38</v>
      </c>
      <c r="H331" s="40" t="s">
        <v>119</v>
      </c>
      <c r="I331" s="17"/>
      <c r="J331" s="17"/>
      <c r="K331" s="17"/>
      <c r="L331" s="17" t="s">
        <v>434</v>
      </c>
      <c r="M331" s="17">
        <v>0</v>
      </c>
      <c r="N331" s="28">
        <v>50</v>
      </c>
      <c r="O331" s="28">
        <v>30000</v>
      </c>
      <c r="P331" s="28">
        <v>100000</v>
      </c>
      <c r="Q331" s="17"/>
      <c r="R331" s="17"/>
      <c r="S331" s="12"/>
      <c r="T331" s="12" t="s">
        <v>39</v>
      </c>
      <c r="U331" s="17" t="s">
        <v>45</v>
      </c>
      <c r="V331" s="19">
        <f>VLOOKUP(A331,'2023 Stats'!$B$2:$D$192,3,FALSE)</f>
        <v>881</v>
      </c>
      <c r="W331" s="29">
        <v>220</v>
      </c>
      <c r="X331" s="30"/>
      <c r="Y331" s="19">
        <v>1436</v>
      </c>
      <c r="Z331" s="29">
        <v>120</v>
      </c>
      <c r="AA331" s="30"/>
      <c r="AB331" s="19">
        <v>342</v>
      </c>
      <c r="AC331" s="29">
        <v>29</v>
      </c>
      <c r="AD331" s="30"/>
      <c r="AE331" s="31">
        <v>123</v>
      </c>
      <c r="AF331" s="30"/>
      <c r="AG331" s="25"/>
      <c r="AH331" s="25"/>
      <c r="AI331" s="25"/>
    </row>
    <row r="332" spans="1:35" ht="22.8" hidden="1" x14ac:dyDescent="0.3">
      <c r="A332" s="12">
        <v>52001</v>
      </c>
      <c r="B332" s="13" t="s">
        <v>435</v>
      </c>
      <c r="C332" s="14">
        <v>43617</v>
      </c>
      <c r="D332" s="14"/>
      <c r="E332" s="15" t="s">
        <v>36</v>
      </c>
      <c r="F332" s="33" t="s">
        <v>47</v>
      </c>
      <c r="G332" s="12" t="s">
        <v>38</v>
      </c>
      <c r="H332" s="12"/>
      <c r="I332" s="12"/>
      <c r="J332" s="12"/>
      <c r="K332" s="12"/>
      <c r="L332" s="12" t="s">
        <v>436</v>
      </c>
      <c r="M332" s="17">
        <v>15</v>
      </c>
      <c r="N332" s="18">
        <v>0</v>
      </c>
      <c r="O332" s="18">
        <v>0</v>
      </c>
      <c r="P332" s="18">
        <v>100000</v>
      </c>
      <c r="Q332" s="13"/>
      <c r="R332" s="13"/>
      <c r="S332" s="12"/>
      <c r="T332" s="12" t="s">
        <v>39</v>
      </c>
      <c r="U332" s="12" t="s">
        <v>437</v>
      </c>
      <c r="V332" s="19" t="e">
        <f>VLOOKUP(A332,'2023 Stats'!$B$2:$D$192,3,FALSE)</f>
        <v>#N/A</v>
      </c>
      <c r="W332" s="20" t="e">
        <v>#N/A</v>
      </c>
      <c r="X332" s="21">
        <v>4</v>
      </c>
      <c r="Y332" s="22">
        <v>150787</v>
      </c>
      <c r="Z332" s="20">
        <v>12566</v>
      </c>
      <c r="AA332" s="21">
        <v>4</v>
      </c>
      <c r="AB332" s="22">
        <v>192520</v>
      </c>
      <c r="AC332" s="20">
        <v>16043</v>
      </c>
      <c r="AD332" s="21">
        <v>1</v>
      </c>
      <c r="AE332" s="23" t="e">
        <v>#N/A</v>
      </c>
      <c r="AF332" s="21">
        <v>4</v>
      </c>
      <c r="AG332" s="13"/>
      <c r="AH332" s="13"/>
      <c r="AI332" s="13"/>
    </row>
    <row r="333" spans="1:35" ht="22.8" hidden="1" x14ac:dyDescent="0.3">
      <c r="A333" s="12">
        <v>52002</v>
      </c>
      <c r="B333" s="13" t="s">
        <v>438</v>
      </c>
      <c r="C333" s="14">
        <v>43732</v>
      </c>
      <c r="D333" s="14">
        <v>43732</v>
      </c>
      <c r="E333" s="15" t="s">
        <v>36</v>
      </c>
      <c r="F333" s="33" t="s">
        <v>47</v>
      </c>
      <c r="G333" s="12" t="s">
        <v>38</v>
      </c>
      <c r="H333" s="17" t="s">
        <v>64</v>
      </c>
      <c r="I333" s="17"/>
      <c r="J333" s="12"/>
      <c r="K333" s="12"/>
      <c r="L333" s="12" t="s">
        <v>436</v>
      </c>
      <c r="M333" s="17">
        <v>0</v>
      </c>
      <c r="N333" s="18">
        <v>0</v>
      </c>
      <c r="O333" s="18">
        <v>0</v>
      </c>
      <c r="P333" s="18">
        <v>100000</v>
      </c>
      <c r="Q333" s="13"/>
      <c r="R333" s="13"/>
      <c r="S333" s="12"/>
      <c r="T333" s="12" t="s">
        <v>39</v>
      </c>
      <c r="U333" s="12" t="e">
        <v>#N/A</v>
      </c>
      <c r="V333" s="19" t="e">
        <f>VLOOKUP(A333,'2023 Stats'!$B$2:$D$192,3,FALSE)</f>
        <v>#N/A</v>
      </c>
      <c r="W333" s="20" t="e">
        <v>#N/A</v>
      </c>
      <c r="X333" s="21"/>
      <c r="Y333" s="22" t="e">
        <v>#N/A</v>
      </c>
      <c r="Z333" s="20" t="e">
        <v>#N/A</v>
      </c>
      <c r="AA333" s="21"/>
      <c r="AB333" s="22" t="e">
        <v>#N/A</v>
      </c>
      <c r="AC333" s="20"/>
      <c r="AD333" s="21"/>
      <c r="AE333" s="23" t="e">
        <v>#N/A</v>
      </c>
      <c r="AF333" s="21"/>
      <c r="AG333" s="13"/>
      <c r="AH333" s="13"/>
      <c r="AI333" s="13"/>
    </row>
    <row r="334" spans="1:35" ht="22.8" hidden="1" x14ac:dyDescent="0.3">
      <c r="A334" s="12">
        <v>52011</v>
      </c>
      <c r="B334" s="13" t="s">
        <v>439</v>
      </c>
      <c r="C334" s="14">
        <v>43473</v>
      </c>
      <c r="D334" s="14">
        <v>43496</v>
      </c>
      <c r="E334" s="15" t="s">
        <v>36</v>
      </c>
      <c r="F334" s="16" t="s">
        <v>37</v>
      </c>
      <c r="G334" s="12" t="s">
        <v>38</v>
      </c>
      <c r="H334" s="12"/>
      <c r="I334" s="12"/>
      <c r="J334" s="12"/>
      <c r="K334" s="12"/>
      <c r="L334" s="12"/>
      <c r="M334" s="17">
        <v>0</v>
      </c>
      <c r="N334" s="18">
        <v>1</v>
      </c>
      <c r="O334" s="18">
        <v>50000</v>
      </c>
      <c r="P334" s="18">
        <v>100000</v>
      </c>
      <c r="Q334" s="13"/>
      <c r="R334" s="13"/>
      <c r="S334" s="12"/>
      <c r="T334" s="12" t="s">
        <v>39</v>
      </c>
      <c r="U334" s="12" t="e">
        <v>#N/A</v>
      </c>
      <c r="V334" s="19" t="e">
        <f>VLOOKUP(A334,'2023 Stats'!$B$2:$D$192,3,FALSE)</f>
        <v>#N/A</v>
      </c>
      <c r="W334" s="20" t="e">
        <v>#N/A</v>
      </c>
      <c r="X334" s="21"/>
      <c r="Y334" s="22" t="e">
        <v>#N/A</v>
      </c>
      <c r="Z334" s="20" t="e">
        <v>#N/A</v>
      </c>
      <c r="AA334" s="21"/>
      <c r="AB334" s="22" t="e">
        <v>#N/A</v>
      </c>
      <c r="AC334" s="20"/>
      <c r="AD334" s="21"/>
      <c r="AE334" s="23" t="e">
        <v>#N/A</v>
      </c>
      <c r="AF334" s="21"/>
      <c r="AG334" s="13"/>
      <c r="AH334" s="13"/>
      <c r="AI334" s="13"/>
    </row>
    <row r="335" spans="1:35" ht="22.8" hidden="1" x14ac:dyDescent="0.3">
      <c r="A335" s="12">
        <v>52013</v>
      </c>
      <c r="B335" s="13" t="s">
        <v>440</v>
      </c>
      <c r="C335" s="14">
        <v>43641</v>
      </c>
      <c r="D335" s="14"/>
      <c r="E335" s="15" t="s">
        <v>36</v>
      </c>
      <c r="F335" s="53" t="s">
        <v>58</v>
      </c>
      <c r="G335" s="12" t="s">
        <v>38</v>
      </c>
      <c r="H335" s="17" t="s">
        <v>101</v>
      </c>
      <c r="I335" s="17"/>
      <c r="J335" s="12"/>
      <c r="K335" s="12"/>
      <c r="L335" s="12"/>
      <c r="M335" s="17">
        <v>0</v>
      </c>
      <c r="N335" s="18">
        <v>1</v>
      </c>
      <c r="O335" s="18">
        <v>50000</v>
      </c>
      <c r="P335" s="18">
        <v>100000</v>
      </c>
      <c r="Q335" s="13"/>
      <c r="R335" s="13"/>
      <c r="S335" s="12"/>
      <c r="T335" s="12" t="s">
        <v>39</v>
      </c>
      <c r="U335" s="12" t="s">
        <v>45</v>
      </c>
      <c r="V335" s="19">
        <f>VLOOKUP(A335,'2023 Stats'!$B$2:$D$192,3,FALSE)</f>
        <v>1</v>
      </c>
      <c r="W335" s="20">
        <v>0</v>
      </c>
      <c r="X335" s="21"/>
      <c r="Y335" s="22">
        <v>3</v>
      </c>
      <c r="Z335" s="20">
        <v>0</v>
      </c>
      <c r="AA335" s="21"/>
      <c r="AB335" s="22">
        <v>8</v>
      </c>
      <c r="AC335" s="20">
        <v>1</v>
      </c>
      <c r="AD335" s="21"/>
      <c r="AE335" s="23">
        <v>0</v>
      </c>
      <c r="AF335" s="21"/>
      <c r="AG335" s="13"/>
      <c r="AH335" s="13"/>
      <c r="AI335" s="13"/>
    </row>
    <row r="336" spans="1:35" ht="22.8" x14ac:dyDescent="0.3">
      <c r="A336" s="32">
        <v>52021</v>
      </c>
      <c r="B336" s="13" t="s">
        <v>441</v>
      </c>
      <c r="C336" s="14">
        <v>43586</v>
      </c>
      <c r="D336" s="14"/>
      <c r="E336" s="15" t="s">
        <v>43</v>
      </c>
      <c r="F336" s="35" t="s">
        <v>37</v>
      </c>
      <c r="G336" s="12" t="s">
        <v>38</v>
      </c>
      <c r="H336" s="17" t="s">
        <v>44</v>
      </c>
      <c r="I336" s="40" t="s">
        <v>95</v>
      </c>
      <c r="J336" s="37" t="s">
        <v>79</v>
      </c>
      <c r="K336" s="37">
        <v>4</v>
      </c>
      <c r="L336" s="12"/>
      <c r="M336" s="17">
        <v>0</v>
      </c>
      <c r="N336" s="28">
        <v>1</v>
      </c>
      <c r="O336" s="28">
        <v>50000</v>
      </c>
      <c r="P336" s="18">
        <v>100000</v>
      </c>
      <c r="Q336" s="13"/>
      <c r="R336" s="13"/>
      <c r="S336" s="12"/>
      <c r="T336" s="12" t="s">
        <v>39</v>
      </c>
      <c r="U336" s="12" t="s">
        <v>45</v>
      </c>
      <c r="V336" s="19">
        <f>VLOOKUP(A336,'2023 Stats'!$B$2:$D$192,3,FALSE)</f>
        <v>217269</v>
      </c>
      <c r="W336" s="20">
        <v>54317</v>
      </c>
      <c r="X336" s="21">
        <v>2</v>
      </c>
      <c r="Y336" s="22">
        <v>214554</v>
      </c>
      <c r="Z336" s="20">
        <v>17880</v>
      </c>
      <c r="AA336" s="21">
        <v>2</v>
      </c>
      <c r="AB336" s="22" t="e">
        <v>#N/A</v>
      </c>
      <c r="AC336" s="20"/>
      <c r="AD336" s="21"/>
      <c r="AE336" s="23">
        <v>36098</v>
      </c>
      <c r="AF336" s="21">
        <v>2</v>
      </c>
      <c r="AG336" s="13"/>
      <c r="AH336" s="13"/>
      <c r="AI336" s="13"/>
    </row>
    <row r="337" spans="1:35" ht="22.8" hidden="1" x14ac:dyDescent="0.3">
      <c r="A337" s="12">
        <v>52022</v>
      </c>
      <c r="B337" s="13" t="s">
        <v>442</v>
      </c>
      <c r="C337" s="14">
        <v>43586</v>
      </c>
      <c r="D337" s="14"/>
      <c r="E337" s="15" t="s">
        <v>36</v>
      </c>
      <c r="F337" s="35" t="s">
        <v>37</v>
      </c>
      <c r="G337" s="12" t="s">
        <v>38</v>
      </c>
      <c r="H337" s="17" t="s">
        <v>44</v>
      </c>
      <c r="I337" s="17"/>
      <c r="J337" s="12"/>
      <c r="K337" s="12"/>
      <c r="L337" s="12"/>
      <c r="M337" s="17">
        <v>0</v>
      </c>
      <c r="N337" s="18">
        <v>0</v>
      </c>
      <c r="O337" s="18">
        <v>0</v>
      </c>
      <c r="P337" s="18">
        <v>100000</v>
      </c>
      <c r="Q337" s="13"/>
      <c r="R337" s="13"/>
      <c r="S337" s="12"/>
      <c r="T337" s="12" t="s">
        <v>39</v>
      </c>
      <c r="U337" s="12" t="s">
        <v>443</v>
      </c>
      <c r="V337" s="19" t="e">
        <f>VLOOKUP(A337,'2023 Stats'!$B$2:$D$192,3,FALSE)</f>
        <v>#N/A</v>
      </c>
      <c r="W337" s="20" t="e">
        <v>#N/A</v>
      </c>
      <c r="X337" s="21"/>
      <c r="Y337" s="22">
        <v>2</v>
      </c>
      <c r="Z337" s="20">
        <v>0</v>
      </c>
      <c r="AA337" s="21"/>
      <c r="AB337" s="22" t="e">
        <v>#N/A</v>
      </c>
      <c r="AC337" s="20"/>
      <c r="AD337" s="21"/>
      <c r="AE337" s="23" t="e">
        <v>#N/A</v>
      </c>
      <c r="AF337" s="21"/>
      <c r="AG337" s="13"/>
      <c r="AH337" s="13"/>
      <c r="AI337" s="13"/>
    </row>
    <row r="338" spans="1:35" ht="22.8" x14ac:dyDescent="0.3">
      <c r="A338" s="24">
        <v>52025</v>
      </c>
      <c r="B338" s="25" t="s">
        <v>444</v>
      </c>
      <c r="C338" s="26">
        <v>43586</v>
      </c>
      <c r="D338" s="26"/>
      <c r="E338" s="27" t="s">
        <v>43</v>
      </c>
      <c r="F338" s="16" t="s">
        <v>37</v>
      </c>
      <c r="G338" s="17" t="s">
        <v>84</v>
      </c>
      <c r="H338" s="17" t="s">
        <v>44</v>
      </c>
      <c r="I338" s="17"/>
      <c r="J338" s="17"/>
      <c r="K338" s="17"/>
      <c r="L338" s="17"/>
      <c r="M338" s="17">
        <v>0</v>
      </c>
      <c r="N338" s="28">
        <v>1</v>
      </c>
      <c r="O338" s="28">
        <v>50000</v>
      </c>
      <c r="P338" s="28">
        <v>100000</v>
      </c>
      <c r="Q338" s="17"/>
      <c r="R338" s="17"/>
      <c r="S338" s="12" t="s">
        <v>82</v>
      </c>
      <c r="T338" s="12" t="s">
        <v>39</v>
      </c>
      <c r="U338" s="17" t="s">
        <v>45</v>
      </c>
      <c r="V338" s="19">
        <f>VLOOKUP(A338,'2023 Stats'!$B$2:$D$192,3,FALSE)</f>
        <v>2495</v>
      </c>
      <c r="W338" s="29">
        <v>624</v>
      </c>
      <c r="X338" s="30"/>
      <c r="Y338" s="19">
        <v>2259</v>
      </c>
      <c r="Z338" s="29">
        <v>188</v>
      </c>
      <c r="AA338" s="30"/>
      <c r="AB338" s="19" t="e">
        <v>#N/A</v>
      </c>
      <c r="AC338" s="29"/>
      <c r="AD338" s="30"/>
      <c r="AE338" s="31">
        <v>406</v>
      </c>
      <c r="AF338" s="30"/>
      <c r="AG338" s="25"/>
      <c r="AH338" s="25"/>
      <c r="AI338" s="25"/>
    </row>
    <row r="339" spans="1:35" ht="22.8" hidden="1" x14ac:dyDescent="0.3">
      <c r="A339" s="12">
        <v>52026</v>
      </c>
      <c r="B339" s="13" t="s">
        <v>445</v>
      </c>
      <c r="C339" s="14">
        <v>43586</v>
      </c>
      <c r="D339" s="14"/>
      <c r="E339" s="15" t="s">
        <v>36</v>
      </c>
      <c r="F339" s="35" t="s">
        <v>37</v>
      </c>
      <c r="G339" s="12" t="s">
        <v>38</v>
      </c>
      <c r="H339" s="17" t="s">
        <v>44</v>
      </c>
      <c r="I339" s="17"/>
      <c r="J339" s="12"/>
      <c r="K339" s="12"/>
      <c r="L339" s="12"/>
      <c r="M339" s="17">
        <v>0</v>
      </c>
      <c r="N339" s="18">
        <v>0</v>
      </c>
      <c r="O339" s="18">
        <v>0</v>
      </c>
      <c r="P339" s="18">
        <v>100000</v>
      </c>
      <c r="Q339" s="13"/>
      <c r="R339" s="13"/>
      <c r="S339" s="12"/>
      <c r="T339" s="12" t="s">
        <v>39</v>
      </c>
      <c r="U339" s="12" t="s">
        <v>45</v>
      </c>
      <c r="V339" s="19">
        <f>VLOOKUP(A339,'2023 Stats'!$B$2:$D$192,3,FALSE)</f>
        <v>80</v>
      </c>
      <c r="W339" s="20">
        <v>20</v>
      </c>
      <c r="X339" s="21"/>
      <c r="Y339" s="22">
        <v>53</v>
      </c>
      <c r="Z339" s="20">
        <v>4</v>
      </c>
      <c r="AA339" s="21"/>
      <c r="AB339" s="22" t="e">
        <v>#N/A</v>
      </c>
      <c r="AC339" s="20"/>
      <c r="AD339" s="21"/>
      <c r="AE339" s="23">
        <v>12</v>
      </c>
      <c r="AF339" s="21"/>
      <c r="AG339" s="13"/>
      <c r="AH339" s="13"/>
      <c r="AI339" s="13"/>
    </row>
    <row r="340" spans="1:35" ht="22.8" hidden="1" x14ac:dyDescent="0.3">
      <c r="A340" s="12">
        <v>52028</v>
      </c>
      <c r="B340" s="13" t="s">
        <v>446</v>
      </c>
      <c r="C340" s="14">
        <v>43709</v>
      </c>
      <c r="D340" s="14">
        <v>43738</v>
      </c>
      <c r="E340" s="15" t="s">
        <v>36</v>
      </c>
      <c r="F340" s="16" t="s">
        <v>37</v>
      </c>
      <c r="G340" s="12" t="s">
        <v>38</v>
      </c>
      <c r="H340" s="12"/>
      <c r="I340" s="12"/>
      <c r="J340" s="12"/>
      <c r="K340" s="12"/>
      <c r="L340" s="12"/>
      <c r="M340" s="17">
        <v>0</v>
      </c>
      <c r="N340" s="18">
        <v>1</v>
      </c>
      <c r="O340" s="18">
        <v>50000</v>
      </c>
      <c r="P340" s="18">
        <v>100000</v>
      </c>
      <c r="Q340" s="13"/>
      <c r="R340" s="13"/>
      <c r="S340" s="12"/>
      <c r="T340" s="12" t="s">
        <v>39</v>
      </c>
      <c r="U340" s="12" t="e">
        <v>#N/A</v>
      </c>
      <c r="V340" s="19" t="e">
        <f>VLOOKUP(A340,'2023 Stats'!$B$2:$D$192,3,FALSE)</f>
        <v>#N/A</v>
      </c>
      <c r="W340" s="20" t="e">
        <v>#N/A</v>
      </c>
      <c r="X340" s="21"/>
      <c r="Y340" s="22" t="e">
        <v>#N/A</v>
      </c>
      <c r="Z340" s="20" t="e">
        <v>#N/A</v>
      </c>
      <c r="AA340" s="21"/>
      <c r="AB340" s="22" t="e">
        <v>#N/A</v>
      </c>
      <c r="AC340" s="20"/>
      <c r="AD340" s="21"/>
      <c r="AE340" s="23" t="e">
        <v>#N/A</v>
      </c>
      <c r="AF340" s="21"/>
      <c r="AG340" s="13"/>
      <c r="AH340" s="13"/>
      <c r="AI340" s="13"/>
    </row>
    <row r="341" spans="1:35" ht="22.8" x14ac:dyDescent="0.3">
      <c r="A341" s="24">
        <v>52029</v>
      </c>
      <c r="B341" s="25" t="s">
        <v>447</v>
      </c>
      <c r="C341" s="26">
        <v>43899</v>
      </c>
      <c r="D341" s="26"/>
      <c r="E341" s="27" t="s">
        <v>43</v>
      </c>
      <c r="F341" s="36" t="s">
        <v>58</v>
      </c>
      <c r="G341" s="17" t="s">
        <v>38</v>
      </c>
      <c r="H341" s="17" t="s">
        <v>373</v>
      </c>
      <c r="I341" s="17"/>
      <c r="J341" s="17"/>
      <c r="K341" s="17"/>
      <c r="L341" s="17"/>
      <c r="M341" s="17">
        <v>0</v>
      </c>
      <c r="N341" s="28">
        <v>1</v>
      </c>
      <c r="O341" s="28">
        <v>50000</v>
      </c>
      <c r="P341" s="28">
        <v>100000</v>
      </c>
      <c r="Q341" s="17"/>
      <c r="R341" s="17"/>
      <c r="S341" s="12"/>
      <c r="T341" s="12" t="s">
        <v>39</v>
      </c>
      <c r="U341" s="17" t="s">
        <v>45</v>
      </c>
      <c r="V341" s="19">
        <f>VLOOKUP(A341,'2023 Stats'!$B$2:$D$192,3,FALSE)</f>
        <v>6</v>
      </c>
      <c r="W341" s="29">
        <v>2</v>
      </c>
      <c r="X341" s="30"/>
      <c r="Y341" s="19">
        <v>47</v>
      </c>
      <c r="Z341" s="29">
        <v>4</v>
      </c>
      <c r="AA341" s="30"/>
      <c r="AB341" s="19">
        <v>13</v>
      </c>
      <c r="AC341" s="29">
        <v>1</v>
      </c>
      <c r="AD341" s="30"/>
      <c r="AE341" s="31">
        <v>2</v>
      </c>
      <c r="AF341" s="30"/>
      <c r="AG341" s="25"/>
      <c r="AH341" s="25"/>
      <c r="AI341" s="25"/>
    </row>
    <row r="342" spans="1:35" ht="22.8" hidden="1" x14ac:dyDescent="0.3">
      <c r="A342" s="12">
        <v>52030</v>
      </c>
      <c r="B342" s="13" t="s">
        <v>448</v>
      </c>
      <c r="C342" s="14">
        <v>43908</v>
      </c>
      <c r="D342" s="14">
        <v>44662</v>
      </c>
      <c r="E342" s="15" t="s">
        <v>36</v>
      </c>
      <c r="F342" s="16" t="s">
        <v>37</v>
      </c>
      <c r="G342" s="12" t="s">
        <v>38</v>
      </c>
      <c r="H342" s="12"/>
      <c r="I342" s="12"/>
      <c r="J342" s="12"/>
      <c r="K342" s="12"/>
      <c r="L342" s="12"/>
      <c r="M342" s="17">
        <v>0</v>
      </c>
      <c r="N342" s="18">
        <v>1</v>
      </c>
      <c r="O342" s="18">
        <v>50000</v>
      </c>
      <c r="P342" s="18">
        <v>100000</v>
      </c>
      <c r="Q342" s="13"/>
      <c r="R342" s="13"/>
      <c r="S342" s="12"/>
      <c r="T342" s="12" t="s">
        <v>39</v>
      </c>
      <c r="U342" s="12">
        <v>44663</v>
      </c>
      <c r="V342" s="19" t="e">
        <f>VLOOKUP(A342,'2023 Stats'!$B$2:$D$192,3,FALSE)</f>
        <v>#N/A</v>
      </c>
      <c r="W342" s="20" t="e">
        <v>#N/A</v>
      </c>
      <c r="X342" s="21"/>
      <c r="Y342" s="22">
        <v>17</v>
      </c>
      <c r="Z342" s="20">
        <v>1</v>
      </c>
      <c r="AA342" s="21"/>
      <c r="AB342" s="22">
        <v>140</v>
      </c>
      <c r="AC342" s="20">
        <v>12</v>
      </c>
      <c r="AD342" s="21"/>
      <c r="AE342" s="23" t="e">
        <v>#N/A</v>
      </c>
      <c r="AF342" s="21"/>
      <c r="AG342" s="13"/>
      <c r="AH342" s="13"/>
      <c r="AI342" s="13"/>
    </row>
    <row r="343" spans="1:35" ht="22.8" x14ac:dyDescent="0.3">
      <c r="A343" s="24">
        <v>52031</v>
      </c>
      <c r="B343" s="25" t="s">
        <v>449</v>
      </c>
      <c r="C343" s="26">
        <v>43976</v>
      </c>
      <c r="D343" s="26"/>
      <c r="E343" s="27" t="s">
        <v>43</v>
      </c>
      <c r="F343" s="36" t="s">
        <v>58</v>
      </c>
      <c r="G343" s="17" t="s">
        <v>38</v>
      </c>
      <c r="H343" s="17" t="s">
        <v>373</v>
      </c>
      <c r="I343" s="17"/>
      <c r="J343" s="17"/>
      <c r="K343" s="17"/>
      <c r="L343" s="17"/>
      <c r="M343" s="17">
        <v>0</v>
      </c>
      <c r="N343" s="28">
        <v>1</v>
      </c>
      <c r="O343" s="28">
        <v>50000</v>
      </c>
      <c r="P343" s="28">
        <v>100000</v>
      </c>
      <c r="Q343" s="17"/>
      <c r="R343" s="17"/>
      <c r="S343" s="12"/>
      <c r="T343" s="12" t="s">
        <v>39</v>
      </c>
      <c r="U343" s="17" t="s">
        <v>45</v>
      </c>
      <c r="V343" s="19">
        <f>VLOOKUP(A343,'2023 Stats'!$B$2:$D$192,3,FALSE)</f>
        <v>5</v>
      </c>
      <c r="W343" s="29">
        <v>1</v>
      </c>
      <c r="X343" s="30"/>
      <c r="Y343" s="19">
        <v>135</v>
      </c>
      <c r="Z343" s="29">
        <v>11</v>
      </c>
      <c r="AA343" s="30"/>
      <c r="AB343" s="19">
        <v>106</v>
      </c>
      <c r="AC343" s="29">
        <v>9</v>
      </c>
      <c r="AD343" s="30"/>
      <c r="AE343" s="31">
        <v>7</v>
      </c>
      <c r="AF343" s="30"/>
      <c r="AG343" s="25"/>
      <c r="AH343" s="25"/>
      <c r="AI343" s="25"/>
    </row>
    <row r="344" spans="1:35" ht="22.8" x14ac:dyDescent="0.3">
      <c r="A344" s="24">
        <v>52032</v>
      </c>
      <c r="B344" s="25" t="s">
        <v>450</v>
      </c>
      <c r="C344" s="26">
        <v>44060</v>
      </c>
      <c r="D344" s="26"/>
      <c r="E344" s="27" t="s">
        <v>43</v>
      </c>
      <c r="F344" s="16" t="s">
        <v>37</v>
      </c>
      <c r="G344" s="17" t="s">
        <v>38</v>
      </c>
      <c r="H344" s="40" t="s">
        <v>103</v>
      </c>
      <c r="I344" s="17"/>
      <c r="J344" s="17"/>
      <c r="K344" s="17"/>
      <c r="L344" s="17"/>
      <c r="M344" s="17">
        <v>10</v>
      </c>
      <c r="N344" s="28">
        <v>1</v>
      </c>
      <c r="O344" s="28">
        <v>50000</v>
      </c>
      <c r="P344" s="28">
        <v>100000</v>
      </c>
      <c r="Q344" s="17"/>
      <c r="R344" s="17"/>
      <c r="S344" s="12"/>
      <c r="T344" s="12" t="s">
        <v>39</v>
      </c>
      <c r="U344" s="17" t="s">
        <v>45</v>
      </c>
      <c r="V344" s="19">
        <f>VLOOKUP(A344,'2023 Stats'!$B$2:$D$192,3,FALSE)</f>
        <v>144</v>
      </c>
      <c r="W344" s="29">
        <v>36</v>
      </c>
      <c r="X344" s="30"/>
      <c r="Y344" s="19">
        <v>127</v>
      </c>
      <c r="Z344" s="29">
        <v>11</v>
      </c>
      <c r="AA344" s="30"/>
      <c r="AB344" s="19">
        <v>161</v>
      </c>
      <c r="AC344" s="29">
        <v>13</v>
      </c>
      <c r="AD344" s="30"/>
      <c r="AE344" s="31">
        <v>20</v>
      </c>
      <c r="AF344" s="30"/>
      <c r="AG344" s="25"/>
      <c r="AH344" s="25"/>
      <c r="AI344" s="25"/>
    </row>
    <row r="345" spans="1:35" ht="22.8" x14ac:dyDescent="0.3">
      <c r="A345" s="24">
        <v>52033</v>
      </c>
      <c r="B345" s="25" t="s">
        <v>451</v>
      </c>
      <c r="C345" s="26">
        <v>44060</v>
      </c>
      <c r="D345" s="26"/>
      <c r="E345" s="27" t="s">
        <v>43</v>
      </c>
      <c r="F345" s="16" t="s">
        <v>37</v>
      </c>
      <c r="G345" s="17" t="s">
        <v>38</v>
      </c>
      <c r="H345" s="40" t="s">
        <v>103</v>
      </c>
      <c r="I345" s="17"/>
      <c r="J345" s="17"/>
      <c r="K345" s="17"/>
      <c r="L345" s="17"/>
      <c r="M345" s="17">
        <v>10</v>
      </c>
      <c r="N345" s="28">
        <v>1</v>
      </c>
      <c r="O345" s="28">
        <v>50000</v>
      </c>
      <c r="P345" s="28">
        <v>100000</v>
      </c>
      <c r="Q345" s="17"/>
      <c r="R345" s="17"/>
      <c r="S345" s="12"/>
      <c r="T345" s="12" t="s">
        <v>39</v>
      </c>
      <c r="U345" s="17" t="s">
        <v>45</v>
      </c>
      <c r="V345" s="19">
        <f>VLOOKUP(A345,'2023 Stats'!$B$2:$D$192,3,FALSE)</f>
        <v>236</v>
      </c>
      <c r="W345" s="29">
        <v>59</v>
      </c>
      <c r="X345" s="30"/>
      <c r="Y345" s="19">
        <v>160</v>
      </c>
      <c r="Z345" s="29">
        <v>13</v>
      </c>
      <c r="AA345" s="30"/>
      <c r="AB345" s="19">
        <v>303</v>
      </c>
      <c r="AC345" s="29">
        <v>25</v>
      </c>
      <c r="AD345" s="30"/>
      <c r="AE345" s="31">
        <v>33</v>
      </c>
      <c r="AF345" s="30"/>
      <c r="AG345" s="25"/>
      <c r="AH345" s="25"/>
      <c r="AI345" s="25"/>
    </row>
    <row r="346" spans="1:35" ht="22.8" x14ac:dyDescent="0.3">
      <c r="A346" s="24">
        <v>52035</v>
      </c>
      <c r="B346" s="25" t="s">
        <v>452</v>
      </c>
      <c r="C346" s="26">
        <v>44060</v>
      </c>
      <c r="D346" s="26"/>
      <c r="E346" s="27" t="s">
        <v>43</v>
      </c>
      <c r="F346" s="16" t="s">
        <v>37</v>
      </c>
      <c r="G346" s="17" t="s">
        <v>38</v>
      </c>
      <c r="H346" s="40" t="s">
        <v>103</v>
      </c>
      <c r="I346" s="17"/>
      <c r="J346" s="17"/>
      <c r="K346" s="17"/>
      <c r="L346" s="17"/>
      <c r="M346" s="17">
        <v>10</v>
      </c>
      <c r="N346" s="28">
        <v>1</v>
      </c>
      <c r="O346" s="28">
        <v>50000</v>
      </c>
      <c r="P346" s="28">
        <v>100000</v>
      </c>
      <c r="Q346" s="17"/>
      <c r="R346" s="17"/>
      <c r="S346" s="12"/>
      <c r="T346" s="12" t="s">
        <v>39</v>
      </c>
      <c r="U346" s="17" t="s">
        <v>45</v>
      </c>
      <c r="V346" s="19">
        <f>VLOOKUP(A346,'2023 Stats'!$B$2:$D$192,3,FALSE)</f>
        <v>24</v>
      </c>
      <c r="W346" s="29">
        <v>6</v>
      </c>
      <c r="X346" s="30"/>
      <c r="Y346" s="19">
        <v>27</v>
      </c>
      <c r="Z346" s="29">
        <v>2</v>
      </c>
      <c r="AA346" s="30"/>
      <c r="AB346" s="19">
        <v>23</v>
      </c>
      <c r="AC346" s="29">
        <v>2</v>
      </c>
      <c r="AD346" s="30"/>
      <c r="AE346" s="31">
        <v>3</v>
      </c>
      <c r="AF346" s="30"/>
      <c r="AG346" s="25"/>
      <c r="AH346" s="25"/>
      <c r="AI346" s="25"/>
    </row>
    <row r="347" spans="1:35" ht="22.8" x14ac:dyDescent="0.3">
      <c r="A347" s="24">
        <v>52037</v>
      </c>
      <c r="B347" s="25" t="s">
        <v>453</v>
      </c>
      <c r="C347" s="26">
        <v>44380</v>
      </c>
      <c r="D347" s="26"/>
      <c r="E347" s="27" t="s">
        <v>43</v>
      </c>
      <c r="F347" s="16" t="s">
        <v>37</v>
      </c>
      <c r="G347" s="17" t="s">
        <v>38</v>
      </c>
      <c r="H347" s="40" t="s">
        <v>77</v>
      </c>
      <c r="I347" s="40" t="s">
        <v>120</v>
      </c>
      <c r="J347" s="40" t="s">
        <v>79</v>
      </c>
      <c r="K347" s="40">
        <v>6</v>
      </c>
      <c r="L347" s="17"/>
      <c r="M347" s="17" t="s">
        <v>145</v>
      </c>
      <c r="N347" s="28">
        <v>1</v>
      </c>
      <c r="O347" s="28">
        <v>50000</v>
      </c>
      <c r="P347" s="28">
        <v>100000</v>
      </c>
      <c r="Q347" s="17"/>
      <c r="R347" s="17"/>
      <c r="S347" s="12"/>
      <c r="T347" s="12" t="s">
        <v>39</v>
      </c>
      <c r="U347" s="17" t="s">
        <v>45</v>
      </c>
      <c r="V347" s="19">
        <f>VLOOKUP(A347,'2023 Stats'!$B$2:$D$192,3,FALSE)</f>
        <v>5189</v>
      </c>
      <c r="W347" s="29">
        <v>1297</v>
      </c>
      <c r="X347" s="30"/>
      <c r="Y347" s="19">
        <v>6838</v>
      </c>
      <c r="Z347" s="29">
        <v>570</v>
      </c>
      <c r="AA347" s="30"/>
      <c r="AB347" s="19">
        <v>5554</v>
      </c>
      <c r="AC347" s="29">
        <v>463</v>
      </c>
      <c r="AD347" s="30"/>
      <c r="AE347" s="31">
        <v>777</v>
      </c>
      <c r="AF347" s="30"/>
      <c r="AG347" s="25"/>
      <c r="AH347" s="25"/>
      <c r="AI347" s="25"/>
    </row>
    <row r="348" spans="1:35" ht="22.8" hidden="1" x14ac:dyDescent="0.3">
      <c r="A348" s="12">
        <v>52038</v>
      </c>
      <c r="B348" s="13" t="s">
        <v>454</v>
      </c>
      <c r="C348" s="14">
        <v>44137</v>
      </c>
      <c r="D348" s="14"/>
      <c r="E348" s="15" t="s">
        <v>36</v>
      </c>
      <c r="F348" s="35" t="s">
        <v>37</v>
      </c>
      <c r="G348" s="12" t="s">
        <v>38</v>
      </c>
      <c r="H348" s="17" t="s">
        <v>123</v>
      </c>
      <c r="I348" s="17"/>
      <c r="J348" s="12"/>
      <c r="K348" s="12"/>
      <c r="L348" s="12"/>
      <c r="M348" s="17">
        <v>0</v>
      </c>
      <c r="N348" s="18">
        <v>1</v>
      </c>
      <c r="O348" s="18">
        <v>10000</v>
      </c>
      <c r="P348" s="18">
        <v>100000</v>
      </c>
      <c r="Q348" s="13"/>
      <c r="R348" s="13"/>
      <c r="S348" s="12"/>
      <c r="T348" s="12" t="s">
        <v>39</v>
      </c>
      <c r="U348" s="46">
        <v>44751</v>
      </c>
      <c r="V348" s="19" t="e">
        <f>VLOOKUP(A348,'2023 Stats'!$B$2:$D$192,3,FALSE)</f>
        <v>#N/A</v>
      </c>
      <c r="W348" s="20" t="e">
        <v>#N/A</v>
      </c>
      <c r="X348" s="21"/>
      <c r="Y348" s="22">
        <v>39</v>
      </c>
      <c r="Z348" s="20">
        <v>3</v>
      </c>
      <c r="AA348" s="21"/>
      <c r="AB348" s="22">
        <v>943</v>
      </c>
      <c r="AC348" s="20">
        <v>79</v>
      </c>
      <c r="AD348" s="21"/>
      <c r="AE348" s="23" t="e">
        <v>#N/A</v>
      </c>
      <c r="AF348" s="21"/>
      <c r="AG348" s="13"/>
      <c r="AH348" s="13"/>
      <c r="AI348" s="13"/>
    </row>
    <row r="349" spans="1:35" ht="22.8" x14ac:dyDescent="0.3">
      <c r="A349" s="24">
        <v>52040</v>
      </c>
      <c r="B349" s="25" t="s">
        <v>455</v>
      </c>
      <c r="C349" s="26">
        <v>44380</v>
      </c>
      <c r="D349" s="26"/>
      <c r="E349" s="27" t="s">
        <v>43</v>
      </c>
      <c r="F349" s="16" t="s">
        <v>37</v>
      </c>
      <c r="G349" s="17" t="s">
        <v>38</v>
      </c>
      <c r="H349" s="40" t="s">
        <v>94</v>
      </c>
      <c r="I349" s="17"/>
      <c r="J349" s="17"/>
      <c r="K349" s="17"/>
      <c r="L349" s="17"/>
      <c r="M349" s="17" t="s">
        <v>145</v>
      </c>
      <c r="N349" s="28">
        <v>1</v>
      </c>
      <c r="O349" s="28">
        <v>50000</v>
      </c>
      <c r="P349" s="28">
        <v>100000</v>
      </c>
      <c r="Q349" s="17"/>
      <c r="R349" s="17"/>
      <c r="S349" s="12"/>
      <c r="T349" s="12" t="s">
        <v>39</v>
      </c>
      <c r="U349" s="17" t="s">
        <v>45</v>
      </c>
      <c r="V349" s="19">
        <f>VLOOKUP(A349,'2023 Stats'!$B$2:$D$192,3,FALSE)</f>
        <v>54</v>
      </c>
      <c r="W349" s="29">
        <v>14</v>
      </c>
      <c r="X349" s="30"/>
      <c r="Y349" s="19">
        <v>17</v>
      </c>
      <c r="Z349" s="29">
        <v>1</v>
      </c>
      <c r="AA349" s="30"/>
      <c r="AB349" s="19">
        <v>11</v>
      </c>
      <c r="AC349" s="29">
        <v>1</v>
      </c>
      <c r="AD349" s="30"/>
      <c r="AE349" s="31">
        <v>5</v>
      </c>
      <c r="AF349" s="30"/>
      <c r="AG349" s="25"/>
      <c r="AH349" s="25"/>
      <c r="AI349" s="25"/>
    </row>
    <row r="350" spans="1:35" ht="22.8" x14ac:dyDescent="0.3">
      <c r="A350" s="24">
        <v>52041</v>
      </c>
      <c r="B350" s="25" t="s">
        <v>456</v>
      </c>
      <c r="C350" s="26">
        <v>44314</v>
      </c>
      <c r="D350" s="26"/>
      <c r="E350" s="27" t="s">
        <v>43</v>
      </c>
      <c r="F350" s="16" t="s">
        <v>37</v>
      </c>
      <c r="G350" s="17" t="s">
        <v>38</v>
      </c>
      <c r="H350" s="17" t="s">
        <v>44</v>
      </c>
      <c r="I350" s="17"/>
      <c r="J350" s="17"/>
      <c r="K350" s="17"/>
      <c r="L350" s="17"/>
      <c r="M350" s="17">
        <v>15</v>
      </c>
      <c r="N350" s="28">
        <v>1</v>
      </c>
      <c r="O350" s="28">
        <v>50000</v>
      </c>
      <c r="P350" s="28">
        <v>100000</v>
      </c>
      <c r="Q350" s="17"/>
      <c r="R350" s="17"/>
      <c r="S350" s="12"/>
      <c r="T350" s="12" t="s">
        <v>39</v>
      </c>
      <c r="U350" s="17" t="s">
        <v>124</v>
      </c>
      <c r="V350" s="19" t="e">
        <f>VLOOKUP(A350,'2023 Stats'!$B$2:$D$192,3,FALSE)</f>
        <v>#N/A</v>
      </c>
      <c r="W350" s="29" t="e">
        <v>#N/A</v>
      </c>
      <c r="X350" s="30"/>
      <c r="Y350" s="19">
        <v>7</v>
      </c>
      <c r="Z350" s="29">
        <v>1</v>
      </c>
      <c r="AA350" s="30"/>
      <c r="AB350" s="19">
        <v>521</v>
      </c>
      <c r="AC350" s="29">
        <v>43</v>
      </c>
      <c r="AD350" s="30"/>
      <c r="AE350" s="31" t="e">
        <v>#N/A</v>
      </c>
      <c r="AF350" s="30"/>
      <c r="AG350" s="25"/>
      <c r="AH350" s="25"/>
      <c r="AI350" s="25"/>
    </row>
    <row r="351" spans="1:35" ht="22.8" x14ac:dyDescent="0.3">
      <c r="A351" s="24">
        <v>52042</v>
      </c>
      <c r="B351" s="25" t="s">
        <v>457</v>
      </c>
      <c r="C351" s="26">
        <v>44669</v>
      </c>
      <c r="D351" s="26"/>
      <c r="E351" s="27" t="s">
        <v>43</v>
      </c>
      <c r="F351" s="36" t="s">
        <v>58</v>
      </c>
      <c r="G351" s="17" t="s">
        <v>38</v>
      </c>
      <c r="H351" s="17" t="s">
        <v>373</v>
      </c>
      <c r="I351" s="17"/>
      <c r="J351" s="17"/>
      <c r="K351" s="17"/>
      <c r="L351" s="17"/>
      <c r="M351" s="17">
        <v>0</v>
      </c>
      <c r="N351" s="28">
        <v>1</v>
      </c>
      <c r="O351" s="28">
        <v>50000</v>
      </c>
      <c r="P351" s="28">
        <v>100000</v>
      </c>
      <c r="Q351" s="17"/>
      <c r="R351" s="17"/>
      <c r="S351" s="12"/>
      <c r="T351" s="12" t="s">
        <v>39</v>
      </c>
      <c r="U351" s="17" t="s">
        <v>45</v>
      </c>
      <c r="V351" s="19">
        <f>VLOOKUP(A351,'2023 Stats'!$B$2:$D$192,3,FALSE)</f>
        <v>268</v>
      </c>
      <c r="W351" s="29">
        <v>67</v>
      </c>
      <c r="X351" s="30"/>
      <c r="Y351" s="19">
        <v>263</v>
      </c>
      <c r="Z351" s="29">
        <v>22</v>
      </c>
      <c r="AA351" s="30"/>
      <c r="AB351" s="19" t="e">
        <v>#N/A</v>
      </c>
      <c r="AC351" s="29"/>
      <c r="AD351" s="30"/>
      <c r="AE351" s="31">
        <v>44</v>
      </c>
      <c r="AF351" s="30"/>
      <c r="AG351" s="25"/>
      <c r="AH351" s="25"/>
      <c r="AI351" s="25"/>
    </row>
    <row r="352" spans="1:35" ht="22.8" x14ac:dyDescent="0.3">
      <c r="A352" s="24">
        <v>52043</v>
      </c>
      <c r="B352" s="25" t="s">
        <v>458</v>
      </c>
      <c r="C352" s="26">
        <v>44380</v>
      </c>
      <c r="D352" s="26"/>
      <c r="E352" s="27" t="s">
        <v>43</v>
      </c>
      <c r="F352" s="16" t="s">
        <v>37</v>
      </c>
      <c r="G352" s="17" t="s">
        <v>38</v>
      </c>
      <c r="H352" s="40" t="s">
        <v>94</v>
      </c>
      <c r="I352" s="40" t="s">
        <v>120</v>
      </c>
      <c r="J352" s="40" t="s">
        <v>79</v>
      </c>
      <c r="K352" s="40">
        <v>7</v>
      </c>
      <c r="L352" s="17"/>
      <c r="M352" s="17" t="s">
        <v>145</v>
      </c>
      <c r="N352" s="28">
        <v>1</v>
      </c>
      <c r="O352" s="28">
        <v>50000</v>
      </c>
      <c r="P352" s="28">
        <v>100000</v>
      </c>
      <c r="Q352" s="17"/>
      <c r="R352" s="17"/>
      <c r="S352" s="12"/>
      <c r="T352" s="12" t="s">
        <v>39</v>
      </c>
      <c r="U352" s="17" t="s">
        <v>45</v>
      </c>
      <c r="V352" s="19">
        <f>VLOOKUP(A352,'2023 Stats'!$B$2:$D$192,3,FALSE)</f>
        <v>39575</v>
      </c>
      <c r="W352" s="29">
        <v>9894</v>
      </c>
      <c r="X352" s="30">
        <v>10</v>
      </c>
      <c r="Y352" s="19">
        <v>57701</v>
      </c>
      <c r="Z352" s="29">
        <v>4808</v>
      </c>
      <c r="AA352" s="30"/>
      <c r="AB352" s="19">
        <v>40034</v>
      </c>
      <c r="AC352" s="29">
        <v>3336</v>
      </c>
      <c r="AD352" s="30"/>
      <c r="AE352" s="31">
        <v>6013</v>
      </c>
      <c r="AF352" s="30">
        <v>10</v>
      </c>
      <c r="AG352" s="25"/>
      <c r="AH352" s="25"/>
      <c r="AI352" s="25"/>
    </row>
    <row r="353" spans="1:35" ht="22.8" hidden="1" x14ac:dyDescent="0.3">
      <c r="A353" s="12">
        <v>52044</v>
      </c>
      <c r="B353" s="13" t="s">
        <v>459</v>
      </c>
      <c r="C353" s="14">
        <v>44380</v>
      </c>
      <c r="D353" s="14"/>
      <c r="E353" s="15" t="s">
        <v>36</v>
      </c>
      <c r="F353" s="35" t="s">
        <v>37</v>
      </c>
      <c r="G353" s="12" t="s">
        <v>38</v>
      </c>
      <c r="H353" s="40" t="s">
        <v>94</v>
      </c>
      <c r="I353" s="17"/>
      <c r="J353" s="12"/>
      <c r="K353" s="12"/>
      <c r="L353" s="12"/>
      <c r="M353" s="17">
        <v>0</v>
      </c>
      <c r="N353" s="18">
        <v>1</v>
      </c>
      <c r="O353" s="18">
        <v>50000</v>
      </c>
      <c r="P353" s="18">
        <v>100000</v>
      </c>
      <c r="Q353" s="13"/>
      <c r="R353" s="13"/>
      <c r="S353" s="12"/>
      <c r="T353" s="12" t="s">
        <v>39</v>
      </c>
      <c r="U353" s="12" t="e">
        <v>#N/A</v>
      </c>
      <c r="V353" s="19" t="e">
        <f>VLOOKUP(A353,'2023 Stats'!$B$2:$D$192,3,FALSE)</f>
        <v>#N/A</v>
      </c>
      <c r="W353" s="20" t="e">
        <v>#N/A</v>
      </c>
      <c r="X353" s="21"/>
      <c r="Y353" s="22" t="e">
        <v>#N/A</v>
      </c>
      <c r="Z353" s="20" t="e">
        <v>#N/A</v>
      </c>
      <c r="AA353" s="21"/>
      <c r="AB353" s="22" t="e">
        <v>#N/A</v>
      </c>
      <c r="AC353" s="20"/>
      <c r="AD353" s="21"/>
      <c r="AE353" s="23" t="e">
        <v>#N/A</v>
      </c>
      <c r="AF353" s="21"/>
      <c r="AG353" s="13"/>
      <c r="AH353" s="13"/>
      <c r="AI353" s="13"/>
    </row>
    <row r="354" spans="1:35" ht="22.8" x14ac:dyDescent="0.3">
      <c r="A354" s="24">
        <v>52046</v>
      </c>
      <c r="B354" s="25" t="s">
        <v>460</v>
      </c>
      <c r="C354" s="26">
        <v>44972</v>
      </c>
      <c r="D354" s="26"/>
      <c r="E354" s="27" t="s">
        <v>43</v>
      </c>
      <c r="F354" s="16" t="s">
        <v>37</v>
      </c>
      <c r="G354" s="17" t="s">
        <v>38</v>
      </c>
      <c r="H354" s="17" t="s">
        <v>64</v>
      </c>
      <c r="I354" s="17"/>
      <c r="J354" s="17"/>
      <c r="K354" s="17"/>
      <c r="L354" s="17"/>
      <c r="M354" s="17">
        <v>15</v>
      </c>
      <c r="N354" s="28">
        <v>1</v>
      </c>
      <c r="O354" s="28">
        <v>50000</v>
      </c>
      <c r="P354" s="28">
        <v>100000</v>
      </c>
      <c r="Q354" s="17"/>
      <c r="R354" s="17"/>
      <c r="S354" s="12"/>
      <c r="T354" s="12" t="s">
        <v>39</v>
      </c>
      <c r="U354" s="17" t="s">
        <v>45</v>
      </c>
      <c r="V354" s="19">
        <f>VLOOKUP(A354,'2023 Stats'!$B$2:$D$192,3,FALSE)</f>
        <v>1</v>
      </c>
      <c r="W354" s="29">
        <v>0</v>
      </c>
      <c r="X354" s="30"/>
      <c r="Y354" s="19" t="e">
        <v>#N/A</v>
      </c>
      <c r="Z354" s="29" t="e">
        <v>#N/A</v>
      </c>
      <c r="AA354" s="30"/>
      <c r="AB354" s="19" t="e">
        <v>#N/A</v>
      </c>
      <c r="AC354" s="29"/>
      <c r="AD354" s="30"/>
      <c r="AE354" s="31" t="e">
        <v>#N/A</v>
      </c>
      <c r="AF354" s="30"/>
      <c r="AG354" s="25"/>
      <c r="AH354" s="25"/>
      <c r="AI354" s="25"/>
    </row>
    <row r="355" spans="1:35" ht="22.8" x14ac:dyDescent="0.3">
      <c r="A355" s="24">
        <v>52047</v>
      </c>
      <c r="B355" s="25" t="s">
        <v>461</v>
      </c>
      <c r="C355" s="26">
        <v>43922</v>
      </c>
      <c r="D355" s="26"/>
      <c r="E355" s="27" t="s">
        <v>43</v>
      </c>
      <c r="F355" s="27" t="s">
        <v>47</v>
      </c>
      <c r="G355" s="17" t="s">
        <v>38</v>
      </c>
      <c r="H355" s="17" t="s">
        <v>64</v>
      </c>
      <c r="I355" s="17"/>
      <c r="J355" s="17"/>
      <c r="K355" s="17"/>
      <c r="L355" s="17" t="s">
        <v>436</v>
      </c>
      <c r="M355" s="17">
        <v>15</v>
      </c>
      <c r="N355" s="28">
        <v>1</v>
      </c>
      <c r="O355" s="28">
        <v>50000</v>
      </c>
      <c r="P355" s="28">
        <v>100000</v>
      </c>
      <c r="Q355" s="17"/>
      <c r="R355" s="17"/>
      <c r="S355" s="12"/>
      <c r="T355" s="12" t="s">
        <v>39</v>
      </c>
      <c r="U355" s="12"/>
      <c r="V355" s="19">
        <f>VLOOKUP(A355,'2023 Stats'!$B$2:$D$192,3,FALSE)</f>
        <v>134421</v>
      </c>
      <c r="W355" s="29">
        <v>33605</v>
      </c>
      <c r="X355" s="30"/>
      <c r="Y355" s="19" t="e">
        <v>#N/A</v>
      </c>
      <c r="Z355" s="29" t="e">
        <v>#N/A</v>
      </c>
      <c r="AA355" s="30"/>
      <c r="AB355" s="19" t="e">
        <v>#N/A</v>
      </c>
      <c r="AC355" s="29"/>
      <c r="AD355" s="30"/>
      <c r="AE355" s="31" t="e">
        <v>#N/A</v>
      </c>
      <c r="AF355" s="30"/>
      <c r="AG355" s="25"/>
      <c r="AH355" s="25"/>
      <c r="AI355" s="25"/>
    </row>
    <row r="356" spans="1:35" ht="22.8" x14ac:dyDescent="0.3">
      <c r="A356" s="24">
        <v>52048</v>
      </c>
      <c r="B356" s="25" t="s">
        <v>462</v>
      </c>
      <c r="C356" s="26">
        <v>44977</v>
      </c>
      <c r="D356" s="26"/>
      <c r="E356" s="27" t="s">
        <v>43</v>
      </c>
      <c r="F356" s="16" t="s">
        <v>37</v>
      </c>
      <c r="G356" s="17" t="s">
        <v>38</v>
      </c>
      <c r="H356" s="17" t="s">
        <v>64</v>
      </c>
      <c r="I356" s="17"/>
      <c r="J356" s="17"/>
      <c r="K356" s="17"/>
      <c r="L356" s="17"/>
      <c r="M356" s="17">
        <v>0</v>
      </c>
      <c r="N356" s="28">
        <v>1</v>
      </c>
      <c r="O356" s="28">
        <v>50000</v>
      </c>
      <c r="P356" s="28">
        <v>100000</v>
      </c>
      <c r="Q356" s="17"/>
      <c r="R356" s="17"/>
      <c r="S356" s="12"/>
      <c r="T356" s="12" t="s">
        <v>39</v>
      </c>
      <c r="U356" s="17" t="s">
        <v>45</v>
      </c>
      <c r="V356" s="19">
        <f>VLOOKUP(A356,'2023 Stats'!$B$2:$D$192,3,FALSE)</f>
        <v>9699</v>
      </c>
      <c r="W356" s="29">
        <v>2425</v>
      </c>
      <c r="X356" s="30"/>
      <c r="Y356" s="19" t="e">
        <v>#N/A</v>
      </c>
      <c r="Z356" s="29" t="e">
        <v>#N/A</v>
      </c>
      <c r="AA356" s="30"/>
      <c r="AB356" s="19" t="e">
        <v>#N/A</v>
      </c>
      <c r="AC356" s="29"/>
      <c r="AD356" s="30"/>
      <c r="AE356" s="31" t="e">
        <v>#N/A</v>
      </c>
      <c r="AF356" s="30"/>
      <c r="AG356" s="25"/>
      <c r="AH356" s="25"/>
      <c r="AI356" s="25"/>
    </row>
    <row r="357" spans="1:35" ht="22.8" hidden="1" x14ac:dyDescent="0.3">
      <c r="A357" s="24">
        <v>52051</v>
      </c>
      <c r="B357" s="25" t="s">
        <v>463</v>
      </c>
      <c r="C357" s="43">
        <v>42011</v>
      </c>
      <c r="D357" s="48" t="s">
        <v>464</v>
      </c>
      <c r="E357" s="55" t="s">
        <v>36</v>
      </c>
      <c r="F357" s="55" t="s">
        <v>47</v>
      </c>
      <c r="G357" s="56" t="s">
        <v>38</v>
      </c>
      <c r="H357" s="17" t="s">
        <v>64</v>
      </c>
      <c r="I357" s="57"/>
      <c r="J357" s="48"/>
      <c r="K357" s="48"/>
      <c r="L357" s="48" t="s">
        <v>465</v>
      </c>
      <c r="M357" s="17">
        <v>10</v>
      </c>
      <c r="N357" s="28">
        <v>1</v>
      </c>
      <c r="O357" s="28">
        <v>50000</v>
      </c>
      <c r="P357" s="28">
        <v>100000</v>
      </c>
      <c r="Q357" s="17"/>
      <c r="R357" s="17"/>
      <c r="S357" s="17"/>
      <c r="T357" s="17"/>
      <c r="U357" s="17"/>
      <c r="V357" s="19" t="e">
        <f>VLOOKUP(A357,'2023 Stats'!$B$2:$D$192,3,FALSE)</f>
        <v>#N/A</v>
      </c>
      <c r="W357" s="29"/>
      <c r="X357" s="30"/>
      <c r="Y357" s="19"/>
      <c r="Z357" s="29"/>
      <c r="AA357" s="30"/>
      <c r="AB357" s="19"/>
      <c r="AC357" s="29"/>
      <c r="AD357" s="30"/>
      <c r="AE357" s="31"/>
      <c r="AF357" s="30"/>
      <c r="AG357" s="25"/>
      <c r="AH357" s="25"/>
      <c r="AI357" s="25"/>
    </row>
    <row r="358" spans="1:35" ht="22.8" x14ac:dyDescent="0.3">
      <c r="A358" s="24">
        <v>52052</v>
      </c>
      <c r="B358" s="25" t="s">
        <v>466</v>
      </c>
      <c r="C358" s="43" t="s">
        <v>467</v>
      </c>
      <c r="D358" s="43"/>
      <c r="E358" s="55" t="s">
        <v>43</v>
      </c>
      <c r="F358" s="55" t="s">
        <v>47</v>
      </c>
      <c r="G358" s="58" t="s">
        <v>84</v>
      </c>
      <c r="H358" s="37" t="s">
        <v>85</v>
      </c>
      <c r="I358" s="59" t="s">
        <v>71</v>
      </c>
      <c r="J358" s="48" t="s">
        <v>104</v>
      </c>
      <c r="K358" s="48">
        <v>11</v>
      </c>
      <c r="L358" s="48" t="s">
        <v>468</v>
      </c>
      <c r="M358" s="17">
        <v>10</v>
      </c>
      <c r="N358" s="28">
        <v>1</v>
      </c>
      <c r="O358" s="28">
        <v>50000</v>
      </c>
      <c r="P358" s="28">
        <v>100000</v>
      </c>
      <c r="Q358" s="17"/>
      <c r="R358" s="17" t="s">
        <v>39</v>
      </c>
      <c r="S358" s="12" t="s">
        <v>82</v>
      </c>
      <c r="T358" s="12" t="s">
        <v>39</v>
      </c>
      <c r="U358" s="17" t="s">
        <v>45</v>
      </c>
      <c r="V358" s="19">
        <f>VLOOKUP(51074,'2023 Stats'!$B$2:$D$192,3,FALSE)</f>
        <v>141687</v>
      </c>
      <c r="W358" s="29" t="e">
        <v>#N/A</v>
      </c>
      <c r="X358" s="30">
        <v>5</v>
      </c>
      <c r="Y358" s="19">
        <v>164455</v>
      </c>
      <c r="Z358" s="29">
        <v>13705</v>
      </c>
      <c r="AA358" s="30">
        <v>5</v>
      </c>
      <c r="AB358" s="19">
        <v>186758</v>
      </c>
      <c r="AC358" s="29">
        <v>15563</v>
      </c>
      <c r="AD358" s="30">
        <v>3</v>
      </c>
      <c r="AE358" s="31" t="e">
        <v>#N/A</v>
      </c>
      <c r="AF358" s="30">
        <v>5</v>
      </c>
      <c r="AG358" s="25"/>
      <c r="AH358" s="25"/>
      <c r="AI358" s="25"/>
    </row>
    <row r="359" spans="1:35" ht="16.5" customHeight="1" x14ac:dyDescent="0.3">
      <c r="A359" s="24">
        <v>52054</v>
      </c>
      <c r="B359" s="25" t="s">
        <v>469</v>
      </c>
      <c r="C359" s="43">
        <v>42011</v>
      </c>
      <c r="D359" s="43"/>
      <c r="E359" s="55" t="s">
        <v>43</v>
      </c>
      <c r="F359" s="55" t="s">
        <v>47</v>
      </c>
      <c r="G359" s="58" t="s">
        <v>38</v>
      </c>
      <c r="H359" s="17" t="s">
        <v>64</v>
      </c>
      <c r="I359" s="60"/>
      <c r="J359" s="48"/>
      <c r="K359" s="48"/>
      <c r="L359" s="48" t="s">
        <v>235</v>
      </c>
      <c r="M359" s="17">
        <v>15</v>
      </c>
      <c r="N359" s="28">
        <v>1</v>
      </c>
      <c r="O359" s="28">
        <v>50000</v>
      </c>
      <c r="P359" s="28">
        <v>100000</v>
      </c>
      <c r="Q359" s="17"/>
      <c r="R359" s="17"/>
      <c r="S359" s="12"/>
      <c r="T359" s="12" t="s">
        <v>39</v>
      </c>
      <c r="U359" s="17"/>
      <c r="V359" s="19" t="e">
        <f>VLOOKUP(A359,'2023 Stats'!$B$2:$D$192,3,FALSE)</f>
        <v>#N/A</v>
      </c>
      <c r="W359" s="29"/>
      <c r="X359" s="30"/>
      <c r="Y359" s="19"/>
      <c r="Z359" s="29"/>
      <c r="AA359" s="30"/>
      <c r="AB359" s="19"/>
      <c r="AC359" s="29"/>
      <c r="AD359" s="30"/>
      <c r="AE359" s="31"/>
      <c r="AF359" s="30"/>
      <c r="AG359" s="25"/>
      <c r="AH359" s="25"/>
      <c r="AI359" s="25"/>
    </row>
    <row r="360" spans="1:35" ht="16.5" customHeight="1" x14ac:dyDescent="0.3">
      <c r="A360" s="24">
        <v>52056</v>
      </c>
      <c r="B360" s="25" t="s">
        <v>470</v>
      </c>
      <c r="C360" s="43">
        <v>42011</v>
      </c>
      <c r="D360" s="43"/>
      <c r="E360" s="55" t="s">
        <v>43</v>
      </c>
      <c r="F360" s="61" t="s">
        <v>471</v>
      </c>
      <c r="G360" s="58" t="s">
        <v>38</v>
      </c>
      <c r="H360" s="17" t="s">
        <v>64</v>
      </c>
      <c r="I360" s="60"/>
      <c r="J360" s="48"/>
      <c r="K360" s="48"/>
      <c r="L360" s="48"/>
      <c r="M360" s="17">
        <v>20</v>
      </c>
      <c r="N360" s="28">
        <v>1</v>
      </c>
      <c r="O360" s="28">
        <v>50000</v>
      </c>
      <c r="P360" s="28">
        <v>100000</v>
      </c>
      <c r="Q360" s="17"/>
      <c r="R360" s="17"/>
      <c r="S360" s="12"/>
      <c r="T360" s="12" t="s">
        <v>39</v>
      </c>
      <c r="U360" s="17"/>
      <c r="V360" s="19" t="e">
        <f>VLOOKUP(A360,'2023 Stats'!$B$2:$D$192,3,FALSE)</f>
        <v>#N/A</v>
      </c>
      <c r="W360" s="29"/>
      <c r="X360" s="30"/>
      <c r="Y360" s="19"/>
      <c r="Z360" s="29"/>
      <c r="AA360" s="30"/>
      <c r="AB360" s="19"/>
      <c r="AC360" s="29"/>
      <c r="AD360" s="30"/>
      <c r="AE360" s="31"/>
      <c r="AF360" s="30"/>
      <c r="AG360" s="25"/>
      <c r="AH360" s="25"/>
      <c r="AI360" s="25"/>
    </row>
    <row r="361" spans="1:35" ht="16.5" hidden="1" customHeight="1" x14ac:dyDescent="0.3">
      <c r="A361" s="17">
        <v>52058</v>
      </c>
      <c r="B361" s="25" t="s">
        <v>472</v>
      </c>
      <c r="C361" s="43">
        <v>42011</v>
      </c>
      <c r="D361" s="43"/>
      <c r="E361" s="55" t="s">
        <v>36</v>
      </c>
      <c r="F361" s="61" t="s">
        <v>37</v>
      </c>
      <c r="G361" s="58" t="s">
        <v>38</v>
      </c>
      <c r="H361" s="17" t="s">
        <v>64</v>
      </c>
      <c r="I361" s="60"/>
      <c r="J361" s="48"/>
      <c r="K361" s="48"/>
      <c r="L361" s="48"/>
      <c r="M361" s="17">
        <v>0</v>
      </c>
      <c r="N361" s="28">
        <v>1</v>
      </c>
      <c r="O361" s="28">
        <v>50000</v>
      </c>
      <c r="P361" s="28">
        <v>100000</v>
      </c>
      <c r="Q361" s="17"/>
      <c r="R361" s="17"/>
      <c r="S361" s="17"/>
      <c r="T361" s="17"/>
      <c r="U361" s="17"/>
      <c r="V361" s="19" t="e">
        <f>VLOOKUP(A361,'2023 Stats'!$B$2:$D$192,3,FALSE)</f>
        <v>#N/A</v>
      </c>
      <c r="W361" s="29"/>
      <c r="X361" s="30"/>
      <c r="Y361" s="19"/>
      <c r="Z361" s="29"/>
      <c r="AA361" s="30"/>
      <c r="AB361" s="19"/>
      <c r="AC361" s="29"/>
      <c r="AD361" s="30"/>
      <c r="AE361" s="31"/>
      <c r="AF361" s="30"/>
      <c r="AG361" s="25"/>
      <c r="AH361" s="25"/>
      <c r="AI361" s="25"/>
    </row>
    <row r="362" spans="1:35" ht="16.5" customHeight="1" x14ac:dyDescent="0.3">
      <c r="A362" s="24">
        <v>52059</v>
      </c>
      <c r="B362" s="25" t="s">
        <v>473</v>
      </c>
      <c r="C362" s="43">
        <v>42011</v>
      </c>
      <c r="D362" s="43"/>
      <c r="E362" s="55" t="s">
        <v>43</v>
      </c>
      <c r="F362" s="55" t="s">
        <v>47</v>
      </c>
      <c r="G362" s="58" t="s">
        <v>38</v>
      </c>
      <c r="H362" s="37" t="s">
        <v>85</v>
      </c>
      <c r="I362" s="59" t="s">
        <v>474</v>
      </c>
      <c r="J362" s="48" t="s">
        <v>79</v>
      </c>
      <c r="K362" s="48">
        <v>8</v>
      </c>
      <c r="L362" s="48" t="s">
        <v>475</v>
      </c>
      <c r="M362" s="17">
        <v>10</v>
      </c>
      <c r="N362" s="28">
        <v>1</v>
      </c>
      <c r="O362" s="28">
        <v>50000</v>
      </c>
      <c r="P362" s="28">
        <v>100000</v>
      </c>
      <c r="Q362" s="17"/>
      <c r="R362" s="17"/>
      <c r="S362" s="12"/>
      <c r="T362" s="12" t="s">
        <v>39</v>
      </c>
      <c r="U362" s="17" t="s">
        <v>45</v>
      </c>
      <c r="V362" s="19">
        <f>VLOOKUP(50001,'2023 Stats'!$B$2:$D$192,3,FALSE)</f>
        <v>4301</v>
      </c>
      <c r="W362" s="29" t="e">
        <v>#N/A</v>
      </c>
      <c r="X362" s="30"/>
      <c r="Y362" s="19">
        <v>6017</v>
      </c>
      <c r="Z362" s="29">
        <v>501</v>
      </c>
      <c r="AA362" s="30"/>
      <c r="AB362" s="19">
        <v>9228</v>
      </c>
      <c r="AC362" s="29">
        <v>769</v>
      </c>
      <c r="AD362" s="30"/>
      <c r="AE362" s="31" t="e">
        <v>#N/A</v>
      </c>
      <c r="AF362" s="30"/>
      <c r="AG362" s="25"/>
      <c r="AH362" s="25"/>
      <c r="AI362" s="25"/>
    </row>
    <row r="363" spans="1:35" ht="16.5" customHeight="1" x14ac:dyDescent="0.3">
      <c r="A363" s="24">
        <v>52093</v>
      </c>
      <c r="B363" s="25" t="s">
        <v>476</v>
      </c>
      <c r="C363" s="43">
        <v>42011</v>
      </c>
      <c r="D363" s="43"/>
      <c r="E363" s="55" t="s">
        <v>43</v>
      </c>
      <c r="F363" s="55" t="s">
        <v>47</v>
      </c>
      <c r="G363" s="58" t="s">
        <v>38</v>
      </c>
      <c r="H363" s="17" t="s">
        <v>64</v>
      </c>
      <c r="I363" s="59" t="s">
        <v>71</v>
      </c>
      <c r="J363" s="48" t="s">
        <v>72</v>
      </c>
      <c r="K363" s="48">
        <v>8</v>
      </c>
      <c r="L363" s="48" t="s">
        <v>350</v>
      </c>
      <c r="M363" s="17">
        <v>0</v>
      </c>
      <c r="N363" s="28">
        <v>1</v>
      </c>
      <c r="O363" s="28">
        <v>50000</v>
      </c>
      <c r="P363" s="28">
        <v>100000</v>
      </c>
      <c r="Q363" s="17" t="s">
        <v>39</v>
      </c>
      <c r="R363" s="17" t="s">
        <v>39</v>
      </c>
      <c r="S363" s="12"/>
      <c r="T363" s="12" t="s">
        <v>39</v>
      </c>
      <c r="U363" s="17" t="s">
        <v>45</v>
      </c>
      <c r="V363" s="19">
        <f>VLOOKUP(50496,'2023 Stats'!$B$2:$D$192,3,FALSE)</f>
        <v>32704</v>
      </c>
      <c r="W363" s="29" t="e">
        <v>#N/A</v>
      </c>
      <c r="X363" s="30"/>
      <c r="Y363" s="19">
        <v>39164</v>
      </c>
      <c r="Z363" s="29">
        <v>3264</v>
      </c>
      <c r="AA363" s="30"/>
      <c r="AB363" s="19">
        <v>45909</v>
      </c>
      <c r="AC363" s="29">
        <v>3826</v>
      </c>
      <c r="AD363" s="30"/>
      <c r="AE363" s="31" t="e">
        <v>#N/A</v>
      </c>
      <c r="AF363" s="30"/>
      <c r="AG363" s="25"/>
      <c r="AH363" s="25"/>
      <c r="AI363" s="25"/>
    </row>
    <row r="364" spans="1:35" ht="16.5" hidden="1" customHeight="1" x14ac:dyDescent="0.3">
      <c r="A364" s="17">
        <v>53000</v>
      </c>
      <c r="B364" s="62" t="s">
        <v>477</v>
      </c>
      <c r="C364" s="43">
        <v>42011</v>
      </c>
      <c r="D364" s="43"/>
      <c r="E364" s="55" t="s">
        <v>36</v>
      </c>
      <c r="F364" s="61" t="s">
        <v>37</v>
      </c>
      <c r="G364" s="58" t="s">
        <v>38</v>
      </c>
      <c r="H364" s="37" t="s">
        <v>103</v>
      </c>
      <c r="I364" s="59"/>
      <c r="J364" s="48"/>
      <c r="K364" s="48"/>
      <c r="L364" s="48"/>
      <c r="M364" s="17">
        <v>10</v>
      </c>
      <c r="N364" s="28">
        <v>0</v>
      </c>
      <c r="O364" s="28">
        <v>0</v>
      </c>
      <c r="P364" s="28">
        <v>100000</v>
      </c>
      <c r="Q364" s="17"/>
      <c r="R364" s="17"/>
      <c r="S364" s="17"/>
      <c r="T364" s="17" t="s">
        <v>39</v>
      </c>
      <c r="U364" s="17" t="s">
        <v>45</v>
      </c>
      <c r="V364" s="19" t="e">
        <f>VLOOKUP(A364,'2023 Stats'!$B$2:$D$192,3,FALSE)</f>
        <v>#N/A</v>
      </c>
      <c r="W364" s="29" t="e">
        <v>#N/A</v>
      </c>
      <c r="X364" s="30"/>
      <c r="Y364" s="19">
        <v>233</v>
      </c>
      <c r="Z364" s="29">
        <v>19</v>
      </c>
      <c r="AA364" s="30"/>
      <c r="AB364" s="19">
        <v>282</v>
      </c>
      <c r="AC364" s="29">
        <v>24</v>
      </c>
      <c r="AD364" s="30"/>
      <c r="AE364" s="31" t="e">
        <v>#N/A</v>
      </c>
      <c r="AF364" s="30"/>
      <c r="AG364" s="25"/>
      <c r="AH364" s="25"/>
      <c r="AI364" s="25"/>
    </row>
    <row r="365" spans="1:35" ht="16.5" hidden="1" customHeight="1" x14ac:dyDescent="0.3">
      <c r="A365" s="12">
        <v>70012</v>
      </c>
      <c r="B365" s="13" t="s">
        <v>478</v>
      </c>
      <c r="C365" s="14">
        <v>42186</v>
      </c>
      <c r="D365" s="14">
        <v>44774</v>
      </c>
      <c r="E365" s="15" t="s">
        <v>36</v>
      </c>
      <c r="F365" s="16" t="s">
        <v>37</v>
      </c>
      <c r="G365" s="12" t="s">
        <v>38</v>
      </c>
      <c r="H365" s="12"/>
      <c r="I365" s="12"/>
      <c r="J365" s="12"/>
      <c r="K365" s="12"/>
      <c r="L365" s="12"/>
      <c r="M365" s="17">
        <v>0</v>
      </c>
      <c r="N365" s="18">
        <v>0</v>
      </c>
      <c r="O365" s="18">
        <v>50000</v>
      </c>
      <c r="P365" s="18">
        <v>100000</v>
      </c>
      <c r="Q365" s="13"/>
      <c r="R365" s="13"/>
      <c r="S365" s="12"/>
      <c r="T365" s="12" t="s">
        <v>39</v>
      </c>
      <c r="U365" s="12">
        <v>44761</v>
      </c>
      <c r="V365" s="19" t="e">
        <f>VLOOKUP(A365,'2023 Stats'!$B$2:$D$192,3,FALSE)</f>
        <v>#N/A</v>
      </c>
      <c r="W365" s="20" t="e">
        <v>#N/A</v>
      </c>
      <c r="X365" s="21"/>
      <c r="Y365" s="22">
        <v>24232</v>
      </c>
      <c r="Z365" s="20">
        <v>2019</v>
      </c>
      <c r="AA365" s="21"/>
      <c r="AB365" s="22">
        <v>72244</v>
      </c>
      <c r="AC365" s="20">
        <v>6020</v>
      </c>
      <c r="AD365" s="21">
        <v>8</v>
      </c>
      <c r="AE365" s="23" t="e">
        <v>#N/A</v>
      </c>
      <c r="AF365" s="21"/>
      <c r="AG365" s="13"/>
      <c r="AH365" s="13"/>
      <c r="AI365" s="13"/>
    </row>
    <row r="366" spans="1:35" ht="16.5" hidden="1" customHeight="1" x14ac:dyDescent="0.3">
      <c r="A366" s="12">
        <v>70013</v>
      </c>
      <c r="B366" s="13" t="s">
        <v>479</v>
      </c>
      <c r="C366" s="14">
        <v>42186</v>
      </c>
      <c r="D366" s="14">
        <v>44774</v>
      </c>
      <c r="E366" s="15" t="s">
        <v>36</v>
      </c>
      <c r="F366" s="16" t="s">
        <v>37</v>
      </c>
      <c r="G366" s="12" t="s">
        <v>38</v>
      </c>
      <c r="H366" s="12"/>
      <c r="I366" s="12"/>
      <c r="J366" s="12"/>
      <c r="K366" s="12"/>
      <c r="L366" s="12"/>
      <c r="M366" s="17">
        <v>0</v>
      </c>
      <c r="N366" s="18">
        <v>0</v>
      </c>
      <c r="O366" s="18">
        <v>50000</v>
      </c>
      <c r="P366" s="18">
        <v>100000</v>
      </c>
      <c r="Q366" s="13"/>
      <c r="R366" s="13"/>
      <c r="S366" s="12"/>
      <c r="T366" s="12" t="s">
        <v>39</v>
      </c>
      <c r="U366" s="12">
        <v>44704</v>
      </c>
      <c r="V366" s="19" t="e">
        <f>VLOOKUP(A366,'2023 Stats'!$B$2:$D$192,3,FALSE)</f>
        <v>#N/A</v>
      </c>
      <c r="W366" s="20" t="e">
        <v>#N/A</v>
      </c>
      <c r="X366" s="21"/>
      <c r="Y366" s="22">
        <v>19</v>
      </c>
      <c r="Z366" s="20">
        <v>2</v>
      </c>
      <c r="AA366" s="21"/>
      <c r="AB366" s="22">
        <v>39</v>
      </c>
      <c r="AC366" s="20">
        <v>3</v>
      </c>
      <c r="AD366" s="21"/>
      <c r="AE366" s="23" t="e">
        <v>#N/A</v>
      </c>
      <c r="AF366" s="21"/>
      <c r="AG366" s="13"/>
      <c r="AH366" s="13"/>
      <c r="AI366" s="13"/>
    </row>
    <row r="367" spans="1:35" ht="16.5" hidden="1" customHeight="1" x14ac:dyDescent="0.3">
      <c r="A367" s="12">
        <v>70014</v>
      </c>
      <c r="B367" s="13" t="s">
        <v>480</v>
      </c>
      <c r="C367" s="14">
        <v>42186</v>
      </c>
      <c r="D367" s="14">
        <v>44774</v>
      </c>
      <c r="E367" s="15" t="s">
        <v>36</v>
      </c>
      <c r="F367" s="16" t="s">
        <v>37</v>
      </c>
      <c r="G367" s="12" t="s">
        <v>38</v>
      </c>
      <c r="H367" s="12"/>
      <c r="I367" s="12"/>
      <c r="J367" s="12"/>
      <c r="K367" s="12"/>
      <c r="L367" s="12"/>
      <c r="M367" s="17">
        <v>0</v>
      </c>
      <c r="N367" s="18">
        <v>0</v>
      </c>
      <c r="O367" s="18">
        <v>50000</v>
      </c>
      <c r="P367" s="18">
        <v>100000</v>
      </c>
      <c r="Q367" s="13"/>
      <c r="R367" s="13"/>
      <c r="S367" s="12"/>
      <c r="T367" s="12" t="s">
        <v>39</v>
      </c>
      <c r="U367" s="12">
        <v>44769</v>
      </c>
      <c r="V367" s="19" t="e">
        <f>VLOOKUP(A367,'2023 Stats'!$B$2:$D$192,3,FALSE)</f>
        <v>#N/A</v>
      </c>
      <c r="W367" s="20" t="e">
        <v>#N/A</v>
      </c>
      <c r="X367" s="21"/>
      <c r="Y367" s="22">
        <v>129</v>
      </c>
      <c r="Z367" s="20">
        <v>11</v>
      </c>
      <c r="AA367" s="21"/>
      <c r="AB367" s="22">
        <v>243</v>
      </c>
      <c r="AC367" s="20">
        <v>20</v>
      </c>
      <c r="AD367" s="21"/>
      <c r="AE367" s="23" t="e">
        <v>#N/A</v>
      </c>
      <c r="AF367" s="21"/>
      <c r="AG367" s="13"/>
      <c r="AH367" s="13"/>
      <c r="AI367" s="13"/>
    </row>
    <row r="368" spans="1:35" ht="16.5" hidden="1" customHeight="1" x14ac:dyDescent="0.3">
      <c r="A368" s="12">
        <v>70016</v>
      </c>
      <c r="B368" s="13" t="s">
        <v>481</v>
      </c>
      <c r="C368" s="14">
        <v>42186</v>
      </c>
      <c r="D368" s="14">
        <v>44774</v>
      </c>
      <c r="E368" s="15" t="s">
        <v>36</v>
      </c>
      <c r="F368" s="16" t="s">
        <v>37</v>
      </c>
      <c r="G368" s="12" t="s">
        <v>38</v>
      </c>
      <c r="H368" s="12"/>
      <c r="I368" s="12"/>
      <c r="J368" s="12"/>
      <c r="K368" s="12"/>
      <c r="L368" s="12"/>
      <c r="M368" s="17">
        <v>0</v>
      </c>
      <c r="N368" s="18">
        <v>0</v>
      </c>
      <c r="O368" s="18">
        <v>50000</v>
      </c>
      <c r="P368" s="18">
        <v>100000</v>
      </c>
      <c r="Q368" s="13"/>
      <c r="R368" s="13"/>
      <c r="S368" s="12"/>
      <c r="T368" s="12" t="s">
        <v>39</v>
      </c>
      <c r="U368" s="12" t="e">
        <v>#N/A</v>
      </c>
      <c r="V368" s="19" t="e">
        <f>VLOOKUP(A368,'2023 Stats'!$B$2:$D$192,3,FALSE)</f>
        <v>#N/A</v>
      </c>
      <c r="W368" s="20" t="e">
        <v>#N/A</v>
      </c>
      <c r="X368" s="21"/>
      <c r="Y368" s="22" t="e">
        <v>#N/A</v>
      </c>
      <c r="Z368" s="20" t="e">
        <v>#N/A</v>
      </c>
      <c r="AA368" s="21"/>
      <c r="AB368" s="22" t="e">
        <v>#N/A</v>
      </c>
      <c r="AC368" s="20"/>
      <c r="AD368" s="21"/>
      <c r="AE368" s="23" t="e">
        <v>#N/A</v>
      </c>
      <c r="AF368" s="21"/>
      <c r="AG368" s="13"/>
      <c r="AH368" s="13"/>
      <c r="AI368" s="13"/>
    </row>
    <row r="369" spans="1:35" ht="16.5" hidden="1" customHeight="1" x14ac:dyDescent="0.3">
      <c r="A369" s="12">
        <v>70017</v>
      </c>
      <c r="B369" s="13" t="s">
        <v>482</v>
      </c>
      <c r="C369" s="14">
        <v>42186</v>
      </c>
      <c r="D369" s="14">
        <v>44774</v>
      </c>
      <c r="E369" s="15" t="s">
        <v>36</v>
      </c>
      <c r="F369" s="16" t="s">
        <v>37</v>
      </c>
      <c r="G369" s="12" t="s">
        <v>38</v>
      </c>
      <c r="H369" s="12"/>
      <c r="I369" s="12"/>
      <c r="J369" s="12"/>
      <c r="K369" s="12"/>
      <c r="L369" s="12"/>
      <c r="M369" s="17">
        <v>0</v>
      </c>
      <c r="N369" s="18">
        <v>0</v>
      </c>
      <c r="O369" s="18">
        <v>50000</v>
      </c>
      <c r="P369" s="18">
        <v>100000</v>
      </c>
      <c r="Q369" s="13"/>
      <c r="R369" s="13"/>
      <c r="S369" s="12"/>
      <c r="T369" s="12" t="s">
        <v>39</v>
      </c>
      <c r="U369" s="12" t="e">
        <v>#N/A</v>
      </c>
      <c r="V369" s="19" t="e">
        <f>VLOOKUP(A369,'2023 Stats'!$B$2:$D$192,3,FALSE)</f>
        <v>#N/A</v>
      </c>
      <c r="W369" s="20" t="e">
        <v>#N/A</v>
      </c>
      <c r="X369" s="21"/>
      <c r="Y369" s="22" t="e">
        <v>#N/A</v>
      </c>
      <c r="Z369" s="20" t="e">
        <v>#N/A</v>
      </c>
      <c r="AA369" s="21"/>
      <c r="AB369" s="22" t="e">
        <v>#N/A</v>
      </c>
      <c r="AC369" s="20"/>
      <c r="AD369" s="21"/>
      <c r="AE369" s="23" t="e">
        <v>#N/A</v>
      </c>
      <c r="AF369" s="21"/>
      <c r="AG369" s="13"/>
      <c r="AH369" s="13"/>
      <c r="AI369" s="13"/>
    </row>
    <row r="370" spans="1:35" ht="16.5" hidden="1" customHeight="1" x14ac:dyDescent="0.3">
      <c r="A370" s="12">
        <v>70019</v>
      </c>
      <c r="B370" s="13" t="s">
        <v>483</v>
      </c>
      <c r="C370" s="14">
        <v>42186</v>
      </c>
      <c r="D370" s="14">
        <v>44774</v>
      </c>
      <c r="E370" s="15" t="s">
        <v>36</v>
      </c>
      <c r="F370" s="16" t="s">
        <v>37</v>
      </c>
      <c r="G370" s="12" t="s">
        <v>38</v>
      </c>
      <c r="H370" s="12"/>
      <c r="I370" s="12"/>
      <c r="J370" s="12"/>
      <c r="K370" s="12"/>
      <c r="L370" s="12"/>
      <c r="M370" s="17">
        <v>0</v>
      </c>
      <c r="N370" s="18">
        <v>0</v>
      </c>
      <c r="O370" s="18">
        <v>50000</v>
      </c>
      <c r="P370" s="18">
        <v>100000</v>
      </c>
      <c r="Q370" s="13"/>
      <c r="R370" s="13"/>
      <c r="S370" s="12"/>
      <c r="T370" s="12" t="s">
        <v>39</v>
      </c>
      <c r="U370" s="12" t="e">
        <v>#N/A</v>
      </c>
      <c r="V370" s="19" t="e">
        <f>VLOOKUP(A370,'2023 Stats'!$B$2:$D$192,3,FALSE)</f>
        <v>#N/A</v>
      </c>
      <c r="W370" s="20" t="e">
        <v>#N/A</v>
      </c>
      <c r="X370" s="21"/>
      <c r="Y370" s="22" t="e">
        <v>#N/A</v>
      </c>
      <c r="Z370" s="20" t="e">
        <v>#N/A</v>
      </c>
      <c r="AA370" s="21"/>
      <c r="AB370" s="22" t="e">
        <v>#N/A</v>
      </c>
      <c r="AC370" s="20"/>
      <c r="AD370" s="21"/>
      <c r="AE370" s="23" t="e">
        <v>#N/A</v>
      </c>
      <c r="AF370" s="21"/>
      <c r="AG370" s="13"/>
      <c r="AH370" s="13"/>
      <c r="AI370" s="13"/>
    </row>
    <row r="371" spans="1:35" ht="16.5" hidden="1" customHeight="1" x14ac:dyDescent="0.3">
      <c r="A371" s="12">
        <v>70020</v>
      </c>
      <c r="B371" s="13" t="s">
        <v>484</v>
      </c>
      <c r="C371" s="14">
        <v>42186</v>
      </c>
      <c r="D371" s="14">
        <v>44774</v>
      </c>
      <c r="E371" s="15" t="s">
        <v>36</v>
      </c>
      <c r="F371" s="16" t="s">
        <v>37</v>
      </c>
      <c r="G371" s="12" t="s">
        <v>38</v>
      </c>
      <c r="H371" s="12"/>
      <c r="I371" s="12"/>
      <c r="J371" s="12"/>
      <c r="K371" s="12"/>
      <c r="L371" s="12"/>
      <c r="M371" s="17">
        <v>0</v>
      </c>
      <c r="N371" s="18">
        <v>0</v>
      </c>
      <c r="O371" s="18">
        <v>50000</v>
      </c>
      <c r="P371" s="18">
        <v>100000</v>
      </c>
      <c r="Q371" s="13"/>
      <c r="R371" s="13"/>
      <c r="S371" s="12"/>
      <c r="T371" s="12" t="s">
        <v>39</v>
      </c>
      <c r="U371" s="12" t="e">
        <v>#N/A</v>
      </c>
      <c r="V371" s="19" t="e">
        <f>VLOOKUP(A371,'2023 Stats'!$B$2:$D$192,3,FALSE)</f>
        <v>#N/A</v>
      </c>
      <c r="W371" s="20" t="e">
        <v>#N/A</v>
      </c>
      <c r="X371" s="21"/>
      <c r="Y371" s="22" t="e">
        <v>#N/A</v>
      </c>
      <c r="Z371" s="20" t="e">
        <v>#N/A</v>
      </c>
      <c r="AA371" s="21"/>
      <c r="AB371" s="22" t="e">
        <v>#N/A</v>
      </c>
      <c r="AC371" s="20"/>
      <c r="AD371" s="21"/>
      <c r="AE371" s="23" t="e">
        <v>#N/A</v>
      </c>
      <c r="AF371" s="21"/>
      <c r="AG371" s="13"/>
      <c r="AH371" s="13"/>
      <c r="AI371" s="13"/>
    </row>
    <row r="372" spans="1:35" ht="16.5" hidden="1" customHeight="1" x14ac:dyDescent="0.3">
      <c r="A372" s="12">
        <v>70021</v>
      </c>
      <c r="B372" s="13" t="s">
        <v>485</v>
      </c>
      <c r="C372" s="14">
        <v>42186</v>
      </c>
      <c r="D372" s="14">
        <v>44774</v>
      </c>
      <c r="E372" s="15" t="s">
        <v>36</v>
      </c>
      <c r="F372" s="16" t="s">
        <v>37</v>
      </c>
      <c r="G372" s="12" t="s">
        <v>38</v>
      </c>
      <c r="H372" s="12"/>
      <c r="I372" s="12"/>
      <c r="J372" s="12"/>
      <c r="K372" s="12"/>
      <c r="L372" s="12"/>
      <c r="M372" s="17">
        <v>0</v>
      </c>
      <c r="N372" s="18">
        <v>0</v>
      </c>
      <c r="O372" s="18">
        <v>50000</v>
      </c>
      <c r="P372" s="18">
        <v>100000</v>
      </c>
      <c r="Q372" s="13"/>
      <c r="R372" s="13"/>
      <c r="S372" s="12"/>
      <c r="T372" s="12" t="s">
        <v>39</v>
      </c>
      <c r="U372" s="12" t="e">
        <v>#N/A</v>
      </c>
      <c r="V372" s="19" t="e">
        <f>VLOOKUP(A372,'2023 Stats'!$B$2:$D$192,3,FALSE)</f>
        <v>#N/A</v>
      </c>
      <c r="W372" s="20" t="e">
        <v>#N/A</v>
      </c>
      <c r="X372" s="21"/>
      <c r="Y372" s="22" t="e">
        <v>#N/A</v>
      </c>
      <c r="Z372" s="20" t="e">
        <v>#N/A</v>
      </c>
      <c r="AA372" s="21"/>
      <c r="AB372" s="22" t="e">
        <v>#N/A</v>
      </c>
      <c r="AC372" s="20"/>
      <c r="AD372" s="21"/>
      <c r="AE372" s="23" t="e">
        <v>#N/A</v>
      </c>
      <c r="AF372" s="21"/>
      <c r="AG372" s="13"/>
      <c r="AH372" s="13"/>
      <c r="AI372" s="13"/>
    </row>
    <row r="373" spans="1:35" ht="16.5" hidden="1" customHeight="1" x14ac:dyDescent="0.3">
      <c r="A373" s="12">
        <v>70022</v>
      </c>
      <c r="B373" s="13" t="s">
        <v>486</v>
      </c>
      <c r="C373" s="14">
        <v>42186</v>
      </c>
      <c r="D373" s="14">
        <v>44774</v>
      </c>
      <c r="E373" s="15" t="s">
        <v>36</v>
      </c>
      <c r="F373" s="16" t="s">
        <v>37</v>
      </c>
      <c r="G373" s="12" t="s">
        <v>38</v>
      </c>
      <c r="H373" s="12"/>
      <c r="I373" s="12"/>
      <c r="J373" s="12"/>
      <c r="K373" s="12"/>
      <c r="L373" s="12"/>
      <c r="M373" s="17">
        <v>0</v>
      </c>
      <c r="N373" s="18">
        <v>0</v>
      </c>
      <c r="O373" s="18">
        <v>50000</v>
      </c>
      <c r="P373" s="18">
        <v>100000</v>
      </c>
      <c r="Q373" s="13"/>
      <c r="R373" s="13"/>
      <c r="S373" s="12"/>
      <c r="T373" s="12" t="s">
        <v>39</v>
      </c>
      <c r="U373" s="12" t="e">
        <v>#N/A</v>
      </c>
      <c r="V373" s="19" t="e">
        <f>VLOOKUP(A373,'2023 Stats'!$B$2:$D$192,3,FALSE)</f>
        <v>#N/A</v>
      </c>
      <c r="W373" s="20" t="e">
        <v>#N/A</v>
      </c>
      <c r="X373" s="21"/>
      <c r="Y373" s="22" t="e">
        <v>#N/A</v>
      </c>
      <c r="Z373" s="20" t="e">
        <v>#N/A</v>
      </c>
      <c r="AA373" s="21"/>
      <c r="AB373" s="22" t="e">
        <v>#N/A</v>
      </c>
      <c r="AC373" s="20"/>
      <c r="AD373" s="21"/>
      <c r="AE373" s="23" t="e">
        <v>#N/A</v>
      </c>
      <c r="AF373" s="21"/>
      <c r="AG373" s="13"/>
      <c r="AH373" s="13"/>
      <c r="AI373" s="13"/>
    </row>
    <row r="374" spans="1:35" ht="16.5" hidden="1" customHeight="1" x14ac:dyDescent="0.3">
      <c r="A374" s="12">
        <v>70023</v>
      </c>
      <c r="B374" s="13" t="s">
        <v>487</v>
      </c>
      <c r="C374" s="14">
        <v>42186</v>
      </c>
      <c r="D374" s="14">
        <v>44774</v>
      </c>
      <c r="E374" s="15" t="s">
        <v>36</v>
      </c>
      <c r="F374" s="16" t="s">
        <v>37</v>
      </c>
      <c r="G374" s="12" t="s">
        <v>38</v>
      </c>
      <c r="H374" s="12"/>
      <c r="I374" s="12"/>
      <c r="J374" s="12"/>
      <c r="K374" s="12"/>
      <c r="L374" s="12"/>
      <c r="M374" s="17">
        <v>0</v>
      </c>
      <c r="N374" s="18">
        <v>0</v>
      </c>
      <c r="O374" s="18">
        <v>50000</v>
      </c>
      <c r="P374" s="18">
        <v>100000</v>
      </c>
      <c r="Q374" s="13"/>
      <c r="R374" s="13"/>
      <c r="S374" s="12"/>
      <c r="T374" s="12" t="s">
        <v>39</v>
      </c>
      <c r="U374" s="12" t="e">
        <v>#N/A</v>
      </c>
      <c r="V374" s="19" t="e">
        <f>VLOOKUP(A374,'2023 Stats'!$B$2:$D$192,3,FALSE)</f>
        <v>#N/A</v>
      </c>
      <c r="W374" s="20" t="e">
        <v>#N/A</v>
      </c>
      <c r="X374" s="21"/>
      <c r="Y374" s="22" t="e">
        <v>#N/A</v>
      </c>
      <c r="Z374" s="20" t="e">
        <v>#N/A</v>
      </c>
      <c r="AA374" s="21"/>
      <c r="AB374" s="22" t="e">
        <v>#N/A</v>
      </c>
      <c r="AC374" s="20"/>
      <c r="AD374" s="21"/>
      <c r="AE374" s="23" t="e">
        <v>#N/A</v>
      </c>
      <c r="AF374" s="21"/>
      <c r="AG374" s="13"/>
      <c r="AH374" s="13"/>
      <c r="AI374" s="13"/>
    </row>
    <row r="375" spans="1:35" ht="16.5" hidden="1" customHeight="1" x14ac:dyDescent="0.3">
      <c r="A375" s="12">
        <v>70024</v>
      </c>
      <c r="B375" s="13" t="s">
        <v>488</v>
      </c>
      <c r="C375" s="14">
        <v>42186</v>
      </c>
      <c r="D375" s="14">
        <v>44774</v>
      </c>
      <c r="E375" s="15" t="s">
        <v>36</v>
      </c>
      <c r="F375" s="16" t="s">
        <v>37</v>
      </c>
      <c r="G375" s="12" t="s">
        <v>38</v>
      </c>
      <c r="H375" s="12"/>
      <c r="I375" s="12"/>
      <c r="J375" s="12"/>
      <c r="K375" s="12"/>
      <c r="L375" s="12"/>
      <c r="M375" s="17">
        <v>0</v>
      </c>
      <c r="N375" s="18">
        <v>0</v>
      </c>
      <c r="O375" s="18">
        <v>50000</v>
      </c>
      <c r="P375" s="18">
        <v>100000</v>
      </c>
      <c r="Q375" s="13"/>
      <c r="R375" s="13"/>
      <c r="S375" s="12"/>
      <c r="T375" s="12" t="s">
        <v>39</v>
      </c>
      <c r="U375" s="12" t="e">
        <v>#N/A</v>
      </c>
      <c r="V375" s="19" t="e">
        <f>VLOOKUP(A375,'2023 Stats'!$B$2:$D$192,3,FALSE)</f>
        <v>#N/A</v>
      </c>
      <c r="W375" s="20" t="e">
        <v>#N/A</v>
      </c>
      <c r="X375" s="21"/>
      <c r="Y375" s="22" t="e">
        <v>#N/A</v>
      </c>
      <c r="Z375" s="20" t="e">
        <v>#N/A</v>
      </c>
      <c r="AA375" s="21"/>
      <c r="AB375" s="22" t="e">
        <v>#N/A</v>
      </c>
      <c r="AC375" s="20"/>
      <c r="AD375" s="21"/>
      <c r="AE375" s="23" t="e">
        <v>#N/A</v>
      </c>
      <c r="AF375" s="21"/>
      <c r="AG375" s="13"/>
      <c r="AH375" s="13"/>
      <c r="AI375" s="13"/>
    </row>
    <row r="376" spans="1:35" ht="16.5" hidden="1" customHeight="1" x14ac:dyDescent="0.3">
      <c r="A376" s="12">
        <v>70025</v>
      </c>
      <c r="B376" s="13" t="s">
        <v>489</v>
      </c>
      <c r="C376" s="14">
        <v>42186</v>
      </c>
      <c r="D376" s="14">
        <v>44774</v>
      </c>
      <c r="E376" s="15" t="s">
        <v>36</v>
      </c>
      <c r="F376" s="16" t="s">
        <v>37</v>
      </c>
      <c r="G376" s="12" t="s">
        <v>38</v>
      </c>
      <c r="H376" s="12"/>
      <c r="I376" s="12"/>
      <c r="J376" s="12"/>
      <c r="K376" s="12"/>
      <c r="L376" s="12"/>
      <c r="M376" s="17">
        <v>0</v>
      </c>
      <c r="N376" s="18">
        <v>0</v>
      </c>
      <c r="O376" s="18">
        <v>50000</v>
      </c>
      <c r="P376" s="18">
        <v>100000</v>
      </c>
      <c r="Q376" s="13"/>
      <c r="R376" s="13"/>
      <c r="S376" s="12"/>
      <c r="T376" s="12" t="s">
        <v>39</v>
      </c>
      <c r="U376" s="12" t="e">
        <v>#N/A</v>
      </c>
      <c r="V376" s="19" t="e">
        <f>VLOOKUP(A376,'2023 Stats'!$B$2:$D$192,3,FALSE)</f>
        <v>#N/A</v>
      </c>
      <c r="W376" s="20" t="e">
        <v>#N/A</v>
      </c>
      <c r="X376" s="21"/>
      <c r="Y376" s="22" t="e">
        <v>#N/A</v>
      </c>
      <c r="Z376" s="20" t="e">
        <v>#N/A</v>
      </c>
      <c r="AA376" s="21"/>
      <c r="AB376" s="22" t="e">
        <v>#N/A</v>
      </c>
      <c r="AC376" s="20"/>
      <c r="AD376" s="21"/>
      <c r="AE376" s="23" t="e">
        <v>#N/A</v>
      </c>
      <c r="AF376" s="21"/>
      <c r="AG376" s="13"/>
      <c r="AH376" s="13"/>
      <c r="AI376" s="13"/>
    </row>
    <row r="377" spans="1:35" ht="16.5" hidden="1" customHeight="1" x14ac:dyDescent="0.3">
      <c r="A377" s="12">
        <v>70026</v>
      </c>
      <c r="B377" s="13" t="s">
        <v>490</v>
      </c>
      <c r="C377" s="14">
        <v>42186</v>
      </c>
      <c r="D377" s="14">
        <v>44774</v>
      </c>
      <c r="E377" s="15" t="s">
        <v>36</v>
      </c>
      <c r="F377" s="16" t="s">
        <v>37</v>
      </c>
      <c r="G377" s="12" t="s">
        <v>38</v>
      </c>
      <c r="H377" s="12"/>
      <c r="I377" s="12"/>
      <c r="J377" s="12"/>
      <c r="K377" s="12"/>
      <c r="L377" s="12"/>
      <c r="M377" s="17">
        <v>0</v>
      </c>
      <c r="N377" s="18">
        <v>0</v>
      </c>
      <c r="O377" s="18">
        <v>50000</v>
      </c>
      <c r="P377" s="18">
        <v>100000</v>
      </c>
      <c r="Q377" s="13"/>
      <c r="R377" s="13"/>
      <c r="S377" s="12"/>
      <c r="T377" s="12" t="s">
        <v>39</v>
      </c>
      <c r="U377" s="12" t="e">
        <v>#N/A</v>
      </c>
      <c r="V377" s="19" t="e">
        <f>VLOOKUP(A377,'2023 Stats'!$B$2:$D$192,3,FALSE)</f>
        <v>#N/A</v>
      </c>
      <c r="W377" s="20" t="e">
        <v>#N/A</v>
      </c>
      <c r="X377" s="21"/>
      <c r="Y377" s="22" t="e">
        <v>#N/A</v>
      </c>
      <c r="Z377" s="20" t="e">
        <v>#N/A</v>
      </c>
      <c r="AA377" s="21"/>
      <c r="AB377" s="22" t="e">
        <v>#N/A</v>
      </c>
      <c r="AC377" s="20"/>
      <c r="AD377" s="21"/>
      <c r="AE377" s="23" t="e">
        <v>#N/A</v>
      </c>
      <c r="AF377" s="21"/>
      <c r="AG377" s="13"/>
      <c r="AH377" s="13"/>
      <c r="AI377" s="13"/>
    </row>
    <row r="378" spans="1:35" ht="16.5" hidden="1" customHeight="1" x14ac:dyDescent="0.3">
      <c r="A378" s="12">
        <v>70030</v>
      </c>
      <c r="B378" s="13" t="s">
        <v>491</v>
      </c>
      <c r="C378" s="14">
        <v>42186</v>
      </c>
      <c r="D378" s="14">
        <v>44774</v>
      </c>
      <c r="E378" s="15" t="s">
        <v>36</v>
      </c>
      <c r="F378" s="16" t="s">
        <v>37</v>
      </c>
      <c r="G378" s="12" t="s">
        <v>38</v>
      </c>
      <c r="H378" s="12"/>
      <c r="I378" s="12"/>
      <c r="J378" s="12"/>
      <c r="K378" s="12"/>
      <c r="L378" s="12"/>
      <c r="M378" s="17">
        <v>0</v>
      </c>
      <c r="N378" s="18">
        <v>0</v>
      </c>
      <c r="O378" s="18">
        <v>50000</v>
      </c>
      <c r="P378" s="18">
        <v>100000</v>
      </c>
      <c r="Q378" s="13"/>
      <c r="R378" s="13"/>
      <c r="S378" s="12"/>
      <c r="T378" s="12" t="s">
        <v>39</v>
      </c>
      <c r="U378" s="12" t="e">
        <v>#N/A</v>
      </c>
      <c r="V378" s="19" t="e">
        <f>VLOOKUP(A378,'2023 Stats'!$B$2:$D$192,3,FALSE)</f>
        <v>#N/A</v>
      </c>
      <c r="W378" s="20" t="e">
        <v>#N/A</v>
      </c>
      <c r="X378" s="21"/>
      <c r="Y378" s="22" t="e">
        <v>#N/A</v>
      </c>
      <c r="Z378" s="20" t="e">
        <v>#N/A</v>
      </c>
      <c r="AA378" s="21"/>
      <c r="AB378" s="22" t="e">
        <v>#N/A</v>
      </c>
      <c r="AC378" s="20"/>
      <c r="AD378" s="21"/>
      <c r="AE378" s="23" t="e">
        <v>#N/A</v>
      </c>
      <c r="AF378" s="21"/>
      <c r="AG378" s="13"/>
      <c r="AH378" s="13"/>
      <c r="AI378" s="13"/>
    </row>
    <row r="379" spans="1:35" ht="16.5" hidden="1" customHeight="1" x14ac:dyDescent="0.3">
      <c r="A379" s="12">
        <v>70031</v>
      </c>
      <c r="B379" s="13" t="s">
        <v>492</v>
      </c>
      <c r="C379" s="14">
        <v>42186</v>
      </c>
      <c r="D379" s="14">
        <v>44774</v>
      </c>
      <c r="E379" s="15" t="s">
        <v>36</v>
      </c>
      <c r="F379" s="16" t="s">
        <v>37</v>
      </c>
      <c r="G379" s="12" t="s">
        <v>38</v>
      </c>
      <c r="H379" s="12"/>
      <c r="I379" s="12"/>
      <c r="J379" s="12"/>
      <c r="K379" s="12"/>
      <c r="L379" s="12"/>
      <c r="M379" s="17">
        <v>0</v>
      </c>
      <c r="N379" s="18">
        <v>0</v>
      </c>
      <c r="O379" s="18">
        <v>50000</v>
      </c>
      <c r="P379" s="18">
        <v>100000</v>
      </c>
      <c r="Q379" s="13"/>
      <c r="R379" s="13"/>
      <c r="S379" s="12"/>
      <c r="T379" s="12" t="s">
        <v>39</v>
      </c>
      <c r="U379" s="12" t="e">
        <v>#N/A</v>
      </c>
      <c r="V379" s="19" t="e">
        <f>VLOOKUP(A379,'2023 Stats'!$B$2:$D$192,3,FALSE)</f>
        <v>#N/A</v>
      </c>
      <c r="W379" s="20" t="e">
        <v>#N/A</v>
      </c>
      <c r="X379" s="21"/>
      <c r="Y379" s="22" t="e">
        <v>#N/A</v>
      </c>
      <c r="Z379" s="20" t="e">
        <v>#N/A</v>
      </c>
      <c r="AA379" s="21"/>
      <c r="AB379" s="22" t="e">
        <v>#N/A</v>
      </c>
      <c r="AC379" s="20"/>
      <c r="AD379" s="21"/>
      <c r="AE379" s="23" t="e">
        <v>#N/A</v>
      </c>
      <c r="AF379" s="21"/>
      <c r="AG379" s="13"/>
      <c r="AH379" s="13"/>
      <c r="AI379" s="13"/>
    </row>
    <row r="380" spans="1:35" ht="16.5" hidden="1" customHeight="1" x14ac:dyDescent="0.3">
      <c r="A380" s="12">
        <v>70032</v>
      </c>
      <c r="B380" s="13" t="s">
        <v>493</v>
      </c>
      <c r="C380" s="14">
        <v>42186</v>
      </c>
      <c r="D380" s="14">
        <v>44774</v>
      </c>
      <c r="E380" s="15" t="s">
        <v>36</v>
      </c>
      <c r="F380" s="16" t="s">
        <v>37</v>
      </c>
      <c r="G380" s="12" t="s">
        <v>38</v>
      </c>
      <c r="H380" s="12"/>
      <c r="I380" s="12"/>
      <c r="J380" s="12"/>
      <c r="K380" s="12"/>
      <c r="L380" s="12"/>
      <c r="M380" s="17">
        <v>0</v>
      </c>
      <c r="N380" s="18">
        <v>0</v>
      </c>
      <c r="O380" s="18">
        <v>50000</v>
      </c>
      <c r="P380" s="18">
        <v>100000</v>
      </c>
      <c r="Q380" s="13"/>
      <c r="R380" s="13"/>
      <c r="S380" s="12"/>
      <c r="T380" s="12" t="s">
        <v>39</v>
      </c>
      <c r="U380" s="12" t="e">
        <v>#N/A</v>
      </c>
      <c r="V380" s="19" t="e">
        <f>VLOOKUP(A380,'2023 Stats'!$B$2:$D$192,3,FALSE)</f>
        <v>#N/A</v>
      </c>
      <c r="W380" s="20" t="e">
        <v>#N/A</v>
      </c>
      <c r="X380" s="21"/>
      <c r="Y380" s="22" t="e">
        <v>#N/A</v>
      </c>
      <c r="Z380" s="20" t="e">
        <v>#N/A</v>
      </c>
      <c r="AA380" s="21"/>
      <c r="AB380" s="22" t="e">
        <v>#N/A</v>
      </c>
      <c r="AC380" s="20"/>
      <c r="AD380" s="21"/>
      <c r="AE380" s="23" t="e">
        <v>#N/A</v>
      </c>
      <c r="AF380" s="21"/>
      <c r="AG380" s="13"/>
      <c r="AH380" s="13"/>
      <c r="AI380" s="13"/>
    </row>
    <row r="381" spans="1:35" ht="16.5" hidden="1" customHeight="1" x14ac:dyDescent="0.3">
      <c r="A381" s="12">
        <v>70033</v>
      </c>
      <c r="B381" s="13" t="s">
        <v>494</v>
      </c>
      <c r="C381" s="14">
        <v>42186</v>
      </c>
      <c r="D381" s="14"/>
      <c r="E381" s="15" t="s">
        <v>36</v>
      </c>
      <c r="F381" s="33" t="s">
        <v>47</v>
      </c>
      <c r="G381" s="12" t="s">
        <v>38</v>
      </c>
      <c r="H381" s="12"/>
      <c r="I381" s="12"/>
      <c r="J381" s="12"/>
      <c r="K381" s="12"/>
      <c r="L381" s="12" t="s">
        <v>495</v>
      </c>
      <c r="M381" s="17">
        <v>0</v>
      </c>
      <c r="N381" s="18">
        <v>0</v>
      </c>
      <c r="O381" s="18">
        <v>50000</v>
      </c>
      <c r="P381" s="18">
        <v>100000</v>
      </c>
      <c r="Q381" s="13"/>
      <c r="R381" s="13"/>
      <c r="S381" s="12"/>
      <c r="T381" s="12" t="s">
        <v>39</v>
      </c>
      <c r="U381" s="12" t="e">
        <v>#N/A</v>
      </c>
      <c r="V381" s="19" t="e">
        <f>VLOOKUP(A381,'2023 Stats'!$B$2:$D$192,3,FALSE)</f>
        <v>#N/A</v>
      </c>
      <c r="W381" s="20" t="e">
        <v>#N/A</v>
      </c>
      <c r="X381" s="21"/>
      <c r="Y381" s="22" t="e">
        <v>#N/A</v>
      </c>
      <c r="Z381" s="20" t="e">
        <v>#N/A</v>
      </c>
      <c r="AA381" s="21"/>
      <c r="AB381" s="22" t="e">
        <v>#N/A</v>
      </c>
      <c r="AC381" s="20"/>
      <c r="AD381" s="21"/>
      <c r="AE381" s="23" t="e">
        <v>#N/A</v>
      </c>
      <c r="AF381" s="21"/>
      <c r="AG381" s="13"/>
      <c r="AH381" s="13"/>
      <c r="AI381" s="13"/>
    </row>
    <row r="382" spans="1:35" ht="16.5" hidden="1" customHeight="1" x14ac:dyDescent="0.3">
      <c r="A382" s="12">
        <v>70034</v>
      </c>
      <c r="B382" s="13" t="s">
        <v>496</v>
      </c>
      <c r="C382" s="14">
        <v>42186</v>
      </c>
      <c r="D382" s="14">
        <v>44774</v>
      </c>
      <c r="E382" s="15" t="s">
        <v>36</v>
      </c>
      <c r="F382" s="16" t="s">
        <v>37</v>
      </c>
      <c r="G382" s="12" t="s">
        <v>38</v>
      </c>
      <c r="H382" s="12"/>
      <c r="I382" s="12"/>
      <c r="J382" s="12"/>
      <c r="K382" s="12"/>
      <c r="L382" s="12"/>
      <c r="M382" s="17">
        <v>0</v>
      </c>
      <c r="N382" s="18">
        <v>0</v>
      </c>
      <c r="O382" s="18">
        <v>50000</v>
      </c>
      <c r="P382" s="18">
        <v>100000</v>
      </c>
      <c r="Q382" s="13"/>
      <c r="R382" s="13"/>
      <c r="S382" s="12"/>
      <c r="T382" s="12" t="s">
        <v>39</v>
      </c>
      <c r="U382" s="12" t="e">
        <v>#N/A</v>
      </c>
      <c r="V382" s="19" t="e">
        <f>VLOOKUP(A382,'2023 Stats'!$B$2:$D$192,3,FALSE)</f>
        <v>#N/A</v>
      </c>
      <c r="W382" s="20" t="e">
        <v>#N/A</v>
      </c>
      <c r="X382" s="21"/>
      <c r="Y382" s="22" t="e">
        <v>#N/A</v>
      </c>
      <c r="Z382" s="20" t="e">
        <v>#N/A</v>
      </c>
      <c r="AA382" s="21"/>
      <c r="AB382" s="22" t="e">
        <v>#N/A</v>
      </c>
      <c r="AC382" s="20"/>
      <c r="AD382" s="21"/>
      <c r="AE382" s="23" t="e">
        <v>#N/A</v>
      </c>
      <c r="AF382" s="21"/>
      <c r="AG382" s="13"/>
      <c r="AH382" s="13"/>
      <c r="AI382" s="13"/>
    </row>
    <row r="383" spans="1:35" ht="16.5" hidden="1" customHeight="1" x14ac:dyDescent="0.3">
      <c r="A383" s="12">
        <v>70035</v>
      </c>
      <c r="B383" s="13" t="s">
        <v>497</v>
      </c>
      <c r="C383" s="14">
        <v>42186</v>
      </c>
      <c r="D383" s="14">
        <v>44774</v>
      </c>
      <c r="E383" s="15" t="s">
        <v>36</v>
      </c>
      <c r="F383" s="16" t="s">
        <v>37</v>
      </c>
      <c r="G383" s="12" t="s">
        <v>38</v>
      </c>
      <c r="H383" s="12"/>
      <c r="I383" s="12"/>
      <c r="J383" s="12"/>
      <c r="K383" s="12"/>
      <c r="L383" s="12"/>
      <c r="M383" s="17">
        <v>0</v>
      </c>
      <c r="N383" s="18">
        <v>0</v>
      </c>
      <c r="O383" s="18">
        <v>50000</v>
      </c>
      <c r="P383" s="18">
        <v>100000</v>
      </c>
      <c r="Q383" s="13"/>
      <c r="R383" s="13"/>
      <c r="S383" s="12"/>
      <c r="T383" s="12" t="s">
        <v>39</v>
      </c>
      <c r="U383" s="12" t="e">
        <v>#N/A</v>
      </c>
      <c r="V383" s="19" t="e">
        <f>VLOOKUP(A383,'2023 Stats'!$B$2:$D$192,3,FALSE)</f>
        <v>#N/A</v>
      </c>
      <c r="W383" s="20" t="e">
        <v>#N/A</v>
      </c>
      <c r="X383" s="21"/>
      <c r="Y383" s="22" t="e">
        <v>#N/A</v>
      </c>
      <c r="Z383" s="20" t="e">
        <v>#N/A</v>
      </c>
      <c r="AA383" s="21"/>
      <c r="AB383" s="22" t="e">
        <v>#N/A</v>
      </c>
      <c r="AC383" s="20"/>
      <c r="AD383" s="21"/>
      <c r="AE383" s="23" t="e">
        <v>#N/A</v>
      </c>
      <c r="AF383" s="21"/>
      <c r="AG383" s="13"/>
      <c r="AH383" s="13"/>
      <c r="AI383" s="13"/>
    </row>
    <row r="384" spans="1:35" ht="16.5" hidden="1" customHeight="1" x14ac:dyDescent="0.3">
      <c r="A384" s="12">
        <v>70036</v>
      </c>
      <c r="B384" s="13" t="s">
        <v>498</v>
      </c>
      <c r="C384" s="14">
        <v>42186</v>
      </c>
      <c r="D384" s="14">
        <v>44774</v>
      </c>
      <c r="E384" s="15" t="s">
        <v>36</v>
      </c>
      <c r="F384" s="16" t="s">
        <v>37</v>
      </c>
      <c r="G384" s="12" t="s">
        <v>38</v>
      </c>
      <c r="H384" s="12"/>
      <c r="I384" s="12"/>
      <c r="J384" s="12"/>
      <c r="K384" s="12"/>
      <c r="L384" s="12"/>
      <c r="M384" s="17">
        <v>0</v>
      </c>
      <c r="N384" s="18">
        <v>0</v>
      </c>
      <c r="O384" s="18">
        <v>50000</v>
      </c>
      <c r="P384" s="18">
        <v>100000</v>
      </c>
      <c r="Q384" s="13"/>
      <c r="R384" s="13"/>
      <c r="S384" s="12"/>
      <c r="T384" s="12" t="s">
        <v>39</v>
      </c>
      <c r="U384" s="12" t="e">
        <v>#N/A</v>
      </c>
      <c r="V384" s="19" t="e">
        <f>VLOOKUP(A384,'2023 Stats'!$B$2:$D$192,3,FALSE)</f>
        <v>#N/A</v>
      </c>
      <c r="W384" s="20" t="e">
        <v>#N/A</v>
      </c>
      <c r="X384" s="21"/>
      <c r="Y384" s="22" t="e">
        <v>#N/A</v>
      </c>
      <c r="Z384" s="20" t="e">
        <v>#N/A</v>
      </c>
      <c r="AA384" s="21"/>
      <c r="AB384" s="22">
        <v>1</v>
      </c>
      <c r="AC384" s="20">
        <v>0</v>
      </c>
      <c r="AD384" s="21"/>
      <c r="AE384" s="23" t="e">
        <v>#N/A</v>
      </c>
      <c r="AF384" s="21"/>
      <c r="AG384" s="13"/>
      <c r="AH384" s="13"/>
      <c r="AI384" s="13"/>
    </row>
    <row r="385" spans="1:35" ht="16.5" hidden="1" customHeight="1" x14ac:dyDescent="0.3">
      <c r="A385" s="12">
        <v>70040</v>
      </c>
      <c r="B385" s="13" t="s">
        <v>499</v>
      </c>
      <c r="C385" s="14">
        <v>42186</v>
      </c>
      <c r="D385" s="14">
        <v>44774</v>
      </c>
      <c r="E385" s="15" t="s">
        <v>36</v>
      </c>
      <c r="F385" s="16" t="s">
        <v>37</v>
      </c>
      <c r="G385" s="12" t="s">
        <v>38</v>
      </c>
      <c r="H385" s="12"/>
      <c r="I385" s="12"/>
      <c r="J385" s="12"/>
      <c r="K385" s="12"/>
      <c r="L385" s="12"/>
      <c r="M385" s="17">
        <v>0</v>
      </c>
      <c r="N385" s="18">
        <v>0</v>
      </c>
      <c r="O385" s="18">
        <v>50000</v>
      </c>
      <c r="P385" s="18">
        <v>100000</v>
      </c>
      <c r="Q385" s="13"/>
      <c r="R385" s="13"/>
      <c r="S385" s="12"/>
      <c r="T385" s="12" t="s">
        <v>39</v>
      </c>
      <c r="U385" s="12" t="e">
        <v>#N/A</v>
      </c>
      <c r="V385" s="19" t="e">
        <f>VLOOKUP(A385,'2023 Stats'!$B$2:$D$192,3,FALSE)</f>
        <v>#N/A</v>
      </c>
      <c r="W385" s="20" t="e">
        <v>#N/A</v>
      </c>
      <c r="X385" s="21"/>
      <c r="Y385" s="22" t="e">
        <v>#N/A</v>
      </c>
      <c r="Z385" s="20" t="e">
        <v>#N/A</v>
      </c>
      <c r="AA385" s="21"/>
      <c r="AB385" s="22">
        <v>3</v>
      </c>
      <c r="AC385" s="20">
        <v>0</v>
      </c>
      <c r="AD385" s="21"/>
      <c r="AE385" s="23" t="e">
        <v>#N/A</v>
      </c>
      <c r="AF385" s="21"/>
      <c r="AG385" s="13"/>
      <c r="AH385" s="13"/>
      <c r="AI385" s="13"/>
    </row>
    <row r="386" spans="1:35" ht="16.5" hidden="1" customHeight="1" x14ac:dyDescent="0.3">
      <c r="A386" s="12">
        <v>70041</v>
      </c>
      <c r="B386" s="13" t="s">
        <v>500</v>
      </c>
      <c r="C386" s="14">
        <v>42186</v>
      </c>
      <c r="D386" s="14">
        <v>44774</v>
      </c>
      <c r="E386" s="15" t="s">
        <v>36</v>
      </c>
      <c r="F386" s="16" t="s">
        <v>37</v>
      </c>
      <c r="G386" s="12" t="s">
        <v>38</v>
      </c>
      <c r="H386" s="12"/>
      <c r="I386" s="12"/>
      <c r="J386" s="12"/>
      <c r="K386" s="12"/>
      <c r="L386" s="12"/>
      <c r="M386" s="17">
        <v>0</v>
      </c>
      <c r="N386" s="18">
        <v>0</v>
      </c>
      <c r="O386" s="18">
        <v>50000</v>
      </c>
      <c r="P386" s="18">
        <v>100000</v>
      </c>
      <c r="Q386" s="13"/>
      <c r="R386" s="13"/>
      <c r="S386" s="12"/>
      <c r="T386" s="12" t="s">
        <v>39</v>
      </c>
      <c r="U386" s="12" t="e">
        <v>#N/A</v>
      </c>
      <c r="V386" s="19" t="e">
        <f>VLOOKUP(A386,'2023 Stats'!$B$2:$D$192,3,FALSE)</f>
        <v>#N/A</v>
      </c>
      <c r="W386" s="20" t="e">
        <v>#N/A</v>
      </c>
      <c r="X386" s="21"/>
      <c r="Y386" s="22" t="e">
        <v>#N/A</v>
      </c>
      <c r="Z386" s="20" t="e">
        <v>#N/A</v>
      </c>
      <c r="AA386" s="21"/>
      <c r="AB386" s="22" t="e">
        <v>#N/A</v>
      </c>
      <c r="AC386" s="20"/>
      <c r="AD386" s="21"/>
      <c r="AE386" s="23" t="e">
        <v>#N/A</v>
      </c>
      <c r="AF386" s="21"/>
      <c r="AG386" s="13"/>
      <c r="AH386" s="13"/>
      <c r="AI386" s="13"/>
    </row>
    <row r="387" spans="1:35" ht="16.5" hidden="1" customHeight="1" x14ac:dyDescent="0.3">
      <c r="A387" s="12">
        <v>70042</v>
      </c>
      <c r="B387" s="13" t="s">
        <v>501</v>
      </c>
      <c r="C387" s="14">
        <v>42186</v>
      </c>
      <c r="D387" s="14">
        <v>44774</v>
      </c>
      <c r="E387" s="15" t="s">
        <v>36</v>
      </c>
      <c r="F387" s="16" t="s">
        <v>37</v>
      </c>
      <c r="G387" s="12" t="s">
        <v>38</v>
      </c>
      <c r="H387" s="12"/>
      <c r="I387" s="12"/>
      <c r="J387" s="12"/>
      <c r="K387" s="12"/>
      <c r="L387" s="12"/>
      <c r="M387" s="17">
        <v>0</v>
      </c>
      <c r="N387" s="18">
        <v>0</v>
      </c>
      <c r="O387" s="18">
        <v>50000</v>
      </c>
      <c r="P387" s="18">
        <v>100000</v>
      </c>
      <c r="Q387" s="13"/>
      <c r="R387" s="13"/>
      <c r="S387" s="12"/>
      <c r="T387" s="12" t="s">
        <v>39</v>
      </c>
      <c r="U387" s="12" t="e">
        <v>#N/A</v>
      </c>
      <c r="V387" s="19" t="e">
        <f>VLOOKUP(A387,'2023 Stats'!$B$2:$D$192,3,FALSE)</f>
        <v>#N/A</v>
      </c>
      <c r="W387" s="20" t="e">
        <v>#N/A</v>
      </c>
      <c r="X387" s="21"/>
      <c r="Y387" s="22" t="e">
        <v>#N/A</v>
      </c>
      <c r="Z387" s="20" t="e">
        <v>#N/A</v>
      </c>
      <c r="AA387" s="21"/>
      <c r="AB387" s="22" t="e">
        <v>#N/A</v>
      </c>
      <c r="AC387" s="20"/>
      <c r="AD387" s="21"/>
      <c r="AE387" s="23" t="e">
        <v>#N/A</v>
      </c>
      <c r="AF387" s="21"/>
      <c r="AG387" s="13"/>
      <c r="AH387" s="13"/>
      <c r="AI387" s="13"/>
    </row>
    <row r="388" spans="1:35" ht="16.5" hidden="1" customHeight="1" x14ac:dyDescent="0.3">
      <c r="A388" s="12">
        <v>70044</v>
      </c>
      <c r="B388" s="13" t="s">
        <v>502</v>
      </c>
      <c r="C388" s="14">
        <v>42186</v>
      </c>
      <c r="D388" s="14">
        <v>44774</v>
      </c>
      <c r="E388" s="15" t="s">
        <v>36</v>
      </c>
      <c r="F388" s="16" t="s">
        <v>37</v>
      </c>
      <c r="G388" s="12" t="s">
        <v>38</v>
      </c>
      <c r="H388" s="12"/>
      <c r="I388" s="12"/>
      <c r="J388" s="12"/>
      <c r="K388" s="12"/>
      <c r="L388" s="12"/>
      <c r="M388" s="17">
        <v>0</v>
      </c>
      <c r="N388" s="18">
        <v>0</v>
      </c>
      <c r="O388" s="18">
        <v>50000</v>
      </c>
      <c r="P388" s="18">
        <v>100000</v>
      </c>
      <c r="Q388" s="13"/>
      <c r="R388" s="13"/>
      <c r="S388" s="12"/>
      <c r="T388" s="12" t="s">
        <v>39</v>
      </c>
      <c r="U388" s="12" t="e">
        <v>#N/A</v>
      </c>
      <c r="V388" s="19" t="e">
        <f>VLOOKUP(A388,'2023 Stats'!$B$2:$D$192,3,FALSE)</f>
        <v>#N/A</v>
      </c>
      <c r="W388" s="20" t="e">
        <v>#N/A</v>
      </c>
      <c r="X388" s="21"/>
      <c r="Y388" s="22" t="e">
        <v>#N/A</v>
      </c>
      <c r="Z388" s="20" t="e">
        <v>#N/A</v>
      </c>
      <c r="AA388" s="21"/>
      <c r="AB388" s="22" t="e">
        <v>#N/A</v>
      </c>
      <c r="AC388" s="20"/>
      <c r="AD388" s="21"/>
      <c r="AE388" s="23" t="e">
        <v>#N/A</v>
      </c>
      <c r="AF388" s="21"/>
      <c r="AG388" s="13"/>
      <c r="AH388" s="13"/>
      <c r="AI388" s="13"/>
    </row>
    <row r="389" spans="1:35" ht="16.5" hidden="1" customHeight="1" x14ac:dyDescent="0.3">
      <c r="A389" s="12">
        <v>70045</v>
      </c>
      <c r="B389" s="13" t="s">
        <v>503</v>
      </c>
      <c r="C389" s="14">
        <v>42186</v>
      </c>
      <c r="D389" s="14">
        <v>44774</v>
      </c>
      <c r="E389" s="15" t="s">
        <v>36</v>
      </c>
      <c r="F389" s="16" t="s">
        <v>37</v>
      </c>
      <c r="G389" s="12" t="s">
        <v>38</v>
      </c>
      <c r="H389" s="12"/>
      <c r="I389" s="12"/>
      <c r="J389" s="12"/>
      <c r="K389" s="12"/>
      <c r="L389" s="12"/>
      <c r="M389" s="17">
        <v>0</v>
      </c>
      <c r="N389" s="18">
        <v>0</v>
      </c>
      <c r="O389" s="18">
        <v>50000</v>
      </c>
      <c r="P389" s="18">
        <v>100000</v>
      </c>
      <c r="Q389" s="13"/>
      <c r="R389" s="13"/>
      <c r="S389" s="12"/>
      <c r="T389" s="12" t="s">
        <v>39</v>
      </c>
      <c r="U389" s="12">
        <v>44760</v>
      </c>
      <c r="V389" s="19" t="e">
        <f>VLOOKUP(A389,'2023 Stats'!$B$2:$D$192,3,FALSE)</f>
        <v>#N/A</v>
      </c>
      <c r="W389" s="20" t="e">
        <v>#N/A</v>
      </c>
      <c r="X389" s="21"/>
      <c r="Y389" s="22">
        <v>1563</v>
      </c>
      <c r="Z389" s="20">
        <v>130</v>
      </c>
      <c r="AA389" s="21"/>
      <c r="AB389" s="22">
        <v>4492</v>
      </c>
      <c r="AC389" s="20">
        <v>374</v>
      </c>
      <c r="AD389" s="21"/>
      <c r="AE389" s="23" t="e">
        <v>#N/A</v>
      </c>
      <c r="AF389" s="21"/>
      <c r="AG389" s="13"/>
      <c r="AH389" s="13"/>
      <c r="AI389" s="13"/>
    </row>
    <row r="390" spans="1:35" ht="16.5" hidden="1" customHeight="1" x14ac:dyDescent="0.3">
      <c r="A390" s="12">
        <v>70046</v>
      </c>
      <c r="B390" s="13" t="s">
        <v>504</v>
      </c>
      <c r="C390" s="14">
        <v>42186</v>
      </c>
      <c r="D390" s="14">
        <v>44774</v>
      </c>
      <c r="E390" s="15" t="s">
        <v>36</v>
      </c>
      <c r="F390" s="16" t="s">
        <v>37</v>
      </c>
      <c r="G390" s="12" t="s">
        <v>38</v>
      </c>
      <c r="H390" s="12"/>
      <c r="I390" s="12"/>
      <c r="J390" s="12"/>
      <c r="K390" s="12"/>
      <c r="L390" s="12"/>
      <c r="M390" s="17">
        <v>0</v>
      </c>
      <c r="N390" s="18">
        <v>0</v>
      </c>
      <c r="O390" s="18">
        <v>50000</v>
      </c>
      <c r="P390" s="18">
        <v>100000</v>
      </c>
      <c r="Q390" s="13"/>
      <c r="R390" s="13"/>
      <c r="S390" s="12"/>
      <c r="T390" s="12" t="s">
        <v>39</v>
      </c>
      <c r="U390" s="12">
        <v>44770</v>
      </c>
      <c r="V390" s="19" t="e">
        <f>VLOOKUP(A390,'2023 Stats'!$B$2:$D$192,3,FALSE)</f>
        <v>#N/A</v>
      </c>
      <c r="W390" s="20" t="e">
        <v>#N/A</v>
      </c>
      <c r="X390" s="21"/>
      <c r="Y390" s="22">
        <v>6412</v>
      </c>
      <c r="Z390" s="20">
        <v>534</v>
      </c>
      <c r="AA390" s="21"/>
      <c r="AB390" s="22">
        <v>20926</v>
      </c>
      <c r="AC390" s="20">
        <v>1744</v>
      </c>
      <c r="AD390" s="21"/>
      <c r="AE390" s="23" t="e">
        <v>#N/A</v>
      </c>
      <c r="AF390" s="21"/>
      <c r="AG390" s="13"/>
      <c r="AH390" s="13"/>
      <c r="AI390" s="13"/>
    </row>
    <row r="391" spans="1:35" ht="22.8" hidden="1" x14ac:dyDescent="0.3">
      <c r="A391" s="12">
        <v>70047</v>
      </c>
      <c r="B391" s="13" t="s">
        <v>505</v>
      </c>
      <c r="C391" s="14">
        <v>42186</v>
      </c>
      <c r="D391" s="14"/>
      <c r="E391" s="15" t="s">
        <v>36</v>
      </c>
      <c r="F391" s="33" t="s">
        <v>47</v>
      </c>
      <c r="G391" s="12" t="s">
        <v>38</v>
      </c>
      <c r="H391" s="12"/>
      <c r="I391" s="12"/>
      <c r="J391" s="12"/>
      <c r="K391" s="12"/>
      <c r="L391" s="12" t="s">
        <v>506</v>
      </c>
      <c r="M391" s="17">
        <v>0</v>
      </c>
      <c r="N391" s="18">
        <v>0</v>
      </c>
      <c r="O391" s="18">
        <v>50000</v>
      </c>
      <c r="P391" s="18">
        <v>100000</v>
      </c>
      <c r="Q391" s="13"/>
      <c r="R391" s="13"/>
      <c r="S391" s="12"/>
      <c r="T391" s="12" t="s">
        <v>39</v>
      </c>
      <c r="U391" s="12" t="e">
        <v>#N/A</v>
      </c>
      <c r="V391" s="19" t="e">
        <f>VLOOKUP(A391,'2023 Stats'!$B$2:$D$192,3,FALSE)</f>
        <v>#N/A</v>
      </c>
      <c r="W391" s="20" t="e">
        <v>#N/A</v>
      </c>
      <c r="X391" s="21"/>
      <c r="Y391" s="22" t="e">
        <v>#N/A</v>
      </c>
      <c r="Z391" s="20" t="e">
        <v>#N/A</v>
      </c>
      <c r="AA391" s="21"/>
      <c r="AB391" s="22" t="e">
        <v>#N/A</v>
      </c>
      <c r="AC391" s="20"/>
      <c r="AD391" s="21"/>
      <c r="AE391" s="23" t="e">
        <v>#N/A</v>
      </c>
      <c r="AF391" s="21"/>
      <c r="AG391" s="13"/>
      <c r="AH391" s="13"/>
      <c r="AI391" s="13"/>
    </row>
    <row r="392" spans="1:35" ht="22.8" hidden="1" x14ac:dyDescent="0.3">
      <c r="A392" s="12">
        <v>70048</v>
      </c>
      <c r="B392" s="13" t="s">
        <v>507</v>
      </c>
      <c r="C392" s="14">
        <v>42037</v>
      </c>
      <c r="D392" s="14">
        <v>44774</v>
      </c>
      <c r="E392" s="15" t="s">
        <v>36</v>
      </c>
      <c r="F392" s="16" t="s">
        <v>37</v>
      </c>
      <c r="G392" s="12" t="s">
        <v>38</v>
      </c>
      <c r="H392" s="12"/>
      <c r="I392" s="12"/>
      <c r="J392" s="12"/>
      <c r="K392" s="12"/>
      <c r="L392" s="12"/>
      <c r="M392" s="17">
        <v>0</v>
      </c>
      <c r="N392" s="18">
        <v>1</v>
      </c>
      <c r="O392" s="18">
        <v>50000</v>
      </c>
      <c r="P392" s="18">
        <v>100000</v>
      </c>
      <c r="Q392" s="13"/>
      <c r="R392" s="13"/>
      <c r="S392" s="12"/>
      <c r="T392" s="12" t="s">
        <v>39</v>
      </c>
      <c r="U392" s="12" t="e">
        <v>#N/A</v>
      </c>
      <c r="V392" s="19" t="e">
        <f>VLOOKUP(A392,'2023 Stats'!$B$2:$D$192,3,FALSE)</f>
        <v>#N/A</v>
      </c>
      <c r="W392" s="20" t="e">
        <v>#N/A</v>
      </c>
      <c r="X392" s="21"/>
      <c r="Y392" s="22" t="e">
        <v>#N/A</v>
      </c>
      <c r="Z392" s="20" t="e">
        <v>#N/A</v>
      </c>
      <c r="AA392" s="21"/>
      <c r="AB392" s="22">
        <v>2</v>
      </c>
      <c r="AC392" s="20">
        <v>0</v>
      </c>
      <c r="AD392" s="21"/>
      <c r="AE392" s="23" t="e">
        <v>#N/A</v>
      </c>
      <c r="AF392" s="21"/>
      <c r="AG392" s="13"/>
      <c r="AH392" s="13"/>
      <c r="AI392" s="13"/>
    </row>
    <row r="393" spans="1:35" ht="16.5" hidden="1" customHeight="1" x14ac:dyDescent="0.3">
      <c r="A393" s="12">
        <v>70049</v>
      </c>
      <c r="B393" s="13" t="s">
        <v>508</v>
      </c>
      <c r="C393" s="14">
        <v>42037</v>
      </c>
      <c r="D393" s="14">
        <v>44774</v>
      </c>
      <c r="E393" s="15" t="s">
        <v>36</v>
      </c>
      <c r="F393" s="16" t="s">
        <v>37</v>
      </c>
      <c r="G393" s="12" t="s">
        <v>38</v>
      </c>
      <c r="H393" s="12"/>
      <c r="I393" s="12"/>
      <c r="J393" s="12"/>
      <c r="K393" s="12"/>
      <c r="L393" s="12"/>
      <c r="M393" s="17">
        <v>0</v>
      </c>
      <c r="N393" s="18">
        <v>1</v>
      </c>
      <c r="O393" s="18">
        <v>50000</v>
      </c>
      <c r="P393" s="18">
        <v>100000</v>
      </c>
      <c r="Q393" s="13"/>
      <c r="R393" s="13"/>
      <c r="S393" s="12"/>
      <c r="T393" s="12" t="s">
        <v>39</v>
      </c>
      <c r="U393" s="12" t="e">
        <v>#N/A</v>
      </c>
      <c r="V393" s="19" t="e">
        <f>VLOOKUP(A393,'2023 Stats'!$B$2:$D$192,3,FALSE)</f>
        <v>#N/A</v>
      </c>
      <c r="W393" s="20" t="e">
        <v>#N/A</v>
      </c>
      <c r="X393" s="21"/>
      <c r="Y393" s="22" t="e">
        <v>#N/A</v>
      </c>
      <c r="Z393" s="20" t="e">
        <v>#N/A</v>
      </c>
      <c r="AA393" s="21"/>
      <c r="AB393" s="22" t="e">
        <v>#N/A</v>
      </c>
      <c r="AC393" s="20"/>
      <c r="AD393" s="21"/>
      <c r="AE393" s="23" t="e">
        <v>#N/A</v>
      </c>
      <c r="AF393" s="21"/>
      <c r="AG393" s="13"/>
      <c r="AH393" s="13"/>
      <c r="AI393" s="13"/>
    </row>
    <row r="394" spans="1:35" ht="16.5" hidden="1" customHeight="1" x14ac:dyDescent="0.3">
      <c r="A394" s="12">
        <v>70050</v>
      </c>
      <c r="B394" s="13" t="s">
        <v>509</v>
      </c>
      <c r="C394" s="14">
        <v>42037</v>
      </c>
      <c r="D394" s="14">
        <v>44774</v>
      </c>
      <c r="E394" s="15" t="s">
        <v>36</v>
      </c>
      <c r="F394" s="16" t="s">
        <v>37</v>
      </c>
      <c r="G394" s="12" t="s">
        <v>38</v>
      </c>
      <c r="H394" s="12"/>
      <c r="I394" s="12"/>
      <c r="J394" s="12"/>
      <c r="K394" s="12"/>
      <c r="L394" s="12"/>
      <c r="M394" s="17">
        <v>0</v>
      </c>
      <c r="N394" s="18">
        <v>1</v>
      </c>
      <c r="O394" s="18">
        <v>50000</v>
      </c>
      <c r="P394" s="18">
        <v>100000</v>
      </c>
      <c r="Q394" s="13"/>
      <c r="R394" s="13"/>
      <c r="S394" s="12"/>
      <c r="T394" s="12" t="s">
        <v>39</v>
      </c>
      <c r="U394" s="12" t="e">
        <v>#N/A</v>
      </c>
      <c r="V394" s="19" t="e">
        <f>VLOOKUP(A394,'2023 Stats'!$B$2:$D$192,3,FALSE)</f>
        <v>#N/A</v>
      </c>
      <c r="W394" s="20" t="e">
        <v>#N/A</v>
      </c>
      <c r="X394" s="21"/>
      <c r="Y394" s="22" t="e">
        <v>#N/A</v>
      </c>
      <c r="Z394" s="20" t="e">
        <v>#N/A</v>
      </c>
      <c r="AA394" s="21"/>
      <c r="AB394" s="22">
        <v>1</v>
      </c>
      <c r="AC394" s="20">
        <v>0</v>
      </c>
      <c r="AD394" s="21"/>
      <c r="AE394" s="23" t="e">
        <v>#N/A</v>
      </c>
      <c r="AF394" s="21"/>
      <c r="AG394" s="13"/>
      <c r="AH394" s="13"/>
      <c r="AI394" s="13"/>
    </row>
    <row r="395" spans="1:35" ht="16.5" hidden="1" customHeight="1" x14ac:dyDescent="0.3">
      <c r="A395" s="12">
        <v>70051</v>
      </c>
      <c r="B395" s="13" t="s">
        <v>510</v>
      </c>
      <c r="C395" s="43">
        <v>42011</v>
      </c>
      <c r="D395" s="14"/>
      <c r="E395" s="15" t="s">
        <v>36</v>
      </c>
      <c r="F395" s="16" t="s">
        <v>37</v>
      </c>
      <c r="G395" s="12" t="s">
        <v>38</v>
      </c>
      <c r="H395" s="17"/>
      <c r="I395" s="17"/>
      <c r="J395" s="12"/>
      <c r="K395" s="12"/>
      <c r="L395" s="12"/>
      <c r="M395" s="17">
        <v>0</v>
      </c>
      <c r="N395" s="18">
        <v>0</v>
      </c>
      <c r="O395" s="18">
        <v>0</v>
      </c>
      <c r="P395" s="18">
        <v>100000</v>
      </c>
      <c r="Q395" s="13"/>
      <c r="R395" s="13"/>
      <c r="S395" s="13"/>
      <c r="T395" s="13"/>
      <c r="U395" s="46"/>
      <c r="V395" s="19" t="e">
        <f>VLOOKUP(A395,'2023 Stats'!$B$2:$D$192,3,FALSE)</f>
        <v>#N/A</v>
      </c>
      <c r="W395" s="20"/>
      <c r="X395" s="21"/>
      <c r="Y395" s="22"/>
      <c r="Z395" s="20"/>
      <c r="AA395" s="21"/>
      <c r="AB395" s="22"/>
      <c r="AC395" s="20"/>
      <c r="AD395" s="21"/>
      <c r="AE395" s="23"/>
      <c r="AF395" s="21"/>
      <c r="AG395" s="13"/>
      <c r="AH395" s="13"/>
      <c r="AI395" s="13"/>
    </row>
    <row r="396" spans="1:35" ht="16.5" hidden="1" customHeight="1" x14ac:dyDescent="0.3">
      <c r="A396" s="12">
        <v>70052</v>
      </c>
      <c r="B396" s="13" t="s">
        <v>511</v>
      </c>
      <c r="C396" s="14">
        <v>42520</v>
      </c>
      <c r="D396" s="14">
        <v>44774</v>
      </c>
      <c r="E396" s="15" t="s">
        <v>36</v>
      </c>
      <c r="F396" s="16" t="s">
        <v>37</v>
      </c>
      <c r="G396" s="12" t="s">
        <v>38</v>
      </c>
      <c r="H396" s="12"/>
      <c r="I396" s="12"/>
      <c r="J396" s="12"/>
      <c r="K396" s="12"/>
      <c r="L396" s="12"/>
      <c r="M396" s="17">
        <v>0</v>
      </c>
      <c r="N396" s="18">
        <v>1</v>
      </c>
      <c r="O396" s="18">
        <v>50000</v>
      </c>
      <c r="P396" s="18">
        <v>100000</v>
      </c>
      <c r="Q396" s="13"/>
      <c r="R396" s="13"/>
      <c r="S396" s="12"/>
      <c r="T396" s="12" t="s">
        <v>39</v>
      </c>
      <c r="U396" s="12">
        <v>44573</v>
      </c>
      <c r="V396" s="19" t="e">
        <f>VLOOKUP(A396,'2023 Stats'!$B$2:$D$192,3,FALSE)</f>
        <v>#N/A</v>
      </c>
      <c r="W396" s="20" t="e">
        <v>#N/A</v>
      </c>
      <c r="X396" s="21"/>
      <c r="Y396" s="22">
        <v>1</v>
      </c>
      <c r="Z396" s="20">
        <v>0</v>
      </c>
      <c r="AA396" s="21"/>
      <c r="AB396" s="22">
        <v>4</v>
      </c>
      <c r="AC396" s="20">
        <v>0</v>
      </c>
      <c r="AD396" s="21"/>
      <c r="AE396" s="23" t="e">
        <v>#N/A</v>
      </c>
      <c r="AF396" s="21"/>
      <c r="AG396" s="13"/>
      <c r="AH396" s="13"/>
      <c r="AI396" s="13"/>
    </row>
    <row r="397" spans="1:35" ht="16.5" hidden="1" customHeight="1" x14ac:dyDescent="0.3">
      <c r="A397" s="12">
        <v>83301</v>
      </c>
      <c r="B397" s="13" t="s">
        <v>512</v>
      </c>
      <c r="C397" s="14">
        <v>42516</v>
      </c>
      <c r="D397" s="14"/>
      <c r="E397" s="15" t="s">
        <v>36</v>
      </c>
      <c r="F397" s="33" t="s">
        <v>47</v>
      </c>
      <c r="G397" s="12" t="s">
        <v>38</v>
      </c>
      <c r="H397" s="17"/>
      <c r="I397" s="17"/>
      <c r="J397" s="12"/>
      <c r="K397" s="12"/>
      <c r="L397" s="12" t="s">
        <v>513</v>
      </c>
      <c r="M397" s="17">
        <v>0</v>
      </c>
      <c r="N397" s="18">
        <v>0</v>
      </c>
      <c r="O397" s="18">
        <v>50000</v>
      </c>
      <c r="P397" s="18">
        <v>100000</v>
      </c>
      <c r="Q397" s="13"/>
      <c r="R397" s="13"/>
      <c r="S397" s="12"/>
      <c r="T397" s="12" t="s">
        <v>39</v>
      </c>
      <c r="U397" s="12" t="e">
        <v>#N/A</v>
      </c>
      <c r="V397" s="19" t="e">
        <f>VLOOKUP(A397,'2023 Stats'!$B$2:$D$192,3,FALSE)</f>
        <v>#N/A</v>
      </c>
      <c r="W397" s="20" t="e">
        <v>#N/A</v>
      </c>
      <c r="X397" s="21"/>
      <c r="Y397" s="22" t="e">
        <v>#N/A</v>
      </c>
      <c r="Z397" s="20" t="e">
        <v>#N/A</v>
      </c>
      <c r="AA397" s="21"/>
      <c r="AB397" s="22" t="e">
        <v>#N/A</v>
      </c>
      <c r="AC397" s="20"/>
      <c r="AD397" s="21"/>
      <c r="AE397" s="23" t="e">
        <v>#N/A</v>
      </c>
      <c r="AF397" s="21"/>
      <c r="AG397" s="13"/>
      <c r="AH397" s="13"/>
      <c r="AI397" s="13"/>
    </row>
    <row r="398" spans="1:35" ht="16.5" hidden="1" customHeight="1" x14ac:dyDescent="0.3">
      <c r="A398" s="12">
        <v>83305</v>
      </c>
      <c r="B398" s="13" t="s">
        <v>514</v>
      </c>
      <c r="C398" s="14">
        <v>45033</v>
      </c>
      <c r="D398" s="14"/>
      <c r="E398" s="15" t="s">
        <v>36</v>
      </c>
      <c r="F398" s="35" t="s">
        <v>37</v>
      </c>
      <c r="G398" s="12" t="s">
        <v>38</v>
      </c>
      <c r="H398" s="17"/>
      <c r="I398" s="17"/>
      <c r="J398" s="12"/>
      <c r="K398" s="12"/>
      <c r="L398" s="12"/>
      <c r="M398" s="17">
        <v>0</v>
      </c>
      <c r="N398" s="18">
        <v>0</v>
      </c>
      <c r="O398" s="18">
        <v>50000</v>
      </c>
      <c r="P398" s="18">
        <v>100000</v>
      </c>
      <c r="Q398" s="13"/>
      <c r="R398" s="13"/>
      <c r="S398" s="12"/>
      <c r="T398" s="12" t="s">
        <v>39</v>
      </c>
      <c r="U398" s="12" t="e">
        <v>#N/A</v>
      </c>
      <c r="V398" s="19" t="e">
        <f>VLOOKUP(A398,'2023 Stats'!$B$2:$D$192,3,FALSE)</f>
        <v>#N/A</v>
      </c>
      <c r="W398" s="20" t="e">
        <v>#N/A</v>
      </c>
      <c r="X398" s="21"/>
      <c r="Y398" s="22" t="e">
        <v>#N/A</v>
      </c>
      <c r="Z398" s="20" t="e">
        <v>#N/A</v>
      </c>
      <c r="AA398" s="21"/>
      <c r="AB398" s="22" t="e">
        <v>#N/A</v>
      </c>
      <c r="AC398" s="20"/>
      <c r="AD398" s="21"/>
      <c r="AE398" s="23" t="e">
        <v>#N/A</v>
      </c>
      <c r="AF398" s="21"/>
      <c r="AG398" s="13"/>
      <c r="AH398" s="13"/>
      <c r="AI398" s="13"/>
    </row>
    <row r="399" spans="1:35" ht="16.5" hidden="1" customHeight="1" x14ac:dyDescent="0.3">
      <c r="A399" s="17">
        <v>84401</v>
      </c>
      <c r="B399" s="25" t="s">
        <v>515</v>
      </c>
      <c r="C399" s="26">
        <v>42516</v>
      </c>
      <c r="D399" s="26"/>
      <c r="E399" s="33" t="s">
        <v>36</v>
      </c>
      <c r="F399" s="16" t="s">
        <v>37</v>
      </c>
      <c r="G399" s="17" t="s">
        <v>38</v>
      </c>
      <c r="H399" s="17" t="s">
        <v>44</v>
      </c>
      <c r="I399" s="17"/>
      <c r="J399" s="17"/>
      <c r="K399" s="17"/>
      <c r="L399" s="17"/>
      <c r="M399" s="17">
        <v>0</v>
      </c>
      <c r="N399" s="28">
        <v>0</v>
      </c>
      <c r="O399" s="28">
        <v>50000</v>
      </c>
      <c r="P399" s="28">
        <v>100000</v>
      </c>
      <c r="Q399" s="17"/>
      <c r="R399" s="17"/>
      <c r="S399" s="17"/>
      <c r="T399" s="17" t="s">
        <v>39</v>
      </c>
      <c r="U399" s="17" t="s">
        <v>45</v>
      </c>
      <c r="V399" s="19">
        <f>VLOOKUP(A399,'2023 Stats'!$B$2:$D$192,3,FALSE)</f>
        <v>1855</v>
      </c>
      <c r="W399" s="29">
        <v>464</v>
      </c>
      <c r="X399" s="30"/>
      <c r="Y399" s="19">
        <v>864</v>
      </c>
      <c r="Z399" s="29">
        <v>72</v>
      </c>
      <c r="AA399" s="30"/>
      <c r="AB399" s="19" t="e">
        <v>#N/A</v>
      </c>
      <c r="AC399" s="29"/>
      <c r="AD399" s="30"/>
      <c r="AE399" s="31">
        <v>268</v>
      </c>
      <c r="AF399" s="30"/>
      <c r="AG399" s="25"/>
      <c r="AH399" s="25"/>
      <c r="AI399" s="25"/>
    </row>
    <row r="400" spans="1:35" ht="16.5" hidden="1" customHeight="1" x14ac:dyDescent="0.3">
      <c r="A400" s="12">
        <v>84402</v>
      </c>
      <c r="B400" s="13" t="s">
        <v>516</v>
      </c>
      <c r="C400" s="14">
        <v>43801</v>
      </c>
      <c r="D400" s="14"/>
      <c r="E400" s="15" t="s">
        <v>36</v>
      </c>
      <c r="F400" s="35" t="s">
        <v>37</v>
      </c>
      <c r="G400" s="12" t="s">
        <v>38</v>
      </c>
      <c r="H400" s="17"/>
      <c r="I400" s="17"/>
      <c r="J400" s="12"/>
      <c r="K400" s="12"/>
      <c r="L400" s="12"/>
      <c r="M400" s="17">
        <v>0</v>
      </c>
      <c r="N400" s="18">
        <v>0</v>
      </c>
      <c r="O400" s="18">
        <v>0</v>
      </c>
      <c r="P400" s="18">
        <v>100000</v>
      </c>
      <c r="Q400" s="13"/>
      <c r="R400" s="13"/>
      <c r="S400" s="12"/>
      <c r="T400" s="12" t="s">
        <v>39</v>
      </c>
      <c r="U400" s="12" t="e">
        <v>#N/A</v>
      </c>
      <c r="V400" s="19" t="e">
        <f>VLOOKUP(A400,'2023 Stats'!$B$2:$D$192,3,FALSE)</f>
        <v>#N/A</v>
      </c>
      <c r="W400" s="20" t="e">
        <v>#N/A</v>
      </c>
      <c r="X400" s="21"/>
      <c r="Y400" s="22" t="e">
        <v>#N/A</v>
      </c>
      <c r="Z400" s="20" t="e">
        <v>#N/A</v>
      </c>
      <c r="AA400" s="21"/>
      <c r="AB400" s="22" t="e">
        <v>#N/A</v>
      </c>
      <c r="AC400" s="20"/>
      <c r="AD400" s="21"/>
      <c r="AE400" s="23" t="e">
        <v>#N/A</v>
      </c>
      <c r="AF400" s="21"/>
      <c r="AG400" s="13"/>
      <c r="AH400" s="13"/>
      <c r="AI400" s="13"/>
    </row>
    <row r="401" spans="1:35" ht="16.5" hidden="1" customHeight="1" x14ac:dyDescent="0.3">
      <c r="A401" s="12">
        <v>84403</v>
      </c>
      <c r="B401" s="13" t="s">
        <v>517</v>
      </c>
      <c r="C401" s="14">
        <v>43800</v>
      </c>
      <c r="D401" s="14"/>
      <c r="E401" s="15" t="s">
        <v>36</v>
      </c>
      <c r="F401" s="35" t="s">
        <v>37</v>
      </c>
      <c r="G401" s="12" t="s">
        <v>38</v>
      </c>
      <c r="H401" s="17" t="s">
        <v>44</v>
      </c>
      <c r="I401" s="17"/>
      <c r="J401" s="12"/>
      <c r="K401" s="12"/>
      <c r="L401" s="12"/>
      <c r="M401" s="17">
        <v>0</v>
      </c>
      <c r="N401" s="18">
        <v>0</v>
      </c>
      <c r="O401" s="18">
        <v>50000</v>
      </c>
      <c r="P401" s="18">
        <v>100000</v>
      </c>
      <c r="Q401" s="13"/>
      <c r="R401" s="13"/>
      <c r="S401" s="12"/>
      <c r="T401" s="12" t="s">
        <v>39</v>
      </c>
      <c r="U401" s="12" t="e">
        <v>#N/A</v>
      </c>
      <c r="V401" s="19" t="e">
        <f>VLOOKUP(A401,'2023 Stats'!$B$2:$D$192,3,FALSE)</f>
        <v>#N/A</v>
      </c>
      <c r="W401" s="20" t="e">
        <v>#N/A</v>
      </c>
      <c r="X401" s="21"/>
      <c r="Y401" s="22" t="e">
        <v>#N/A</v>
      </c>
      <c r="Z401" s="20" t="e">
        <v>#N/A</v>
      </c>
      <c r="AA401" s="21"/>
      <c r="AB401" s="22" t="e">
        <v>#N/A</v>
      </c>
      <c r="AC401" s="20"/>
      <c r="AD401" s="21"/>
      <c r="AE401" s="23" t="e">
        <v>#N/A</v>
      </c>
      <c r="AF401" s="21"/>
      <c r="AG401" s="13"/>
      <c r="AH401" s="13"/>
      <c r="AI401" s="13"/>
    </row>
    <row r="402" spans="1:35" ht="16.5" hidden="1" customHeight="1" x14ac:dyDescent="0.3">
      <c r="A402" s="12">
        <v>84404</v>
      </c>
      <c r="B402" s="13" t="s">
        <v>518</v>
      </c>
      <c r="C402" s="14">
        <v>43800</v>
      </c>
      <c r="D402" s="14"/>
      <c r="E402" s="15" t="s">
        <v>36</v>
      </c>
      <c r="F402" s="35" t="s">
        <v>37</v>
      </c>
      <c r="G402" s="12" t="s">
        <v>38</v>
      </c>
      <c r="H402" s="17" t="s">
        <v>44</v>
      </c>
      <c r="I402" s="17"/>
      <c r="J402" s="12"/>
      <c r="K402" s="12"/>
      <c r="L402" s="12"/>
      <c r="M402" s="17">
        <v>0</v>
      </c>
      <c r="N402" s="18">
        <v>0</v>
      </c>
      <c r="O402" s="18">
        <v>0</v>
      </c>
      <c r="P402" s="18">
        <v>100000</v>
      </c>
      <c r="Q402" s="13"/>
      <c r="R402" s="13"/>
      <c r="S402" s="12"/>
      <c r="T402" s="12" t="s">
        <v>39</v>
      </c>
      <c r="U402" s="12" t="s">
        <v>519</v>
      </c>
      <c r="V402" s="19">
        <f>VLOOKUP(A402,'2023 Stats'!$B$2:$D$192,3,FALSE)</f>
        <v>113</v>
      </c>
      <c r="W402" s="20">
        <v>1</v>
      </c>
      <c r="X402" s="21"/>
      <c r="Y402" s="22">
        <v>35</v>
      </c>
      <c r="Z402" s="20">
        <v>3</v>
      </c>
      <c r="AA402" s="21"/>
      <c r="AB402" s="22">
        <v>180</v>
      </c>
      <c r="AC402" s="20">
        <v>15</v>
      </c>
      <c r="AD402" s="21"/>
      <c r="AE402" s="23">
        <v>6</v>
      </c>
      <c r="AF402" s="21"/>
      <c r="AG402" s="13"/>
      <c r="AH402" s="13"/>
      <c r="AI402" s="13"/>
    </row>
    <row r="403" spans="1:35" ht="16.5" hidden="1" customHeight="1" x14ac:dyDescent="0.3">
      <c r="A403" s="12">
        <v>84408</v>
      </c>
      <c r="B403" s="13" t="s">
        <v>520</v>
      </c>
      <c r="C403" s="14">
        <v>45033</v>
      </c>
      <c r="D403" s="14"/>
      <c r="E403" s="15" t="s">
        <v>36</v>
      </c>
      <c r="F403" s="35" t="s">
        <v>37</v>
      </c>
      <c r="G403" s="12" t="s">
        <v>38</v>
      </c>
      <c r="H403" s="17"/>
      <c r="I403" s="17" t="s">
        <v>521</v>
      </c>
      <c r="J403" s="12"/>
      <c r="K403" s="12"/>
      <c r="L403" s="12"/>
      <c r="M403" s="17">
        <v>0</v>
      </c>
      <c r="N403" s="18">
        <v>1</v>
      </c>
      <c r="O403" s="18">
        <v>50000</v>
      </c>
      <c r="P403" s="18">
        <v>100000</v>
      </c>
      <c r="Q403" s="13"/>
      <c r="R403" s="13"/>
      <c r="S403" s="12"/>
      <c r="T403" s="12" t="s">
        <v>39</v>
      </c>
      <c r="U403" s="12" t="e">
        <v>#N/A</v>
      </c>
      <c r="V403" s="19" t="e">
        <f>VLOOKUP(A403,'2023 Stats'!$B$2:$D$192,3,FALSE)</f>
        <v>#N/A</v>
      </c>
      <c r="W403" s="20" t="e">
        <v>#N/A</v>
      </c>
      <c r="X403" s="21"/>
      <c r="Y403" s="22" t="e">
        <v>#N/A</v>
      </c>
      <c r="Z403" s="20" t="e">
        <v>#N/A</v>
      </c>
      <c r="AA403" s="21"/>
      <c r="AB403" s="22" t="e">
        <v>#N/A</v>
      </c>
      <c r="AC403" s="20"/>
      <c r="AD403" s="21"/>
      <c r="AE403" s="23" t="e">
        <v>#N/A</v>
      </c>
      <c r="AF403" s="21"/>
      <c r="AG403" s="13"/>
      <c r="AH403" s="13"/>
      <c r="AI403" s="13"/>
    </row>
    <row r="404" spans="1:35" ht="16.5" hidden="1" customHeight="1" x14ac:dyDescent="0.3">
      <c r="A404" s="12">
        <v>84409</v>
      </c>
      <c r="B404" s="13" t="s">
        <v>522</v>
      </c>
      <c r="C404" s="14">
        <v>45033</v>
      </c>
      <c r="D404" s="14"/>
      <c r="E404" s="15" t="s">
        <v>36</v>
      </c>
      <c r="F404" s="35" t="s">
        <v>37</v>
      </c>
      <c r="G404" s="12" t="s">
        <v>38</v>
      </c>
      <c r="H404" s="17"/>
      <c r="I404" s="17" t="s">
        <v>521</v>
      </c>
      <c r="J404" s="12"/>
      <c r="K404" s="12"/>
      <c r="L404" s="12"/>
      <c r="M404" s="17">
        <v>0</v>
      </c>
      <c r="N404" s="18">
        <v>1</v>
      </c>
      <c r="O404" s="18">
        <v>50000</v>
      </c>
      <c r="P404" s="18">
        <v>100000</v>
      </c>
      <c r="Q404" s="13"/>
      <c r="R404" s="13"/>
      <c r="S404" s="12"/>
      <c r="T404" s="12" t="s">
        <v>39</v>
      </c>
      <c r="U404" s="12" t="e">
        <v>#N/A</v>
      </c>
      <c r="V404" s="19" t="e">
        <f>VLOOKUP(A404,'2023 Stats'!$B$2:$D$192,3,FALSE)</f>
        <v>#N/A</v>
      </c>
      <c r="W404" s="20" t="e">
        <v>#N/A</v>
      </c>
      <c r="X404" s="21"/>
      <c r="Y404" s="22" t="e">
        <v>#N/A</v>
      </c>
      <c r="Z404" s="20" t="e">
        <v>#N/A</v>
      </c>
      <c r="AA404" s="21"/>
      <c r="AB404" s="22" t="e">
        <v>#N/A</v>
      </c>
      <c r="AC404" s="20"/>
      <c r="AD404" s="21"/>
      <c r="AE404" s="23" t="e">
        <v>#N/A</v>
      </c>
      <c r="AF404" s="21"/>
      <c r="AG404" s="13"/>
      <c r="AH404" s="13"/>
      <c r="AI404" s="13"/>
    </row>
    <row r="405" spans="1:35" ht="16.5" hidden="1" customHeight="1" x14ac:dyDescent="0.3">
      <c r="A405" s="12">
        <v>84410</v>
      </c>
      <c r="B405" s="13" t="s">
        <v>523</v>
      </c>
      <c r="C405" s="14">
        <v>45033</v>
      </c>
      <c r="D405" s="14"/>
      <c r="E405" s="15" t="s">
        <v>36</v>
      </c>
      <c r="F405" s="35" t="s">
        <v>37</v>
      </c>
      <c r="G405" s="12" t="s">
        <v>38</v>
      </c>
      <c r="H405" s="17"/>
      <c r="I405" s="17" t="s">
        <v>521</v>
      </c>
      <c r="J405" s="12"/>
      <c r="K405" s="12"/>
      <c r="L405" s="12"/>
      <c r="M405" s="17">
        <v>0</v>
      </c>
      <c r="N405" s="18">
        <v>1</v>
      </c>
      <c r="O405" s="18">
        <v>50000</v>
      </c>
      <c r="P405" s="18">
        <v>100000</v>
      </c>
      <c r="Q405" s="13"/>
      <c r="R405" s="13"/>
      <c r="S405" s="12"/>
      <c r="T405" s="12" t="s">
        <v>39</v>
      </c>
      <c r="U405" s="12" t="e">
        <v>#N/A</v>
      </c>
      <c r="V405" s="19" t="e">
        <f>VLOOKUP(A405,'2023 Stats'!$B$2:$D$192,3,FALSE)</f>
        <v>#N/A</v>
      </c>
      <c r="W405" s="20" t="e">
        <v>#N/A</v>
      </c>
      <c r="X405" s="21"/>
      <c r="Y405" s="22" t="e">
        <v>#N/A</v>
      </c>
      <c r="Z405" s="20" t="e">
        <v>#N/A</v>
      </c>
      <c r="AA405" s="21"/>
      <c r="AB405" s="22" t="e">
        <v>#N/A</v>
      </c>
      <c r="AC405" s="20"/>
      <c r="AD405" s="21"/>
      <c r="AE405" s="23" t="e">
        <v>#N/A</v>
      </c>
      <c r="AF405" s="21"/>
      <c r="AG405" s="13"/>
      <c r="AH405" s="13"/>
      <c r="AI405" s="13"/>
    </row>
    <row r="406" spans="1:35" ht="16.5" customHeight="1" x14ac:dyDescent="0.3">
      <c r="A406" s="24">
        <v>90001</v>
      </c>
      <c r="B406" s="25" t="s">
        <v>524</v>
      </c>
      <c r="C406" s="26">
        <v>42186</v>
      </c>
      <c r="D406" s="26"/>
      <c r="E406" s="27" t="s">
        <v>43</v>
      </c>
      <c r="F406" s="27" t="s">
        <v>47</v>
      </c>
      <c r="G406" s="17" t="s">
        <v>84</v>
      </c>
      <c r="H406" s="40" t="s">
        <v>525</v>
      </c>
      <c r="I406" s="17"/>
      <c r="J406" s="17"/>
      <c r="K406" s="17"/>
      <c r="L406" s="17" t="s">
        <v>526</v>
      </c>
      <c r="M406" s="17">
        <v>0</v>
      </c>
      <c r="N406" s="28">
        <v>1</v>
      </c>
      <c r="O406" s="28">
        <v>50000</v>
      </c>
      <c r="P406" s="28">
        <v>100000</v>
      </c>
      <c r="Q406" s="17"/>
      <c r="R406" s="17"/>
      <c r="S406" s="12"/>
      <c r="T406" s="12" t="s">
        <v>39</v>
      </c>
      <c r="U406" s="17" t="s">
        <v>45</v>
      </c>
      <c r="V406" s="19">
        <f>VLOOKUP(A406,'2023 Stats'!$B$2:$D$192,3,FALSE)</f>
        <v>954</v>
      </c>
      <c r="W406" s="29">
        <v>239</v>
      </c>
      <c r="X406" s="30"/>
      <c r="Y406" s="19">
        <v>2209</v>
      </c>
      <c r="Z406" s="29">
        <v>184</v>
      </c>
      <c r="AA406" s="30"/>
      <c r="AB406" s="19" t="e">
        <v>#N/A</v>
      </c>
      <c r="AC406" s="29"/>
      <c r="AD406" s="30"/>
      <c r="AE406" s="31">
        <v>211</v>
      </c>
      <c r="AF406" s="30"/>
      <c r="AG406" s="25"/>
      <c r="AH406" s="25"/>
      <c r="AI406" s="25"/>
    </row>
    <row r="407" spans="1:35" ht="16.5" hidden="1" customHeight="1" x14ac:dyDescent="0.3">
      <c r="A407" s="17">
        <v>90004</v>
      </c>
      <c r="B407" s="25" t="s">
        <v>527</v>
      </c>
      <c r="C407" s="26">
        <v>42186</v>
      </c>
      <c r="D407" s="26">
        <v>44151</v>
      </c>
      <c r="E407" s="33" t="s">
        <v>36</v>
      </c>
      <c r="F407" s="27" t="s">
        <v>47</v>
      </c>
      <c r="G407" s="17" t="s">
        <v>84</v>
      </c>
      <c r="H407" s="17" t="s">
        <v>77</v>
      </c>
      <c r="I407" s="17"/>
      <c r="J407" s="17"/>
      <c r="K407" s="17"/>
      <c r="L407" s="17" t="s">
        <v>526</v>
      </c>
      <c r="M407" s="17">
        <v>0</v>
      </c>
      <c r="N407" s="28">
        <v>0</v>
      </c>
      <c r="O407" s="28">
        <v>50000</v>
      </c>
      <c r="P407" s="28">
        <v>100000</v>
      </c>
      <c r="Q407" s="17"/>
      <c r="R407" s="17"/>
      <c r="S407" s="17"/>
      <c r="T407" s="17" t="s">
        <v>39</v>
      </c>
      <c r="U407" s="17" t="e">
        <v>#N/A</v>
      </c>
      <c r="V407" s="19" t="e">
        <f>VLOOKUP(A407,'2023 Stats'!$B$2:$D$192,3,FALSE)</f>
        <v>#N/A</v>
      </c>
      <c r="W407" s="29" t="e">
        <v>#N/A</v>
      </c>
      <c r="X407" s="30"/>
      <c r="Y407" s="19" t="e">
        <v>#N/A</v>
      </c>
      <c r="Z407" s="29" t="e">
        <v>#N/A</v>
      </c>
      <c r="AA407" s="30"/>
      <c r="AB407" s="19" t="e">
        <v>#N/A</v>
      </c>
      <c r="AC407" s="29"/>
      <c r="AD407" s="30"/>
      <c r="AE407" s="31" t="e">
        <v>#N/A</v>
      </c>
      <c r="AF407" s="30"/>
      <c r="AG407" s="25"/>
      <c r="AH407" s="25"/>
      <c r="AI407" s="25"/>
    </row>
    <row r="408" spans="1:35" ht="16.5" customHeight="1" x14ac:dyDescent="0.3">
      <c r="A408" s="24">
        <v>90006</v>
      </c>
      <c r="B408" s="25" t="s">
        <v>528</v>
      </c>
      <c r="C408" s="26">
        <v>42186</v>
      </c>
      <c r="D408" s="26"/>
      <c r="E408" s="27" t="s">
        <v>43</v>
      </c>
      <c r="F408" s="27" t="s">
        <v>47</v>
      </c>
      <c r="G408" s="17" t="s">
        <v>84</v>
      </c>
      <c r="H408" s="40" t="s">
        <v>525</v>
      </c>
      <c r="I408" s="40" t="s">
        <v>529</v>
      </c>
      <c r="J408" s="40"/>
      <c r="K408" s="40">
        <v>12</v>
      </c>
      <c r="L408" s="17" t="s">
        <v>526</v>
      </c>
      <c r="M408" s="17">
        <v>10</v>
      </c>
      <c r="N408" s="28">
        <v>1</v>
      </c>
      <c r="O408" s="28">
        <v>50000</v>
      </c>
      <c r="P408" s="28">
        <v>100000</v>
      </c>
      <c r="Q408" s="17"/>
      <c r="R408" s="17"/>
      <c r="S408" s="12"/>
      <c r="T408" s="12" t="s">
        <v>39</v>
      </c>
      <c r="U408" s="17" t="s">
        <v>45</v>
      </c>
      <c r="V408" s="19">
        <f>VLOOKUP(A408,'2023 Stats'!$B$2:$D$192,3,FALSE)</f>
        <v>3796</v>
      </c>
      <c r="W408" s="29">
        <v>949</v>
      </c>
      <c r="X408" s="30"/>
      <c r="Y408" s="19">
        <v>6916</v>
      </c>
      <c r="Z408" s="29">
        <v>576</v>
      </c>
      <c r="AA408" s="30"/>
      <c r="AB408" s="19" t="e">
        <v>#N/A</v>
      </c>
      <c r="AC408" s="29"/>
      <c r="AD408" s="30"/>
      <c r="AE408" s="31">
        <v>763</v>
      </c>
      <c r="AF408" s="30"/>
      <c r="AG408" s="25"/>
      <c r="AH408" s="25"/>
      <c r="AI408" s="25"/>
    </row>
    <row r="409" spans="1:35" ht="16.5" customHeight="1" x14ac:dyDescent="0.3">
      <c r="A409" s="24">
        <v>90008</v>
      </c>
      <c r="B409" s="25" t="s">
        <v>530</v>
      </c>
      <c r="C409" s="26">
        <v>42186</v>
      </c>
      <c r="D409" s="26"/>
      <c r="E409" s="27" t="s">
        <v>43</v>
      </c>
      <c r="F409" s="27" t="s">
        <v>47</v>
      </c>
      <c r="G409" s="17" t="s">
        <v>84</v>
      </c>
      <c r="H409" s="40" t="s">
        <v>525</v>
      </c>
      <c r="I409" s="17"/>
      <c r="J409" s="17"/>
      <c r="K409" s="17"/>
      <c r="L409" s="17" t="s">
        <v>526</v>
      </c>
      <c r="M409" s="17">
        <v>0</v>
      </c>
      <c r="N409" s="28">
        <v>1</v>
      </c>
      <c r="O409" s="28">
        <v>50000</v>
      </c>
      <c r="P409" s="28">
        <v>100000</v>
      </c>
      <c r="Q409" s="17"/>
      <c r="R409" s="17"/>
      <c r="S409" s="12"/>
      <c r="T409" s="12" t="s">
        <v>39</v>
      </c>
      <c r="U409" s="17" t="s">
        <v>45</v>
      </c>
      <c r="V409" s="19">
        <f>VLOOKUP(A409,'2023 Stats'!$B$2:$D$192,3,FALSE)</f>
        <v>2860</v>
      </c>
      <c r="W409" s="29">
        <v>715</v>
      </c>
      <c r="X409" s="30"/>
      <c r="Y409" s="19">
        <v>4097</v>
      </c>
      <c r="Z409" s="29">
        <v>341</v>
      </c>
      <c r="AA409" s="30"/>
      <c r="AB409" s="19" t="e">
        <v>#N/A</v>
      </c>
      <c r="AC409" s="29"/>
      <c r="AD409" s="30"/>
      <c r="AE409" s="31">
        <v>528</v>
      </c>
      <c r="AF409" s="30"/>
      <c r="AG409" s="25"/>
      <c r="AH409" s="25"/>
      <c r="AI409" s="25"/>
    </row>
    <row r="410" spans="1:35" ht="16.5" hidden="1" customHeight="1" x14ac:dyDescent="0.3">
      <c r="A410" s="17">
        <v>90012</v>
      </c>
      <c r="B410" s="25" t="s">
        <v>531</v>
      </c>
      <c r="C410" s="26">
        <v>42186</v>
      </c>
      <c r="D410" s="26">
        <v>43921</v>
      </c>
      <c r="E410" s="33" t="s">
        <v>36</v>
      </c>
      <c r="F410" s="27" t="s">
        <v>47</v>
      </c>
      <c r="G410" s="17" t="s">
        <v>84</v>
      </c>
      <c r="H410" s="17" t="s">
        <v>77</v>
      </c>
      <c r="I410" s="17"/>
      <c r="J410" s="17"/>
      <c r="K410" s="17"/>
      <c r="L410" s="17" t="s">
        <v>526</v>
      </c>
      <c r="M410" s="17">
        <v>0</v>
      </c>
      <c r="N410" s="28">
        <v>0</v>
      </c>
      <c r="O410" s="28">
        <v>50000</v>
      </c>
      <c r="P410" s="28">
        <v>100000</v>
      </c>
      <c r="Q410" s="17"/>
      <c r="R410" s="17"/>
      <c r="S410" s="17"/>
      <c r="T410" s="17" t="s">
        <v>39</v>
      </c>
      <c r="U410" s="17" t="e">
        <v>#N/A</v>
      </c>
      <c r="V410" s="19" t="e">
        <f>VLOOKUP(A410,'2023 Stats'!$B$2:$D$192,3,FALSE)</f>
        <v>#N/A</v>
      </c>
      <c r="W410" s="29" t="e">
        <v>#N/A</v>
      </c>
      <c r="X410" s="30"/>
      <c r="Y410" s="19" t="e">
        <v>#N/A</v>
      </c>
      <c r="Z410" s="29" t="e">
        <v>#N/A</v>
      </c>
      <c r="AA410" s="30"/>
      <c r="AB410" s="19" t="e">
        <v>#N/A</v>
      </c>
      <c r="AC410" s="29"/>
      <c r="AD410" s="30"/>
      <c r="AE410" s="31" t="e">
        <v>#N/A</v>
      </c>
      <c r="AF410" s="30"/>
      <c r="AG410" s="25"/>
      <c r="AH410" s="25"/>
      <c r="AI410" s="25"/>
    </row>
    <row r="411" spans="1:35" ht="16.5" hidden="1" customHeight="1" x14ac:dyDescent="0.3">
      <c r="A411" s="17">
        <v>90014</v>
      </c>
      <c r="B411" s="25" t="s">
        <v>532</v>
      </c>
      <c r="C411" s="26">
        <v>42186</v>
      </c>
      <c r="D411" s="26">
        <v>44788</v>
      </c>
      <c r="E411" s="33" t="s">
        <v>36</v>
      </c>
      <c r="F411" s="27" t="s">
        <v>47</v>
      </c>
      <c r="G411" s="17" t="s">
        <v>84</v>
      </c>
      <c r="H411" s="17" t="s">
        <v>94</v>
      </c>
      <c r="I411" s="17"/>
      <c r="J411" s="17"/>
      <c r="K411" s="17"/>
      <c r="L411" s="17" t="s">
        <v>526</v>
      </c>
      <c r="M411" s="17">
        <v>0</v>
      </c>
      <c r="N411" s="28">
        <v>0</v>
      </c>
      <c r="O411" s="28">
        <v>50000</v>
      </c>
      <c r="P411" s="28">
        <v>100000</v>
      </c>
      <c r="Q411" s="17"/>
      <c r="R411" s="17"/>
      <c r="S411" s="17"/>
      <c r="T411" s="17" t="s">
        <v>39</v>
      </c>
      <c r="U411" s="17" t="s">
        <v>280</v>
      </c>
      <c r="V411" s="19" t="e">
        <f>VLOOKUP(A411,'2023 Stats'!$B$2:$D$192,3,FALSE)</f>
        <v>#N/A</v>
      </c>
      <c r="W411" s="29" t="e">
        <v>#N/A</v>
      </c>
      <c r="X411" s="30"/>
      <c r="Y411" s="19">
        <v>511</v>
      </c>
      <c r="Z411" s="29">
        <v>43</v>
      </c>
      <c r="AA411" s="30"/>
      <c r="AB411" s="19" t="e">
        <v>#N/A</v>
      </c>
      <c r="AC411" s="29"/>
      <c r="AD411" s="30"/>
      <c r="AE411" s="31" t="e">
        <v>#N/A</v>
      </c>
      <c r="AF411" s="30"/>
      <c r="AG411" s="25"/>
      <c r="AH411" s="25"/>
      <c r="AI411" s="25"/>
    </row>
    <row r="412" spans="1:35" ht="16.5" customHeight="1" x14ac:dyDescent="0.3">
      <c r="A412" s="24">
        <v>90021</v>
      </c>
      <c r="B412" s="25" t="s">
        <v>533</v>
      </c>
      <c r="C412" s="26">
        <v>42186</v>
      </c>
      <c r="D412" s="26"/>
      <c r="E412" s="27" t="s">
        <v>43</v>
      </c>
      <c r="F412" s="27" t="s">
        <v>47</v>
      </c>
      <c r="G412" s="17" t="s">
        <v>84</v>
      </c>
      <c r="H412" s="17" t="s">
        <v>64</v>
      </c>
      <c r="I412" s="40" t="s">
        <v>95</v>
      </c>
      <c r="J412" s="40" t="s">
        <v>79</v>
      </c>
      <c r="K412" s="40">
        <v>6</v>
      </c>
      <c r="L412" s="17" t="s">
        <v>526</v>
      </c>
      <c r="M412" s="17">
        <v>0</v>
      </c>
      <c r="N412" s="28">
        <v>1</v>
      </c>
      <c r="O412" s="28">
        <v>50000</v>
      </c>
      <c r="P412" s="28">
        <v>100000</v>
      </c>
      <c r="Q412" s="17"/>
      <c r="R412" s="17"/>
      <c r="S412" s="12"/>
      <c r="T412" s="12" t="s">
        <v>39</v>
      </c>
      <c r="U412" s="17" t="s">
        <v>45</v>
      </c>
      <c r="V412" s="19">
        <f>VLOOKUP(A412,'2023 Stats'!$B$2:$D$192,3,FALSE)</f>
        <v>21967</v>
      </c>
      <c r="W412" s="29">
        <v>5492</v>
      </c>
      <c r="X412" s="30"/>
      <c r="Y412" s="19">
        <v>28889</v>
      </c>
      <c r="Z412" s="29">
        <v>2407</v>
      </c>
      <c r="AA412" s="30"/>
      <c r="AB412" s="19" t="e">
        <v>#N/A</v>
      </c>
      <c r="AC412" s="29"/>
      <c r="AD412" s="30"/>
      <c r="AE412" s="31">
        <v>3950</v>
      </c>
      <c r="AF412" s="30"/>
      <c r="AG412" s="25"/>
      <c r="AH412" s="25"/>
      <c r="AI412" s="25"/>
    </row>
    <row r="413" spans="1:35" ht="16.5" hidden="1" customHeight="1" x14ac:dyDescent="0.3">
      <c r="A413" s="17">
        <v>90022</v>
      </c>
      <c r="B413" s="25" t="s">
        <v>534</v>
      </c>
      <c r="C413" s="26">
        <v>43496</v>
      </c>
      <c r="D413" s="26"/>
      <c r="E413" s="27" t="s">
        <v>36</v>
      </c>
      <c r="F413" s="27" t="s">
        <v>47</v>
      </c>
      <c r="G413" s="17" t="s">
        <v>84</v>
      </c>
      <c r="H413" s="17" t="s">
        <v>64</v>
      </c>
      <c r="I413" s="40" t="s">
        <v>535</v>
      </c>
      <c r="J413" s="40"/>
      <c r="K413" s="40">
        <v>6</v>
      </c>
      <c r="L413" s="17" t="s">
        <v>526</v>
      </c>
      <c r="M413" s="17">
        <v>0</v>
      </c>
      <c r="N413" s="28">
        <v>0</v>
      </c>
      <c r="O413" s="28">
        <v>50000</v>
      </c>
      <c r="P413" s="28">
        <v>100000</v>
      </c>
      <c r="Q413" s="17"/>
      <c r="R413" s="17"/>
      <c r="S413" s="17"/>
      <c r="T413" s="17" t="s">
        <v>39</v>
      </c>
      <c r="U413" s="17" t="s">
        <v>45</v>
      </c>
      <c r="V413" s="19">
        <f>VLOOKUP(A413,'2023 Stats'!$B$2:$D$192,3,FALSE)</f>
        <v>35899</v>
      </c>
      <c r="W413" s="29">
        <v>8975</v>
      </c>
      <c r="X413" s="30"/>
      <c r="Y413" s="19">
        <v>48847</v>
      </c>
      <c r="Z413" s="29">
        <v>4071</v>
      </c>
      <c r="AA413" s="30"/>
      <c r="AB413" s="19" t="e">
        <v>#N/A</v>
      </c>
      <c r="AC413" s="29"/>
      <c r="AD413" s="30"/>
      <c r="AE413" s="31">
        <v>6523</v>
      </c>
      <c r="AF413" s="30"/>
      <c r="AG413" s="25"/>
      <c r="AH413" s="25"/>
      <c r="AI413" s="25"/>
    </row>
    <row r="414" spans="1:35" ht="16.5" customHeight="1" x14ac:dyDescent="0.3">
      <c r="A414" s="24">
        <v>90023</v>
      </c>
      <c r="B414" s="25" t="s">
        <v>536</v>
      </c>
      <c r="C414" s="26">
        <v>42186</v>
      </c>
      <c r="D414" s="26"/>
      <c r="E414" s="27" t="s">
        <v>43</v>
      </c>
      <c r="F414" s="27" t="s">
        <v>47</v>
      </c>
      <c r="G414" s="17" t="s">
        <v>84</v>
      </c>
      <c r="H414" s="40" t="s">
        <v>525</v>
      </c>
      <c r="I414" s="17"/>
      <c r="J414" s="17"/>
      <c r="K414" s="17"/>
      <c r="L414" s="17" t="s">
        <v>526</v>
      </c>
      <c r="M414" s="17">
        <v>10</v>
      </c>
      <c r="N414" s="28">
        <v>1</v>
      </c>
      <c r="O414" s="28">
        <v>50000</v>
      </c>
      <c r="P414" s="28">
        <v>100000</v>
      </c>
      <c r="Q414" s="17"/>
      <c r="R414" s="17"/>
      <c r="S414" s="12"/>
      <c r="T414" s="12" t="s">
        <v>39</v>
      </c>
      <c r="U414" s="17" t="s">
        <v>45</v>
      </c>
      <c r="V414" s="19">
        <f>VLOOKUP(A414,'2023 Stats'!$B$2:$D$192,3,FALSE)</f>
        <v>260</v>
      </c>
      <c r="W414" s="29">
        <v>65</v>
      </c>
      <c r="X414" s="30"/>
      <c r="Y414" s="19">
        <v>430</v>
      </c>
      <c r="Z414" s="29">
        <v>36</v>
      </c>
      <c r="AA414" s="30"/>
      <c r="AB414" s="19" t="e">
        <v>#N/A</v>
      </c>
      <c r="AC414" s="29"/>
      <c r="AD414" s="30"/>
      <c r="AE414" s="31">
        <v>50</v>
      </c>
      <c r="AF414" s="30"/>
      <c r="AG414" s="25"/>
      <c r="AH414" s="25"/>
      <c r="AI414" s="25"/>
    </row>
    <row r="415" spans="1:35" ht="16.5" customHeight="1" x14ac:dyDescent="0.3">
      <c r="A415" s="24">
        <v>90028</v>
      </c>
      <c r="B415" s="25" t="s">
        <v>537</v>
      </c>
      <c r="C415" s="26">
        <v>43612</v>
      </c>
      <c r="D415" s="26"/>
      <c r="E415" s="27" t="s">
        <v>43</v>
      </c>
      <c r="F415" s="27" t="s">
        <v>47</v>
      </c>
      <c r="G415" s="17" t="s">
        <v>84</v>
      </c>
      <c r="H415" s="40" t="s">
        <v>525</v>
      </c>
      <c r="I415" s="40" t="s">
        <v>529</v>
      </c>
      <c r="J415" s="40"/>
      <c r="K415" s="40">
        <v>12</v>
      </c>
      <c r="L415" s="17" t="s">
        <v>526</v>
      </c>
      <c r="M415" s="17">
        <v>10</v>
      </c>
      <c r="N415" s="28">
        <v>1</v>
      </c>
      <c r="O415" s="28">
        <v>50010</v>
      </c>
      <c r="P415" s="28">
        <v>100000</v>
      </c>
      <c r="Q415" s="17"/>
      <c r="R415" s="17"/>
      <c r="S415" s="12"/>
      <c r="T415" s="12" t="s">
        <v>39</v>
      </c>
      <c r="U415" s="17" t="s">
        <v>45</v>
      </c>
      <c r="V415" s="19">
        <f>VLOOKUP(A415,'2023 Stats'!$B$2:$D$192,3,FALSE)</f>
        <v>44146</v>
      </c>
      <c r="W415" s="29">
        <v>11037</v>
      </c>
      <c r="X415" s="30">
        <v>9</v>
      </c>
      <c r="Y415" s="19">
        <v>64854</v>
      </c>
      <c r="Z415" s="29">
        <v>5405</v>
      </c>
      <c r="AA415" s="30">
        <v>8</v>
      </c>
      <c r="AB415" s="19" t="e">
        <v>#N/A</v>
      </c>
      <c r="AC415" s="29"/>
      <c r="AD415" s="30"/>
      <c r="AE415" s="31">
        <v>8221</v>
      </c>
      <c r="AF415" s="30">
        <v>9</v>
      </c>
      <c r="AG415" s="25"/>
      <c r="AH415" s="25"/>
      <c r="AI415" s="25"/>
    </row>
    <row r="416" spans="1:35" ht="16.5" customHeight="1" x14ac:dyDescent="0.3">
      <c r="A416" s="24">
        <v>90030</v>
      </c>
      <c r="B416" s="25" t="s">
        <v>538</v>
      </c>
      <c r="C416" s="26">
        <v>43620</v>
      </c>
      <c r="D416" s="26"/>
      <c r="E416" s="27" t="s">
        <v>43</v>
      </c>
      <c r="F416" s="27" t="s">
        <v>47</v>
      </c>
      <c r="G416" s="17" t="s">
        <v>84</v>
      </c>
      <c r="H416" s="40" t="s">
        <v>525</v>
      </c>
      <c r="I416" s="17"/>
      <c r="J416" s="17"/>
      <c r="K416" s="17"/>
      <c r="L416" s="17" t="s">
        <v>526</v>
      </c>
      <c r="M416" s="17">
        <v>15</v>
      </c>
      <c r="N416" s="28">
        <v>1</v>
      </c>
      <c r="O416" s="28">
        <v>50010</v>
      </c>
      <c r="P416" s="28">
        <v>100000</v>
      </c>
      <c r="Q416" s="17"/>
      <c r="R416" s="17"/>
      <c r="S416" s="12"/>
      <c r="T416" s="12" t="s">
        <v>39</v>
      </c>
      <c r="U416" s="17" t="s">
        <v>45</v>
      </c>
      <c r="V416" s="19">
        <f>VLOOKUP(A416,'2023 Stats'!$B$2:$D$192,3,FALSE)</f>
        <v>99</v>
      </c>
      <c r="W416" s="29">
        <v>25</v>
      </c>
      <c r="X416" s="30"/>
      <c r="Y416" s="19">
        <v>287</v>
      </c>
      <c r="Z416" s="29">
        <v>24</v>
      </c>
      <c r="AA416" s="30"/>
      <c r="AB416" s="19" t="e">
        <v>#N/A</v>
      </c>
      <c r="AC416" s="29"/>
      <c r="AD416" s="30"/>
      <c r="AE416" s="31">
        <v>24</v>
      </c>
      <c r="AF416" s="30"/>
      <c r="AG416" s="25"/>
      <c r="AH416" s="25"/>
      <c r="AI416" s="25"/>
    </row>
    <row r="417" spans="1:35" ht="16.5" customHeight="1" x14ac:dyDescent="0.3">
      <c r="A417" s="24">
        <v>90032</v>
      </c>
      <c r="B417" s="25" t="s">
        <v>539</v>
      </c>
      <c r="C417" s="26">
        <v>43620</v>
      </c>
      <c r="D417" s="26"/>
      <c r="E417" s="27" t="s">
        <v>43</v>
      </c>
      <c r="F417" s="27" t="s">
        <v>47</v>
      </c>
      <c r="G417" s="17" t="s">
        <v>84</v>
      </c>
      <c r="H417" s="40" t="s">
        <v>525</v>
      </c>
      <c r="I417" s="40" t="s">
        <v>529</v>
      </c>
      <c r="J417" s="40"/>
      <c r="K417" s="40">
        <v>12</v>
      </c>
      <c r="L417" s="17" t="s">
        <v>526</v>
      </c>
      <c r="M417" s="17">
        <v>10</v>
      </c>
      <c r="N417" s="28">
        <v>1</v>
      </c>
      <c r="O417" s="28">
        <v>30010</v>
      </c>
      <c r="P417" s="28">
        <v>100000</v>
      </c>
      <c r="Q417" s="17"/>
      <c r="R417" s="17"/>
      <c r="S417" s="12"/>
      <c r="T417" s="12" t="s">
        <v>39</v>
      </c>
      <c r="U417" s="17" t="s">
        <v>45</v>
      </c>
      <c r="V417" s="19">
        <f>VLOOKUP(A417,'2023 Stats'!$B$2:$D$192,3,FALSE)</f>
        <v>29117</v>
      </c>
      <c r="W417" s="29">
        <v>7279</v>
      </c>
      <c r="X417" s="30"/>
      <c r="Y417" s="19">
        <v>34989</v>
      </c>
      <c r="Z417" s="29">
        <v>2916</v>
      </c>
      <c r="AA417" s="30"/>
      <c r="AB417" s="19" t="e">
        <v>#N/A</v>
      </c>
      <c r="AC417" s="29"/>
      <c r="AD417" s="30"/>
      <c r="AE417" s="31">
        <v>5098</v>
      </c>
      <c r="AF417" s="30"/>
      <c r="AG417" s="25"/>
      <c r="AH417" s="25"/>
      <c r="AI417" s="25"/>
    </row>
    <row r="418" spans="1:35" ht="16.5" customHeight="1" x14ac:dyDescent="0.3">
      <c r="A418" s="24">
        <v>90035</v>
      </c>
      <c r="B418" s="25" t="s">
        <v>540</v>
      </c>
      <c r="C418" s="26">
        <v>44348</v>
      </c>
      <c r="D418" s="26"/>
      <c r="E418" s="27" t="s">
        <v>43</v>
      </c>
      <c r="F418" s="27" t="s">
        <v>47</v>
      </c>
      <c r="G418" s="17" t="s">
        <v>84</v>
      </c>
      <c r="H418" s="40" t="s">
        <v>525</v>
      </c>
      <c r="I418" s="40" t="s">
        <v>529</v>
      </c>
      <c r="J418" s="40"/>
      <c r="K418" s="40">
        <v>13</v>
      </c>
      <c r="L418" s="17" t="s">
        <v>526</v>
      </c>
      <c r="M418" s="17">
        <v>10</v>
      </c>
      <c r="N418" s="28">
        <v>1</v>
      </c>
      <c r="O418" s="28">
        <v>30010</v>
      </c>
      <c r="P418" s="28">
        <v>100000</v>
      </c>
      <c r="Q418" s="17"/>
      <c r="R418" s="17"/>
      <c r="S418" s="12"/>
      <c r="T418" s="12" t="s">
        <v>39</v>
      </c>
      <c r="U418" s="17" t="s">
        <v>45</v>
      </c>
      <c r="V418" s="19">
        <f>VLOOKUP(A418,'2023 Stats'!$B$2:$D$192,3,FALSE)</f>
        <v>10837</v>
      </c>
      <c r="W418" s="29">
        <v>2709</v>
      </c>
      <c r="X418" s="30"/>
      <c r="Y418" s="19">
        <v>11520</v>
      </c>
      <c r="Z418" s="29">
        <v>960</v>
      </c>
      <c r="AA418" s="30"/>
      <c r="AB418" s="19" t="e">
        <v>#N/A</v>
      </c>
      <c r="AC418" s="29"/>
      <c r="AD418" s="30"/>
      <c r="AE418" s="31">
        <v>1835</v>
      </c>
      <c r="AF418" s="30"/>
      <c r="AG418" s="25"/>
      <c r="AH418" s="25"/>
      <c r="AI418" s="25"/>
    </row>
    <row r="419" spans="1:35" ht="16.5" customHeight="1" x14ac:dyDescent="0.3">
      <c r="A419" s="24">
        <v>90037</v>
      </c>
      <c r="B419" s="25" t="s">
        <v>541</v>
      </c>
      <c r="C419" s="26">
        <v>43620</v>
      </c>
      <c r="D419" s="26"/>
      <c r="E419" s="27" t="s">
        <v>43</v>
      </c>
      <c r="F419" s="27" t="s">
        <v>47</v>
      </c>
      <c r="G419" s="17" t="s">
        <v>84</v>
      </c>
      <c r="H419" s="40" t="s">
        <v>525</v>
      </c>
      <c r="I419" s="40" t="s">
        <v>529</v>
      </c>
      <c r="J419" s="40"/>
      <c r="K419" s="40">
        <v>12</v>
      </c>
      <c r="L419" s="17" t="s">
        <v>526</v>
      </c>
      <c r="M419" s="17">
        <v>10</v>
      </c>
      <c r="N419" s="28">
        <v>1</v>
      </c>
      <c r="O419" s="28">
        <v>50010</v>
      </c>
      <c r="P419" s="28">
        <v>100000</v>
      </c>
      <c r="Q419" s="17"/>
      <c r="R419" s="17"/>
      <c r="S419" s="12"/>
      <c r="T419" s="12" t="s">
        <v>39</v>
      </c>
      <c r="U419" s="17" t="s">
        <v>45</v>
      </c>
      <c r="V419" s="19">
        <f>VLOOKUP(A419,'2023 Stats'!$B$2:$D$192,3,FALSE)</f>
        <v>183318</v>
      </c>
      <c r="W419" s="29">
        <v>45830</v>
      </c>
      <c r="X419" s="30">
        <v>3</v>
      </c>
      <c r="Y419" s="19">
        <v>198997</v>
      </c>
      <c r="Z419" s="29">
        <v>16583</v>
      </c>
      <c r="AA419" s="30">
        <v>3</v>
      </c>
      <c r="AB419" s="19" t="e">
        <v>#N/A</v>
      </c>
      <c r="AC419" s="29"/>
      <c r="AD419" s="30"/>
      <c r="AE419" s="31">
        <v>31206</v>
      </c>
      <c r="AF419" s="30">
        <v>3</v>
      </c>
      <c r="AG419" s="25"/>
      <c r="AH419" s="25"/>
      <c r="AI419" s="25"/>
    </row>
    <row r="420" spans="1:35" ht="16.5" customHeight="1" x14ac:dyDescent="0.3">
      <c r="A420" s="24">
        <v>90039</v>
      </c>
      <c r="B420" s="25" t="s">
        <v>542</v>
      </c>
      <c r="C420" s="26">
        <v>43647</v>
      </c>
      <c r="D420" s="26"/>
      <c r="E420" s="27" t="s">
        <v>43</v>
      </c>
      <c r="F420" s="27" t="s">
        <v>47</v>
      </c>
      <c r="G420" s="17" t="s">
        <v>84</v>
      </c>
      <c r="H420" s="40" t="s">
        <v>525</v>
      </c>
      <c r="I420" s="40" t="s">
        <v>120</v>
      </c>
      <c r="J420" s="40" t="s">
        <v>79</v>
      </c>
      <c r="K420" s="40">
        <v>12</v>
      </c>
      <c r="L420" s="17" t="s">
        <v>526</v>
      </c>
      <c r="M420" s="17">
        <v>10</v>
      </c>
      <c r="N420" s="28">
        <v>1</v>
      </c>
      <c r="O420" s="28">
        <v>45010</v>
      </c>
      <c r="P420" s="28">
        <v>100000</v>
      </c>
      <c r="Q420" s="17"/>
      <c r="R420" s="17"/>
      <c r="S420" s="12"/>
      <c r="T420" s="12" t="s">
        <v>39</v>
      </c>
      <c r="U420" s="17" t="s">
        <v>45</v>
      </c>
      <c r="V420" s="19">
        <f>VLOOKUP(A420,'2023 Stats'!$B$2:$D$192,3,FALSE)</f>
        <v>10655</v>
      </c>
      <c r="W420" s="29">
        <v>2664</v>
      </c>
      <c r="X420" s="30"/>
      <c r="Y420" s="19">
        <v>12049</v>
      </c>
      <c r="Z420" s="29">
        <v>1004</v>
      </c>
      <c r="AA420" s="30"/>
      <c r="AB420" s="19" t="e">
        <v>#N/A</v>
      </c>
      <c r="AC420" s="29"/>
      <c r="AD420" s="30"/>
      <c r="AE420" s="31">
        <v>1834</v>
      </c>
      <c r="AF420" s="30"/>
      <c r="AG420" s="25"/>
      <c r="AH420" s="25"/>
      <c r="AI420" s="25"/>
    </row>
    <row r="421" spans="1:35" ht="16.5" customHeight="1" x14ac:dyDescent="0.3">
      <c r="A421" s="24">
        <v>90040</v>
      </c>
      <c r="B421" s="25" t="s">
        <v>543</v>
      </c>
      <c r="C421" s="17" t="s">
        <v>544</v>
      </c>
      <c r="D421" s="26"/>
      <c r="E421" s="27" t="s">
        <v>43</v>
      </c>
      <c r="F421" s="27" t="s">
        <v>47</v>
      </c>
      <c r="G421" s="17" t="s">
        <v>38</v>
      </c>
      <c r="H421" s="17" t="s">
        <v>64</v>
      </c>
      <c r="I421" s="40" t="s">
        <v>78</v>
      </c>
      <c r="J421" s="40" t="s">
        <v>79</v>
      </c>
      <c r="K421" s="40">
        <v>5</v>
      </c>
      <c r="L421" s="17" t="s">
        <v>526</v>
      </c>
      <c r="M421" s="17">
        <v>0</v>
      </c>
      <c r="N421" s="28">
        <v>1</v>
      </c>
      <c r="O421" s="28">
        <v>50000</v>
      </c>
      <c r="P421" s="28">
        <v>100000</v>
      </c>
      <c r="Q421" s="17"/>
      <c r="R421" s="17"/>
      <c r="S421" s="12"/>
      <c r="T421" s="12" t="s">
        <v>39</v>
      </c>
      <c r="U421" s="17" t="s">
        <v>45</v>
      </c>
      <c r="V421" s="19">
        <f>VLOOKUP(A421,'2023 Stats'!$B$2:$D$192,3,FALSE)</f>
        <v>8300</v>
      </c>
      <c r="W421" s="29">
        <v>2075</v>
      </c>
      <c r="X421" s="30"/>
      <c r="Y421" s="19">
        <v>12062</v>
      </c>
      <c r="Z421" s="29">
        <v>1005</v>
      </c>
      <c r="AA421" s="30"/>
      <c r="AB421" s="19" t="e">
        <v>#N/A</v>
      </c>
      <c r="AC421" s="29"/>
      <c r="AD421" s="30"/>
      <c r="AE421" s="31">
        <v>1540</v>
      </c>
      <c r="AF421" s="30"/>
      <c r="AG421" s="25"/>
      <c r="AH421" s="25"/>
      <c r="AI421" s="25"/>
    </row>
    <row r="422" spans="1:35" ht="16.5" customHeight="1" x14ac:dyDescent="0.3">
      <c r="A422" s="24">
        <v>93004</v>
      </c>
      <c r="B422" s="25" t="s">
        <v>545</v>
      </c>
      <c r="C422" s="26">
        <v>43815</v>
      </c>
      <c r="D422" s="26"/>
      <c r="E422" s="27" t="s">
        <v>43</v>
      </c>
      <c r="F422" s="27" t="s">
        <v>47</v>
      </c>
      <c r="G422" s="17" t="s">
        <v>84</v>
      </c>
      <c r="H422" s="40" t="s">
        <v>525</v>
      </c>
      <c r="I422" s="17"/>
      <c r="J422" s="17"/>
      <c r="K422" s="17"/>
      <c r="L422" s="17" t="s">
        <v>526</v>
      </c>
      <c r="M422" s="17">
        <v>0</v>
      </c>
      <c r="N422" s="28">
        <v>1</v>
      </c>
      <c r="O422" s="28">
        <v>5000</v>
      </c>
      <c r="P422" s="28">
        <v>100000</v>
      </c>
      <c r="Q422" s="17"/>
      <c r="R422" s="17"/>
      <c r="S422" s="12"/>
      <c r="T422" s="12" t="s">
        <v>39</v>
      </c>
      <c r="U422" s="17" t="s">
        <v>45</v>
      </c>
      <c r="V422" s="19">
        <f>VLOOKUP(A422,'2023 Stats'!$B$2:$D$192,3,FALSE)</f>
        <v>1266</v>
      </c>
      <c r="W422" s="29">
        <v>317</v>
      </c>
      <c r="X422" s="30"/>
      <c r="Y422" s="19">
        <v>1926</v>
      </c>
      <c r="Z422" s="29">
        <v>161</v>
      </c>
      <c r="AA422" s="30"/>
      <c r="AB422" s="19" t="e">
        <v>#N/A</v>
      </c>
      <c r="AC422" s="29"/>
      <c r="AD422" s="30"/>
      <c r="AE422" s="31">
        <v>239</v>
      </c>
      <c r="AF422" s="30"/>
      <c r="AG422" s="25"/>
      <c r="AH422" s="17" t="s">
        <v>39</v>
      </c>
      <c r="AI422" s="25"/>
    </row>
    <row r="423" spans="1:35" ht="16.5" customHeight="1" x14ac:dyDescent="0.3">
      <c r="A423" s="24">
        <v>93005</v>
      </c>
      <c r="B423" s="25" t="s">
        <v>546</v>
      </c>
      <c r="C423" s="26">
        <v>44060</v>
      </c>
      <c r="D423" s="26"/>
      <c r="E423" s="27" t="s">
        <v>43</v>
      </c>
      <c r="F423" s="27" t="s">
        <v>47</v>
      </c>
      <c r="G423" s="17" t="s">
        <v>84</v>
      </c>
      <c r="H423" s="40" t="s">
        <v>525</v>
      </c>
      <c r="I423" s="17"/>
      <c r="J423" s="17"/>
      <c r="K423" s="17"/>
      <c r="L423" s="17" t="s">
        <v>526</v>
      </c>
      <c r="M423" s="17">
        <v>0</v>
      </c>
      <c r="N423" s="28">
        <v>1</v>
      </c>
      <c r="O423" s="28">
        <v>5000</v>
      </c>
      <c r="P423" s="28">
        <v>100000</v>
      </c>
      <c r="Q423" s="17"/>
      <c r="R423" s="17"/>
      <c r="S423" s="12"/>
      <c r="T423" s="12" t="s">
        <v>39</v>
      </c>
      <c r="U423" s="17" t="s">
        <v>45</v>
      </c>
      <c r="V423" s="19">
        <f>VLOOKUP(A423,'2023 Stats'!$B$2:$D$192,3,FALSE)</f>
        <v>441</v>
      </c>
      <c r="W423" s="29">
        <v>110</v>
      </c>
      <c r="X423" s="30"/>
      <c r="Y423" s="19">
        <v>939</v>
      </c>
      <c r="Z423" s="29">
        <v>78</v>
      </c>
      <c r="AA423" s="30"/>
      <c r="AB423" s="19" t="e">
        <v>#N/A</v>
      </c>
      <c r="AC423" s="29"/>
      <c r="AD423" s="30"/>
      <c r="AE423" s="31">
        <v>94</v>
      </c>
      <c r="AF423" s="30"/>
      <c r="AG423" s="25"/>
      <c r="AH423" s="17" t="s">
        <v>39</v>
      </c>
      <c r="AI423" s="25"/>
    </row>
    <row r="424" spans="1:35" ht="16.5" hidden="1" customHeight="1" x14ac:dyDescent="0.3">
      <c r="A424" s="17">
        <v>93006</v>
      </c>
      <c r="B424" s="25" t="s">
        <v>547</v>
      </c>
      <c r="C424" s="26">
        <v>44250</v>
      </c>
      <c r="D424" s="26"/>
      <c r="E424" s="27" t="s">
        <v>36</v>
      </c>
      <c r="F424" s="27" t="s">
        <v>47</v>
      </c>
      <c r="G424" s="17" t="s">
        <v>84</v>
      </c>
      <c r="H424" s="17" t="s">
        <v>77</v>
      </c>
      <c r="I424" s="40" t="s">
        <v>548</v>
      </c>
      <c r="J424" s="40"/>
      <c r="K424" s="40">
        <v>11</v>
      </c>
      <c r="L424" s="17" t="s">
        <v>436</v>
      </c>
      <c r="M424" s="17">
        <v>0</v>
      </c>
      <c r="N424" s="28">
        <v>1</v>
      </c>
      <c r="O424" s="28">
        <v>20000</v>
      </c>
      <c r="P424" s="28">
        <v>100000</v>
      </c>
      <c r="Q424" s="17"/>
      <c r="R424" s="17"/>
      <c r="S424" s="17"/>
      <c r="T424" s="17" t="s">
        <v>39</v>
      </c>
      <c r="U424" s="17" t="s">
        <v>45</v>
      </c>
      <c r="V424" s="19">
        <f>VLOOKUP(A424,'2023 Stats'!$B$2:$D$192,3,FALSE)</f>
        <v>7383</v>
      </c>
      <c r="W424" s="29">
        <v>1846</v>
      </c>
      <c r="X424" s="30"/>
      <c r="Y424" s="19">
        <v>13674</v>
      </c>
      <c r="Z424" s="29">
        <v>1140</v>
      </c>
      <c r="AA424" s="30"/>
      <c r="AB424" s="19" t="e">
        <v>#N/A</v>
      </c>
      <c r="AC424" s="29"/>
      <c r="AD424" s="30"/>
      <c r="AE424" s="31">
        <v>1493</v>
      </c>
      <c r="AF424" s="30"/>
      <c r="AG424" s="25"/>
      <c r="AH424" s="17" t="s">
        <v>39</v>
      </c>
      <c r="AI424" s="25"/>
    </row>
    <row r="425" spans="1:35" ht="16.5" customHeight="1" x14ac:dyDescent="0.3">
      <c r="A425" s="24">
        <v>93007</v>
      </c>
      <c r="B425" s="25" t="s">
        <v>549</v>
      </c>
      <c r="C425" s="17" t="s">
        <v>544</v>
      </c>
      <c r="D425" s="26"/>
      <c r="E425" s="27" t="s">
        <v>43</v>
      </c>
      <c r="F425" s="27" t="s">
        <v>47</v>
      </c>
      <c r="G425" s="17" t="s">
        <v>84</v>
      </c>
      <c r="H425" s="40" t="s">
        <v>525</v>
      </c>
      <c r="I425" s="17"/>
      <c r="J425" s="17"/>
      <c r="K425" s="17"/>
      <c r="L425" s="17" t="s">
        <v>526</v>
      </c>
      <c r="M425" s="17">
        <v>0</v>
      </c>
      <c r="N425" s="28">
        <v>1</v>
      </c>
      <c r="O425" s="28">
        <v>50000</v>
      </c>
      <c r="P425" s="28">
        <v>100000</v>
      </c>
      <c r="Q425" s="17"/>
      <c r="R425" s="17"/>
      <c r="S425" s="12"/>
      <c r="T425" s="12" t="s">
        <v>39</v>
      </c>
      <c r="U425" s="17" t="s">
        <v>45</v>
      </c>
      <c r="V425" s="19">
        <f>VLOOKUP(A425,'2023 Stats'!$B$2:$D$192,3,FALSE)</f>
        <v>39</v>
      </c>
      <c r="W425" s="29">
        <v>10</v>
      </c>
      <c r="X425" s="30"/>
      <c r="Y425" s="19">
        <v>39</v>
      </c>
      <c r="Z425" s="29">
        <v>3</v>
      </c>
      <c r="AA425" s="30"/>
      <c r="AB425" s="19" t="e">
        <v>#N/A</v>
      </c>
      <c r="AC425" s="29"/>
      <c r="AD425" s="30"/>
      <c r="AE425" s="31">
        <v>7</v>
      </c>
      <c r="AF425" s="30"/>
      <c r="AG425" s="25"/>
      <c r="AH425" s="17" t="s">
        <v>39</v>
      </c>
      <c r="AI425" s="25"/>
    </row>
    <row r="426" spans="1:35" ht="16.5" customHeight="1" x14ac:dyDescent="0.3">
      <c r="A426" s="24">
        <v>96004</v>
      </c>
      <c r="B426" s="25" t="s">
        <v>550</v>
      </c>
      <c r="C426" s="26">
        <v>44701</v>
      </c>
      <c r="D426" s="26"/>
      <c r="E426" s="27" t="s">
        <v>43</v>
      </c>
      <c r="F426" s="27" t="s">
        <v>47</v>
      </c>
      <c r="G426" s="17" t="s">
        <v>84</v>
      </c>
      <c r="H426" s="17" t="s">
        <v>525</v>
      </c>
      <c r="I426" s="17"/>
      <c r="J426" s="17"/>
      <c r="K426" s="17"/>
      <c r="L426" s="17" t="s">
        <v>436</v>
      </c>
      <c r="M426" s="17">
        <v>0</v>
      </c>
      <c r="N426" s="28">
        <v>1</v>
      </c>
      <c r="O426" s="28">
        <v>50000</v>
      </c>
      <c r="P426" s="28">
        <v>100000</v>
      </c>
      <c r="Q426" s="17"/>
      <c r="R426" s="17"/>
      <c r="S426" s="12"/>
      <c r="T426" s="12" t="s">
        <v>39</v>
      </c>
      <c r="U426" s="49">
        <v>44721</v>
      </c>
      <c r="V426" s="19" t="e">
        <f>VLOOKUP(A426,'2023 Stats'!$B$2:$D$192,3,FALSE)</f>
        <v>#N/A</v>
      </c>
      <c r="W426" s="29" t="e">
        <v>#N/A</v>
      </c>
      <c r="X426" s="30"/>
      <c r="Y426" s="19">
        <v>27</v>
      </c>
      <c r="Z426" s="29">
        <v>2</v>
      </c>
      <c r="AA426" s="30"/>
      <c r="AB426" s="19" t="e">
        <v>#N/A</v>
      </c>
      <c r="AC426" s="29"/>
      <c r="AD426" s="30"/>
      <c r="AE426" s="31" t="e">
        <v>#N/A</v>
      </c>
      <c r="AF426" s="30"/>
      <c r="AG426" s="25"/>
      <c r="AH426" s="17" t="s">
        <v>39</v>
      </c>
      <c r="AI426" s="25"/>
    </row>
    <row r="427" spans="1:35" ht="16.5" hidden="1" customHeight="1" x14ac:dyDescent="0.3">
      <c r="A427" s="17">
        <v>96005</v>
      </c>
      <c r="B427" s="25" t="s">
        <v>551</v>
      </c>
      <c r="C427" s="26">
        <v>44805</v>
      </c>
      <c r="D427" s="26"/>
      <c r="E427" s="27" t="s">
        <v>36</v>
      </c>
      <c r="F427" s="27" t="s">
        <v>47</v>
      </c>
      <c r="G427" s="17" t="s">
        <v>84</v>
      </c>
      <c r="H427" s="40" t="s">
        <v>552</v>
      </c>
      <c r="I427" s="17"/>
      <c r="J427" s="17"/>
      <c r="K427" s="17"/>
      <c r="L427" s="17" t="s">
        <v>553</v>
      </c>
      <c r="M427" s="17">
        <v>0</v>
      </c>
      <c r="N427" s="28">
        <v>0</v>
      </c>
      <c r="O427" s="28">
        <v>0</v>
      </c>
      <c r="P427" s="28">
        <v>100000</v>
      </c>
      <c r="Q427" s="17"/>
      <c r="R427" s="17"/>
      <c r="S427" s="17"/>
      <c r="T427" s="17"/>
      <c r="U427" s="17" t="s">
        <v>45</v>
      </c>
      <c r="V427" s="19">
        <f>VLOOKUP(A427,'2023 Stats'!$B$2:$D$192,3,FALSE)</f>
        <v>297</v>
      </c>
      <c r="W427" s="29">
        <v>74</v>
      </c>
      <c r="X427" s="30"/>
      <c r="Y427" s="19">
        <v>766</v>
      </c>
      <c r="Z427" s="29">
        <v>64</v>
      </c>
      <c r="AA427" s="30"/>
      <c r="AB427" s="19" t="e">
        <v>#N/A</v>
      </c>
      <c r="AC427" s="29"/>
      <c r="AD427" s="30"/>
      <c r="AE427" s="31">
        <v>69</v>
      </c>
      <c r="AF427" s="30"/>
      <c r="AG427" s="17" t="s">
        <v>39</v>
      </c>
      <c r="AH427" s="25"/>
      <c r="AI427" s="25"/>
    </row>
    <row r="428" spans="1:35" ht="16.5" customHeight="1" x14ac:dyDescent="0.3">
      <c r="A428" s="24">
        <v>96006</v>
      </c>
      <c r="B428" s="25" t="s">
        <v>554</v>
      </c>
      <c r="C428" s="26">
        <v>44805</v>
      </c>
      <c r="D428" s="26"/>
      <c r="E428" s="27" t="s">
        <v>43</v>
      </c>
      <c r="F428" s="27" t="s">
        <v>47</v>
      </c>
      <c r="G428" s="17" t="s">
        <v>84</v>
      </c>
      <c r="H428" s="40" t="s">
        <v>552</v>
      </c>
      <c r="I428" s="17"/>
      <c r="J428" s="17"/>
      <c r="K428" s="17"/>
      <c r="L428" s="17" t="s">
        <v>555</v>
      </c>
      <c r="M428" s="17">
        <v>0</v>
      </c>
      <c r="N428" s="28">
        <v>0</v>
      </c>
      <c r="O428" s="28">
        <v>50000</v>
      </c>
      <c r="P428" s="28">
        <v>100000</v>
      </c>
      <c r="Q428" s="17"/>
      <c r="R428" s="17"/>
      <c r="S428" s="12"/>
      <c r="T428" s="12" t="s">
        <v>39</v>
      </c>
      <c r="U428" s="17" t="s">
        <v>45</v>
      </c>
      <c r="V428" s="19">
        <f>VLOOKUP(A428,'2023 Stats'!$B$2:$D$192,3,FALSE)</f>
        <v>8</v>
      </c>
      <c r="W428" s="29">
        <v>2</v>
      </c>
      <c r="X428" s="30"/>
      <c r="Y428" s="19">
        <v>766</v>
      </c>
      <c r="Z428" s="29">
        <v>64</v>
      </c>
      <c r="AA428" s="30"/>
      <c r="AB428" s="19" t="e">
        <v>#N/A</v>
      </c>
      <c r="AC428" s="29"/>
      <c r="AD428" s="30"/>
      <c r="AE428" s="31">
        <v>33</v>
      </c>
      <c r="AF428" s="30"/>
      <c r="AG428" s="17" t="s">
        <v>39</v>
      </c>
      <c r="AH428" s="25"/>
      <c r="AI428" s="25"/>
    </row>
  </sheetData>
  <autoFilter ref="A1:AI428" xr:uid="{00000000-0009-0000-0000-000000000000}">
    <filterColumn colId="4">
      <filters>
        <filter val="Open"/>
      </filters>
    </filterColumn>
  </autoFilter>
  <customSheetViews>
    <customSheetView guid="{217DE88A-3AF3-4A31-94E0-4C766C92CAE5}" filter="1" showAutoFilter="1">
      <pageMargins left="0.7" right="0.7" top="0.75" bottom="0.75" header="0.3" footer="0.3"/>
      <autoFilter ref="A1:AI428" xr:uid="{76F599C8-791D-4F42-A162-3A05C9DF2860}">
        <filterColumn colId="4">
          <filters>
            <filter val="Open"/>
          </filters>
        </filterColumn>
        <filterColumn colId="5">
          <filters>
            <filter val="OFFLINE"/>
            <filter val="OFFLINE/iFrame"/>
            <filter val="ONLINE"/>
          </filters>
        </filterColumn>
      </autoFilter>
    </customSheetView>
    <customSheetView guid="{85464354-F812-4217-A565-B1DBA8FDB81D}" filter="1" showAutoFilter="1">
      <pageMargins left="0.7" right="0.7" top="0.75" bottom="0.75" header="0.3" footer="0.3"/>
      <autoFilter ref="A1:AI427" xr:uid="{E3F623E0-9AAE-4642-92FD-039F02D53AFF}"/>
    </customSheetView>
    <customSheetView guid="{00AF9E9B-66DF-4D81-8E50-6E46FE5EEBB3}" filter="1" showAutoFilter="1">
      <pageMargins left="0.7" right="0.7" top="0.75" bottom="0.75" header="0.3" footer="0.3"/>
      <autoFilter ref="A1:AI428" xr:uid="{DE47F16C-1B09-4FA1-82F2-526C4F35F650}"/>
    </customSheetView>
  </customSheetViews>
  <conditionalFormatting sqref="E1:E428">
    <cfRule type="cellIs" dxfId="5" priority="3" operator="equal">
      <formula>"Closed"</formula>
    </cfRule>
    <cfRule type="cellIs" dxfId="4" priority="4" operator="equal">
      <formula>"Open"</formula>
    </cfRule>
  </conditionalFormatting>
  <conditionalFormatting sqref="G1:G428">
    <cfRule type="cellIs" dxfId="3" priority="1" operator="equal">
      <formula>"บริการรับชำระ"</formula>
    </cfRule>
    <cfRule type="cellIs" dxfId="2" priority="2" operator="equal">
      <formula>"บริการตัวการตัวแทน"</formula>
    </cfRule>
  </conditionalFormatting>
  <conditionalFormatting sqref="Q1:R428">
    <cfRule type="containsText" dxfId="1" priority="6" operator="containsText" text="YES">
      <formula>NOT(ISERROR(SEARCH(("YES"),(Q1))))</formula>
    </cfRule>
  </conditionalFormatting>
  <conditionalFormatting sqref="S1:S428">
    <cfRule type="containsText" dxfId="0" priority="5" operator="containsText" text="O7">
      <formula>NOT(ISERROR(SEARCH(("O7"),(S1))))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7.5546875" customWidth="1"/>
    <col min="3" max="3" width="44.33203125" customWidth="1"/>
  </cols>
  <sheetData>
    <row r="1" spans="1:26" x14ac:dyDescent="0.3">
      <c r="A1" s="63" t="s">
        <v>556</v>
      </c>
      <c r="B1" s="64" t="s">
        <v>557</v>
      </c>
      <c r="C1" s="64" t="s">
        <v>558</v>
      </c>
      <c r="D1" s="64" t="s">
        <v>559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x14ac:dyDescent="0.3">
      <c r="A2" s="66">
        <v>1</v>
      </c>
      <c r="B2" s="67">
        <v>52021</v>
      </c>
      <c r="C2" s="68" t="s">
        <v>441</v>
      </c>
      <c r="D2" s="69">
        <v>217269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x14ac:dyDescent="0.3">
      <c r="A3" s="66">
        <v>2</v>
      </c>
      <c r="B3" s="67">
        <v>90037</v>
      </c>
      <c r="C3" s="68" t="s">
        <v>560</v>
      </c>
      <c r="D3" s="69">
        <v>183318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x14ac:dyDescent="0.3">
      <c r="A4" s="66">
        <v>3</v>
      </c>
      <c r="B4" s="67">
        <v>51074</v>
      </c>
      <c r="C4" s="68" t="s">
        <v>561</v>
      </c>
      <c r="D4" s="69">
        <v>141687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x14ac:dyDescent="0.3">
      <c r="A5" s="66">
        <v>4</v>
      </c>
      <c r="B5" s="67">
        <v>52047</v>
      </c>
      <c r="C5" s="68" t="s">
        <v>435</v>
      </c>
      <c r="D5" s="69">
        <v>134421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x14ac:dyDescent="0.3">
      <c r="A6" s="66">
        <v>5</v>
      </c>
      <c r="B6" s="67">
        <v>50982</v>
      </c>
      <c r="C6" s="68" t="s">
        <v>562</v>
      </c>
      <c r="D6" s="69">
        <v>63548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x14ac:dyDescent="0.3">
      <c r="A7" s="66">
        <v>6</v>
      </c>
      <c r="B7" s="67">
        <v>50787</v>
      </c>
      <c r="C7" s="68" t="s">
        <v>262</v>
      </c>
      <c r="D7" s="69">
        <v>50402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x14ac:dyDescent="0.3">
      <c r="A8" s="66">
        <v>7</v>
      </c>
      <c r="B8" s="67">
        <v>50489</v>
      </c>
      <c r="C8" s="68" t="s">
        <v>563</v>
      </c>
      <c r="D8" s="69">
        <v>45466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x14ac:dyDescent="0.3">
      <c r="A9" s="66">
        <v>8</v>
      </c>
      <c r="B9" s="67">
        <v>90028</v>
      </c>
      <c r="C9" s="68" t="s">
        <v>564</v>
      </c>
      <c r="D9" s="69">
        <v>44146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x14ac:dyDescent="0.3">
      <c r="A10" s="66">
        <v>9</v>
      </c>
      <c r="B10" s="67">
        <v>52043</v>
      </c>
      <c r="C10" s="68" t="s">
        <v>458</v>
      </c>
      <c r="D10" s="69">
        <v>39575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x14ac:dyDescent="0.3">
      <c r="A11" s="66">
        <v>10</v>
      </c>
      <c r="B11" s="67">
        <v>90022</v>
      </c>
      <c r="C11" s="68" t="s">
        <v>534</v>
      </c>
      <c r="D11" s="69">
        <v>35899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x14ac:dyDescent="0.3">
      <c r="A12" s="66">
        <v>11</v>
      </c>
      <c r="B12" s="67">
        <v>50961</v>
      </c>
      <c r="C12" s="68" t="s">
        <v>565</v>
      </c>
      <c r="D12" s="69">
        <v>34946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x14ac:dyDescent="0.3">
      <c r="A13" s="66">
        <v>12</v>
      </c>
      <c r="B13" s="67">
        <v>50496</v>
      </c>
      <c r="C13" s="68" t="s">
        <v>566</v>
      </c>
      <c r="D13" s="69">
        <v>32704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x14ac:dyDescent="0.3">
      <c r="A14" s="66">
        <v>13</v>
      </c>
      <c r="B14" s="67">
        <v>51008</v>
      </c>
      <c r="C14" s="68" t="s">
        <v>371</v>
      </c>
      <c r="D14" s="69">
        <v>32363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x14ac:dyDescent="0.3">
      <c r="A15" s="66">
        <v>14</v>
      </c>
      <c r="B15" s="67">
        <v>50376</v>
      </c>
      <c r="C15" s="68" t="s">
        <v>137</v>
      </c>
      <c r="D15" s="69">
        <v>31772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x14ac:dyDescent="0.3">
      <c r="A16" s="66">
        <v>15</v>
      </c>
      <c r="B16" s="67">
        <v>90032</v>
      </c>
      <c r="C16" s="68" t="s">
        <v>567</v>
      </c>
      <c r="D16" s="69">
        <v>29117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x14ac:dyDescent="0.3">
      <c r="A17" s="66">
        <v>16</v>
      </c>
      <c r="B17" s="67">
        <v>50888</v>
      </c>
      <c r="C17" s="68" t="s">
        <v>314</v>
      </c>
      <c r="D17" s="69">
        <v>23917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x14ac:dyDescent="0.3">
      <c r="A18" s="66">
        <v>17</v>
      </c>
      <c r="B18" s="67">
        <v>51106</v>
      </c>
      <c r="C18" s="68" t="s">
        <v>568</v>
      </c>
      <c r="D18" s="69">
        <v>23696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x14ac:dyDescent="0.3">
      <c r="A19" s="66">
        <v>18</v>
      </c>
      <c r="B19" s="67">
        <v>90021</v>
      </c>
      <c r="C19" s="68" t="s">
        <v>569</v>
      </c>
      <c r="D19" s="69">
        <v>21967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x14ac:dyDescent="0.3">
      <c r="A20" s="66">
        <v>19</v>
      </c>
      <c r="B20" s="67">
        <v>50329</v>
      </c>
      <c r="C20" s="68" t="s">
        <v>130</v>
      </c>
      <c r="D20" s="69">
        <v>21710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x14ac:dyDescent="0.3">
      <c r="A21" s="66">
        <v>20</v>
      </c>
      <c r="B21" s="67">
        <v>30156</v>
      </c>
      <c r="C21" s="68" t="s">
        <v>570</v>
      </c>
      <c r="D21" s="69">
        <v>19952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x14ac:dyDescent="0.3">
      <c r="A22" s="66">
        <v>21</v>
      </c>
      <c r="B22" s="67">
        <v>50126</v>
      </c>
      <c r="C22" s="68" t="s">
        <v>98</v>
      </c>
      <c r="D22" s="69">
        <v>19927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x14ac:dyDescent="0.3">
      <c r="A23" s="66">
        <v>22</v>
      </c>
      <c r="B23" s="67">
        <v>50915</v>
      </c>
      <c r="C23" s="68" t="s">
        <v>322</v>
      </c>
      <c r="D23" s="69">
        <v>12763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x14ac:dyDescent="0.3">
      <c r="A24" s="66">
        <v>23</v>
      </c>
      <c r="B24" s="67">
        <v>50556</v>
      </c>
      <c r="C24" s="68" t="s">
        <v>189</v>
      </c>
      <c r="D24" s="69">
        <v>12696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x14ac:dyDescent="0.3">
      <c r="A25" s="66">
        <v>24</v>
      </c>
      <c r="B25" s="67">
        <v>51043</v>
      </c>
      <c r="C25" s="68" t="s">
        <v>390</v>
      </c>
      <c r="D25" s="69">
        <v>12654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x14ac:dyDescent="0.3">
      <c r="A26" s="66">
        <v>25</v>
      </c>
      <c r="B26" s="67">
        <v>50636</v>
      </c>
      <c r="C26" s="68" t="s">
        <v>211</v>
      </c>
      <c r="D26" s="69">
        <v>12138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x14ac:dyDescent="0.3">
      <c r="A27" s="66">
        <v>26</v>
      </c>
      <c r="B27" s="67">
        <v>50788</v>
      </c>
      <c r="C27" s="68" t="s">
        <v>263</v>
      </c>
      <c r="D27" s="69">
        <v>12130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x14ac:dyDescent="0.3">
      <c r="A28" s="66">
        <v>27</v>
      </c>
      <c r="B28" s="67">
        <v>90035</v>
      </c>
      <c r="C28" s="68" t="s">
        <v>571</v>
      </c>
      <c r="D28" s="69">
        <v>10837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x14ac:dyDescent="0.3">
      <c r="A29" s="66">
        <v>28</v>
      </c>
      <c r="B29" s="67">
        <v>90039</v>
      </c>
      <c r="C29" s="68" t="s">
        <v>572</v>
      </c>
      <c r="D29" s="69">
        <v>10655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x14ac:dyDescent="0.3">
      <c r="A30" s="66">
        <v>29</v>
      </c>
      <c r="B30" s="67">
        <v>52048</v>
      </c>
      <c r="C30" s="68" t="s">
        <v>462</v>
      </c>
      <c r="D30" s="69">
        <v>9699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x14ac:dyDescent="0.3">
      <c r="A31" s="66">
        <v>30</v>
      </c>
      <c r="B31" s="67">
        <v>51121</v>
      </c>
      <c r="C31" s="68" t="s">
        <v>432</v>
      </c>
      <c r="D31" s="69">
        <v>9055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x14ac:dyDescent="0.3">
      <c r="A32" s="66">
        <v>31</v>
      </c>
      <c r="B32" s="67">
        <v>50478</v>
      </c>
      <c r="C32" s="68" t="s">
        <v>163</v>
      </c>
      <c r="D32" s="69">
        <v>8890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x14ac:dyDescent="0.3">
      <c r="A33" s="66">
        <v>32</v>
      </c>
      <c r="B33" s="67">
        <v>50948</v>
      </c>
      <c r="C33" s="68" t="s">
        <v>573</v>
      </c>
      <c r="D33" s="69">
        <v>8380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x14ac:dyDescent="0.3">
      <c r="A34" s="66">
        <v>33</v>
      </c>
      <c r="B34" s="67">
        <v>90040</v>
      </c>
      <c r="C34" s="68" t="s">
        <v>574</v>
      </c>
      <c r="D34" s="69">
        <v>8300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x14ac:dyDescent="0.3">
      <c r="A35" s="66">
        <v>34</v>
      </c>
      <c r="B35" s="67">
        <v>50672</v>
      </c>
      <c r="C35" s="68" t="s">
        <v>221</v>
      </c>
      <c r="D35" s="69">
        <v>8224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x14ac:dyDescent="0.3">
      <c r="A36" s="66">
        <v>35</v>
      </c>
      <c r="B36" s="67">
        <v>50597</v>
      </c>
      <c r="C36" s="68" t="s">
        <v>575</v>
      </c>
      <c r="D36" s="69">
        <v>7982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x14ac:dyDescent="0.3">
      <c r="A37" s="66">
        <v>36</v>
      </c>
      <c r="B37" s="67">
        <v>50667</v>
      </c>
      <c r="C37" s="68" t="s">
        <v>576</v>
      </c>
      <c r="D37" s="69">
        <v>7838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x14ac:dyDescent="0.3">
      <c r="A38" s="66">
        <v>37</v>
      </c>
      <c r="B38" s="67">
        <v>50308</v>
      </c>
      <c r="C38" s="68" t="s">
        <v>118</v>
      </c>
      <c r="D38" s="69">
        <v>7829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x14ac:dyDescent="0.3">
      <c r="A39" s="66">
        <v>38</v>
      </c>
      <c r="B39" s="67">
        <v>50552</v>
      </c>
      <c r="C39" s="68" t="s">
        <v>577</v>
      </c>
      <c r="D39" s="69">
        <v>7580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x14ac:dyDescent="0.3">
      <c r="A40" s="66">
        <v>39</v>
      </c>
      <c r="B40" s="67">
        <v>93006</v>
      </c>
      <c r="C40" s="68" t="s">
        <v>547</v>
      </c>
      <c r="D40" s="69">
        <v>7383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x14ac:dyDescent="0.3">
      <c r="A41" s="66">
        <v>40</v>
      </c>
      <c r="B41" s="67">
        <v>50795</v>
      </c>
      <c r="C41" s="68" t="s">
        <v>267</v>
      </c>
      <c r="D41" s="69">
        <v>6677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x14ac:dyDescent="0.3">
      <c r="A42" s="66">
        <v>41</v>
      </c>
      <c r="B42" s="67">
        <v>50166</v>
      </c>
      <c r="C42" s="68" t="s">
        <v>578</v>
      </c>
      <c r="D42" s="69">
        <v>6145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x14ac:dyDescent="0.3">
      <c r="A43" s="66">
        <v>42</v>
      </c>
      <c r="B43" s="67">
        <v>50233</v>
      </c>
      <c r="C43" s="68" t="s">
        <v>579</v>
      </c>
      <c r="D43" s="69">
        <v>5702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x14ac:dyDescent="0.3">
      <c r="A44" s="66">
        <v>43</v>
      </c>
      <c r="B44" s="67">
        <v>52037</v>
      </c>
      <c r="C44" s="68" t="s">
        <v>580</v>
      </c>
      <c r="D44" s="69">
        <v>5189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x14ac:dyDescent="0.3">
      <c r="A45" s="66">
        <v>44</v>
      </c>
      <c r="B45" s="67">
        <v>50560</v>
      </c>
      <c r="C45" s="68" t="s">
        <v>581</v>
      </c>
      <c r="D45" s="69">
        <v>4590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x14ac:dyDescent="0.3">
      <c r="A46" s="66">
        <v>45</v>
      </c>
      <c r="B46" s="67">
        <v>50117</v>
      </c>
      <c r="C46" s="68" t="s">
        <v>92</v>
      </c>
      <c r="D46" s="69">
        <v>4558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x14ac:dyDescent="0.3">
      <c r="A47" s="66">
        <v>46</v>
      </c>
      <c r="B47" s="67">
        <v>1819</v>
      </c>
      <c r="C47" s="68" t="s">
        <v>582</v>
      </c>
      <c r="D47" s="69">
        <v>4383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x14ac:dyDescent="0.3">
      <c r="A48" s="66">
        <v>47</v>
      </c>
      <c r="B48" s="67">
        <v>50001</v>
      </c>
      <c r="C48" s="68" t="s">
        <v>583</v>
      </c>
      <c r="D48" s="69">
        <v>4301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x14ac:dyDescent="0.3">
      <c r="A49" s="66">
        <v>48</v>
      </c>
      <c r="B49" s="67">
        <v>50295</v>
      </c>
      <c r="C49" s="68" t="s">
        <v>116</v>
      </c>
      <c r="D49" s="69">
        <v>4202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x14ac:dyDescent="0.3">
      <c r="A50" s="66">
        <v>49</v>
      </c>
      <c r="B50" s="67">
        <v>50113</v>
      </c>
      <c r="C50" s="68" t="s">
        <v>584</v>
      </c>
      <c r="D50" s="69">
        <v>4185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x14ac:dyDescent="0.3">
      <c r="A51" s="66">
        <v>50</v>
      </c>
      <c r="B51" s="67">
        <v>51107</v>
      </c>
      <c r="C51" s="68" t="s">
        <v>585</v>
      </c>
      <c r="D51" s="69">
        <v>3811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x14ac:dyDescent="0.3">
      <c r="A52" s="66">
        <v>51</v>
      </c>
      <c r="B52" s="67">
        <v>90006</v>
      </c>
      <c r="C52" s="68" t="s">
        <v>586</v>
      </c>
      <c r="D52" s="69">
        <v>3796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x14ac:dyDescent="0.3">
      <c r="A53" s="66">
        <v>52</v>
      </c>
      <c r="B53" s="67">
        <v>50002</v>
      </c>
      <c r="C53" s="68" t="s">
        <v>83</v>
      </c>
      <c r="D53" s="69">
        <v>3720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x14ac:dyDescent="0.3">
      <c r="A54" s="66">
        <v>53</v>
      </c>
      <c r="B54" s="67">
        <v>50785</v>
      </c>
      <c r="C54" s="68" t="s">
        <v>587</v>
      </c>
      <c r="D54" s="69">
        <v>3575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x14ac:dyDescent="0.3">
      <c r="A55" s="66">
        <v>54</v>
      </c>
      <c r="B55" s="67">
        <v>50540</v>
      </c>
      <c r="C55" s="68" t="s">
        <v>184</v>
      </c>
      <c r="D55" s="69">
        <v>3304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x14ac:dyDescent="0.3">
      <c r="A56" s="66">
        <v>55</v>
      </c>
      <c r="B56" s="67">
        <v>50985</v>
      </c>
      <c r="C56" s="68" t="s">
        <v>588</v>
      </c>
      <c r="D56" s="69">
        <v>3263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x14ac:dyDescent="0.3">
      <c r="A57" s="66">
        <v>56</v>
      </c>
      <c r="B57" s="67">
        <v>50168</v>
      </c>
      <c r="C57" s="68" t="s">
        <v>105</v>
      </c>
      <c r="D57" s="69">
        <v>3002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x14ac:dyDescent="0.3">
      <c r="A58" s="66">
        <v>57</v>
      </c>
      <c r="B58" s="67">
        <v>50855</v>
      </c>
      <c r="C58" s="68" t="s">
        <v>589</v>
      </c>
      <c r="D58" s="69">
        <v>2919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x14ac:dyDescent="0.3">
      <c r="A59" s="66">
        <v>58</v>
      </c>
      <c r="B59" s="67">
        <v>90008</v>
      </c>
      <c r="C59" s="68" t="s">
        <v>590</v>
      </c>
      <c r="D59" s="69">
        <v>2860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x14ac:dyDescent="0.3">
      <c r="A60" s="66">
        <v>59</v>
      </c>
      <c r="B60" s="67">
        <v>50786</v>
      </c>
      <c r="C60" s="68" t="s">
        <v>261</v>
      </c>
      <c r="D60" s="69">
        <v>2854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x14ac:dyDescent="0.3">
      <c r="A61" s="66">
        <v>60</v>
      </c>
      <c r="B61" s="67">
        <v>50420</v>
      </c>
      <c r="C61" s="68" t="s">
        <v>150</v>
      </c>
      <c r="D61" s="69">
        <v>2767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x14ac:dyDescent="0.3">
      <c r="A62" s="66">
        <v>61</v>
      </c>
      <c r="B62" s="67">
        <v>51099</v>
      </c>
      <c r="C62" s="68" t="s">
        <v>421</v>
      </c>
      <c r="D62" s="69">
        <v>2727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x14ac:dyDescent="0.3">
      <c r="A63" s="66">
        <v>62</v>
      </c>
      <c r="B63" s="67">
        <v>50328</v>
      </c>
      <c r="C63" s="68" t="s">
        <v>591</v>
      </c>
      <c r="D63" s="69">
        <v>2680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x14ac:dyDescent="0.3">
      <c r="A64" s="66">
        <v>63</v>
      </c>
      <c r="B64" s="67">
        <v>50710</v>
      </c>
      <c r="C64" s="68" t="s">
        <v>232</v>
      </c>
      <c r="D64" s="69">
        <v>2663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x14ac:dyDescent="0.3">
      <c r="A65" s="66">
        <v>64</v>
      </c>
      <c r="B65" s="67">
        <v>50955</v>
      </c>
      <c r="C65" s="68" t="s">
        <v>344</v>
      </c>
      <c r="D65" s="69">
        <v>2524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x14ac:dyDescent="0.3">
      <c r="A66" s="66">
        <v>65</v>
      </c>
      <c r="B66" s="67">
        <v>52025</v>
      </c>
      <c r="C66" s="68" t="s">
        <v>444</v>
      </c>
      <c r="D66" s="69">
        <v>2495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x14ac:dyDescent="0.3">
      <c r="A67" s="66">
        <v>66</v>
      </c>
      <c r="B67" s="67">
        <v>50593</v>
      </c>
      <c r="C67" s="68" t="s">
        <v>592</v>
      </c>
      <c r="D67" s="69">
        <v>2314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x14ac:dyDescent="0.3">
      <c r="A68" s="66">
        <v>67</v>
      </c>
      <c r="B68" s="67">
        <v>51120</v>
      </c>
      <c r="C68" s="68" t="s">
        <v>431</v>
      </c>
      <c r="D68" s="69">
        <v>2222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x14ac:dyDescent="0.3">
      <c r="A69" s="66">
        <v>68</v>
      </c>
      <c r="B69" s="67">
        <v>50387</v>
      </c>
      <c r="C69" s="68" t="s">
        <v>593</v>
      </c>
      <c r="D69" s="69">
        <v>2206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x14ac:dyDescent="0.3">
      <c r="A70" s="66">
        <v>69</v>
      </c>
      <c r="B70" s="67">
        <v>50732</v>
      </c>
      <c r="C70" s="68" t="s">
        <v>241</v>
      </c>
      <c r="D70" s="69">
        <v>2106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x14ac:dyDescent="0.3">
      <c r="A71" s="66">
        <v>70</v>
      </c>
      <c r="B71" s="67">
        <v>84401</v>
      </c>
      <c r="C71" s="68" t="s">
        <v>515</v>
      </c>
      <c r="D71" s="69">
        <v>1855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x14ac:dyDescent="0.3">
      <c r="A72" s="66">
        <v>71</v>
      </c>
      <c r="B72" s="67">
        <v>50314</v>
      </c>
      <c r="C72" s="68" t="s">
        <v>594</v>
      </c>
      <c r="D72" s="69">
        <v>1646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x14ac:dyDescent="0.3">
      <c r="A73" s="66">
        <v>72</v>
      </c>
      <c r="B73" s="67">
        <v>50473</v>
      </c>
      <c r="C73" s="68" t="s">
        <v>595</v>
      </c>
      <c r="D73" s="69">
        <v>1599</v>
      </c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x14ac:dyDescent="0.3">
      <c r="A74" s="66">
        <v>73</v>
      </c>
      <c r="B74" s="67">
        <v>50905</v>
      </c>
      <c r="C74" s="68" t="s">
        <v>321</v>
      </c>
      <c r="D74" s="69">
        <v>1498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x14ac:dyDescent="0.3">
      <c r="A75" s="66">
        <v>74</v>
      </c>
      <c r="B75" s="67">
        <v>50577</v>
      </c>
      <c r="C75" s="68" t="s">
        <v>194</v>
      </c>
      <c r="D75" s="69">
        <v>1472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x14ac:dyDescent="0.3">
      <c r="A76" s="66">
        <v>75</v>
      </c>
      <c r="B76" s="67">
        <v>50975</v>
      </c>
      <c r="C76" s="68" t="s">
        <v>596</v>
      </c>
      <c r="D76" s="69">
        <v>1461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x14ac:dyDescent="0.3">
      <c r="A77" s="66">
        <v>76</v>
      </c>
      <c r="B77" s="67">
        <v>50856</v>
      </c>
      <c r="C77" s="68" t="s">
        <v>304</v>
      </c>
      <c r="D77" s="69">
        <v>1441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x14ac:dyDescent="0.3">
      <c r="A78" s="66">
        <v>77</v>
      </c>
      <c r="B78" s="67">
        <v>50823</v>
      </c>
      <c r="C78" s="68" t="s">
        <v>283</v>
      </c>
      <c r="D78" s="69">
        <v>1424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x14ac:dyDescent="0.3">
      <c r="A79" s="66">
        <v>78</v>
      </c>
      <c r="B79" s="67">
        <v>50841</v>
      </c>
      <c r="C79" s="68" t="s">
        <v>597</v>
      </c>
      <c r="D79" s="69">
        <v>1412</v>
      </c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x14ac:dyDescent="0.3">
      <c r="A80" s="66">
        <v>79</v>
      </c>
      <c r="B80" s="67">
        <v>50981</v>
      </c>
      <c r="C80" s="68" t="s">
        <v>598</v>
      </c>
      <c r="D80" s="69">
        <v>1305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x14ac:dyDescent="0.3">
      <c r="A81" s="66">
        <v>80</v>
      </c>
      <c r="B81" s="67">
        <v>93004</v>
      </c>
      <c r="C81" s="68" t="s">
        <v>545</v>
      </c>
      <c r="D81" s="69">
        <v>1266</v>
      </c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x14ac:dyDescent="0.3">
      <c r="A82" s="66">
        <v>81</v>
      </c>
      <c r="B82" s="67">
        <v>50989</v>
      </c>
      <c r="C82" s="68" t="s">
        <v>363</v>
      </c>
      <c r="D82" s="69">
        <v>1226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x14ac:dyDescent="0.3">
      <c r="A83" s="66">
        <v>82</v>
      </c>
      <c r="B83" s="67">
        <v>50419</v>
      </c>
      <c r="C83" s="68" t="s">
        <v>149</v>
      </c>
      <c r="D83" s="69">
        <v>1203</v>
      </c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x14ac:dyDescent="0.3">
      <c r="A84" s="66">
        <v>83</v>
      </c>
      <c r="B84" s="67">
        <v>50491</v>
      </c>
      <c r="C84" s="68" t="s">
        <v>599</v>
      </c>
      <c r="D84" s="69">
        <v>1198</v>
      </c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x14ac:dyDescent="0.3">
      <c r="A85" s="66">
        <v>84</v>
      </c>
      <c r="B85" s="67">
        <v>90001</v>
      </c>
      <c r="C85" s="68" t="s">
        <v>524</v>
      </c>
      <c r="D85" s="67">
        <v>954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x14ac:dyDescent="0.3">
      <c r="A86" s="66">
        <v>85</v>
      </c>
      <c r="B86" s="67">
        <v>50348</v>
      </c>
      <c r="C86" s="68" t="s">
        <v>131</v>
      </c>
      <c r="D86" s="67">
        <v>949</v>
      </c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x14ac:dyDescent="0.3">
      <c r="A87" s="66">
        <v>86</v>
      </c>
      <c r="B87" s="67">
        <v>50475</v>
      </c>
      <c r="C87" s="68" t="s">
        <v>160</v>
      </c>
      <c r="D87" s="67">
        <v>916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x14ac:dyDescent="0.3">
      <c r="A88" s="66">
        <v>87</v>
      </c>
      <c r="B88" s="67">
        <v>51130</v>
      </c>
      <c r="C88" s="68" t="s">
        <v>600</v>
      </c>
      <c r="D88" s="67">
        <v>881</v>
      </c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x14ac:dyDescent="0.3">
      <c r="A89" s="66">
        <v>88</v>
      </c>
      <c r="B89" s="67">
        <v>50476</v>
      </c>
      <c r="C89" s="68" t="s">
        <v>601</v>
      </c>
      <c r="D89" s="67">
        <v>789</v>
      </c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x14ac:dyDescent="0.3">
      <c r="A90" s="66">
        <v>89</v>
      </c>
      <c r="B90" s="67">
        <v>50916</v>
      </c>
      <c r="C90" s="68" t="s">
        <v>324</v>
      </c>
      <c r="D90" s="67">
        <v>756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x14ac:dyDescent="0.3">
      <c r="A91" s="66">
        <v>90</v>
      </c>
      <c r="B91" s="67">
        <v>50662</v>
      </c>
      <c r="C91" s="68" t="s">
        <v>218</v>
      </c>
      <c r="D91" s="67">
        <v>705</v>
      </c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x14ac:dyDescent="0.3">
      <c r="A92" s="66">
        <v>91</v>
      </c>
      <c r="B92" s="67">
        <v>50474</v>
      </c>
      <c r="C92" s="68" t="s">
        <v>602</v>
      </c>
      <c r="D92" s="67">
        <v>705</v>
      </c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x14ac:dyDescent="0.3">
      <c r="A93" s="66">
        <v>92</v>
      </c>
      <c r="B93" s="67">
        <v>51089</v>
      </c>
      <c r="C93" s="68" t="s">
        <v>603</v>
      </c>
      <c r="D93" s="67">
        <v>677</v>
      </c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x14ac:dyDescent="0.3">
      <c r="A94" s="66">
        <v>93</v>
      </c>
      <c r="B94" s="67">
        <v>51115</v>
      </c>
      <c r="C94" s="68" t="s">
        <v>427</v>
      </c>
      <c r="D94" s="67">
        <v>668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x14ac:dyDescent="0.3">
      <c r="A95" s="66">
        <v>94</v>
      </c>
      <c r="B95" s="67">
        <v>50648</v>
      </c>
      <c r="C95" s="68" t="s">
        <v>214</v>
      </c>
      <c r="D95" s="67">
        <v>630</v>
      </c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x14ac:dyDescent="0.3">
      <c r="A96" s="66">
        <v>95</v>
      </c>
      <c r="B96" s="67">
        <v>51069</v>
      </c>
      <c r="C96" s="68" t="s">
        <v>409</v>
      </c>
      <c r="D96" s="67">
        <v>606</v>
      </c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x14ac:dyDescent="0.3">
      <c r="A97" s="66">
        <v>96</v>
      </c>
      <c r="B97" s="67">
        <v>50316</v>
      </c>
      <c r="C97" s="68" t="s">
        <v>127</v>
      </c>
      <c r="D97" s="67">
        <v>591</v>
      </c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x14ac:dyDescent="0.3">
      <c r="A98" s="66">
        <v>97</v>
      </c>
      <c r="B98" s="67">
        <v>30221</v>
      </c>
      <c r="C98" s="68" t="s">
        <v>81</v>
      </c>
      <c r="D98" s="67">
        <v>589</v>
      </c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x14ac:dyDescent="0.3">
      <c r="A99" s="66">
        <v>98</v>
      </c>
      <c r="B99" s="67">
        <v>50418</v>
      </c>
      <c r="C99" s="68" t="s">
        <v>148</v>
      </c>
      <c r="D99" s="67">
        <v>546</v>
      </c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x14ac:dyDescent="0.3">
      <c r="A100" s="66">
        <v>99</v>
      </c>
      <c r="B100" s="67">
        <v>50742</v>
      </c>
      <c r="C100" s="68" t="s">
        <v>207</v>
      </c>
      <c r="D100" s="67">
        <v>542</v>
      </c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x14ac:dyDescent="0.3">
      <c r="A101" s="66">
        <v>100</v>
      </c>
      <c r="B101" s="67">
        <v>50628</v>
      </c>
      <c r="C101" s="68" t="s">
        <v>208</v>
      </c>
      <c r="D101" s="67">
        <v>532</v>
      </c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x14ac:dyDescent="0.3">
      <c r="A102" s="66">
        <v>101</v>
      </c>
      <c r="B102" s="67">
        <v>50541</v>
      </c>
      <c r="C102" s="68" t="s">
        <v>185</v>
      </c>
      <c r="D102" s="67">
        <v>523</v>
      </c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x14ac:dyDescent="0.3">
      <c r="A103" s="66">
        <v>102</v>
      </c>
      <c r="B103" s="67">
        <v>50898</v>
      </c>
      <c r="C103" s="68" t="s">
        <v>318</v>
      </c>
      <c r="D103" s="67">
        <v>482</v>
      </c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x14ac:dyDescent="0.3">
      <c r="A104" s="66">
        <v>103</v>
      </c>
      <c r="B104" s="67">
        <v>51020</v>
      </c>
      <c r="C104" s="68" t="s">
        <v>604</v>
      </c>
      <c r="D104" s="67">
        <v>473</v>
      </c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x14ac:dyDescent="0.3">
      <c r="A105" s="66">
        <v>104</v>
      </c>
      <c r="B105" s="67">
        <v>50851</v>
      </c>
      <c r="C105" s="68" t="s">
        <v>605</v>
      </c>
      <c r="D105" s="67">
        <v>473</v>
      </c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x14ac:dyDescent="0.3">
      <c r="A106" s="66">
        <v>105</v>
      </c>
      <c r="B106" s="67">
        <v>51017</v>
      </c>
      <c r="C106" s="68" t="s">
        <v>606</v>
      </c>
      <c r="D106" s="67">
        <v>463</v>
      </c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x14ac:dyDescent="0.3">
      <c r="A107" s="66">
        <v>106</v>
      </c>
      <c r="B107" s="67">
        <v>50930</v>
      </c>
      <c r="C107" s="68" t="s">
        <v>332</v>
      </c>
      <c r="D107" s="67">
        <v>455</v>
      </c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x14ac:dyDescent="0.3">
      <c r="A108" s="66">
        <v>107</v>
      </c>
      <c r="B108" s="67">
        <v>93005</v>
      </c>
      <c r="C108" s="68" t="s">
        <v>546</v>
      </c>
      <c r="D108" s="67">
        <v>441</v>
      </c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x14ac:dyDescent="0.3">
      <c r="A109" s="66">
        <v>108</v>
      </c>
      <c r="B109" s="67">
        <v>50297</v>
      </c>
      <c r="C109" s="68" t="s">
        <v>117</v>
      </c>
      <c r="D109" s="67">
        <v>429</v>
      </c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x14ac:dyDescent="0.3">
      <c r="A110" s="66">
        <v>109</v>
      </c>
      <c r="B110" s="67">
        <v>51014</v>
      </c>
      <c r="C110" s="68" t="s">
        <v>372</v>
      </c>
      <c r="D110" s="67">
        <v>427</v>
      </c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x14ac:dyDescent="0.3">
      <c r="A111" s="66">
        <v>110</v>
      </c>
      <c r="B111" s="67">
        <v>50696</v>
      </c>
      <c r="C111" s="68" t="s">
        <v>227</v>
      </c>
      <c r="D111" s="67">
        <v>381</v>
      </c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x14ac:dyDescent="0.3">
      <c r="A112" s="66">
        <v>111</v>
      </c>
      <c r="B112" s="67">
        <v>50517</v>
      </c>
      <c r="C112" s="68" t="s">
        <v>607</v>
      </c>
      <c r="D112" s="67">
        <v>365</v>
      </c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x14ac:dyDescent="0.3">
      <c r="A113" s="66">
        <v>112</v>
      </c>
      <c r="B113" s="67">
        <v>50131</v>
      </c>
      <c r="C113" s="68" t="s">
        <v>100</v>
      </c>
      <c r="D113" s="67">
        <v>364</v>
      </c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x14ac:dyDescent="0.3">
      <c r="A114" s="66">
        <v>113</v>
      </c>
      <c r="B114" s="67">
        <v>50462</v>
      </c>
      <c r="C114" s="68" t="s">
        <v>608</v>
      </c>
      <c r="D114" s="67">
        <v>331</v>
      </c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x14ac:dyDescent="0.3">
      <c r="A115" s="66">
        <v>114</v>
      </c>
      <c r="B115" s="67">
        <v>50890</v>
      </c>
      <c r="C115" s="68" t="s">
        <v>315</v>
      </c>
      <c r="D115" s="67">
        <v>317</v>
      </c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x14ac:dyDescent="0.3">
      <c r="A116" s="66">
        <v>115</v>
      </c>
      <c r="B116" s="67">
        <v>51049</v>
      </c>
      <c r="C116" s="68" t="s">
        <v>393</v>
      </c>
      <c r="D116" s="67">
        <v>307</v>
      </c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x14ac:dyDescent="0.3">
      <c r="A117" s="66">
        <v>116</v>
      </c>
      <c r="B117" s="67">
        <v>50630</v>
      </c>
      <c r="C117" s="68" t="s">
        <v>209</v>
      </c>
      <c r="D117" s="67">
        <v>299</v>
      </c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x14ac:dyDescent="0.3">
      <c r="A118" s="66">
        <v>117</v>
      </c>
      <c r="B118" s="67">
        <v>96005</v>
      </c>
      <c r="C118" s="68" t="s">
        <v>551</v>
      </c>
      <c r="D118" s="67">
        <v>297</v>
      </c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x14ac:dyDescent="0.3">
      <c r="A119" s="66">
        <v>118</v>
      </c>
      <c r="B119" s="67">
        <v>50645</v>
      </c>
      <c r="C119" s="68" t="s">
        <v>609</v>
      </c>
      <c r="D119" s="67">
        <v>297</v>
      </c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x14ac:dyDescent="0.3">
      <c r="A120" s="66">
        <v>119</v>
      </c>
      <c r="B120" s="67">
        <v>50533</v>
      </c>
      <c r="C120" s="68" t="s">
        <v>610</v>
      </c>
      <c r="D120" s="67">
        <v>293</v>
      </c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x14ac:dyDescent="0.3">
      <c r="A121" s="66">
        <v>120</v>
      </c>
      <c r="B121" s="67">
        <v>52042</v>
      </c>
      <c r="C121" s="68" t="s">
        <v>457</v>
      </c>
      <c r="D121" s="67">
        <v>268</v>
      </c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x14ac:dyDescent="0.3">
      <c r="A122" s="66">
        <v>121</v>
      </c>
      <c r="B122" s="67">
        <v>90023</v>
      </c>
      <c r="C122" s="68" t="s">
        <v>536</v>
      </c>
      <c r="D122" s="67">
        <v>260</v>
      </c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x14ac:dyDescent="0.3">
      <c r="A123" s="66">
        <v>122</v>
      </c>
      <c r="B123" s="67">
        <v>50479</v>
      </c>
      <c r="C123" s="68" t="s">
        <v>164</v>
      </c>
      <c r="D123" s="67">
        <v>240</v>
      </c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x14ac:dyDescent="0.3">
      <c r="A124" s="66">
        <v>123</v>
      </c>
      <c r="B124" s="67">
        <v>52033</v>
      </c>
      <c r="C124" s="68" t="s">
        <v>611</v>
      </c>
      <c r="D124" s="67">
        <v>236</v>
      </c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x14ac:dyDescent="0.3">
      <c r="A125" s="66">
        <v>124</v>
      </c>
      <c r="B125" s="67">
        <v>50712</v>
      </c>
      <c r="C125" s="68" t="s">
        <v>233</v>
      </c>
      <c r="D125" s="67">
        <v>212</v>
      </c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x14ac:dyDescent="0.3">
      <c r="A126" s="66">
        <v>125</v>
      </c>
      <c r="B126" s="67">
        <v>50834</v>
      </c>
      <c r="C126" s="68" t="s">
        <v>288</v>
      </c>
      <c r="D126" s="67">
        <v>192</v>
      </c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x14ac:dyDescent="0.3">
      <c r="A127" s="66">
        <v>126</v>
      </c>
      <c r="B127" s="67">
        <v>50814</v>
      </c>
      <c r="C127" s="68" t="s">
        <v>276</v>
      </c>
      <c r="D127" s="67">
        <v>190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x14ac:dyDescent="0.3">
      <c r="A128" s="66">
        <v>127</v>
      </c>
      <c r="B128" s="67">
        <v>51119</v>
      </c>
      <c r="C128" s="68" t="s">
        <v>429</v>
      </c>
      <c r="D128" s="67">
        <v>184</v>
      </c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x14ac:dyDescent="0.3">
      <c r="A129" s="66">
        <v>128</v>
      </c>
      <c r="B129" s="67">
        <v>50562</v>
      </c>
      <c r="C129" s="68" t="s">
        <v>192</v>
      </c>
      <c r="D129" s="67">
        <v>173</v>
      </c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x14ac:dyDescent="0.3">
      <c r="A130" s="66">
        <v>129</v>
      </c>
      <c r="B130" s="67">
        <v>50932</v>
      </c>
      <c r="C130" s="68" t="s">
        <v>333</v>
      </c>
      <c r="D130" s="67">
        <v>166</v>
      </c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x14ac:dyDescent="0.3">
      <c r="A131" s="66">
        <v>130</v>
      </c>
      <c r="B131" s="67">
        <v>50681</v>
      </c>
      <c r="C131" s="68" t="s">
        <v>612</v>
      </c>
      <c r="D131" s="67">
        <v>162</v>
      </c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x14ac:dyDescent="0.3">
      <c r="A132" s="66">
        <v>131</v>
      </c>
      <c r="B132" s="67">
        <v>50264</v>
      </c>
      <c r="C132" s="68" t="s">
        <v>113</v>
      </c>
      <c r="D132" s="67">
        <v>160</v>
      </c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x14ac:dyDescent="0.3">
      <c r="A133" s="66">
        <v>132</v>
      </c>
      <c r="B133" s="67">
        <v>52057</v>
      </c>
      <c r="C133" s="68" t="s">
        <v>613</v>
      </c>
      <c r="D133" s="67">
        <v>159</v>
      </c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x14ac:dyDescent="0.3">
      <c r="A134" s="66">
        <v>133</v>
      </c>
      <c r="B134" s="67">
        <v>50492</v>
      </c>
      <c r="C134" s="68" t="s">
        <v>168</v>
      </c>
      <c r="D134" s="67">
        <v>145</v>
      </c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x14ac:dyDescent="0.3">
      <c r="A135" s="66">
        <v>134</v>
      </c>
      <c r="B135" s="67">
        <v>52032</v>
      </c>
      <c r="C135" s="68" t="s">
        <v>450</v>
      </c>
      <c r="D135" s="67">
        <v>144</v>
      </c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x14ac:dyDescent="0.3">
      <c r="A136" s="66">
        <v>135</v>
      </c>
      <c r="B136" s="67">
        <v>51003</v>
      </c>
      <c r="C136" s="68" t="s">
        <v>614</v>
      </c>
      <c r="D136" s="67">
        <v>137</v>
      </c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x14ac:dyDescent="0.3">
      <c r="A137" s="66">
        <v>136</v>
      </c>
      <c r="B137" s="67">
        <v>50412</v>
      </c>
      <c r="C137" s="68" t="s">
        <v>144</v>
      </c>
      <c r="D137" s="67">
        <v>131</v>
      </c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x14ac:dyDescent="0.3">
      <c r="A138" s="66">
        <v>137</v>
      </c>
      <c r="B138" s="67">
        <v>50963</v>
      </c>
      <c r="C138" s="68" t="s">
        <v>348</v>
      </c>
      <c r="D138" s="67">
        <v>130</v>
      </c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x14ac:dyDescent="0.3">
      <c r="A139" s="66">
        <v>138</v>
      </c>
      <c r="B139" s="67">
        <v>50836</v>
      </c>
      <c r="C139" s="68" t="s">
        <v>289</v>
      </c>
      <c r="D139" s="67">
        <v>124</v>
      </c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x14ac:dyDescent="0.3">
      <c r="A140" s="66">
        <v>139</v>
      </c>
      <c r="B140" s="67">
        <v>51081</v>
      </c>
      <c r="C140" s="68" t="s">
        <v>615</v>
      </c>
      <c r="D140" s="67">
        <v>119</v>
      </c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x14ac:dyDescent="0.3">
      <c r="A141" s="66">
        <v>140</v>
      </c>
      <c r="B141" s="67">
        <v>50413</v>
      </c>
      <c r="C141" s="68" t="s">
        <v>146</v>
      </c>
      <c r="D141" s="67">
        <v>117</v>
      </c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x14ac:dyDescent="0.3">
      <c r="A142" s="66">
        <v>141</v>
      </c>
      <c r="B142" s="67">
        <v>84404</v>
      </c>
      <c r="C142" s="68" t="s">
        <v>518</v>
      </c>
      <c r="D142" s="67">
        <v>113</v>
      </c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x14ac:dyDescent="0.3">
      <c r="A143" s="66">
        <v>142</v>
      </c>
      <c r="B143" s="67">
        <v>90030</v>
      </c>
      <c r="C143" s="68" t="s">
        <v>616</v>
      </c>
      <c r="D143" s="67">
        <v>99</v>
      </c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x14ac:dyDescent="0.3">
      <c r="A144" s="66">
        <v>143</v>
      </c>
      <c r="B144" s="67">
        <v>50974</v>
      </c>
      <c r="C144" s="68" t="s">
        <v>355</v>
      </c>
      <c r="D144" s="67">
        <v>90</v>
      </c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x14ac:dyDescent="0.3">
      <c r="A145" s="66">
        <v>144</v>
      </c>
      <c r="B145" s="67">
        <v>50395</v>
      </c>
      <c r="C145" s="68" t="s">
        <v>617</v>
      </c>
      <c r="D145" s="67">
        <v>89</v>
      </c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x14ac:dyDescent="0.3">
      <c r="A146" s="66">
        <v>145</v>
      </c>
      <c r="B146" s="67">
        <v>52053</v>
      </c>
      <c r="C146" s="68" t="s">
        <v>618</v>
      </c>
      <c r="D146" s="67">
        <v>84</v>
      </c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x14ac:dyDescent="0.3">
      <c r="A147" s="66">
        <v>146</v>
      </c>
      <c r="B147" s="67">
        <v>52026</v>
      </c>
      <c r="C147" s="68" t="s">
        <v>445</v>
      </c>
      <c r="D147" s="67">
        <v>80</v>
      </c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x14ac:dyDescent="0.3">
      <c r="A148" s="66">
        <v>147</v>
      </c>
      <c r="B148" s="67">
        <v>50886</v>
      </c>
      <c r="C148" s="68" t="s">
        <v>313</v>
      </c>
      <c r="D148" s="67">
        <v>76</v>
      </c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x14ac:dyDescent="0.3">
      <c r="A149" s="66">
        <v>148</v>
      </c>
      <c r="B149" s="67">
        <v>51116</v>
      </c>
      <c r="C149" s="68" t="s">
        <v>428</v>
      </c>
      <c r="D149" s="67">
        <v>74</v>
      </c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x14ac:dyDescent="0.3">
      <c r="A150" s="66">
        <v>149</v>
      </c>
      <c r="B150" s="67">
        <v>50842</v>
      </c>
      <c r="C150" s="68" t="s">
        <v>619</v>
      </c>
      <c r="D150" s="67">
        <v>68</v>
      </c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x14ac:dyDescent="0.3">
      <c r="A151" s="66">
        <v>150</v>
      </c>
      <c r="B151" s="67">
        <v>50724</v>
      </c>
      <c r="C151" s="68" t="s">
        <v>237</v>
      </c>
      <c r="D151" s="67">
        <v>63</v>
      </c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x14ac:dyDescent="0.3">
      <c r="A152" s="66">
        <v>151</v>
      </c>
      <c r="B152" s="67">
        <v>51041</v>
      </c>
      <c r="C152" s="68" t="s">
        <v>389</v>
      </c>
      <c r="D152" s="67">
        <v>61</v>
      </c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x14ac:dyDescent="0.3">
      <c r="A153" s="66">
        <v>152</v>
      </c>
      <c r="B153" s="67">
        <v>50315</v>
      </c>
      <c r="C153" s="68" t="s">
        <v>126</v>
      </c>
      <c r="D153" s="67">
        <v>59</v>
      </c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x14ac:dyDescent="0.3">
      <c r="A154" s="66">
        <v>153</v>
      </c>
      <c r="B154" s="67">
        <v>51015</v>
      </c>
      <c r="C154" s="68" t="s">
        <v>374</v>
      </c>
      <c r="D154" s="67">
        <v>56</v>
      </c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x14ac:dyDescent="0.3">
      <c r="A155" s="66">
        <v>154</v>
      </c>
      <c r="B155" s="67">
        <v>52040</v>
      </c>
      <c r="C155" s="68" t="s">
        <v>459</v>
      </c>
      <c r="D155" s="67">
        <v>54</v>
      </c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x14ac:dyDescent="0.3">
      <c r="A156" s="66">
        <v>155</v>
      </c>
      <c r="B156" s="67">
        <v>50774</v>
      </c>
      <c r="C156" s="68" t="s">
        <v>257</v>
      </c>
      <c r="D156" s="67">
        <v>52</v>
      </c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x14ac:dyDescent="0.3">
      <c r="A157" s="66">
        <v>156</v>
      </c>
      <c r="B157" s="67">
        <v>50766</v>
      </c>
      <c r="C157" s="68" t="s">
        <v>256</v>
      </c>
      <c r="D157" s="67">
        <v>52</v>
      </c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x14ac:dyDescent="0.3">
      <c r="A158" s="66">
        <v>157</v>
      </c>
      <c r="B158" s="67">
        <v>50848</v>
      </c>
      <c r="C158" s="68" t="s">
        <v>297</v>
      </c>
      <c r="D158" s="67">
        <v>42</v>
      </c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x14ac:dyDescent="0.3">
      <c r="A159" s="66">
        <v>158</v>
      </c>
      <c r="B159" s="67">
        <v>93007</v>
      </c>
      <c r="C159" s="68" t="s">
        <v>549</v>
      </c>
      <c r="D159" s="67">
        <v>39</v>
      </c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x14ac:dyDescent="0.3">
      <c r="A160" s="66">
        <v>159</v>
      </c>
      <c r="B160" s="67">
        <v>50557</v>
      </c>
      <c r="C160" s="68" t="s">
        <v>620</v>
      </c>
      <c r="D160" s="67">
        <v>38</v>
      </c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x14ac:dyDescent="0.3">
      <c r="A161" s="66">
        <v>160</v>
      </c>
      <c r="B161" s="67">
        <v>50947</v>
      </c>
      <c r="C161" s="68" t="s">
        <v>621</v>
      </c>
      <c r="D161" s="67">
        <v>36</v>
      </c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x14ac:dyDescent="0.3">
      <c r="A162" s="66">
        <v>161</v>
      </c>
      <c r="B162" s="67">
        <v>50471</v>
      </c>
      <c r="C162" s="68" t="s">
        <v>157</v>
      </c>
      <c r="D162" s="67">
        <v>36</v>
      </c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x14ac:dyDescent="0.3">
      <c r="A163" s="66">
        <v>162</v>
      </c>
      <c r="B163" s="67">
        <v>50777</v>
      </c>
      <c r="C163" s="68" t="s">
        <v>258</v>
      </c>
      <c r="D163" s="67">
        <v>35</v>
      </c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x14ac:dyDescent="0.3">
      <c r="A164" s="66">
        <v>163</v>
      </c>
      <c r="B164" s="67">
        <v>50704</v>
      </c>
      <c r="C164" s="68" t="s">
        <v>229</v>
      </c>
      <c r="D164" s="67">
        <v>35</v>
      </c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x14ac:dyDescent="0.3">
      <c r="A165" s="66">
        <v>164</v>
      </c>
      <c r="B165" s="67">
        <v>50607</v>
      </c>
      <c r="C165" s="68" t="s">
        <v>622</v>
      </c>
      <c r="D165" s="67">
        <v>30</v>
      </c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x14ac:dyDescent="0.3">
      <c r="A166" s="66">
        <v>165</v>
      </c>
      <c r="B166" s="67">
        <v>51018</v>
      </c>
      <c r="C166" s="68" t="s">
        <v>623</v>
      </c>
      <c r="D166" s="67">
        <v>27</v>
      </c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x14ac:dyDescent="0.3">
      <c r="A167" s="66">
        <v>166</v>
      </c>
      <c r="B167" s="67">
        <v>50731</v>
      </c>
      <c r="C167" s="68" t="s">
        <v>624</v>
      </c>
      <c r="D167" s="67">
        <v>25</v>
      </c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x14ac:dyDescent="0.3">
      <c r="A168" s="66">
        <v>167</v>
      </c>
      <c r="B168" s="67">
        <v>52035</v>
      </c>
      <c r="C168" s="68" t="s">
        <v>452</v>
      </c>
      <c r="D168" s="67">
        <v>24</v>
      </c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x14ac:dyDescent="0.3">
      <c r="A169" s="66">
        <v>168</v>
      </c>
      <c r="B169" s="67">
        <v>50872</v>
      </c>
      <c r="C169" s="68" t="s">
        <v>309</v>
      </c>
      <c r="D169" s="67">
        <v>24</v>
      </c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x14ac:dyDescent="0.3">
      <c r="A170" s="66">
        <v>169</v>
      </c>
      <c r="B170" s="67">
        <v>50658</v>
      </c>
      <c r="C170" s="68" t="s">
        <v>217</v>
      </c>
      <c r="D170" s="67">
        <v>23</v>
      </c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x14ac:dyDescent="0.3">
      <c r="A171" s="66">
        <v>170</v>
      </c>
      <c r="B171" s="67">
        <v>51025</v>
      </c>
      <c r="C171" s="68" t="s">
        <v>380</v>
      </c>
      <c r="D171" s="67">
        <v>21</v>
      </c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x14ac:dyDescent="0.3">
      <c r="A172" s="66">
        <v>171</v>
      </c>
      <c r="B172" s="67">
        <v>50357</v>
      </c>
      <c r="C172" s="68" t="s">
        <v>134</v>
      </c>
      <c r="D172" s="67">
        <v>18</v>
      </c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x14ac:dyDescent="0.3">
      <c r="A173" s="66">
        <v>172</v>
      </c>
      <c r="B173" s="67">
        <v>50535</v>
      </c>
      <c r="C173" s="68" t="s">
        <v>625</v>
      </c>
      <c r="D173" s="67">
        <v>16</v>
      </c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x14ac:dyDescent="0.3">
      <c r="A174" s="66">
        <v>173</v>
      </c>
      <c r="B174" s="67">
        <v>50578</v>
      </c>
      <c r="C174" s="68" t="s">
        <v>195</v>
      </c>
      <c r="D174" s="67">
        <v>15</v>
      </c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x14ac:dyDescent="0.3">
      <c r="A175" s="66">
        <v>174</v>
      </c>
      <c r="B175" s="67">
        <v>50505</v>
      </c>
      <c r="C175" s="68" t="s">
        <v>626</v>
      </c>
      <c r="D175" s="67">
        <v>12</v>
      </c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x14ac:dyDescent="0.3">
      <c r="A176" s="66">
        <v>175</v>
      </c>
      <c r="B176" s="67">
        <v>50825</v>
      </c>
      <c r="C176" s="68" t="s">
        <v>284</v>
      </c>
      <c r="D176" s="67">
        <v>11</v>
      </c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x14ac:dyDescent="0.3">
      <c r="A177" s="66">
        <v>176</v>
      </c>
      <c r="B177" s="67">
        <v>50280</v>
      </c>
      <c r="C177" s="68" t="s">
        <v>114</v>
      </c>
      <c r="D177" s="67">
        <v>9</v>
      </c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x14ac:dyDescent="0.3">
      <c r="A178" s="66">
        <v>177</v>
      </c>
      <c r="B178" s="67">
        <v>96006</v>
      </c>
      <c r="C178" s="68" t="s">
        <v>554</v>
      </c>
      <c r="D178" s="67">
        <v>8</v>
      </c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x14ac:dyDescent="0.3">
      <c r="A179" s="66">
        <v>178</v>
      </c>
      <c r="B179" s="67">
        <v>50957</v>
      </c>
      <c r="C179" s="68" t="s">
        <v>627</v>
      </c>
      <c r="D179" s="67">
        <v>7</v>
      </c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x14ac:dyDescent="0.3">
      <c r="A180" s="66">
        <v>179</v>
      </c>
      <c r="B180" s="67">
        <v>52029</v>
      </c>
      <c r="C180" s="68" t="s">
        <v>447</v>
      </c>
      <c r="D180" s="67">
        <v>6</v>
      </c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x14ac:dyDescent="0.3">
      <c r="A181" s="66">
        <v>180</v>
      </c>
      <c r="B181" s="67">
        <v>52031</v>
      </c>
      <c r="C181" s="68" t="s">
        <v>449</v>
      </c>
      <c r="D181" s="67">
        <v>5</v>
      </c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x14ac:dyDescent="0.3">
      <c r="A182" s="66">
        <v>181</v>
      </c>
      <c r="B182" s="67">
        <v>50477</v>
      </c>
      <c r="C182" s="68" t="s">
        <v>162</v>
      </c>
      <c r="D182" s="67">
        <v>4</v>
      </c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x14ac:dyDescent="0.3">
      <c r="A183" s="66">
        <v>182</v>
      </c>
      <c r="B183" s="67">
        <v>50843</v>
      </c>
      <c r="C183" s="68" t="s">
        <v>294</v>
      </c>
      <c r="D183" s="67">
        <v>2</v>
      </c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x14ac:dyDescent="0.3">
      <c r="A184" s="66">
        <v>183</v>
      </c>
      <c r="B184" s="67">
        <v>50744</v>
      </c>
      <c r="C184" s="68" t="s">
        <v>628</v>
      </c>
      <c r="D184" s="67">
        <v>2</v>
      </c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x14ac:dyDescent="0.3">
      <c r="A185" s="66">
        <v>184</v>
      </c>
      <c r="B185" s="67">
        <v>50654</v>
      </c>
      <c r="C185" s="68" t="s">
        <v>215</v>
      </c>
      <c r="D185" s="67">
        <v>2</v>
      </c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x14ac:dyDescent="0.3">
      <c r="A186" s="66">
        <v>185</v>
      </c>
      <c r="B186" s="67">
        <v>50122</v>
      </c>
      <c r="C186" s="68" t="s">
        <v>629</v>
      </c>
      <c r="D186" s="67">
        <v>2</v>
      </c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x14ac:dyDescent="0.3">
      <c r="A187" s="66">
        <v>186</v>
      </c>
      <c r="B187" s="67">
        <v>52046</v>
      </c>
      <c r="C187" s="68" t="s">
        <v>630</v>
      </c>
      <c r="D187" s="67">
        <v>1</v>
      </c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x14ac:dyDescent="0.3">
      <c r="A188" s="66">
        <v>187</v>
      </c>
      <c r="B188" s="67">
        <v>52013</v>
      </c>
      <c r="C188" s="68" t="s">
        <v>440</v>
      </c>
      <c r="D188" s="67">
        <v>1</v>
      </c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x14ac:dyDescent="0.3">
      <c r="A189" s="66">
        <v>188</v>
      </c>
      <c r="B189" s="67">
        <v>51028</v>
      </c>
      <c r="C189" s="68" t="s">
        <v>382</v>
      </c>
      <c r="D189" s="67">
        <v>1</v>
      </c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x14ac:dyDescent="0.3">
      <c r="A190" s="66">
        <v>189</v>
      </c>
      <c r="B190" s="67">
        <v>50703</v>
      </c>
      <c r="C190" s="68" t="s">
        <v>228</v>
      </c>
      <c r="D190" s="67">
        <v>1</v>
      </c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x14ac:dyDescent="0.3">
      <c r="A191" s="66">
        <v>190</v>
      </c>
      <c r="B191" s="67">
        <v>50521</v>
      </c>
      <c r="C191" s="68" t="s">
        <v>631</v>
      </c>
      <c r="D191" s="67">
        <v>1</v>
      </c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x14ac:dyDescent="0.3">
      <c r="A192" s="66">
        <v>191</v>
      </c>
      <c r="B192" s="67">
        <v>50259</v>
      </c>
      <c r="C192" s="68" t="s">
        <v>112</v>
      </c>
      <c r="D192" s="67">
        <v>1</v>
      </c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x14ac:dyDescent="0.3">
      <c r="A193" s="70"/>
      <c r="B193" s="70"/>
      <c r="C193" s="65"/>
      <c r="D193" s="70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x14ac:dyDescent="0.3">
      <c r="A194" s="70"/>
      <c r="B194" s="70"/>
      <c r="C194" s="65"/>
      <c r="D194" s="70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x14ac:dyDescent="0.3">
      <c r="A195" s="70"/>
      <c r="B195" s="70"/>
      <c r="C195" s="65"/>
      <c r="D195" s="70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x14ac:dyDescent="0.3">
      <c r="A196" s="70"/>
      <c r="B196" s="70"/>
      <c r="C196" s="65"/>
      <c r="D196" s="70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x14ac:dyDescent="0.3">
      <c r="A197" s="70"/>
      <c r="B197" s="70"/>
      <c r="C197" s="65"/>
      <c r="D197" s="70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x14ac:dyDescent="0.3">
      <c r="A198" s="70"/>
      <c r="B198" s="70"/>
      <c r="C198" s="65"/>
      <c r="D198" s="70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x14ac:dyDescent="0.3">
      <c r="A199" s="70"/>
      <c r="B199" s="70"/>
      <c r="C199" s="65"/>
      <c r="D199" s="70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x14ac:dyDescent="0.3">
      <c r="A200" s="70"/>
      <c r="B200" s="70"/>
      <c r="C200" s="65"/>
      <c r="D200" s="70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x14ac:dyDescent="0.3">
      <c r="A201" s="70"/>
      <c r="B201" s="70"/>
      <c r="C201" s="65"/>
      <c r="D201" s="70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x14ac:dyDescent="0.3">
      <c r="A202" s="70"/>
      <c r="B202" s="70"/>
      <c r="C202" s="65"/>
      <c r="D202" s="70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x14ac:dyDescent="0.3">
      <c r="A203" s="70"/>
      <c r="B203" s="70"/>
      <c r="C203" s="65"/>
      <c r="D203" s="70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x14ac:dyDescent="0.3">
      <c r="A204" s="70"/>
      <c r="B204" s="70"/>
      <c r="C204" s="65"/>
      <c r="D204" s="70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x14ac:dyDescent="0.3">
      <c r="A205" s="70"/>
      <c r="B205" s="70"/>
      <c r="C205" s="65"/>
      <c r="D205" s="70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x14ac:dyDescent="0.3">
      <c r="A206" s="70"/>
      <c r="B206" s="70"/>
      <c r="C206" s="65"/>
      <c r="D206" s="70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x14ac:dyDescent="0.3">
      <c r="A207" s="70"/>
      <c r="B207" s="70"/>
      <c r="C207" s="65"/>
      <c r="D207" s="70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x14ac:dyDescent="0.3">
      <c r="A208" s="70"/>
      <c r="B208" s="70"/>
      <c r="C208" s="65"/>
      <c r="D208" s="70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x14ac:dyDescent="0.3">
      <c r="A209" s="70"/>
      <c r="B209" s="70"/>
      <c r="C209" s="65"/>
      <c r="D209" s="70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x14ac:dyDescent="0.3">
      <c r="A210" s="70"/>
      <c r="B210" s="70"/>
      <c r="C210" s="65"/>
      <c r="D210" s="70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x14ac:dyDescent="0.3">
      <c r="A211" s="70"/>
      <c r="B211" s="70"/>
      <c r="C211" s="65"/>
      <c r="D211" s="70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x14ac:dyDescent="0.3">
      <c r="A212" s="70"/>
      <c r="B212" s="70"/>
      <c r="C212" s="65"/>
      <c r="D212" s="70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x14ac:dyDescent="0.3">
      <c r="A213" s="70"/>
      <c r="B213" s="70"/>
      <c r="C213" s="65"/>
      <c r="D213" s="70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x14ac:dyDescent="0.3">
      <c r="A214" s="70"/>
      <c r="B214" s="70"/>
      <c r="C214" s="65"/>
      <c r="D214" s="70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x14ac:dyDescent="0.3">
      <c r="A215" s="70"/>
      <c r="B215" s="70"/>
      <c r="C215" s="65"/>
      <c r="D215" s="70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x14ac:dyDescent="0.3">
      <c r="A216" s="70"/>
      <c r="B216" s="70"/>
      <c r="C216" s="65"/>
      <c r="D216" s="70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x14ac:dyDescent="0.3">
      <c r="A217" s="70"/>
      <c r="B217" s="70"/>
      <c r="C217" s="65"/>
      <c r="D217" s="70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x14ac:dyDescent="0.3">
      <c r="A218" s="70"/>
      <c r="B218" s="70"/>
      <c r="C218" s="65"/>
      <c r="D218" s="70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x14ac:dyDescent="0.3">
      <c r="A219" s="70"/>
      <c r="B219" s="70"/>
      <c r="C219" s="65"/>
      <c r="D219" s="70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x14ac:dyDescent="0.3">
      <c r="A220" s="70"/>
      <c r="B220" s="70"/>
      <c r="C220" s="65"/>
      <c r="D220" s="70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x14ac:dyDescent="0.3">
      <c r="A221" s="70"/>
      <c r="B221" s="70"/>
      <c r="C221" s="65"/>
      <c r="D221" s="70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x14ac:dyDescent="0.3">
      <c r="A222" s="70"/>
      <c r="B222" s="70"/>
      <c r="C222" s="65"/>
      <c r="D222" s="70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x14ac:dyDescent="0.3">
      <c r="A223" s="70"/>
      <c r="B223" s="70"/>
      <c r="C223" s="65"/>
      <c r="D223" s="70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x14ac:dyDescent="0.3">
      <c r="A224" s="70"/>
      <c r="B224" s="70"/>
      <c r="C224" s="65"/>
      <c r="D224" s="70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x14ac:dyDescent="0.3">
      <c r="A225" s="70"/>
      <c r="B225" s="70"/>
      <c r="C225" s="65"/>
      <c r="D225" s="70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x14ac:dyDescent="0.3">
      <c r="A226" s="70"/>
      <c r="B226" s="70"/>
      <c r="C226" s="65"/>
      <c r="D226" s="70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x14ac:dyDescent="0.3">
      <c r="A227" s="70"/>
      <c r="B227" s="70"/>
      <c r="C227" s="65"/>
      <c r="D227" s="70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x14ac:dyDescent="0.3">
      <c r="A228" s="70"/>
      <c r="B228" s="70"/>
      <c r="C228" s="65"/>
      <c r="D228" s="70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x14ac:dyDescent="0.3">
      <c r="A229" s="70"/>
      <c r="B229" s="70"/>
      <c r="C229" s="65"/>
      <c r="D229" s="70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x14ac:dyDescent="0.3">
      <c r="A230" s="70"/>
      <c r="B230" s="70"/>
      <c r="C230" s="65"/>
      <c r="D230" s="70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x14ac:dyDescent="0.3">
      <c r="A231" s="70"/>
      <c r="B231" s="70"/>
      <c r="C231" s="65"/>
      <c r="D231" s="70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x14ac:dyDescent="0.3">
      <c r="A232" s="70"/>
      <c r="B232" s="70"/>
      <c r="C232" s="65"/>
      <c r="D232" s="70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x14ac:dyDescent="0.3">
      <c r="A233" s="70"/>
      <c r="B233" s="70"/>
      <c r="C233" s="65"/>
      <c r="D233" s="70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x14ac:dyDescent="0.3">
      <c r="A234" s="70"/>
      <c r="B234" s="70"/>
      <c r="C234" s="65"/>
      <c r="D234" s="70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x14ac:dyDescent="0.3">
      <c r="A235" s="70"/>
      <c r="B235" s="70"/>
      <c r="C235" s="65"/>
      <c r="D235" s="70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x14ac:dyDescent="0.3">
      <c r="A236" s="70"/>
      <c r="B236" s="70"/>
      <c r="C236" s="65"/>
      <c r="D236" s="70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x14ac:dyDescent="0.3">
      <c r="A237" s="70"/>
      <c r="B237" s="70"/>
      <c r="C237" s="65"/>
      <c r="D237" s="70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x14ac:dyDescent="0.3">
      <c r="A238" s="70"/>
      <c r="B238" s="70"/>
      <c r="C238" s="65"/>
      <c r="D238" s="70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x14ac:dyDescent="0.3">
      <c r="A239" s="70"/>
      <c r="B239" s="70"/>
      <c r="C239" s="65"/>
      <c r="D239" s="70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x14ac:dyDescent="0.3">
      <c r="A240" s="70"/>
      <c r="B240" s="70"/>
      <c r="C240" s="65"/>
      <c r="D240" s="70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x14ac:dyDescent="0.3">
      <c r="A241" s="70"/>
      <c r="B241" s="70"/>
      <c r="C241" s="65"/>
      <c r="D241" s="70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x14ac:dyDescent="0.3">
      <c r="A242" s="70"/>
      <c r="B242" s="70"/>
      <c r="C242" s="65"/>
      <c r="D242" s="70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x14ac:dyDescent="0.3">
      <c r="A243" s="70"/>
      <c r="B243" s="70"/>
      <c r="C243" s="65"/>
      <c r="D243" s="70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x14ac:dyDescent="0.3">
      <c r="A244" s="70"/>
      <c r="B244" s="70"/>
      <c r="C244" s="65"/>
      <c r="D244" s="70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x14ac:dyDescent="0.3">
      <c r="A245" s="70"/>
      <c r="B245" s="70"/>
      <c r="C245" s="65"/>
      <c r="D245" s="70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x14ac:dyDescent="0.3">
      <c r="A246" s="70"/>
      <c r="B246" s="70"/>
      <c r="C246" s="65"/>
      <c r="D246" s="70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x14ac:dyDescent="0.3">
      <c r="A247" s="70"/>
      <c r="B247" s="70"/>
      <c r="C247" s="65"/>
      <c r="D247" s="70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x14ac:dyDescent="0.3">
      <c r="A248" s="70"/>
      <c r="B248" s="70"/>
      <c r="C248" s="65"/>
      <c r="D248" s="70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x14ac:dyDescent="0.3">
      <c r="A249" s="70"/>
      <c r="B249" s="70"/>
      <c r="C249" s="65"/>
      <c r="D249" s="70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x14ac:dyDescent="0.3">
      <c r="A250" s="70"/>
      <c r="B250" s="70"/>
      <c r="C250" s="65"/>
      <c r="D250" s="70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x14ac:dyDescent="0.3">
      <c r="A251" s="70"/>
      <c r="B251" s="70"/>
      <c r="C251" s="65"/>
      <c r="D251" s="70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x14ac:dyDescent="0.3">
      <c r="A252" s="70"/>
      <c r="B252" s="70"/>
      <c r="C252" s="65"/>
      <c r="D252" s="70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x14ac:dyDescent="0.3">
      <c r="A253" s="70"/>
      <c r="B253" s="70"/>
      <c r="C253" s="65"/>
      <c r="D253" s="70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x14ac:dyDescent="0.3">
      <c r="A254" s="70"/>
      <c r="B254" s="70"/>
      <c r="C254" s="65"/>
      <c r="D254" s="70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x14ac:dyDescent="0.3">
      <c r="A255" s="70"/>
      <c r="B255" s="70"/>
      <c r="C255" s="65"/>
      <c r="D255" s="70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x14ac:dyDescent="0.3">
      <c r="A256" s="70"/>
      <c r="B256" s="70"/>
      <c r="C256" s="65"/>
      <c r="D256" s="70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x14ac:dyDescent="0.3">
      <c r="A257" s="70"/>
      <c r="B257" s="70"/>
      <c r="C257" s="65"/>
      <c r="D257" s="70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x14ac:dyDescent="0.3">
      <c r="A258" s="70"/>
      <c r="B258" s="70"/>
      <c r="C258" s="65"/>
      <c r="D258" s="70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x14ac:dyDescent="0.3">
      <c r="A259" s="70"/>
      <c r="B259" s="70"/>
      <c r="C259" s="65"/>
      <c r="D259" s="70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x14ac:dyDescent="0.3">
      <c r="A260" s="70"/>
      <c r="B260" s="70"/>
      <c r="C260" s="65"/>
      <c r="D260" s="70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x14ac:dyDescent="0.3">
      <c r="A261" s="70"/>
      <c r="B261" s="70"/>
      <c r="C261" s="65"/>
      <c r="D261" s="70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x14ac:dyDescent="0.3">
      <c r="A262" s="70"/>
      <c r="B262" s="70"/>
      <c r="C262" s="65"/>
      <c r="D262" s="70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x14ac:dyDescent="0.3">
      <c r="A263" s="70"/>
      <c r="B263" s="70"/>
      <c r="C263" s="65"/>
      <c r="D263" s="70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x14ac:dyDescent="0.3">
      <c r="A264" s="70"/>
      <c r="B264" s="70"/>
      <c r="C264" s="65"/>
      <c r="D264" s="70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x14ac:dyDescent="0.3">
      <c r="A265" s="70"/>
      <c r="B265" s="70"/>
      <c r="C265" s="65"/>
      <c r="D265" s="70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x14ac:dyDescent="0.3">
      <c r="A266" s="70"/>
      <c r="B266" s="70"/>
      <c r="C266" s="65"/>
      <c r="D266" s="70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x14ac:dyDescent="0.3">
      <c r="A267" s="70"/>
      <c r="B267" s="70"/>
      <c r="C267" s="65"/>
      <c r="D267" s="70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x14ac:dyDescent="0.3">
      <c r="A268" s="70"/>
      <c r="B268" s="70"/>
      <c r="C268" s="65"/>
      <c r="D268" s="70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x14ac:dyDescent="0.3">
      <c r="A269" s="70"/>
      <c r="B269" s="70"/>
      <c r="C269" s="65"/>
      <c r="D269" s="70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x14ac:dyDescent="0.3">
      <c r="A270" s="70"/>
      <c r="B270" s="70"/>
      <c r="C270" s="65"/>
      <c r="D270" s="70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x14ac:dyDescent="0.3">
      <c r="A271" s="70"/>
      <c r="B271" s="70"/>
      <c r="C271" s="65"/>
      <c r="D271" s="70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x14ac:dyDescent="0.3">
      <c r="A272" s="70"/>
      <c r="B272" s="70"/>
      <c r="C272" s="65"/>
      <c r="D272" s="70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x14ac:dyDescent="0.3">
      <c r="A273" s="70"/>
      <c r="B273" s="70"/>
      <c r="C273" s="65"/>
      <c r="D273" s="70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x14ac:dyDescent="0.3">
      <c r="A274" s="70"/>
      <c r="B274" s="70"/>
      <c r="C274" s="65"/>
      <c r="D274" s="70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x14ac:dyDescent="0.3">
      <c r="A275" s="70"/>
      <c r="B275" s="70"/>
      <c r="C275" s="65"/>
      <c r="D275" s="70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x14ac:dyDescent="0.3">
      <c r="A276" s="70"/>
      <c r="B276" s="70"/>
      <c r="C276" s="65"/>
      <c r="D276" s="70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x14ac:dyDescent="0.3">
      <c r="A277" s="70"/>
      <c r="B277" s="70"/>
      <c r="C277" s="65"/>
      <c r="D277" s="70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x14ac:dyDescent="0.3">
      <c r="A278" s="70"/>
      <c r="B278" s="70"/>
      <c r="C278" s="65"/>
      <c r="D278" s="70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x14ac:dyDescent="0.3">
      <c r="A279" s="70"/>
      <c r="B279" s="70"/>
      <c r="C279" s="65"/>
      <c r="D279" s="70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x14ac:dyDescent="0.3">
      <c r="A280" s="70"/>
      <c r="B280" s="70"/>
      <c r="C280" s="65"/>
      <c r="D280" s="70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x14ac:dyDescent="0.3">
      <c r="A281" s="70"/>
      <c r="B281" s="70"/>
      <c r="C281" s="65"/>
      <c r="D281" s="70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x14ac:dyDescent="0.3">
      <c r="A282" s="70"/>
      <c r="B282" s="70"/>
      <c r="C282" s="65"/>
      <c r="D282" s="70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x14ac:dyDescent="0.3">
      <c r="A283" s="70"/>
      <c r="B283" s="70"/>
      <c r="C283" s="65"/>
      <c r="D283" s="70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x14ac:dyDescent="0.3">
      <c r="A284" s="70"/>
      <c r="B284" s="70"/>
      <c r="C284" s="65"/>
      <c r="D284" s="70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x14ac:dyDescent="0.3">
      <c r="A285" s="70"/>
      <c r="B285" s="70"/>
      <c r="C285" s="65"/>
      <c r="D285" s="70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x14ac:dyDescent="0.3">
      <c r="A286" s="70"/>
      <c r="B286" s="70"/>
      <c r="C286" s="65"/>
      <c r="D286" s="70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x14ac:dyDescent="0.3">
      <c r="A287" s="70"/>
      <c r="B287" s="70"/>
      <c r="C287" s="65"/>
      <c r="D287" s="70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x14ac:dyDescent="0.3">
      <c r="A288" s="70"/>
      <c r="B288" s="70"/>
      <c r="C288" s="65"/>
      <c r="D288" s="70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x14ac:dyDescent="0.3">
      <c r="A289" s="70"/>
      <c r="B289" s="70"/>
      <c r="C289" s="65"/>
      <c r="D289" s="70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x14ac:dyDescent="0.3">
      <c r="A290" s="70"/>
      <c r="B290" s="70"/>
      <c r="C290" s="65"/>
      <c r="D290" s="70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x14ac:dyDescent="0.3">
      <c r="A291" s="70"/>
      <c r="B291" s="70"/>
      <c r="C291" s="65"/>
      <c r="D291" s="70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x14ac:dyDescent="0.3">
      <c r="A292" s="70"/>
      <c r="B292" s="70"/>
      <c r="C292" s="65"/>
      <c r="D292" s="70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x14ac:dyDescent="0.3">
      <c r="A293" s="70"/>
      <c r="B293" s="70"/>
      <c r="C293" s="65"/>
      <c r="D293" s="70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x14ac:dyDescent="0.3">
      <c r="A294" s="70"/>
      <c r="B294" s="70"/>
      <c r="C294" s="65"/>
      <c r="D294" s="70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x14ac:dyDescent="0.3">
      <c r="A295" s="70"/>
      <c r="B295" s="70"/>
      <c r="C295" s="65"/>
      <c r="D295" s="70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x14ac:dyDescent="0.3">
      <c r="A296" s="70"/>
      <c r="B296" s="70"/>
      <c r="C296" s="65"/>
      <c r="D296" s="70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x14ac:dyDescent="0.3">
      <c r="A297" s="70"/>
      <c r="B297" s="70"/>
      <c r="C297" s="65"/>
      <c r="D297" s="70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x14ac:dyDescent="0.3">
      <c r="A298" s="70"/>
      <c r="B298" s="70"/>
      <c r="C298" s="65"/>
      <c r="D298" s="70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x14ac:dyDescent="0.3">
      <c r="A299" s="70"/>
      <c r="B299" s="70"/>
      <c r="C299" s="65"/>
      <c r="D299" s="70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x14ac:dyDescent="0.3">
      <c r="A300" s="70"/>
      <c r="B300" s="70"/>
      <c r="C300" s="65"/>
      <c r="D300" s="70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x14ac:dyDescent="0.3">
      <c r="A301" s="70"/>
      <c r="B301" s="70"/>
      <c r="C301" s="65"/>
      <c r="D301" s="70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x14ac:dyDescent="0.3">
      <c r="A302" s="70"/>
      <c r="B302" s="70"/>
      <c r="C302" s="65"/>
      <c r="D302" s="70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x14ac:dyDescent="0.3">
      <c r="A303" s="70"/>
      <c r="B303" s="70"/>
      <c r="C303" s="65"/>
      <c r="D303" s="70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x14ac:dyDescent="0.3">
      <c r="A304" s="70"/>
      <c r="B304" s="70"/>
      <c r="C304" s="65"/>
      <c r="D304" s="70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x14ac:dyDescent="0.3">
      <c r="A305" s="70"/>
      <c r="B305" s="70"/>
      <c r="C305" s="65"/>
      <c r="D305" s="70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x14ac:dyDescent="0.3">
      <c r="A306" s="70"/>
      <c r="B306" s="70"/>
      <c r="C306" s="65"/>
      <c r="D306" s="70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x14ac:dyDescent="0.3">
      <c r="A307" s="70"/>
      <c r="B307" s="70"/>
      <c r="C307" s="65"/>
      <c r="D307" s="70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x14ac:dyDescent="0.3">
      <c r="A308" s="70"/>
      <c r="B308" s="70"/>
      <c r="C308" s="65"/>
      <c r="D308" s="70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x14ac:dyDescent="0.3">
      <c r="A309" s="70"/>
      <c r="B309" s="70"/>
      <c r="C309" s="65"/>
      <c r="D309" s="70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x14ac:dyDescent="0.3">
      <c r="A310" s="70"/>
      <c r="B310" s="70"/>
      <c r="C310" s="65"/>
      <c r="D310" s="70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x14ac:dyDescent="0.3">
      <c r="A311" s="70"/>
      <c r="B311" s="70"/>
      <c r="C311" s="65"/>
      <c r="D311" s="70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x14ac:dyDescent="0.3">
      <c r="A312" s="70"/>
      <c r="B312" s="70"/>
      <c r="C312" s="65"/>
      <c r="D312" s="70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x14ac:dyDescent="0.3">
      <c r="A313" s="70"/>
      <c r="B313" s="70"/>
      <c r="C313" s="65"/>
      <c r="D313" s="70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x14ac:dyDescent="0.3">
      <c r="A314" s="70"/>
      <c r="B314" s="70"/>
      <c r="C314" s="65"/>
      <c r="D314" s="70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x14ac:dyDescent="0.3">
      <c r="A315" s="70"/>
      <c r="B315" s="70"/>
      <c r="C315" s="65"/>
      <c r="D315" s="70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x14ac:dyDescent="0.3">
      <c r="A316" s="70"/>
      <c r="B316" s="70"/>
      <c r="C316" s="65"/>
      <c r="D316" s="70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x14ac:dyDescent="0.3">
      <c r="A317" s="70"/>
      <c r="B317" s="70"/>
      <c r="C317" s="65"/>
      <c r="D317" s="70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x14ac:dyDescent="0.3">
      <c r="A318" s="70"/>
      <c r="B318" s="70"/>
      <c r="C318" s="65"/>
      <c r="D318" s="70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x14ac:dyDescent="0.3">
      <c r="A319" s="70"/>
      <c r="B319" s="70"/>
      <c r="C319" s="65"/>
      <c r="D319" s="70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x14ac:dyDescent="0.3">
      <c r="A320" s="70"/>
      <c r="B320" s="70"/>
      <c r="C320" s="65"/>
      <c r="D320" s="70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x14ac:dyDescent="0.3">
      <c r="A321" s="70"/>
      <c r="B321" s="70"/>
      <c r="C321" s="65"/>
      <c r="D321" s="70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x14ac:dyDescent="0.3">
      <c r="A322" s="70"/>
      <c r="B322" s="70"/>
      <c r="C322" s="65"/>
      <c r="D322" s="70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x14ac:dyDescent="0.3">
      <c r="A323" s="70"/>
      <c r="B323" s="70"/>
      <c r="C323" s="65"/>
      <c r="D323" s="70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x14ac:dyDescent="0.3">
      <c r="A324" s="70"/>
      <c r="B324" s="70"/>
      <c r="C324" s="65"/>
      <c r="D324" s="70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x14ac:dyDescent="0.3">
      <c r="A325" s="70"/>
      <c r="B325" s="70"/>
      <c r="C325" s="65"/>
      <c r="D325" s="70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x14ac:dyDescent="0.3">
      <c r="A326" s="70"/>
      <c r="B326" s="70"/>
      <c r="C326" s="65"/>
      <c r="D326" s="70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x14ac:dyDescent="0.3">
      <c r="A327" s="70"/>
      <c r="B327" s="70"/>
      <c r="C327" s="65"/>
      <c r="D327" s="70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x14ac:dyDescent="0.3">
      <c r="A328" s="70"/>
      <c r="B328" s="70"/>
      <c r="C328" s="65"/>
      <c r="D328" s="70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x14ac:dyDescent="0.3">
      <c r="A329" s="70"/>
      <c r="B329" s="70"/>
      <c r="C329" s="65"/>
      <c r="D329" s="70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x14ac:dyDescent="0.3">
      <c r="A330" s="70"/>
      <c r="B330" s="70"/>
      <c r="C330" s="65"/>
      <c r="D330" s="70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x14ac:dyDescent="0.3">
      <c r="A331" s="70"/>
      <c r="B331" s="70"/>
      <c r="C331" s="65"/>
      <c r="D331" s="70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x14ac:dyDescent="0.3">
      <c r="A332" s="70"/>
      <c r="B332" s="70"/>
      <c r="C332" s="65"/>
      <c r="D332" s="70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x14ac:dyDescent="0.3">
      <c r="A333" s="70"/>
      <c r="B333" s="70"/>
      <c r="C333" s="65"/>
      <c r="D333" s="70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x14ac:dyDescent="0.3">
      <c r="A334" s="70"/>
      <c r="B334" s="70"/>
      <c r="C334" s="65"/>
      <c r="D334" s="70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x14ac:dyDescent="0.3">
      <c r="A335" s="70"/>
      <c r="B335" s="70"/>
      <c r="C335" s="65"/>
      <c r="D335" s="70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x14ac:dyDescent="0.3">
      <c r="A336" s="70"/>
      <c r="B336" s="70"/>
      <c r="C336" s="65"/>
      <c r="D336" s="70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x14ac:dyDescent="0.3">
      <c r="A337" s="70"/>
      <c r="B337" s="70"/>
      <c r="C337" s="65"/>
      <c r="D337" s="70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x14ac:dyDescent="0.3">
      <c r="A338" s="70"/>
      <c r="B338" s="70"/>
      <c r="C338" s="65"/>
      <c r="D338" s="70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x14ac:dyDescent="0.3">
      <c r="A339" s="70"/>
      <c r="B339" s="70"/>
      <c r="C339" s="65"/>
      <c r="D339" s="70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x14ac:dyDescent="0.3">
      <c r="A340" s="70"/>
      <c r="B340" s="70"/>
      <c r="C340" s="65"/>
      <c r="D340" s="70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x14ac:dyDescent="0.3">
      <c r="A341" s="70"/>
      <c r="B341" s="70"/>
      <c r="C341" s="65"/>
      <c r="D341" s="70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x14ac:dyDescent="0.3">
      <c r="A342" s="70"/>
      <c r="B342" s="70"/>
      <c r="C342" s="65"/>
      <c r="D342" s="70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x14ac:dyDescent="0.3">
      <c r="A343" s="70"/>
      <c r="B343" s="70"/>
      <c r="C343" s="65"/>
      <c r="D343" s="70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x14ac:dyDescent="0.3">
      <c r="A344" s="70"/>
      <c r="B344" s="70"/>
      <c r="C344" s="65"/>
      <c r="D344" s="70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x14ac:dyDescent="0.3">
      <c r="A345" s="70"/>
      <c r="B345" s="70"/>
      <c r="C345" s="65"/>
      <c r="D345" s="70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x14ac:dyDescent="0.3">
      <c r="A346" s="70"/>
      <c r="B346" s="70"/>
      <c r="C346" s="65"/>
      <c r="D346" s="70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x14ac:dyDescent="0.3">
      <c r="A347" s="70"/>
      <c r="B347" s="70"/>
      <c r="C347" s="65"/>
      <c r="D347" s="70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x14ac:dyDescent="0.3">
      <c r="A348" s="70"/>
      <c r="B348" s="70"/>
      <c r="C348" s="65"/>
      <c r="D348" s="70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x14ac:dyDescent="0.3">
      <c r="A349" s="70"/>
      <c r="B349" s="70"/>
      <c r="C349" s="65"/>
      <c r="D349" s="70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x14ac:dyDescent="0.3">
      <c r="A350" s="70"/>
      <c r="B350" s="70"/>
      <c r="C350" s="65"/>
      <c r="D350" s="70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x14ac:dyDescent="0.3">
      <c r="A351" s="70"/>
      <c r="B351" s="70"/>
      <c r="C351" s="65"/>
      <c r="D351" s="70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x14ac:dyDescent="0.3">
      <c r="A352" s="70"/>
      <c r="B352" s="70"/>
      <c r="C352" s="65"/>
      <c r="D352" s="70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x14ac:dyDescent="0.3">
      <c r="A353" s="70"/>
      <c r="B353" s="70"/>
      <c r="C353" s="65"/>
      <c r="D353" s="70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x14ac:dyDescent="0.3">
      <c r="A354" s="70"/>
      <c r="B354" s="70"/>
      <c r="C354" s="65"/>
      <c r="D354" s="70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x14ac:dyDescent="0.3">
      <c r="A355" s="70"/>
      <c r="B355" s="70"/>
      <c r="C355" s="65"/>
      <c r="D355" s="70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x14ac:dyDescent="0.3">
      <c r="A356" s="70"/>
      <c r="B356" s="70"/>
      <c r="C356" s="65"/>
      <c r="D356" s="70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x14ac:dyDescent="0.3">
      <c r="A357" s="70"/>
      <c r="B357" s="70"/>
      <c r="C357" s="65"/>
      <c r="D357" s="70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x14ac:dyDescent="0.3">
      <c r="A358" s="70"/>
      <c r="B358" s="70"/>
      <c r="C358" s="65"/>
      <c r="D358" s="70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x14ac:dyDescent="0.3">
      <c r="A359" s="70"/>
      <c r="B359" s="70"/>
      <c r="C359" s="65"/>
      <c r="D359" s="70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x14ac:dyDescent="0.3">
      <c r="A360" s="70"/>
      <c r="B360" s="70"/>
      <c r="C360" s="65"/>
      <c r="D360" s="70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x14ac:dyDescent="0.3">
      <c r="A361" s="70"/>
      <c r="B361" s="70"/>
      <c r="C361" s="65"/>
      <c r="D361" s="70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x14ac:dyDescent="0.3">
      <c r="A362" s="70"/>
      <c r="B362" s="70"/>
      <c r="C362" s="65"/>
      <c r="D362" s="70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x14ac:dyDescent="0.3">
      <c r="A363" s="70"/>
      <c r="B363" s="70"/>
      <c r="C363" s="65"/>
      <c r="D363" s="70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x14ac:dyDescent="0.3">
      <c r="A364" s="70"/>
      <c r="B364" s="70"/>
      <c r="C364" s="65"/>
      <c r="D364" s="70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x14ac:dyDescent="0.3">
      <c r="A365" s="70"/>
      <c r="B365" s="70"/>
      <c r="C365" s="65"/>
      <c r="D365" s="70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x14ac:dyDescent="0.3">
      <c r="A366" s="70"/>
      <c r="B366" s="70"/>
      <c r="C366" s="65"/>
      <c r="D366" s="70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x14ac:dyDescent="0.3">
      <c r="A367" s="70"/>
      <c r="B367" s="70"/>
      <c r="C367" s="65"/>
      <c r="D367" s="70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x14ac:dyDescent="0.3">
      <c r="A368" s="70"/>
      <c r="B368" s="70"/>
      <c r="C368" s="65"/>
      <c r="D368" s="70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x14ac:dyDescent="0.3">
      <c r="A369" s="70"/>
      <c r="B369" s="70"/>
      <c r="C369" s="65"/>
      <c r="D369" s="70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x14ac:dyDescent="0.3">
      <c r="A370" s="70"/>
      <c r="B370" s="70"/>
      <c r="C370" s="65"/>
      <c r="D370" s="70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x14ac:dyDescent="0.3">
      <c r="A371" s="70"/>
      <c r="B371" s="70"/>
      <c r="C371" s="65"/>
      <c r="D371" s="70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x14ac:dyDescent="0.3">
      <c r="A372" s="70"/>
      <c r="B372" s="70"/>
      <c r="C372" s="65"/>
      <c r="D372" s="70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x14ac:dyDescent="0.3">
      <c r="A373" s="70"/>
      <c r="B373" s="70"/>
      <c r="C373" s="65"/>
      <c r="D373" s="70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x14ac:dyDescent="0.3">
      <c r="A374" s="70"/>
      <c r="B374" s="70"/>
      <c r="C374" s="65"/>
      <c r="D374" s="70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x14ac:dyDescent="0.3">
      <c r="A375" s="70"/>
      <c r="B375" s="70"/>
      <c r="C375" s="65"/>
      <c r="D375" s="70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x14ac:dyDescent="0.3">
      <c r="A376" s="70"/>
      <c r="B376" s="70"/>
      <c r="C376" s="65"/>
      <c r="D376" s="70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x14ac:dyDescent="0.3">
      <c r="A377" s="70"/>
      <c r="B377" s="70"/>
      <c r="C377" s="65"/>
      <c r="D377" s="70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x14ac:dyDescent="0.3">
      <c r="A378" s="70"/>
      <c r="B378" s="70"/>
      <c r="C378" s="65"/>
      <c r="D378" s="70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x14ac:dyDescent="0.3">
      <c r="A379" s="70"/>
      <c r="B379" s="70"/>
      <c r="C379" s="65"/>
      <c r="D379" s="70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x14ac:dyDescent="0.3">
      <c r="A380" s="70"/>
      <c r="B380" s="70"/>
      <c r="C380" s="65"/>
      <c r="D380" s="70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x14ac:dyDescent="0.3">
      <c r="A381" s="70"/>
      <c r="B381" s="70"/>
      <c r="C381" s="65"/>
      <c r="D381" s="70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x14ac:dyDescent="0.3">
      <c r="A382" s="70"/>
      <c r="B382" s="70"/>
      <c r="C382" s="65"/>
      <c r="D382" s="70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x14ac:dyDescent="0.3">
      <c r="A383" s="70"/>
      <c r="B383" s="70"/>
      <c r="C383" s="65"/>
      <c r="D383" s="70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x14ac:dyDescent="0.3">
      <c r="A384" s="70"/>
      <c r="B384" s="70"/>
      <c r="C384" s="65"/>
      <c r="D384" s="70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x14ac:dyDescent="0.3">
      <c r="A385" s="70"/>
      <c r="B385" s="70"/>
      <c r="C385" s="65"/>
      <c r="D385" s="70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x14ac:dyDescent="0.3">
      <c r="A386" s="70"/>
      <c r="B386" s="70"/>
      <c r="C386" s="65"/>
      <c r="D386" s="70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x14ac:dyDescent="0.3">
      <c r="A387" s="70"/>
      <c r="B387" s="70"/>
      <c r="C387" s="65"/>
      <c r="D387" s="70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x14ac:dyDescent="0.3">
      <c r="A388" s="70"/>
      <c r="B388" s="70"/>
      <c r="C388" s="65"/>
      <c r="D388" s="70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x14ac:dyDescent="0.3">
      <c r="A389" s="70"/>
      <c r="B389" s="70"/>
      <c r="C389" s="65"/>
      <c r="D389" s="70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x14ac:dyDescent="0.3">
      <c r="A390" s="70"/>
      <c r="B390" s="70"/>
      <c r="C390" s="65"/>
      <c r="D390" s="70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x14ac:dyDescent="0.3">
      <c r="A391" s="70"/>
      <c r="B391" s="70"/>
      <c r="C391" s="65"/>
      <c r="D391" s="70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x14ac:dyDescent="0.3">
      <c r="A392" s="70"/>
      <c r="B392" s="70"/>
      <c r="C392" s="65"/>
      <c r="D392" s="70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x14ac:dyDescent="0.3">
      <c r="A393" s="70"/>
      <c r="B393" s="70"/>
      <c r="C393" s="65"/>
      <c r="D393" s="70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x14ac:dyDescent="0.3">
      <c r="A394" s="70"/>
      <c r="B394" s="70"/>
      <c r="C394" s="65"/>
      <c r="D394" s="70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x14ac:dyDescent="0.3">
      <c r="A395" s="70"/>
      <c r="B395" s="70"/>
      <c r="C395" s="65"/>
      <c r="D395" s="70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x14ac:dyDescent="0.3">
      <c r="A396" s="70"/>
      <c r="B396" s="70"/>
      <c r="C396" s="65"/>
      <c r="D396" s="70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x14ac:dyDescent="0.3">
      <c r="A397" s="70"/>
      <c r="B397" s="70"/>
      <c r="C397" s="65"/>
      <c r="D397" s="70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x14ac:dyDescent="0.3">
      <c r="A398" s="70"/>
      <c r="B398" s="70"/>
      <c r="C398" s="65"/>
      <c r="D398" s="70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x14ac:dyDescent="0.3">
      <c r="A399" s="70"/>
      <c r="B399" s="70"/>
      <c r="C399" s="65"/>
      <c r="D399" s="70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x14ac:dyDescent="0.3">
      <c r="A400" s="70"/>
      <c r="B400" s="70"/>
      <c r="C400" s="65"/>
      <c r="D400" s="70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x14ac:dyDescent="0.3">
      <c r="A401" s="70"/>
      <c r="B401" s="70"/>
      <c r="C401" s="65"/>
      <c r="D401" s="70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x14ac:dyDescent="0.3">
      <c r="A402" s="70"/>
      <c r="B402" s="70"/>
      <c r="C402" s="65"/>
      <c r="D402" s="70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x14ac:dyDescent="0.3">
      <c r="A403" s="70"/>
      <c r="B403" s="70"/>
      <c r="C403" s="65"/>
      <c r="D403" s="70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x14ac:dyDescent="0.3">
      <c r="A404" s="70"/>
      <c r="B404" s="70"/>
      <c r="C404" s="65"/>
      <c r="D404" s="70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x14ac:dyDescent="0.3">
      <c r="A405" s="70"/>
      <c r="B405" s="70"/>
      <c r="C405" s="65"/>
      <c r="D405" s="70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x14ac:dyDescent="0.3">
      <c r="A406" s="70"/>
      <c r="B406" s="70"/>
      <c r="C406" s="65"/>
      <c r="D406" s="70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x14ac:dyDescent="0.3">
      <c r="A407" s="70"/>
      <c r="B407" s="70"/>
      <c r="C407" s="65"/>
      <c r="D407" s="70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x14ac:dyDescent="0.3">
      <c r="A408" s="70"/>
      <c r="B408" s="70"/>
      <c r="C408" s="65"/>
      <c r="D408" s="70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x14ac:dyDescent="0.3">
      <c r="A409" s="70"/>
      <c r="B409" s="70"/>
      <c r="C409" s="65"/>
      <c r="D409" s="70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x14ac:dyDescent="0.3">
      <c r="A410" s="70"/>
      <c r="B410" s="70"/>
      <c r="C410" s="65"/>
      <c r="D410" s="7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x14ac:dyDescent="0.3">
      <c r="A411" s="70"/>
      <c r="B411" s="70"/>
      <c r="C411" s="65"/>
      <c r="D411" s="7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x14ac:dyDescent="0.3">
      <c r="A412" s="70"/>
      <c r="B412" s="70"/>
      <c r="C412" s="65"/>
      <c r="D412" s="7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x14ac:dyDescent="0.3">
      <c r="A413" s="70"/>
      <c r="B413" s="70"/>
      <c r="C413" s="65"/>
      <c r="D413" s="7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x14ac:dyDescent="0.3">
      <c r="A414" s="70"/>
      <c r="B414" s="70"/>
      <c r="C414" s="65"/>
      <c r="D414" s="7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x14ac:dyDescent="0.3">
      <c r="A415" s="70"/>
      <c r="B415" s="70"/>
      <c r="C415" s="65"/>
      <c r="D415" s="7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x14ac:dyDescent="0.3">
      <c r="A416" s="70"/>
      <c r="B416" s="70"/>
      <c r="C416" s="65"/>
      <c r="D416" s="7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x14ac:dyDescent="0.3">
      <c r="A417" s="70"/>
      <c r="B417" s="70"/>
      <c r="C417" s="65"/>
      <c r="D417" s="7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x14ac:dyDescent="0.3">
      <c r="A418" s="70"/>
      <c r="B418" s="70"/>
      <c r="C418" s="65"/>
      <c r="D418" s="7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x14ac:dyDescent="0.3">
      <c r="A419" s="70"/>
      <c r="B419" s="70"/>
      <c r="C419" s="65"/>
      <c r="D419" s="7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x14ac:dyDescent="0.3">
      <c r="A420" s="70"/>
      <c r="B420" s="70"/>
      <c r="C420" s="65"/>
      <c r="D420" s="7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x14ac:dyDescent="0.3">
      <c r="A421" s="70"/>
      <c r="B421" s="70"/>
      <c r="C421" s="65"/>
      <c r="D421" s="7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x14ac:dyDescent="0.3">
      <c r="A422" s="70"/>
      <c r="B422" s="70"/>
      <c r="C422" s="65"/>
      <c r="D422" s="7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x14ac:dyDescent="0.3">
      <c r="A423" s="70"/>
      <c r="B423" s="70"/>
      <c r="C423" s="65"/>
      <c r="D423" s="7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x14ac:dyDescent="0.3">
      <c r="A424" s="70"/>
      <c r="B424" s="70"/>
      <c r="C424" s="65"/>
      <c r="D424" s="7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x14ac:dyDescent="0.3">
      <c r="A425" s="70"/>
      <c r="B425" s="70"/>
      <c r="C425" s="65"/>
      <c r="D425" s="7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x14ac:dyDescent="0.3">
      <c r="A426" s="70"/>
      <c r="B426" s="70"/>
      <c r="C426" s="65"/>
      <c r="D426" s="7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x14ac:dyDescent="0.3">
      <c r="A427" s="70"/>
      <c r="B427" s="70"/>
      <c r="C427" s="65"/>
      <c r="D427" s="7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x14ac:dyDescent="0.3">
      <c r="A428" s="70"/>
      <c r="B428" s="70"/>
      <c r="C428" s="65"/>
      <c r="D428" s="7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x14ac:dyDescent="0.3">
      <c r="A429" s="70"/>
      <c r="B429" s="70"/>
      <c r="C429" s="65"/>
      <c r="D429" s="7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x14ac:dyDescent="0.3">
      <c r="A430" s="70"/>
      <c r="B430" s="70"/>
      <c r="C430" s="65"/>
      <c r="D430" s="7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x14ac:dyDescent="0.3">
      <c r="A431" s="70"/>
      <c r="B431" s="70"/>
      <c r="C431" s="65"/>
      <c r="D431" s="7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x14ac:dyDescent="0.3">
      <c r="A432" s="70"/>
      <c r="B432" s="70"/>
      <c r="C432" s="65"/>
      <c r="D432" s="7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x14ac:dyDescent="0.3">
      <c r="A433" s="70"/>
      <c r="B433" s="70"/>
      <c r="C433" s="65"/>
      <c r="D433" s="7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x14ac:dyDescent="0.3">
      <c r="A434" s="70"/>
      <c r="B434" s="70"/>
      <c r="C434" s="65"/>
      <c r="D434" s="7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x14ac:dyDescent="0.3">
      <c r="A435" s="70"/>
      <c r="B435" s="70"/>
      <c r="C435" s="65"/>
      <c r="D435" s="7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x14ac:dyDescent="0.3">
      <c r="A436" s="70"/>
      <c r="B436" s="70"/>
      <c r="C436" s="65"/>
      <c r="D436" s="7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x14ac:dyDescent="0.3">
      <c r="A437" s="70"/>
      <c r="B437" s="70"/>
      <c r="C437" s="65"/>
      <c r="D437" s="7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x14ac:dyDescent="0.3">
      <c r="A438" s="70"/>
      <c r="B438" s="70"/>
      <c r="C438" s="65"/>
      <c r="D438" s="7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x14ac:dyDescent="0.3">
      <c r="A439" s="70"/>
      <c r="B439" s="70"/>
      <c r="C439" s="65"/>
      <c r="D439" s="7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x14ac:dyDescent="0.3">
      <c r="A440" s="70"/>
      <c r="B440" s="70"/>
      <c r="C440" s="65"/>
      <c r="D440" s="7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x14ac:dyDescent="0.3">
      <c r="A441" s="70"/>
      <c r="B441" s="70"/>
      <c r="C441" s="65"/>
      <c r="D441" s="7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x14ac:dyDescent="0.3">
      <c r="A442" s="70"/>
      <c r="B442" s="70"/>
      <c r="C442" s="65"/>
      <c r="D442" s="7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x14ac:dyDescent="0.3">
      <c r="A443" s="70"/>
      <c r="B443" s="70"/>
      <c r="C443" s="65"/>
      <c r="D443" s="7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x14ac:dyDescent="0.3">
      <c r="A444" s="70"/>
      <c r="B444" s="70"/>
      <c r="C444" s="65"/>
      <c r="D444" s="7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x14ac:dyDescent="0.3">
      <c r="A445" s="70"/>
      <c r="B445" s="70"/>
      <c r="C445" s="65"/>
      <c r="D445" s="7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x14ac:dyDescent="0.3">
      <c r="A446" s="70"/>
      <c r="B446" s="70"/>
      <c r="C446" s="65"/>
      <c r="D446" s="7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x14ac:dyDescent="0.3">
      <c r="A447" s="70"/>
      <c r="B447" s="70"/>
      <c r="C447" s="65"/>
      <c r="D447" s="7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x14ac:dyDescent="0.3">
      <c r="A448" s="70"/>
      <c r="B448" s="70"/>
      <c r="C448" s="65"/>
      <c r="D448" s="7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x14ac:dyDescent="0.3">
      <c r="A449" s="70"/>
      <c r="B449" s="70"/>
      <c r="C449" s="65"/>
      <c r="D449" s="7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x14ac:dyDescent="0.3">
      <c r="A450" s="70"/>
      <c r="B450" s="70"/>
      <c r="C450" s="65"/>
      <c r="D450" s="7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x14ac:dyDescent="0.3">
      <c r="A451" s="70"/>
      <c r="B451" s="70"/>
      <c r="C451" s="65"/>
      <c r="D451" s="7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x14ac:dyDescent="0.3">
      <c r="A452" s="70"/>
      <c r="B452" s="70"/>
      <c r="C452" s="65"/>
      <c r="D452" s="7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x14ac:dyDescent="0.3">
      <c r="A453" s="70"/>
      <c r="B453" s="70"/>
      <c r="C453" s="65"/>
      <c r="D453" s="7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x14ac:dyDescent="0.3">
      <c r="A454" s="70"/>
      <c r="B454" s="70"/>
      <c r="C454" s="65"/>
      <c r="D454" s="7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x14ac:dyDescent="0.3">
      <c r="A455" s="70"/>
      <c r="B455" s="70"/>
      <c r="C455" s="65"/>
      <c r="D455" s="7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x14ac:dyDescent="0.3">
      <c r="A456" s="70"/>
      <c r="B456" s="70"/>
      <c r="C456" s="65"/>
      <c r="D456" s="7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x14ac:dyDescent="0.3">
      <c r="A457" s="70"/>
      <c r="B457" s="70"/>
      <c r="C457" s="65"/>
      <c r="D457" s="7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x14ac:dyDescent="0.3">
      <c r="A458" s="70"/>
      <c r="B458" s="70"/>
      <c r="C458" s="65"/>
      <c r="D458" s="7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x14ac:dyDescent="0.3">
      <c r="A459" s="70"/>
      <c r="B459" s="70"/>
      <c r="C459" s="65"/>
      <c r="D459" s="7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x14ac:dyDescent="0.3">
      <c r="A460" s="70"/>
      <c r="B460" s="70"/>
      <c r="C460" s="65"/>
      <c r="D460" s="7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x14ac:dyDescent="0.3">
      <c r="A461" s="70"/>
      <c r="B461" s="70"/>
      <c r="C461" s="65"/>
      <c r="D461" s="7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x14ac:dyDescent="0.3">
      <c r="A462" s="70"/>
      <c r="B462" s="70"/>
      <c r="C462" s="65"/>
      <c r="D462" s="7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x14ac:dyDescent="0.3">
      <c r="A463" s="70"/>
      <c r="B463" s="70"/>
      <c r="C463" s="65"/>
      <c r="D463" s="7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x14ac:dyDescent="0.3">
      <c r="A464" s="70"/>
      <c r="B464" s="70"/>
      <c r="C464" s="65"/>
      <c r="D464" s="7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x14ac:dyDescent="0.3">
      <c r="A465" s="70"/>
      <c r="B465" s="70"/>
      <c r="C465" s="65"/>
      <c r="D465" s="7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x14ac:dyDescent="0.3">
      <c r="A466" s="70"/>
      <c r="B466" s="70"/>
      <c r="C466" s="65"/>
      <c r="D466" s="7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x14ac:dyDescent="0.3">
      <c r="A467" s="70"/>
      <c r="B467" s="70"/>
      <c r="C467" s="65"/>
      <c r="D467" s="7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x14ac:dyDescent="0.3">
      <c r="A468" s="70"/>
      <c r="B468" s="70"/>
      <c r="C468" s="65"/>
      <c r="D468" s="7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x14ac:dyDescent="0.3">
      <c r="A469" s="70"/>
      <c r="B469" s="70"/>
      <c r="C469" s="65"/>
      <c r="D469" s="7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x14ac:dyDescent="0.3">
      <c r="A470" s="70"/>
      <c r="B470" s="70"/>
      <c r="C470" s="65"/>
      <c r="D470" s="7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x14ac:dyDescent="0.3">
      <c r="A471" s="70"/>
      <c r="B471" s="70"/>
      <c r="C471" s="65"/>
      <c r="D471" s="7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x14ac:dyDescent="0.3">
      <c r="A472" s="70"/>
      <c r="B472" s="70"/>
      <c r="C472" s="65"/>
      <c r="D472" s="7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x14ac:dyDescent="0.3">
      <c r="A473" s="70"/>
      <c r="B473" s="70"/>
      <c r="C473" s="65"/>
      <c r="D473" s="7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x14ac:dyDescent="0.3">
      <c r="A474" s="70"/>
      <c r="B474" s="70"/>
      <c r="C474" s="65"/>
      <c r="D474" s="7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x14ac:dyDescent="0.3">
      <c r="A475" s="70"/>
      <c r="B475" s="70"/>
      <c r="C475" s="65"/>
      <c r="D475" s="7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x14ac:dyDescent="0.3">
      <c r="A476" s="70"/>
      <c r="B476" s="70"/>
      <c r="C476" s="65"/>
      <c r="D476" s="7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x14ac:dyDescent="0.3">
      <c r="A477" s="70"/>
      <c r="B477" s="70"/>
      <c r="C477" s="65"/>
      <c r="D477" s="7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x14ac:dyDescent="0.3">
      <c r="A478" s="70"/>
      <c r="B478" s="70"/>
      <c r="C478" s="65"/>
      <c r="D478" s="7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x14ac:dyDescent="0.3">
      <c r="A479" s="70"/>
      <c r="B479" s="70"/>
      <c r="C479" s="65"/>
      <c r="D479" s="7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x14ac:dyDescent="0.3">
      <c r="A480" s="70"/>
      <c r="B480" s="70"/>
      <c r="C480" s="65"/>
      <c r="D480" s="7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x14ac:dyDescent="0.3">
      <c r="A481" s="70"/>
      <c r="B481" s="70"/>
      <c r="C481" s="65"/>
      <c r="D481" s="7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x14ac:dyDescent="0.3">
      <c r="A482" s="70"/>
      <c r="B482" s="70"/>
      <c r="C482" s="65"/>
      <c r="D482" s="7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x14ac:dyDescent="0.3">
      <c r="A483" s="70"/>
      <c r="B483" s="70"/>
      <c r="C483" s="65"/>
      <c r="D483" s="7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x14ac:dyDescent="0.3">
      <c r="A484" s="70"/>
      <c r="B484" s="70"/>
      <c r="C484" s="65"/>
      <c r="D484" s="7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x14ac:dyDescent="0.3">
      <c r="A485" s="70"/>
      <c r="B485" s="70"/>
      <c r="C485" s="65"/>
      <c r="D485" s="7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x14ac:dyDescent="0.3">
      <c r="A486" s="70"/>
      <c r="B486" s="70"/>
      <c r="C486" s="65"/>
      <c r="D486" s="7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x14ac:dyDescent="0.3">
      <c r="A487" s="70"/>
      <c r="B487" s="70"/>
      <c r="C487" s="65"/>
      <c r="D487" s="7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x14ac:dyDescent="0.3">
      <c r="A488" s="70"/>
      <c r="B488" s="70"/>
      <c r="C488" s="65"/>
      <c r="D488" s="7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x14ac:dyDescent="0.3">
      <c r="A489" s="70"/>
      <c r="B489" s="70"/>
      <c r="C489" s="65"/>
      <c r="D489" s="7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x14ac:dyDescent="0.3">
      <c r="A490" s="70"/>
      <c r="B490" s="70"/>
      <c r="C490" s="65"/>
      <c r="D490" s="7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x14ac:dyDescent="0.3">
      <c r="A491" s="70"/>
      <c r="B491" s="70"/>
      <c r="C491" s="65"/>
      <c r="D491" s="7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x14ac:dyDescent="0.3">
      <c r="A492" s="70"/>
      <c r="B492" s="70"/>
      <c r="C492" s="65"/>
      <c r="D492" s="7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x14ac:dyDescent="0.3">
      <c r="A493" s="70"/>
      <c r="B493" s="70"/>
      <c r="C493" s="65"/>
      <c r="D493" s="7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x14ac:dyDescent="0.3">
      <c r="A494" s="70"/>
      <c r="B494" s="70"/>
      <c r="C494" s="65"/>
      <c r="D494" s="7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x14ac:dyDescent="0.3">
      <c r="A495" s="70"/>
      <c r="B495" s="70"/>
      <c r="C495" s="65"/>
      <c r="D495" s="7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x14ac:dyDescent="0.3">
      <c r="A496" s="70"/>
      <c r="B496" s="70"/>
      <c r="C496" s="65"/>
      <c r="D496" s="7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x14ac:dyDescent="0.3">
      <c r="A497" s="70"/>
      <c r="B497" s="70"/>
      <c r="C497" s="65"/>
      <c r="D497" s="7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x14ac:dyDescent="0.3">
      <c r="A498" s="70"/>
      <c r="B498" s="70"/>
      <c r="C498" s="65"/>
      <c r="D498" s="7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x14ac:dyDescent="0.3">
      <c r="A499" s="70"/>
      <c r="B499" s="70"/>
      <c r="C499" s="65"/>
      <c r="D499" s="7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x14ac:dyDescent="0.3">
      <c r="A500" s="70"/>
      <c r="B500" s="70"/>
      <c r="C500" s="65"/>
      <c r="D500" s="7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x14ac:dyDescent="0.3">
      <c r="A501" s="70"/>
      <c r="B501" s="70"/>
      <c r="C501" s="65"/>
      <c r="D501" s="7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x14ac:dyDescent="0.3">
      <c r="A502" s="70"/>
      <c r="B502" s="70"/>
      <c r="C502" s="65"/>
      <c r="D502" s="7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x14ac:dyDescent="0.3">
      <c r="A503" s="70"/>
      <c r="B503" s="70"/>
      <c r="C503" s="65"/>
      <c r="D503" s="7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x14ac:dyDescent="0.3">
      <c r="A504" s="70"/>
      <c r="B504" s="70"/>
      <c r="C504" s="65"/>
      <c r="D504" s="7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x14ac:dyDescent="0.3">
      <c r="A505" s="70"/>
      <c r="B505" s="70"/>
      <c r="C505" s="65"/>
      <c r="D505" s="7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x14ac:dyDescent="0.3">
      <c r="A506" s="70"/>
      <c r="B506" s="70"/>
      <c r="C506" s="65"/>
      <c r="D506" s="7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x14ac:dyDescent="0.3">
      <c r="A507" s="70"/>
      <c r="B507" s="70"/>
      <c r="C507" s="65"/>
      <c r="D507" s="7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x14ac:dyDescent="0.3">
      <c r="A508" s="70"/>
      <c r="B508" s="70"/>
      <c r="C508" s="65"/>
      <c r="D508" s="7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x14ac:dyDescent="0.3">
      <c r="A509" s="70"/>
      <c r="B509" s="70"/>
      <c r="C509" s="65"/>
      <c r="D509" s="7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x14ac:dyDescent="0.3">
      <c r="A510" s="70"/>
      <c r="B510" s="70"/>
      <c r="C510" s="65"/>
      <c r="D510" s="7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x14ac:dyDescent="0.3">
      <c r="A511" s="70"/>
      <c r="B511" s="70"/>
      <c r="C511" s="65"/>
      <c r="D511" s="7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x14ac:dyDescent="0.3">
      <c r="A512" s="70"/>
      <c r="B512" s="70"/>
      <c r="C512" s="65"/>
      <c r="D512" s="7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x14ac:dyDescent="0.3">
      <c r="A513" s="70"/>
      <c r="B513" s="70"/>
      <c r="C513" s="65"/>
      <c r="D513" s="7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x14ac:dyDescent="0.3">
      <c r="A514" s="70"/>
      <c r="B514" s="70"/>
      <c r="C514" s="65"/>
      <c r="D514" s="7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x14ac:dyDescent="0.3">
      <c r="A515" s="70"/>
      <c r="B515" s="70"/>
      <c r="C515" s="65"/>
      <c r="D515" s="7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x14ac:dyDescent="0.3">
      <c r="A516" s="70"/>
      <c r="B516" s="70"/>
      <c r="C516" s="65"/>
      <c r="D516" s="7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x14ac:dyDescent="0.3">
      <c r="A517" s="70"/>
      <c r="B517" s="70"/>
      <c r="C517" s="65"/>
      <c r="D517" s="7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x14ac:dyDescent="0.3">
      <c r="A518" s="70"/>
      <c r="B518" s="70"/>
      <c r="C518" s="65"/>
      <c r="D518" s="7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x14ac:dyDescent="0.3">
      <c r="A519" s="70"/>
      <c r="B519" s="70"/>
      <c r="C519" s="65"/>
      <c r="D519" s="7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x14ac:dyDescent="0.3">
      <c r="A520" s="70"/>
      <c r="B520" s="70"/>
      <c r="C520" s="65"/>
      <c r="D520" s="7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x14ac:dyDescent="0.3">
      <c r="A521" s="70"/>
      <c r="B521" s="70"/>
      <c r="C521" s="65"/>
      <c r="D521" s="7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x14ac:dyDescent="0.3">
      <c r="A522" s="70"/>
      <c r="B522" s="70"/>
      <c r="C522" s="65"/>
      <c r="D522" s="7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x14ac:dyDescent="0.3">
      <c r="A523" s="70"/>
      <c r="B523" s="70"/>
      <c r="C523" s="65"/>
      <c r="D523" s="7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x14ac:dyDescent="0.3">
      <c r="A524" s="70"/>
      <c r="B524" s="70"/>
      <c r="C524" s="65"/>
      <c r="D524" s="7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x14ac:dyDescent="0.3">
      <c r="A525" s="70"/>
      <c r="B525" s="70"/>
      <c r="C525" s="65"/>
      <c r="D525" s="7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x14ac:dyDescent="0.3">
      <c r="A526" s="70"/>
      <c r="B526" s="70"/>
      <c r="C526" s="65"/>
      <c r="D526" s="7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x14ac:dyDescent="0.3">
      <c r="A527" s="70"/>
      <c r="B527" s="70"/>
      <c r="C527" s="65"/>
      <c r="D527" s="7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x14ac:dyDescent="0.3">
      <c r="A528" s="70"/>
      <c r="B528" s="70"/>
      <c r="C528" s="65"/>
      <c r="D528" s="7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x14ac:dyDescent="0.3">
      <c r="A529" s="70"/>
      <c r="B529" s="70"/>
      <c r="C529" s="65"/>
      <c r="D529" s="7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x14ac:dyDescent="0.3">
      <c r="A530" s="70"/>
      <c r="B530" s="70"/>
      <c r="C530" s="65"/>
      <c r="D530" s="7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x14ac:dyDescent="0.3">
      <c r="A531" s="70"/>
      <c r="B531" s="70"/>
      <c r="C531" s="65"/>
      <c r="D531" s="7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x14ac:dyDescent="0.3">
      <c r="A532" s="70"/>
      <c r="B532" s="70"/>
      <c r="C532" s="65"/>
      <c r="D532" s="7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x14ac:dyDescent="0.3">
      <c r="A533" s="70"/>
      <c r="B533" s="70"/>
      <c r="C533" s="65"/>
      <c r="D533" s="7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x14ac:dyDescent="0.3">
      <c r="A534" s="70"/>
      <c r="B534" s="70"/>
      <c r="C534" s="65"/>
      <c r="D534" s="7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x14ac:dyDescent="0.3">
      <c r="A535" s="70"/>
      <c r="B535" s="70"/>
      <c r="C535" s="65"/>
      <c r="D535" s="7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x14ac:dyDescent="0.3">
      <c r="A536" s="70"/>
      <c r="B536" s="70"/>
      <c r="C536" s="65"/>
      <c r="D536" s="7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x14ac:dyDescent="0.3">
      <c r="A537" s="70"/>
      <c r="B537" s="70"/>
      <c r="C537" s="65"/>
      <c r="D537" s="7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x14ac:dyDescent="0.3">
      <c r="A538" s="70"/>
      <c r="B538" s="70"/>
      <c r="C538" s="65"/>
      <c r="D538" s="7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x14ac:dyDescent="0.3">
      <c r="A539" s="70"/>
      <c r="B539" s="70"/>
      <c r="C539" s="65"/>
      <c r="D539" s="7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x14ac:dyDescent="0.3">
      <c r="A540" s="70"/>
      <c r="B540" s="70"/>
      <c r="C540" s="65"/>
      <c r="D540" s="7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x14ac:dyDescent="0.3">
      <c r="A541" s="70"/>
      <c r="B541" s="70"/>
      <c r="C541" s="65"/>
      <c r="D541" s="7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x14ac:dyDescent="0.3">
      <c r="A542" s="70"/>
      <c r="B542" s="70"/>
      <c r="C542" s="65"/>
      <c r="D542" s="7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x14ac:dyDescent="0.3">
      <c r="A543" s="70"/>
      <c r="B543" s="70"/>
      <c r="C543" s="65"/>
      <c r="D543" s="7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x14ac:dyDescent="0.3">
      <c r="A544" s="70"/>
      <c r="B544" s="70"/>
      <c r="C544" s="65"/>
      <c r="D544" s="7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x14ac:dyDescent="0.3">
      <c r="A545" s="70"/>
      <c r="B545" s="70"/>
      <c r="C545" s="65"/>
      <c r="D545" s="7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x14ac:dyDescent="0.3">
      <c r="A546" s="70"/>
      <c r="B546" s="70"/>
      <c r="C546" s="65"/>
      <c r="D546" s="7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x14ac:dyDescent="0.3">
      <c r="A547" s="70"/>
      <c r="B547" s="70"/>
      <c r="C547" s="65"/>
      <c r="D547" s="7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x14ac:dyDescent="0.3">
      <c r="A548" s="70"/>
      <c r="B548" s="70"/>
      <c r="C548" s="65"/>
      <c r="D548" s="7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x14ac:dyDescent="0.3">
      <c r="A549" s="70"/>
      <c r="B549" s="70"/>
      <c r="C549" s="65"/>
      <c r="D549" s="7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x14ac:dyDescent="0.3">
      <c r="A550" s="70"/>
      <c r="B550" s="70"/>
      <c r="C550" s="65"/>
      <c r="D550" s="7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x14ac:dyDescent="0.3">
      <c r="A551" s="70"/>
      <c r="B551" s="70"/>
      <c r="C551" s="65"/>
      <c r="D551" s="7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x14ac:dyDescent="0.3">
      <c r="A552" s="70"/>
      <c r="B552" s="70"/>
      <c r="C552" s="65"/>
      <c r="D552" s="7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x14ac:dyDescent="0.3">
      <c r="A553" s="70"/>
      <c r="B553" s="70"/>
      <c r="C553" s="65"/>
      <c r="D553" s="7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x14ac:dyDescent="0.3">
      <c r="A554" s="70"/>
      <c r="B554" s="70"/>
      <c r="C554" s="65"/>
      <c r="D554" s="7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x14ac:dyDescent="0.3">
      <c r="A555" s="70"/>
      <c r="B555" s="70"/>
      <c r="C555" s="65"/>
      <c r="D555" s="7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x14ac:dyDescent="0.3">
      <c r="A556" s="70"/>
      <c r="B556" s="70"/>
      <c r="C556" s="65"/>
      <c r="D556" s="7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x14ac:dyDescent="0.3">
      <c r="A557" s="70"/>
      <c r="B557" s="70"/>
      <c r="C557" s="65"/>
      <c r="D557" s="7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x14ac:dyDescent="0.3">
      <c r="A558" s="70"/>
      <c r="B558" s="70"/>
      <c r="C558" s="65"/>
      <c r="D558" s="7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x14ac:dyDescent="0.3">
      <c r="A559" s="70"/>
      <c r="B559" s="70"/>
      <c r="C559" s="65"/>
      <c r="D559" s="7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x14ac:dyDescent="0.3">
      <c r="A560" s="70"/>
      <c r="B560" s="70"/>
      <c r="C560" s="65"/>
      <c r="D560" s="7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x14ac:dyDescent="0.3">
      <c r="A561" s="70"/>
      <c r="B561" s="70"/>
      <c r="C561" s="65"/>
      <c r="D561" s="7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x14ac:dyDescent="0.3">
      <c r="A562" s="70"/>
      <c r="B562" s="70"/>
      <c r="C562" s="65"/>
      <c r="D562" s="7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x14ac:dyDescent="0.3">
      <c r="A563" s="70"/>
      <c r="B563" s="70"/>
      <c r="C563" s="65"/>
      <c r="D563" s="7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x14ac:dyDescent="0.3">
      <c r="A564" s="70"/>
      <c r="B564" s="70"/>
      <c r="C564" s="65"/>
      <c r="D564" s="7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x14ac:dyDescent="0.3">
      <c r="A565" s="70"/>
      <c r="B565" s="70"/>
      <c r="C565" s="65"/>
      <c r="D565" s="7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x14ac:dyDescent="0.3">
      <c r="A566" s="70"/>
      <c r="B566" s="70"/>
      <c r="C566" s="65"/>
      <c r="D566" s="7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x14ac:dyDescent="0.3">
      <c r="A567" s="70"/>
      <c r="B567" s="70"/>
      <c r="C567" s="65"/>
      <c r="D567" s="7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x14ac:dyDescent="0.3">
      <c r="A568" s="70"/>
      <c r="B568" s="70"/>
      <c r="C568" s="65"/>
      <c r="D568" s="7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x14ac:dyDescent="0.3">
      <c r="A569" s="70"/>
      <c r="B569" s="70"/>
      <c r="C569" s="65"/>
      <c r="D569" s="7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x14ac:dyDescent="0.3">
      <c r="A570" s="70"/>
      <c r="B570" s="70"/>
      <c r="C570" s="65"/>
      <c r="D570" s="7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x14ac:dyDescent="0.3">
      <c r="A571" s="70"/>
      <c r="B571" s="70"/>
      <c r="C571" s="65"/>
      <c r="D571" s="7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x14ac:dyDescent="0.3">
      <c r="A572" s="70"/>
      <c r="B572" s="70"/>
      <c r="C572" s="65"/>
      <c r="D572" s="7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x14ac:dyDescent="0.3">
      <c r="A573" s="70"/>
      <c r="B573" s="70"/>
      <c r="C573" s="65"/>
      <c r="D573" s="7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x14ac:dyDescent="0.3">
      <c r="A574" s="70"/>
      <c r="B574" s="70"/>
      <c r="C574" s="65"/>
      <c r="D574" s="7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x14ac:dyDescent="0.3">
      <c r="A575" s="70"/>
      <c r="B575" s="70"/>
      <c r="C575" s="65"/>
      <c r="D575" s="7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x14ac:dyDescent="0.3">
      <c r="A576" s="70"/>
      <c r="B576" s="70"/>
      <c r="C576" s="65"/>
      <c r="D576" s="7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x14ac:dyDescent="0.3">
      <c r="A577" s="70"/>
      <c r="B577" s="70"/>
      <c r="C577" s="65"/>
      <c r="D577" s="7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x14ac:dyDescent="0.3">
      <c r="A578" s="70"/>
      <c r="B578" s="70"/>
      <c r="C578" s="65"/>
      <c r="D578" s="7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x14ac:dyDescent="0.3">
      <c r="A579" s="70"/>
      <c r="B579" s="70"/>
      <c r="C579" s="65"/>
      <c r="D579" s="7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x14ac:dyDescent="0.3">
      <c r="A580" s="70"/>
      <c r="B580" s="70"/>
      <c r="C580" s="65"/>
      <c r="D580" s="7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x14ac:dyDescent="0.3">
      <c r="A581" s="70"/>
      <c r="B581" s="70"/>
      <c r="C581" s="65"/>
      <c r="D581" s="7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x14ac:dyDescent="0.3">
      <c r="A582" s="70"/>
      <c r="B582" s="70"/>
      <c r="C582" s="65"/>
      <c r="D582" s="7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x14ac:dyDescent="0.3">
      <c r="A583" s="70"/>
      <c r="B583" s="70"/>
      <c r="C583" s="65"/>
      <c r="D583" s="7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x14ac:dyDescent="0.3">
      <c r="A584" s="70"/>
      <c r="B584" s="70"/>
      <c r="C584" s="65"/>
      <c r="D584" s="7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x14ac:dyDescent="0.3">
      <c r="A585" s="70"/>
      <c r="B585" s="70"/>
      <c r="C585" s="65"/>
      <c r="D585" s="7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x14ac:dyDescent="0.3">
      <c r="A586" s="70"/>
      <c r="B586" s="70"/>
      <c r="C586" s="65"/>
      <c r="D586" s="7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x14ac:dyDescent="0.3">
      <c r="A587" s="70"/>
      <c r="B587" s="70"/>
      <c r="C587" s="65"/>
      <c r="D587" s="7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x14ac:dyDescent="0.3">
      <c r="A588" s="70"/>
      <c r="B588" s="70"/>
      <c r="C588" s="65"/>
      <c r="D588" s="7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x14ac:dyDescent="0.3">
      <c r="A589" s="70"/>
      <c r="B589" s="70"/>
      <c r="C589" s="65"/>
      <c r="D589" s="7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x14ac:dyDescent="0.3">
      <c r="A590" s="70"/>
      <c r="B590" s="70"/>
      <c r="C590" s="65"/>
      <c r="D590" s="7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x14ac:dyDescent="0.3">
      <c r="A591" s="70"/>
      <c r="B591" s="70"/>
      <c r="C591" s="65"/>
      <c r="D591" s="7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x14ac:dyDescent="0.3">
      <c r="A592" s="70"/>
      <c r="B592" s="70"/>
      <c r="C592" s="65"/>
      <c r="D592" s="7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x14ac:dyDescent="0.3">
      <c r="A593" s="70"/>
      <c r="B593" s="70"/>
      <c r="C593" s="65"/>
      <c r="D593" s="7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x14ac:dyDescent="0.3">
      <c r="A594" s="70"/>
      <c r="B594" s="70"/>
      <c r="C594" s="65"/>
      <c r="D594" s="7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x14ac:dyDescent="0.3">
      <c r="A595" s="70"/>
      <c r="B595" s="70"/>
      <c r="C595" s="65"/>
      <c r="D595" s="7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x14ac:dyDescent="0.3">
      <c r="A596" s="70"/>
      <c r="B596" s="70"/>
      <c r="C596" s="65"/>
      <c r="D596" s="7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x14ac:dyDescent="0.3">
      <c r="A597" s="70"/>
      <c r="B597" s="70"/>
      <c r="C597" s="65"/>
      <c r="D597" s="7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x14ac:dyDescent="0.3">
      <c r="A598" s="70"/>
      <c r="B598" s="70"/>
      <c r="C598" s="65"/>
      <c r="D598" s="7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x14ac:dyDescent="0.3">
      <c r="A599" s="70"/>
      <c r="B599" s="70"/>
      <c r="C599" s="65"/>
      <c r="D599" s="7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x14ac:dyDescent="0.3">
      <c r="A600" s="70"/>
      <c r="B600" s="70"/>
      <c r="C600" s="65"/>
      <c r="D600" s="7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x14ac:dyDescent="0.3">
      <c r="A601" s="70"/>
      <c r="B601" s="70"/>
      <c r="C601" s="65"/>
      <c r="D601" s="7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x14ac:dyDescent="0.3">
      <c r="A602" s="70"/>
      <c r="B602" s="70"/>
      <c r="C602" s="65"/>
      <c r="D602" s="7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x14ac:dyDescent="0.3">
      <c r="A603" s="70"/>
      <c r="B603" s="70"/>
      <c r="C603" s="65"/>
      <c r="D603" s="7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x14ac:dyDescent="0.3">
      <c r="A604" s="70"/>
      <c r="B604" s="70"/>
      <c r="C604" s="65"/>
      <c r="D604" s="7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x14ac:dyDescent="0.3">
      <c r="A605" s="70"/>
      <c r="B605" s="70"/>
      <c r="C605" s="65"/>
      <c r="D605" s="7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x14ac:dyDescent="0.3">
      <c r="A606" s="70"/>
      <c r="B606" s="70"/>
      <c r="C606" s="65"/>
      <c r="D606" s="7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x14ac:dyDescent="0.3">
      <c r="A607" s="70"/>
      <c r="B607" s="70"/>
      <c r="C607" s="65"/>
      <c r="D607" s="7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x14ac:dyDescent="0.3">
      <c r="A608" s="70"/>
      <c r="B608" s="70"/>
      <c r="C608" s="65"/>
      <c r="D608" s="7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x14ac:dyDescent="0.3">
      <c r="A609" s="70"/>
      <c r="B609" s="70"/>
      <c r="C609" s="65"/>
      <c r="D609" s="7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x14ac:dyDescent="0.3">
      <c r="A610" s="70"/>
      <c r="B610" s="70"/>
      <c r="C610" s="65"/>
      <c r="D610" s="7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x14ac:dyDescent="0.3">
      <c r="A611" s="70"/>
      <c r="B611" s="70"/>
      <c r="C611" s="65"/>
      <c r="D611" s="7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x14ac:dyDescent="0.3">
      <c r="A612" s="70"/>
      <c r="B612" s="70"/>
      <c r="C612" s="65"/>
      <c r="D612" s="7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x14ac:dyDescent="0.3">
      <c r="A613" s="70"/>
      <c r="B613" s="70"/>
      <c r="C613" s="65"/>
      <c r="D613" s="7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x14ac:dyDescent="0.3">
      <c r="A614" s="70"/>
      <c r="B614" s="70"/>
      <c r="C614" s="65"/>
      <c r="D614" s="7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x14ac:dyDescent="0.3">
      <c r="A615" s="70"/>
      <c r="B615" s="70"/>
      <c r="C615" s="65"/>
      <c r="D615" s="7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x14ac:dyDescent="0.3">
      <c r="A616" s="70"/>
      <c r="B616" s="70"/>
      <c r="C616" s="65"/>
      <c r="D616" s="7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x14ac:dyDescent="0.3">
      <c r="A617" s="70"/>
      <c r="B617" s="70"/>
      <c r="C617" s="65"/>
      <c r="D617" s="7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x14ac:dyDescent="0.3">
      <c r="A618" s="70"/>
      <c r="B618" s="70"/>
      <c r="C618" s="65"/>
      <c r="D618" s="7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x14ac:dyDescent="0.3">
      <c r="A619" s="70"/>
      <c r="B619" s="70"/>
      <c r="C619" s="65"/>
      <c r="D619" s="7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x14ac:dyDescent="0.3">
      <c r="A620" s="70"/>
      <c r="B620" s="70"/>
      <c r="C620" s="65"/>
      <c r="D620" s="7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x14ac:dyDescent="0.3">
      <c r="A621" s="70"/>
      <c r="B621" s="70"/>
      <c r="C621" s="65"/>
      <c r="D621" s="7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x14ac:dyDescent="0.3">
      <c r="A622" s="70"/>
      <c r="B622" s="70"/>
      <c r="C622" s="65"/>
      <c r="D622" s="7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x14ac:dyDescent="0.3">
      <c r="A623" s="70"/>
      <c r="B623" s="70"/>
      <c r="C623" s="65"/>
      <c r="D623" s="7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x14ac:dyDescent="0.3">
      <c r="A624" s="70"/>
      <c r="B624" s="70"/>
      <c r="C624" s="65"/>
      <c r="D624" s="7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x14ac:dyDescent="0.3">
      <c r="A625" s="70"/>
      <c r="B625" s="70"/>
      <c r="C625" s="65"/>
      <c r="D625" s="7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x14ac:dyDescent="0.3">
      <c r="A626" s="70"/>
      <c r="B626" s="70"/>
      <c r="C626" s="65"/>
      <c r="D626" s="7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x14ac:dyDescent="0.3">
      <c r="A627" s="70"/>
      <c r="B627" s="70"/>
      <c r="C627" s="65"/>
      <c r="D627" s="7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x14ac:dyDescent="0.3">
      <c r="A628" s="70"/>
      <c r="B628" s="70"/>
      <c r="C628" s="65"/>
      <c r="D628" s="7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x14ac:dyDescent="0.3">
      <c r="A629" s="70"/>
      <c r="B629" s="70"/>
      <c r="C629" s="65"/>
      <c r="D629" s="7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x14ac:dyDescent="0.3">
      <c r="A630" s="70"/>
      <c r="B630" s="70"/>
      <c r="C630" s="65"/>
      <c r="D630" s="7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x14ac:dyDescent="0.3">
      <c r="A631" s="70"/>
      <c r="B631" s="70"/>
      <c r="C631" s="65"/>
      <c r="D631" s="7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x14ac:dyDescent="0.3">
      <c r="A632" s="70"/>
      <c r="B632" s="70"/>
      <c r="C632" s="65"/>
      <c r="D632" s="7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x14ac:dyDescent="0.3">
      <c r="A633" s="70"/>
      <c r="B633" s="70"/>
      <c r="C633" s="65"/>
      <c r="D633" s="7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x14ac:dyDescent="0.3">
      <c r="A634" s="70"/>
      <c r="B634" s="70"/>
      <c r="C634" s="65"/>
      <c r="D634" s="7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x14ac:dyDescent="0.3">
      <c r="A635" s="70"/>
      <c r="B635" s="70"/>
      <c r="C635" s="65"/>
      <c r="D635" s="7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x14ac:dyDescent="0.3">
      <c r="A636" s="70"/>
      <c r="B636" s="70"/>
      <c r="C636" s="65"/>
      <c r="D636" s="7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x14ac:dyDescent="0.3">
      <c r="A637" s="70"/>
      <c r="B637" s="70"/>
      <c r="C637" s="65"/>
      <c r="D637" s="7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x14ac:dyDescent="0.3">
      <c r="A638" s="70"/>
      <c r="B638" s="70"/>
      <c r="C638" s="65"/>
      <c r="D638" s="7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x14ac:dyDescent="0.3">
      <c r="A639" s="70"/>
      <c r="B639" s="70"/>
      <c r="C639" s="65"/>
      <c r="D639" s="7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x14ac:dyDescent="0.3">
      <c r="A640" s="70"/>
      <c r="B640" s="70"/>
      <c r="C640" s="65"/>
      <c r="D640" s="7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x14ac:dyDescent="0.3">
      <c r="A641" s="70"/>
      <c r="B641" s="70"/>
      <c r="C641" s="65"/>
      <c r="D641" s="7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x14ac:dyDescent="0.3">
      <c r="A642" s="70"/>
      <c r="B642" s="70"/>
      <c r="C642" s="65"/>
      <c r="D642" s="7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x14ac:dyDescent="0.3">
      <c r="A643" s="70"/>
      <c r="B643" s="70"/>
      <c r="C643" s="65"/>
      <c r="D643" s="7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x14ac:dyDescent="0.3">
      <c r="A644" s="70"/>
      <c r="B644" s="70"/>
      <c r="C644" s="65"/>
      <c r="D644" s="7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x14ac:dyDescent="0.3">
      <c r="A645" s="70"/>
      <c r="B645" s="70"/>
      <c r="C645" s="65"/>
      <c r="D645" s="7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x14ac:dyDescent="0.3">
      <c r="A646" s="70"/>
      <c r="B646" s="70"/>
      <c r="C646" s="65"/>
      <c r="D646" s="7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x14ac:dyDescent="0.3">
      <c r="A647" s="70"/>
      <c r="B647" s="70"/>
      <c r="C647" s="65"/>
      <c r="D647" s="7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x14ac:dyDescent="0.3">
      <c r="A648" s="70"/>
      <c r="B648" s="70"/>
      <c r="C648" s="65"/>
      <c r="D648" s="7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x14ac:dyDescent="0.3">
      <c r="A649" s="70"/>
      <c r="B649" s="70"/>
      <c r="C649" s="65"/>
      <c r="D649" s="7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x14ac:dyDescent="0.3">
      <c r="A650" s="70"/>
      <c r="B650" s="70"/>
      <c r="C650" s="65"/>
      <c r="D650" s="7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x14ac:dyDescent="0.3">
      <c r="A651" s="70"/>
      <c r="B651" s="70"/>
      <c r="C651" s="65"/>
      <c r="D651" s="7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x14ac:dyDescent="0.3">
      <c r="A652" s="70"/>
      <c r="B652" s="70"/>
      <c r="C652" s="65"/>
      <c r="D652" s="7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x14ac:dyDescent="0.3">
      <c r="A653" s="70"/>
      <c r="B653" s="70"/>
      <c r="C653" s="65"/>
      <c r="D653" s="7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x14ac:dyDescent="0.3">
      <c r="A654" s="70"/>
      <c r="B654" s="70"/>
      <c r="C654" s="65"/>
      <c r="D654" s="7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x14ac:dyDescent="0.3">
      <c r="A655" s="70"/>
      <c r="B655" s="70"/>
      <c r="C655" s="65"/>
      <c r="D655" s="7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x14ac:dyDescent="0.3">
      <c r="A656" s="70"/>
      <c r="B656" s="70"/>
      <c r="C656" s="65"/>
      <c r="D656" s="7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x14ac:dyDescent="0.3">
      <c r="A657" s="70"/>
      <c r="B657" s="70"/>
      <c r="C657" s="65"/>
      <c r="D657" s="7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x14ac:dyDescent="0.3">
      <c r="A658" s="70"/>
      <c r="B658" s="70"/>
      <c r="C658" s="65"/>
      <c r="D658" s="7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x14ac:dyDescent="0.3">
      <c r="A659" s="70"/>
      <c r="B659" s="70"/>
      <c r="C659" s="65"/>
      <c r="D659" s="7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x14ac:dyDescent="0.3">
      <c r="A660" s="70"/>
      <c r="B660" s="70"/>
      <c r="C660" s="65"/>
      <c r="D660" s="7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x14ac:dyDescent="0.3">
      <c r="A661" s="70"/>
      <c r="B661" s="70"/>
      <c r="C661" s="65"/>
      <c r="D661" s="7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x14ac:dyDescent="0.3">
      <c r="A662" s="70"/>
      <c r="B662" s="70"/>
      <c r="C662" s="65"/>
      <c r="D662" s="7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x14ac:dyDescent="0.3">
      <c r="A663" s="70"/>
      <c r="B663" s="70"/>
      <c r="C663" s="65"/>
      <c r="D663" s="7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x14ac:dyDescent="0.3">
      <c r="A664" s="70"/>
      <c r="B664" s="70"/>
      <c r="C664" s="65"/>
      <c r="D664" s="7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x14ac:dyDescent="0.3">
      <c r="A665" s="70"/>
      <c r="B665" s="70"/>
      <c r="C665" s="65"/>
      <c r="D665" s="7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x14ac:dyDescent="0.3">
      <c r="A666" s="70"/>
      <c r="B666" s="70"/>
      <c r="C666" s="65"/>
      <c r="D666" s="7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x14ac:dyDescent="0.3">
      <c r="A667" s="70"/>
      <c r="B667" s="70"/>
      <c r="C667" s="65"/>
      <c r="D667" s="7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x14ac:dyDescent="0.3">
      <c r="A668" s="70"/>
      <c r="B668" s="70"/>
      <c r="C668" s="65"/>
      <c r="D668" s="7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x14ac:dyDescent="0.3">
      <c r="A669" s="70"/>
      <c r="B669" s="70"/>
      <c r="C669" s="65"/>
      <c r="D669" s="7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x14ac:dyDescent="0.3">
      <c r="A670" s="70"/>
      <c r="B670" s="70"/>
      <c r="C670" s="65"/>
      <c r="D670" s="7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x14ac:dyDescent="0.3">
      <c r="A671" s="70"/>
      <c r="B671" s="70"/>
      <c r="C671" s="65"/>
      <c r="D671" s="7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x14ac:dyDescent="0.3">
      <c r="A672" s="70"/>
      <c r="B672" s="70"/>
      <c r="C672" s="65"/>
      <c r="D672" s="7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x14ac:dyDescent="0.3">
      <c r="A673" s="70"/>
      <c r="B673" s="70"/>
      <c r="C673" s="65"/>
      <c r="D673" s="7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x14ac:dyDescent="0.3">
      <c r="A674" s="70"/>
      <c r="B674" s="70"/>
      <c r="C674" s="65"/>
      <c r="D674" s="7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x14ac:dyDescent="0.3">
      <c r="A675" s="70"/>
      <c r="B675" s="70"/>
      <c r="C675" s="65"/>
      <c r="D675" s="7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x14ac:dyDescent="0.3">
      <c r="A676" s="70"/>
      <c r="B676" s="70"/>
      <c r="C676" s="65"/>
      <c r="D676" s="7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x14ac:dyDescent="0.3">
      <c r="A677" s="70"/>
      <c r="B677" s="70"/>
      <c r="C677" s="65"/>
      <c r="D677" s="7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x14ac:dyDescent="0.3">
      <c r="A678" s="70"/>
      <c r="B678" s="70"/>
      <c r="C678" s="65"/>
      <c r="D678" s="7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x14ac:dyDescent="0.3">
      <c r="A679" s="70"/>
      <c r="B679" s="70"/>
      <c r="C679" s="65"/>
      <c r="D679" s="7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x14ac:dyDescent="0.3">
      <c r="A680" s="70"/>
      <c r="B680" s="70"/>
      <c r="C680" s="65"/>
      <c r="D680" s="7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x14ac:dyDescent="0.3">
      <c r="A681" s="70"/>
      <c r="B681" s="70"/>
      <c r="C681" s="65"/>
      <c r="D681" s="7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x14ac:dyDescent="0.3">
      <c r="A682" s="70"/>
      <c r="B682" s="70"/>
      <c r="C682" s="65"/>
      <c r="D682" s="7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x14ac:dyDescent="0.3">
      <c r="A683" s="70"/>
      <c r="B683" s="70"/>
      <c r="C683" s="65"/>
      <c r="D683" s="7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x14ac:dyDescent="0.3">
      <c r="A684" s="70"/>
      <c r="B684" s="70"/>
      <c r="C684" s="65"/>
      <c r="D684" s="7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x14ac:dyDescent="0.3">
      <c r="A685" s="70"/>
      <c r="B685" s="70"/>
      <c r="C685" s="65"/>
      <c r="D685" s="7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x14ac:dyDescent="0.3">
      <c r="A686" s="70"/>
      <c r="B686" s="70"/>
      <c r="C686" s="65"/>
      <c r="D686" s="7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x14ac:dyDescent="0.3">
      <c r="A687" s="70"/>
      <c r="B687" s="70"/>
      <c r="C687" s="65"/>
      <c r="D687" s="7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x14ac:dyDescent="0.3">
      <c r="A688" s="70"/>
      <c r="B688" s="70"/>
      <c r="C688" s="65"/>
      <c r="D688" s="7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x14ac:dyDescent="0.3">
      <c r="A689" s="70"/>
      <c r="B689" s="70"/>
      <c r="C689" s="65"/>
      <c r="D689" s="7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x14ac:dyDescent="0.3">
      <c r="A690" s="70"/>
      <c r="B690" s="70"/>
      <c r="C690" s="65"/>
      <c r="D690" s="7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x14ac:dyDescent="0.3">
      <c r="A691" s="70"/>
      <c r="B691" s="70"/>
      <c r="C691" s="65"/>
      <c r="D691" s="7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x14ac:dyDescent="0.3">
      <c r="A692" s="70"/>
      <c r="B692" s="70"/>
      <c r="C692" s="65"/>
      <c r="D692" s="7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x14ac:dyDescent="0.3">
      <c r="A693" s="70"/>
      <c r="B693" s="70"/>
      <c r="C693" s="65"/>
      <c r="D693" s="7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x14ac:dyDescent="0.3">
      <c r="A694" s="70"/>
      <c r="B694" s="70"/>
      <c r="C694" s="65"/>
      <c r="D694" s="7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x14ac:dyDescent="0.3">
      <c r="A695" s="70"/>
      <c r="B695" s="70"/>
      <c r="C695" s="65"/>
      <c r="D695" s="7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x14ac:dyDescent="0.3">
      <c r="A696" s="70"/>
      <c r="B696" s="70"/>
      <c r="C696" s="65"/>
      <c r="D696" s="7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x14ac:dyDescent="0.3">
      <c r="A697" s="70"/>
      <c r="B697" s="70"/>
      <c r="C697" s="65"/>
      <c r="D697" s="7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x14ac:dyDescent="0.3">
      <c r="A698" s="70"/>
      <c r="B698" s="70"/>
      <c r="C698" s="65"/>
      <c r="D698" s="7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x14ac:dyDescent="0.3">
      <c r="A699" s="70"/>
      <c r="B699" s="70"/>
      <c r="C699" s="65"/>
      <c r="D699" s="7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x14ac:dyDescent="0.3">
      <c r="A700" s="70"/>
      <c r="B700" s="70"/>
      <c r="C700" s="65"/>
      <c r="D700" s="7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x14ac:dyDescent="0.3">
      <c r="A701" s="70"/>
      <c r="B701" s="70"/>
      <c r="C701" s="65"/>
      <c r="D701" s="7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x14ac:dyDescent="0.3">
      <c r="A702" s="70"/>
      <c r="B702" s="70"/>
      <c r="C702" s="65"/>
      <c r="D702" s="7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x14ac:dyDescent="0.3">
      <c r="A703" s="70"/>
      <c r="B703" s="70"/>
      <c r="C703" s="65"/>
      <c r="D703" s="7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x14ac:dyDescent="0.3">
      <c r="A704" s="70"/>
      <c r="B704" s="70"/>
      <c r="C704" s="65"/>
      <c r="D704" s="7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x14ac:dyDescent="0.3">
      <c r="A705" s="70"/>
      <c r="B705" s="70"/>
      <c r="C705" s="65"/>
      <c r="D705" s="7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x14ac:dyDescent="0.3">
      <c r="A706" s="70"/>
      <c r="B706" s="70"/>
      <c r="C706" s="65"/>
      <c r="D706" s="7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x14ac:dyDescent="0.3">
      <c r="A707" s="70"/>
      <c r="B707" s="70"/>
      <c r="C707" s="65"/>
      <c r="D707" s="7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x14ac:dyDescent="0.3">
      <c r="A708" s="70"/>
      <c r="B708" s="70"/>
      <c r="C708" s="65"/>
      <c r="D708" s="7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x14ac:dyDescent="0.3">
      <c r="A709" s="70"/>
      <c r="B709" s="70"/>
      <c r="C709" s="65"/>
      <c r="D709" s="7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x14ac:dyDescent="0.3">
      <c r="A710" s="70"/>
      <c r="B710" s="70"/>
      <c r="C710" s="65"/>
      <c r="D710" s="7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x14ac:dyDescent="0.3">
      <c r="A711" s="70"/>
      <c r="B711" s="70"/>
      <c r="C711" s="65"/>
      <c r="D711" s="7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x14ac:dyDescent="0.3">
      <c r="A712" s="70"/>
      <c r="B712" s="70"/>
      <c r="C712" s="65"/>
      <c r="D712" s="7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x14ac:dyDescent="0.3">
      <c r="A713" s="70"/>
      <c r="B713" s="70"/>
      <c r="C713" s="65"/>
      <c r="D713" s="7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x14ac:dyDescent="0.3">
      <c r="A714" s="70"/>
      <c r="B714" s="70"/>
      <c r="C714" s="65"/>
      <c r="D714" s="7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x14ac:dyDescent="0.3">
      <c r="A715" s="70"/>
      <c r="B715" s="70"/>
      <c r="C715" s="65"/>
      <c r="D715" s="7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x14ac:dyDescent="0.3">
      <c r="A716" s="70"/>
      <c r="B716" s="70"/>
      <c r="C716" s="65"/>
      <c r="D716" s="7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x14ac:dyDescent="0.3">
      <c r="A717" s="70"/>
      <c r="B717" s="70"/>
      <c r="C717" s="65"/>
      <c r="D717" s="7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x14ac:dyDescent="0.3">
      <c r="A718" s="70"/>
      <c r="B718" s="70"/>
      <c r="C718" s="65"/>
      <c r="D718" s="7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x14ac:dyDescent="0.3">
      <c r="A719" s="70"/>
      <c r="B719" s="70"/>
      <c r="C719" s="65"/>
      <c r="D719" s="7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x14ac:dyDescent="0.3">
      <c r="A720" s="70"/>
      <c r="B720" s="70"/>
      <c r="C720" s="65"/>
      <c r="D720" s="7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x14ac:dyDescent="0.3">
      <c r="A721" s="70"/>
      <c r="B721" s="70"/>
      <c r="C721" s="65"/>
      <c r="D721" s="7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x14ac:dyDescent="0.3">
      <c r="A722" s="70"/>
      <c r="B722" s="70"/>
      <c r="C722" s="65"/>
      <c r="D722" s="7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x14ac:dyDescent="0.3">
      <c r="A723" s="70"/>
      <c r="B723" s="70"/>
      <c r="C723" s="65"/>
      <c r="D723" s="7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x14ac:dyDescent="0.3">
      <c r="A724" s="70"/>
      <c r="B724" s="70"/>
      <c r="C724" s="65"/>
      <c r="D724" s="7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x14ac:dyDescent="0.3">
      <c r="A725" s="70"/>
      <c r="B725" s="70"/>
      <c r="C725" s="65"/>
      <c r="D725" s="7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x14ac:dyDescent="0.3">
      <c r="A726" s="70"/>
      <c r="B726" s="70"/>
      <c r="C726" s="65"/>
      <c r="D726" s="7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x14ac:dyDescent="0.3">
      <c r="A727" s="70"/>
      <c r="B727" s="70"/>
      <c r="C727" s="65"/>
      <c r="D727" s="7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x14ac:dyDescent="0.3">
      <c r="A728" s="70"/>
      <c r="B728" s="70"/>
      <c r="C728" s="65"/>
      <c r="D728" s="7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x14ac:dyDescent="0.3">
      <c r="A729" s="70"/>
      <c r="B729" s="70"/>
      <c r="C729" s="65"/>
      <c r="D729" s="7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x14ac:dyDescent="0.3">
      <c r="A730" s="70"/>
      <c r="B730" s="70"/>
      <c r="C730" s="65"/>
      <c r="D730" s="7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x14ac:dyDescent="0.3">
      <c r="A731" s="70"/>
      <c r="B731" s="70"/>
      <c r="C731" s="65"/>
      <c r="D731" s="7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x14ac:dyDescent="0.3">
      <c r="A732" s="70"/>
      <c r="B732" s="70"/>
      <c r="C732" s="65"/>
      <c r="D732" s="7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x14ac:dyDescent="0.3">
      <c r="A733" s="70"/>
      <c r="B733" s="70"/>
      <c r="C733" s="65"/>
      <c r="D733" s="7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x14ac:dyDescent="0.3">
      <c r="A734" s="70"/>
      <c r="B734" s="70"/>
      <c r="C734" s="65"/>
      <c r="D734" s="7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x14ac:dyDescent="0.3">
      <c r="A735" s="70"/>
      <c r="B735" s="70"/>
      <c r="C735" s="65"/>
      <c r="D735" s="7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x14ac:dyDescent="0.3">
      <c r="A736" s="70"/>
      <c r="B736" s="70"/>
      <c r="C736" s="65"/>
      <c r="D736" s="7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x14ac:dyDescent="0.3">
      <c r="A737" s="70"/>
      <c r="B737" s="70"/>
      <c r="C737" s="65"/>
      <c r="D737" s="7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x14ac:dyDescent="0.3">
      <c r="A738" s="70"/>
      <c r="B738" s="70"/>
      <c r="C738" s="65"/>
      <c r="D738" s="7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x14ac:dyDescent="0.3">
      <c r="A739" s="70"/>
      <c r="B739" s="70"/>
      <c r="C739" s="65"/>
      <c r="D739" s="7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x14ac:dyDescent="0.3">
      <c r="A740" s="70"/>
      <c r="B740" s="70"/>
      <c r="C740" s="65"/>
      <c r="D740" s="7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x14ac:dyDescent="0.3">
      <c r="A741" s="70"/>
      <c r="B741" s="70"/>
      <c r="C741" s="65"/>
      <c r="D741" s="7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x14ac:dyDescent="0.3">
      <c r="A742" s="70"/>
      <c r="B742" s="70"/>
      <c r="C742" s="65"/>
      <c r="D742" s="7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x14ac:dyDescent="0.3">
      <c r="A743" s="70"/>
      <c r="B743" s="70"/>
      <c r="C743" s="65"/>
      <c r="D743" s="7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x14ac:dyDescent="0.3">
      <c r="A744" s="70"/>
      <c r="B744" s="70"/>
      <c r="C744" s="65"/>
      <c r="D744" s="7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x14ac:dyDescent="0.3">
      <c r="A745" s="70"/>
      <c r="B745" s="70"/>
      <c r="C745" s="65"/>
      <c r="D745" s="7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x14ac:dyDescent="0.3">
      <c r="A746" s="70"/>
      <c r="B746" s="70"/>
      <c r="C746" s="65"/>
      <c r="D746" s="7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x14ac:dyDescent="0.3">
      <c r="A747" s="70"/>
      <c r="B747" s="70"/>
      <c r="C747" s="65"/>
      <c r="D747" s="7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x14ac:dyDescent="0.3">
      <c r="A748" s="70"/>
      <c r="B748" s="70"/>
      <c r="C748" s="65"/>
      <c r="D748" s="7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x14ac:dyDescent="0.3">
      <c r="A749" s="70"/>
      <c r="B749" s="70"/>
      <c r="C749" s="65"/>
      <c r="D749" s="7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x14ac:dyDescent="0.3">
      <c r="A750" s="70"/>
      <c r="B750" s="70"/>
      <c r="C750" s="65"/>
      <c r="D750" s="7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x14ac:dyDescent="0.3">
      <c r="A751" s="70"/>
      <c r="B751" s="70"/>
      <c r="C751" s="65"/>
      <c r="D751" s="7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x14ac:dyDescent="0.3">
      <c r="A752" s="70"/>
      <c r="B752" s="70"/>
      <c r="C752" s="65"/>
      <c r="D752" s="7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x14ac:dyDescent="0.3">
      <c r="A753" s="70"/>
      <c r="B753" s="70"/>
      <c r="C753" s="65"/>
      <c r="D753" s="7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x14ac:dyDescent="0.3">
      <c r="A754" s="70"/>
      <c r="B754" s="70"/>
      <c r="C754" s="65"/>
      <c r="D754" s="7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x14ac:dyDescent="0.3">
      <c r="A755" s="70"/>
      <c r="B755" s="70"/>
      <c r="C755" s="65"/>
      <c r="D755" s="7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x14ac:dyDescent="0.3">
      <c r="A756" s="70"/>
      <c r="B756" s="70"/>
      <c r="C756" s="65"/>
      <c r="D756" s="7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x14ac:dyDescent="0.3">
      <c r="A757" s="70"/>
      <c r="B757" s="70"/>
      <c r="C757" s="65"/>
      <c r="D757" s="7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x14ac:dyDescent="0.3">
      <c r="A758" s="70"/>
      <c r="B758" s="70"/>
      <c r="C758" s="65"/>
      <c r="D758" s="7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x14ac:dyDescent="0.3">
      <c r="A759" s="70"/>
      <c r="B759" s="70"/>
      <c r="C759" s="65"/>
      <c r="D759" s="7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x14ac:dyDescent="0.3">
      <c r="A760" s="70"/>
      <c r="B760" s="70"/>
      <c r="C760" s="65"/>
      <c r="D760" s="7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x14ac:dyDescent="0.3">
      <c r="A761" s="70"/>
      <c r="B761" s="70"/>
      <c r="C761" s="65"/>
      <c r="D761" s="7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x14ac:dyDescent="0.3">
      <c r="A762" s="70"/>
      <c r="B762" s="70"/>
      <c r="C762" s="65"/>
      <c r="D762" s="7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x14ac:dyDescent="0.3">
      <c r="A763" s="70"/>
      <c r="B763" s="70"/>
      <c r="C763" s="65"/>
      <c r="D763" s="7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x14ac:dyDescent="0.3">
      <c r="A764" s="70"/>
      <c r="B764" s="70"/>
      <c r="C764" s="65"/>
      <c r="D764" s="7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x14ac:dyDescent="0.3">
      <c r="A765" s="70"/>
      <c r="B765" s="70"/>
      <c r="C765" s="65"/>
      <c r="D765" s="7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x14ac:dyDescent="0.3">
      <c r="A766" s="70"/>
      <c r="B766" s="70"/>
      <c r="C766" s="65"/>
      <c r="D766" s="7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x14ac:dyDescent="0.3">
      <c r="A767" s="70"/>
      <c r="B767" s="70"/>
      <c r="C767" s="65"/>
      <c r="D767" s="7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x14ac:dyDescent="0.3">
      <c r="A768" s="70"/>
      <c r="B768" s="70"/>
      <c r="C768" s="65"/>
      <c r="D768" s="7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x14ac:dyDescent="0.3">
      <c r="A769" s="70"/>
      <c r="B769" s="70"/>
      <c r="C769" s="65"/>
      <c r="D769" s="7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x14ac:dyDescent="0.3">
      <c r="A770" s="70"/>
      <c r="B770" s="70"/>
      <c r="C770" s="65"/>
      <c r="D770" s="7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x14ac:dyDescent="0.3">
      <c r="A771" s="70"/>
      <c r="B771" s="70"/>
      <c r="C771" s="65"/>
      <c r="D771" s="7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x14ac:dyDescent="0.3">
      <c r="A772" s="70"/>
      <c r="B772" s="70"/>
      <c r="C772" s="65"/>
      <c r="D772" s="7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x14ac:dyDescent="0.3">
      <c r="A773" s="70"/>
      <c r="B773" s="70"/>
      <c r="C773" s="65"/>
      <c r="D773" s="7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x14ac:dyDescent="0.3">
      <c r="A774" s="70"/>
      <c r="B774" s="70"/>
      <c r="C774" s="65"/>
      <c r="D774" s="7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x14ac:dyDescent="0.3">
      <c r="A775" s="70"/>
      <c r="B775" s="70"/>
      <c r="C775" s="65"/>
      <c r="D775" s="7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x14ac:dyDescent="0.3">
      <c r="A776" s="70"/>
      <c r="B776" s="70"/>
      <c r="C776" s="65"/>
      <c r="D776" s="7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x14ac:dyDescent="0.3">
      <c r="A777" s="70"/>
      <c r="B777" s="70"/>
      <c r="C777" s="65"/>
      <c r="D777" s="7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x14ac:dyDescent="0.3">
      <c r="A778" s="70"/>
      <c r="B778" s="70"/>
      <c r="C778" s="65"/>
      <c r="D778" s="7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x14ac:dyDescent="0.3">
      <c r="A779" s="70"/>
      <c r="B779" s="70"/>
      <c r="C779" s="65"/>
      <c r="D779" s="7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x14ac:dyDescent="0.3">
      <c r="A780" s="70"/>
      <c r="B780" s="70"/>
      <c r="C780" s="65"/>
      <c r="D780" s="7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x14ac:dyDescent="0.3">
      <c r="A781" s="70"/>
      <c r="B781" s="70"/>
      <c r="C781" s="65"/>
      <c r="D781" s="7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x14ac:dyDescent="0.3">
      <c r="A782" s="70"/>
      <c r="B782" s="70"/>
      <c r="C782" s="65"/>
      <c r="D782" s="7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x14ac:dyDescent="0.3">
      <c r="A783" s="70"/>
      <c r="B783" s="70"/>
      <c r="C783" s="65"/>
      <c r="D783" s="7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x14ac:dyDescent="0.3">
      <c r="A784" s="70"/>
      <c r="B784" s="70"/>
      <c r="C784" s="65"/>
      <c r="D784" s="7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x14ac:dyDescent="0.3">
      <c r="A785" s="70"/>
      <c r="B785" s="70"/>
      <c r="C785" s="65"/>
      <c r="D785" s="7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x14ac:dyDescent="0.3">
      <c r="A786" s="70"/>
      <c r="B786" s="70"/>
      <c r="C786" s="65"/>
      <c r="D786" s="7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x14ac:dyDescent="0.3">
      <c r="A787" s="70"/>
      <c r="B787" s="70"/>
      <c r="C787" s="65"/>
      <c r="D787" s="7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x14ac:dyDescent="0.3">
      <c r="A788" s="70"/>
      <c r="B788" s="70"/>
      <c r="C788" s="65"/>
      <c r="D788" s="7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x14ac:dyDescent="0.3">
      <c r="A789" s="70"/>
      <c r="B789" s="70"/>
      <c r="C789" s="65"/>
      <c r="D789" s="7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x14ac:dyDescent="0.3">
      <c r="A790" s="70"/>
      <c r="B790" s="70"/>
      <c r="C790" s="65"/>
      <c r="D790" s="7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x14ac:dyDescent="0.3">
      <c r="A791" s="70"/>
      <c r="B791" s="70"/>
      <c r="C791" s="65"/>
      <c r="D791" s="7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x14ac:dyDescent="0.3">
      <c r="A792" s="70"/>
      <c r="B792" s="70"/>
      <c r="C792" s="65"/>
      <c r="D792" s="7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x14ac:dyDescent="0.3">
      <c r="A793" s="70"/>
      <c r="B793" s="70"/>
      <c r="C793" s="65"/>
      <c r="D793" s="7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x14ac:dyDescent="0.3">
      <c r="A794" s="70"/>
      <c r="B794" s="70"/>
      <c r="C794" s="65"/>
      <c r="D794" s="7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x14ac:dyDescent="0.3">
      <c r="A795" s="70"/>
      <c r="B795" s="70"/>
      <c r="C795" s="65"/>
      <c r="D795" s="7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x14ac:dyDescent="0.3">
      <c r="A796" s="70"/>
      <c r="B796" s="70"/>
      <c r="C796" s="65"/>
      <c r="D796" s="7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x14ac:dyDescent="0.3">
      <c r="A797" s="70"/>
      <c r="B797" s="70"/>
      <c r="C797" s="65"/>
      <c r="D797" s="7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x14ac:dyDescent="0.3">
      <c r="A798" s="70"/>
      <c r="B798" s="70"/>
      <c r="C798" s="65"/>
      <c r="D798" s="7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x14ac:dyDescent="0.3">
      <c r="A799" s="70"/>
      <c r="B799" s="70"/>
      <c r="C799" s="65"/>
      <c r="D799" s="7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x14ac:dyDescent="0.3">
      <c r="A800" s="70"/>
      <c r="B800" s="70"/>
      <c r="C800" s="65"/>
      <c r="D800" s="7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x14ac:dyDescent="0.3">
      <c r="A801" s="70"/>
      <c r="B801" s="70"/>
      <c r="C801" s="65"/>
      <c r="D801" s="7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x14ac:dyDescent="0.3">
      <c r="A802" s="70"/>
      <c r="B802" s="70"/>
      <c r="C802" s="65"/>
      <c r="D802" s="7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x14ac:dyDescent="0.3">
      <c r="A803" s="70"/>
      <c r="B803" s="70"/>
      <c r="C803" s="65"/>
      <c r="D803" s="7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x14ac:dyDescent="0.3">
      <c r="A804" s="70"/>
      <c r="B804" s="70"/>
      <c r="C804" s="65"/>
      <c r="D804" s="7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x14ac:dyDescent="0.3">
      <c r="A805" s="70"/>
      <c r="B805" s="70"/>
      <c r="C805" s="65"/>
      <c r="D805" s="7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x14ac:dyDescent="0.3">
      <c r="A806" s="70"/>
      <c r="B806" s="70"/>
      <c r="C806" s="65"/>
      <c r="D806" s="7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x14ac:dyDescent="0.3">
      <c r="A807" s="70"/>
      <c r="B807" s="70"/>
      <c r="C807" s="65"/>
      <c r="D807" s="7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x14ac:dyDescent="0.3">
      <c r="A808" s="70"/>
      <c r="B808" s="70"/>
      <c r="C808" s="65"/>
      <c r="D808" s="7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x14ac:dyDescent="0.3">
      <c r="A809" s="70"/>
      <c r="B809" s="70"/>
      <c r="C809" s="65"/>
      <c r="D809" s="7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x14ac:dyDescent="0.3">
      <c r="A810" s="70"/>
      <c r="B810" s="70"/>
      <c r="C810" s="65"/>
      <c r="D810" s="7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x14ac:dyDescent="0.3">
      <c r="A811" s="70"/>
      <c r="B811" s="70"/>
      <c r="C811" s="65"/>
      <c r="D811" s="7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x14ac:dyDescent="0.3">
      <c r="A812" s="70"/>
      <c r="B812" s="70"/>
      <c r="C812" s="65"/>
      <c r="D812" s="7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x14ac:dyDescent="0.3">
      <c r="A813" s="70"/>
      <c r="B813" s="70"/>
      <c r="C813" s="65"/>
      <c r="D813" s="7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x14ac:dyDescent="0.3">
      <c r="A814" s="70"/>
      <c r="B814" s="70"/>
      <c r="C814" s="65"/>
      <c r="D814" s="7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x14ac:dyDescent="0.3">
      <c r="A815" s="70"/>
      <c r="B815" s="70"/>
      <c r="C815" s="65"/>
      <c r="D815" s="7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x14ac:dyDescent="0.3">
      <c r="A816" s="70"/>
      <c r="B816" s="70"/>
      <c r="C816" s="65"/>
      <c r="D816" s="7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x14ac:dyDescent="0.3">
      <c r="A817" s="70"/>
      <c r="B817" s="70"/>
      <c r="C817" s="65"/>
      <c r="D817" s="7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x14ac:dyDescent="0.3">
      <c r="A818" s="70"/>
      <c r="B818" s="70"/>
      <c r="C818" s="65"/>
      <c r="D818" s="7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x14ac:dyDescent="0.3">
      <c r="A819" s="70"/>
      <c r="B819" s="70"/>
      <c r="C819" s="65"/>
      <c r="D819" s="7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x14ac:dyDescent="0.3">
      <c r="A820" s="70"/>
      <c r="B820" s="70"/>
      <c r="C820" s="65"/>
      <c r="D820" s="7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x14ac:dyDescent="0.3">
      <c r="A821" s="70"/>
      <c r="B821" s="70"/>
      <c r="C821" s="65"/>
      <c r="D821" s="7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x14ac:dyDescent="0.3">
      <c r="A822" s="70"/>
      <c r="B822" s="70"/>
      <c r="C822" s="65"/>
      <c r="D822" s="7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x14ac:dyDescent="0.3">
      <c r="A823" s="70"/>
      <c r="B823" s="70"/>
      <c r="C823" s="65"/>
      <c r="D823" s="7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x14ac:dyDescent="0.3">
      <c r="A824" s="70"/>
      <c r="B824" s="70"/>
      <c r="C824" s="65"/>
      <c r="D824" s="7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x14ac:dyDescent="0.3">
      <c r="A825" s="70"/>
      <c r="B825" s="70"/>
      <c r="C825" s="65"/>
      <c r="D825" s="7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x14ac:dyDescent="0.3">
      <c r="A826" s="70"/>
      <c r="B826" s="70"/>
      <c r="C826" s="65"/>
      <c r="D826" s="7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x14ac:dyDescent="0.3">
      <c r="A827" s="70"/>
      <c r="B827" s="70"/>
      <c r="C827" s="65"/>
      <c r="D827" s="7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x14ac:dyDescent="0.3">
      <c r="A828" s="70"/>
      <c r="B828" s="70"/>
      <c r="C828" s="65"/>
      <c r="D828" s="7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x14ac:dyDescent="0.3">
      <c r="A829" s="70"/>
      <c r="B829" s="70"/>
      <c r="C829" s="65"/>
      <c r="D829" s="7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x14ac:dyDescent="0.3">
      <c r="A830" s="70"/>
      <c r="B830" s="70"/>
      <c r="C830" s="65"/>
      <c r="D830" s="7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x14ac:dyDescent="0.3">
      <c r="A831" s="70"/>
      <c r="B831" s="70"/>
      <c r="C831" s="65"/>
      <c r="D831" s="7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x14ac:dyDescent="0.3">
      <c r="A832" s="70"/>
      <c r="B832" s="70"/>
      <c r="C832" s="65"/>
      <c r="D832" s="7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x14ac:dyDescent="0.3">
      <c r="A833" s="70"/>
      <c r="B833" s="70"/>
      <c r="C833" s="65"/>
      <c r="D833" s="7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x14ac:dyDescent="0.3">
      <c r="A834" s="70"/>
      <c r="B834" s="70"/>
      <c r="C834" s="65"/>
      <c r="D834" s="7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x14ac:dyDescent="0.3">
      <c r="A835" s="70"/>
      <c r="B835" s="70"/>
      <c r="C835" s="65"/>
      <c r="D835" s="7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x14ac:dyDescent="0.3">
      <c r="A836" s="70"/>
      <c r="B836" s="70"/>
      <c r="C836" s="65"/>
      <c r="D836" s="7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x14ac:dyDescent="0.3">
      <c r="A837" s="70"/>
      <c r="B837" s="70"/>
      <c r="C837" s="65"/>
      <c r="D837" s="7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x14ac:dyDescent="0.3">
      <c r="A838" s="70"/>
      <c r="B838" s="70"/>
      <c r="C838" s="65"/>
      <c r="D838" s="7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x14ac:dyDescent="0.3">
      <c r="A839" s="70"/>
      <c r="B839" s="70"/>
      <c r="C839" s="65"/>
      <c r="D839" s="7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x14ac:dyDescent="0.3">
      <c r="A840" s="70"/>
      <c r="B840" s="70"/>
      <c r="C840" s="65"/>
      <c r="D840" s="7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x14ac:dyDescent="0.3">
      <c r="A841" s="70"/>
      <c r="B841" s="70"/>
      <c r="C841" s="65"/>
      <c r="D841" s="7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x14ac:dyDescent="0.3">
      <c r="A842" s="70"/>
      <c r="B842" s="70"/>
      <c r="C842" s="65"/>
      <c r="D842" s="7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x14ac:dyDescent="0.3">
      <c r="A843" s="70"/>
      <c r="B843" s="70"/>
      <c r="C843" s="65"/>
      <c r="D843" s="7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x14ac:dyDescent="0.3">
      <c r="A844" s="70"/>
      <c r="B844" s="70"/>
      <c r="C844" s="65"/>
      <c r="D844" s="7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x14ac:dyDescent="0.3">
      <c r="A845" s="70"/>
      <c r="B845" s="70"/>
      <c r="C845" s="65"/>
      <c r="D845" s="7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x14ac:dyDescent="0.3">
      <c r="A846" s="70"/>
      <c r="B846" s="70"/>
      <c r="C846" s="65"/>
      <c r="D846" s="7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x14ac:dyDescent="0.3">
      <c r="A847" s="70"/>
      <c r="B847" s="70"/>
      <c r="C847" s="65"/>
      <c r="D847" s="7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x14ac:dyDescent="0.3">
      <c r="A848" s="70"/>
      <c r="B848" s="70"/>
      <c r="C848" s="65"/>
      <c r="D848" s="7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x14ac:dyDescent="0.3">
      <c r="A849" s="70"/>
      <c r="B849" s="70"/>
      <c r="C849" s="65"/>
      <c r="D849" s="7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x14ac:dyDescent="0.3">
      <c r="A850" s="70"/>
      <c r="B850" s="70"/>
      <c r="C850" s="65"/>
      <c r="D850" s="7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x14ac:dyDescent="0.3">
      <c r="A851" s="70"/>
      <c r="B851" s="70"/>
      <c r="C851" s="65"/>
      <c r="D851" s="7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x14ac:dyDescent="0.3">
      <c r="A852" s="70"/>
      <c r="B852" s="70"/>
      <c r="C852" s="65"/>
      <c r="D852" s="7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x14ac:dyDescent="0.3">
      <c r="A853" s="70"/>
      <c r="B853" s="70"/>
      <c r="C853" s="65"/>
      <c r="D853" s="7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x14ac:dyDescent="0.3">
      <c r="A854" s="70"/>
      <c r="B854" s="70"/>
      <c r="C854" s="65"/>
      <c r="D854" s="7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x14ac:dyDescent="0.3">
      <c r="A855" s="70"/>
      <c r="B855" s="70"/>
      <c r="C855" s="65"/>
      <c r="D855" s="7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x14ac:dyDescent="0.3">
      <c r="A856" s="70"/>
      <c r="B856" s="70"/>
      <c r="C856" s="65"/>
      <c r="D856" s="7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x14ac:dyDescent="0.3">
      <c r="A857" s="70"/>
      <c r="B857" s="70"/>
      <c r="C857" s="65"/>
      <c r="D857" s="7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x14ac:dyDescent="0.3">
      <c r="A858" s="70"/>
      <c r="B858" s="70"/>
      <c r="C858" s="65"/>
      <c r="D858" s="7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x14ac:dyDescent="0.3">
      <c r="A859" s="70"/>
      <c r="B859" s="70"/>
      <c r="C859" s="65"/>
      <c r="D859" s="7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x14ac:dyDescent="0.3">
      <c r="A860" s="70"/>
      <c r="B860" s="70"/>
      <c r="C860" s="65"/>
      <c r="D860" s="7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x14ac:dyDescent="0.3">
      <c r="A861" s="70"/>
      <c r="B861" s="70"/>
      <c r="C861" s="65"/>
      <c r="D861" s="7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x14ac:dyDescent="0.3">
      <c r="A862" s="70"/>
      <c r="B862" s="70"/>
      <c r="C862" s="65"/>
      <c r="D862" s="7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x14ac:dyDescent="0.3">
      <c r="A863" s="70"/>
      <c r="B863" s="70"/>
      <c r="C863" s="65"/>
      <c r="D863" s="7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x14ac:dyDescent="0.3">
      <c r="A864" s="70"/>
      <c r="B864" s="70"/>
      <c r="C864" s="65"/>
      <c r="D864" s="7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x14ac:dyDescent="0.3">
      <c r="A865" s="70"/>
      <c r="B865" s="70"/>
      <c r="C865" s="65"/>
      <c r="D865" s="7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x14ac:dyDescent="0.3">
      <c r="A866" s="70"/>
      <c r="B866" s="70"/>
      <c r="C866" s="65"/>
      <c r="D866" s="7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x14ac:dyDescent="0.3">
      <c r="A867" s="70"/>
      <c r="B867" s="70"/>
      <c r="C867" s="65"/>
      <c r="D867" s="7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x14ac:dyDescent="0.3">
      <c r="A868" s="70"/>
      <c r="B868" s="70"/>
      <c r="C868" s="65"/>
      <c r="D868" s="7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x14ac:dyDescent="0.3">
      <c r="A869" s="70"/>
      <c r="B869" s="70"/>
      <c r="C869" s="65"/>
      <c r="D869" s="7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x14ac:dyDescent="0.3">
      <c r="A870" s="70"/>
      <c r="B870" s="70"/>
      <c r="C870" s="65"/>
      <c r="D870" s="7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x14ac:dyDescent="0.3">
      <c r="A871" s="70"/>
      <c r="B871" s="70"/>
      <c r="C871" s="65"/>
      <c r="D871" s="7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x14ac:dyDescent="0.3">
      <c r="A872" s="70"/>
      <c r="B872" s="70"/>
      <c r="C872" s="65"/>
      <c r="D872" s="7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x14ac:dyDescent="0.3">
      <c r="A873" s="70"/>
      <c r="B873" s="70"/>
      <c r="C873" s="65"/>
      <c r="D873" s="7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x14ac:dyDescent="0.3">
      <c r="A874" s="70"/>
      <c r="B874" s="70"/>
      <c r="C874" s="65"/>
      <c r="D874" s="7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x14ac:dyDescent="0.3">
      <c r="A875" s="70"/>
      <c r="B875" s="70"/>
      <c r="C875" s="65"/>
      <c r="D875" s="7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x14ac:dyDescent="0.3">
      <c r="A876" s="70"/>
      <c r="B876" s="70"/>
      <c r="C876" s="65"/>
      <c r="D876" s="7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x14ac:dyDescent="0.3">
      <c r="A877" s="70"/>
      <c r="B877" s="70"/>
      <c r="C877" s="65"/>
      <c r="D877" s="7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x14ac:dyDescent="0.3">
      <c r="A878" s="70"/>
      <c r="B878" s="70"/>
      <c r="C878" s="65"/>
      <c r="D878" s="7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x14ac:dyDescent="0.3">
      <c r="A879" s="70"/>
      <c r="B879" s="70"/>
      <c r="C879" s="65"/>
      <c r="D879" s="7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x14ac:dyDescent="0.3">
      <c r="A880" s="70"/>
      <c r="B880" s="70"/>
      <c r="C880" s="65"/>
      <c r="D880" s="7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x14ac:dyDescent="0.3">
      <c r="A881" s="70"/>
      <c r="B881" s="70"/>
      <c r="C881" s="65"/>
      <c r="D881" s="7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x14ac:dyDescent="0.3">
      <c r="A882" s="70"/>
      <c r="B882" s="70"/>
      <c r="C882" s="65"/>
      <c r="D882" s="7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x14ac:dyDescent="0.3">
      <c r="A883" s="70"/>
      <c r="B883" s="70"/>
      <c r="C883" s="65"/>
      <c r="D883" s="7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x14ac:dyDescent="0.3">
      <c r="A884" s="70"/>
      <c r="B884" s="70"/>
      <c r="C884" s="65"/>
      <c r="D884" s="7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x14ac:dyDescent="0.3">
      <c r="A885" s="70"/>
      <c r="B885" s="70"/>
      <c r="C885" s="65"/>
      <c r="D885" s="7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x14ac:dyDescent="0.3">
      <c r="A886" s="70"/>
      <c r="B886" s="70"/>
      <c r="C886" s="65"/>
      <c r="D886" s="7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x14ac:dyDescent="0.3">
      <c r="A887" s="70"/>
      <c r="B887" s="70"/>
      <c r="C887" s="65"/>
      <c r="D887" s="7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x14ac:dyDescent="0.3">
      <c r="A888" s="70"/>
      <c r="B888" s="70"/>
      <c r="C888" s="65"/>
      <c r="D888" s="7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x14ac:dyDescent="0.3">
      <c r="A889" s="70"/>
      <c r="B889" s="70"/>
      <c r="C889" s="65"/>
      <c r="D889" s="7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x14ac:dyDescent="0.3">
      <c r="A890" s="70"/>
      <c r="B890" s="70"/>
      <c r="C890" s="65"/>
      <c r="D890" s="7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x14ac:dyDescent="0.3">
      <c r="A891" s="70"/>
      <c r="B891" s="70"/>
      <c r="C891" s="65"/>
      <c r="D891" s="7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x14ac:dyDescent="0.3">
      <c r="A892" s="70"/>
      <c r="B892" s="70"/>
      <c r="C892" s="65"/>
      <c r="D892" s="7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x14ac:dyDescent="0.3">
      <c r="A893" s="70"/>
      <c r="B893" s="70"/>
      <c r="C893" s="65"/>
      <c r="D893" s="7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x14ac:dyDescent="0.3">
      <c r="A894" s="70"/>
      <c r="B894" s="70"/>
      <c r="C894" s="65"/>
      <c r="D894" s="7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x14ac:dyDescent="0.3">
      <c r="A895" s="70"/>
      <c r="B895" s="70"/>
      <c r="C895" s="65"/>
      <c r="D895" s="7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x14ac:dyDescent="0.3">
      <c r="A896" s="70"/>
      <c r="B896" s="70"/>
      <c r="C896" s="65"/>
      <c r="D896" s="7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x14ac:dyDescent="0.3">
      <c r="A897" s="70"/>
      <c r="B897" s="70"/>
      <c r="C897" s="65"/>
      <c r="D897" s="7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x14ac:dyDescent="0.3">
      <c r="A898" s="70"/>
      <c r="B898" s="70"/>
      <c r="C898" s="65"/>
      <c r="D898" s="7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x14ac:dyDescent="0.3">
      <c r="A899" s="70"/>
      <c r="B899" s="70"/>
      <c r="C899" s="65"/>
      <c r="D899" s="7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x14ac:dyDescent="0.3">
      <c r="A900" s="70"/>
      <c r="B900" s="70"/>
      <c r="C900" s="65"/>
      <c r="D900" s="7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x14ac:dyDescent="0.3">
      <c r="A901" s="70"/>
      <c r="B901" s="70"/>
      <c r="C901" s="65"/>
      <c r="D901" s="7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x14ac:dyDescent="0.3">
      <c r="A902" s="70"/>
      <c r="B902" s="70"/>
      <c r="C902" s="65"/>
      <c r="D902" s="7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x14ac:dyDescent="0.3">
      <c r="A903" s="70"/>
      <c r="B903" s="70"/>
      <c r="C903" s="65"/>
      <c r="D903" s="7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x14ac:dyDescent="0.3">
      <c r="A904" s="70"/>
      <c r="B904" s="70"/>
      <c r="C904" s="65"/>
      <c r="D904" s="7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x14ac:dyDescent="0.3">
      <c r="A905" s="70"/>
      <c r="B905" s="70"/>
      <c r="C905" s="65"/>
      <c r="D905" s="7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x14ac:dyDescent="0.3">
      <c r="A906" s="70"/>
      <c r="B906" s="70"/>
      <c r="C906" s="65"/>
      <c r="D906" s="7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x14ac:dyDescent="0.3">
      <c r="A907" s="70"/>
      <c r="B907" s="70"/>
      <c r="C907" s="65"/>
      <c r="D907" s="7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x14ac:dyDescent="0.3">
      <c r="A908" s="70"/>
      <c r="B908" s="70"/>
      <c r="C908" s="65"/>
      <c r="D908" s="7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x14ac:dyDescent="0.3">
      <c r="A909" s="70"/>
      <c r="B909" s="70"/>
      <c r="C909" s="65"/>
      <c r="D909" s="7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x14ac:dyDescent="0.3">
      <c r="A910" s="70"/>
      <c r="B910" s="70"/>
      <c r="C910" s="65"/>
      <c r="D910" s="7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x14ac:dyDescent="0.3">
      <c r="A911" s="70"/>
      <c r="B911" s="70"/>
      <c r="C911" s="65"/>
      <c r="D911" s="7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x14ac:dyDescent="0.3">
      <c r="A912" s="70"/>
      <c r="B912" s="70"/>
      <c r="C912" s="65"/>
      <c r="D912" s="7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x14ac:dyDescent="0.3">
      <c r="A913" s="70"/>
      <c r="B913" s="70"/>
      <c r="C913" s="65"/>
      <c r="D913" s="7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x14ac:dyDescent="0.3">
      <c r="A914" s="70"/>
      <c r="B914" s="70"/>
      <c r="C914" s="65"/>
      <c r="D914" s="7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x14ac:dyDescent="0.3">
      <c r="A915" s="70"/>
      <c r="B915" s="70"/>
      <c r="C915" s="65"/>
      <c r="D915" s="7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x14ac:dyDescent="0.3">
      <c r="A916" s="70"/>
      <c r="B916" s="70"/>
      <c r="C916" s="65"/>
      <c r="D916" s="7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x14ac:dyDescent="0.3">
      <c r="A917" s="70"/>
      <c r="B917" s="70"/>
      <c r="C917" s="65"/>
      <c r="D917" s="7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x14ac:dyDescent="0.3">
      <c r="A918" s="70"/>
      <c r="B918" s="70"/>
      <c r="C918" s="65"/>
      <c r="D918" s="7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x14ac:dyDescent="0.3">
      <c r="A919" s="70"/>
      <c r="B919" s="70"/>
      <c r="C919" s="65"/>
      <c r="D919" s="7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x14ac:dyDescent="0.3">
      <c r="A920" s="70"/>
      <c r="B920" s="70"/>
      <c r="C920" s="65"/>
      <c r="D920" s="7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x14ac:dyDescent="0.3">
      <c r="A921" s="70"/>
      <c r="B921" s="70"/>
      <c r="C921" s="65"/>
      <c r="D921" s="7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x14ac:dyDescent="0.3">
      <c r="A922" s="70"/>
      <c r="B922" s="70"/>
      <c r="C922" s="65"/>
      <c r="D922" s="7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x14ac:dyDescent="0.3">
      <c r="A923" s="70"/>
      <c r="B923" s="70"/>
      <c r="C923" s="65"/>
      <c r="D923" s="7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x14ac:dyDescent="0.3">
      <c r="A924" s="70"/>
      <c r="B924" s="70"/>
      <c r="C924" s="65"/>
      <c r="D924" s="7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x14ac:dyDescent="0.3">
      <c r="A925" s="70"/>
      <c r="B925" s="70"/>
      <c r="C925" s="65"/>
      <c r="D925" s="7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x14ac:dyDescent="0.3">
      <c r="A926" s="70"/>
      <c r="B926" s="70"/>
      <c r="C926" s="65"/>
      <c r="D926" s="7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x14ac:dyDescent="0.3">
      <c r="A927" s="70"/>
      <c r="B927" s="70"/>
      <c r="C927" s="65"/>
      <c r="D927" s="7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x14ac:dyDescent="0.3">
      <c r="A928" s="70"/>
      <c r="B928" s="70"/>
      <c r="C928" s="65"/>
      <c r="D928" s="7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x14ac:dyDescent="0.3">
      <c r="A929" s="70"/>
      <c r="B929" s="70"/>
      <c r="C929" s="65"/>
      <c r="D929" s="7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x14ac:dyDescent="0.3">
      <c r="A930" s="70"/>
      <c r="B930" s="70"/>
      <c r="C930" s="65"/>
      <c r="D930" s="7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x14ac:dyDescent="0.3">
      <c r="A931" s="70"/>
      <c r="B931" s="70"/>
      <c r="C931" s="65"/>
      <c r="D931" s="7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x14ac:dyDescent="0.3">
      <c r="A932" s="70"/>
      <c r="B932" s="70"/>
      <c r="C932" s="65"/>
      <c r="D932" s="7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x14ac:dyDescent="0.3">
      <c r="A933" s="70"/>
      <c r="B933" s="70"/>
      <c r="C933" s="65"/>
      <c r="D933" s="7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x14ac:dyDescent="0.3">
      <c r="A934" s="70"/>
      <c r="B934" s="70"/>
      <c r="C934" s="65"/>
      <c r="D934" s="7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x14ac:dyDescent="0.3">
      <c r="A935" s="70"/>
      <c r="B935" s="70"/>
      <c r="C935" s="65"/>
      <c r="D935" s="7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x14ac:dyDescent="0.3">
      <c r="A936" s="70"/>
      <c r="B936" s="70"/>
      <c r="C936" s="65"/>
      <c r="D936" s="7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x14ac:dyDescent="0.3">
      <c r="A937" s="70"/>
      <c r="B937" s="70"/>
      <c r="C937" s="65"/>
      <c r="D937" s="7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x14ac:dyDescent="0.3">
      <c r="A938" s="70"/>
      <c r="B938" s="70"/>
      <c r="C938" s="65"/>
      <c r="D938" s="7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x14ac:dyDescent="0.3">
      <c r="A939" s="70"/>
      <c r="B939" s="70"/>
      <c r="C939" s="65"/>
      <c r="D939" s="7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x14ac:dyDescent="0.3">
      <c r="A940" s="70"/>
      <c r="B940" s="70"/>
      <c r="C940" s="65"/>
      <c r="D940" s="7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x14ac:dyDescent="0.3">
      <c r="A941" s="70"/>
      <c r="B941" s="70"/>
      <c r="C941" s="65"/>
      <c r="D941" s="7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x14ac:dyDescent="0.3">
      <c r="A942" s="70"/>
      <c r="B942" s="70"/>
      <c r="C942" s="65"/>
      <c r="D942" s="7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x14ac:dyDescent="0.3">
      <c r="A943" s="70"/>
      <c r="B943" s="70"/>
      <c r="C943" s="65"/>
      <c r="D943" s="7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x14ac:dyDescent="0.3">
      <c r="A944" s="70"/>
      <c r="B944" s="70"/>
      <c r="C944" s="65"/>
      <c r="D944" s="7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x14ac:dyDescent="0.3">
      <c r="A945" s="70"/>
      <c r="B945" s="70"/>
      <c r="C945" s="65"/>
      <c r="D945" s="7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x14ac:dyDescent="0.3">
      <c r="A946" s="70"/>
      <c r="B946" s="70"/>
      <c r="C946" s="65"/>
      <c r="D946" s="7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x14ac:dyDescent="0.3">
      <c r="A947" s="70"/>
      <c r="B947" s="70"/>
      <c r="C947" s="65"/>
      <c r="D947" s="7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x14ac:dyDescent="0.3">
      <c r="A948" s="70"/>
      <c r="B948" s="70"/>
      <c r="C948" s="65"/>
      <c r="D948" s="7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x14ac:dyDescent="0.3">
      <c r="A949" s="70"/>
      <c r="B949" s="70"/>
      <c r="C949" s="65"/>
      <c r="D949" s="7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x14ac:dyDescent="0.3">
      <c r="A950" s="70"/>
      <c r="B950" s="70"/>
      <c r="C950" s="65"/>
      <c r="D950" s="7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x14ac:dyDescent="0.3">
      <c r="A951" s="70"/>
      <c r="B951" s="70"/>
      <c r="C951" s="65"/>
      <c r="D951" s="7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x14ac:dyDescent="0.3">
      <c r="A952" s="70"/>
      <c r="B952" s="70"/>
      <c r="C952" s="65"/>
      <c r="D952" s="7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x14ac:dyDescent="0.3">
      <c r="A953" s="70"/>
      <c r="B953" s="70"/>
      <c r="C953" s="65"/>
      <c r="D953" s="7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x14ac:dyDescent="0.3">
      <c r="A954" s="70"/>
      <c r="B954" s="70"/>
      <c r="C954" s="65"/>
      <c r="D954" s="7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x14ac:dyDescent="0.3">
      <c r="A955" s="70"/>
      <c r="B955" s="70"/>
      <c r="C955" s="65"/>
      <c r="D955" s="7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x14ac:dyDescent="0.3">
      <c r="A956" s="70"/>
      <c r="B956" s="70"/>
      <c r="C956" s="65"/>
      <c r="D956" s="7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x14ac:dyDescent="0.3">
      <c r="A957" s="70"/>
      <c r="B957" s="70"/>
      <c r="C957" s="65"/>
      <c r="D957" s="7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x14ac:dyDescent="0.3">
      <c r="A958" s="70"/>
      <c r="B958" s="70"/>
      <c r="C958" s="65"/>
      <c r="D958" s="7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x14ac:dyDescent="0.3">
      <c r="A959" s="70"/>
      <c r="B959" s="70"/>
      <c r="C959" s="65"/>
      <c r="D959" s="7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x14ac:dyDescent="0.3">
      <c r="A960" s="70"/>
      <c r="B960" s="70"/>
      <c r="C960" s="65"/>
      <c r="D960" s="7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x14ac:dyDescent="0.3">
      <c r="A961" s="70"/>
      <c r="B961" s="70"/>
      <c r="C961" s="65"/>
      <c r="D961" s="7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x14ac:dyDescent="0.3">
      <c r="A962" s="70"/>
      <c r="B962" s="70"/>
      <c r="C962" s="65"/>
      <c r="D962" s="7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x14ac:dyDescent="0.3">
      <c r="A963" s="70"/>
      <c r="B963" s="70"/>
      <c r="C963" s="65"/>
      <c r="D963" s="7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x14ac:dyDescent="0.3">
      <c r="A964" s="70"/>
      <c r="B964" s="70"/>
      <c r="C964" s="65"/>
      <c r="D964" s="7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x14ac:dyDescent="0.3">
      <c r="A965" s="70"/>
      <c r="B965" s="70"/>
      <c r="C965" s="65"/>
      <c r="D965" s="7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x14ac:dyDescent="0.3">
      <c r="A966" s="70"/>
      <c r="B966" s="70"/>
      <c r="C966" s="65"/>
      <c r="D966" s="7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x14ac:dyDescent="0.3">
      <c r="A967" s="70"/>
      <c r="B967" s="70"/>
      <c r="C967" s="65"/>
      <c r="D967" s="7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x14ac:dyDescent="0.3">
      <c r="A968" s="70"/>
      <c r="B968" s="70"/>
      <c r="C968" s="65"/>
      <c r="D968" s="7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x14ac:dyDescent="0.3">
      <c r="A969" s="70"/>
      <c r="B969" s="70"/>
      <c r="C969" s="65"/>
      <c r="D969" s="7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x14ac:dyDescent="0.3">
      <c r="A970" s="70"/>
      <c r="B970" s="70"/>
      <c r="C970" s="65"/>
      <c r="D970" s="7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x14ac:dyDescent="0.3">
      <c r="A971" s="70"/>
      <c r="B971" s="70"/>
      <c r="C971" s="65"/>
      <c r="D971" s="7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x14ac:dyDescent="0.3">
      <c r="A972" s="70"/>
      <c r="B972" s="70"/>
      <c r="C972" s="65"/>
      <c r="D972" s="7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x14ac:dyDescent="0.3">
      <c r="A973" s="70"/>
      <c r="B973" s="70"/>
      <c r="C973" s="65"/>
      <c r="D973" s="7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x14ac:dyDescent="0.3">
      <c r="A974" s="70"/>
      <c r="B974" s="70"/>
      <c r="C974" s="65"/>
      <c r="D974" s="7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x14ac:dyDescent="0.3">
      <c r="A975" s="70"/>
      <c r="B975" s="70"/>
      <c r="C975" s="65"/>
      <c r="D975" s="7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x14ac:dyDescent="0.3">
      <c r="A976" s="70"/>
      <c r="B976" s="70"/>
      <c r="C976" s="65"/>
      <c r="D976" s="7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x14ac:dyDescent="0.3">
      <c r="A977" s="70"/>
      <c r="B977" s="70"/>
      <c r="C977" s="65"/>
      <c r="D977" s="7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x14ac:dyDescent="0.3">
      <c r="A978" s="70"/>
      <c r="B978" s="70"/>
      <c r="C978" s="65"/>
      <c r="D978" s="7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x14ac:dyDescent="0.3">
      <c r="A979" s="70"/>
      <c r="B979" s="70"/>
      <c r="C979" s="65"/>
      <c r="D979" s="7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x14ac:dyDescent="0.3">
      <c r="A980" s="70"/>
      <c r="B980" s="70"/>
      <c r="C980" s="65"/>
      <c r="D980" s="7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x14ac:dyDescent="0.3">
      <c r="A981" s="70"/>
      <c r="B981" s="70"/>
      <c r="C981" s="65"/>
      <c r="D981" s="7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x14ac:dyDescent="0.3">
      <c r="A982" s="70"/>
      <c r="B982" s="70"/>
      <c r="C982" s="65"/>
      <c r="D982" s="7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x14ac:dyDescent="0.3">
      <c r="A983" s="70"/>
      <c r="B983" s="70"/>
      <c r="C983" s="65"/>
      <c r="D983" s="7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x14ac:dyDescent="0.3">
      <c r="A984" s="70"/>
      <c r="B984" s="70"/>
      <c r="C984" s="65"/>
      <c r="D984" s="7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x14ac:dyDescent="0.3">
      <c r="A985" s="70"/>
      <c r="B985" s="70"/>
      <c r="C985" s="65"/>
      <c r="D985" s="7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x14ac:dyDescent="0.3">
      <c r="A986" s="70"/>
      <c r="B986" s="70"/>
      <c r="C986" s="65"/>
      <c r="D986" s="7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x14ac:dyDescent="0.3">
      <c r="A987" s="70"/>
      <c r="B987" s="70"/>
      <c r="C987" s="65"/>
      <c r="D987" s="7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x14ac:dyDescent="0.3">
      <c r="A988" s="70"/>
      <c r="B988" s="70"/>
      <c r="C988" s="65"/>
      <c r="D988" s="7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x14ac:dyDescent="0.3">
      <c r="A989" s="70"/>
      <c r="B989" s="70"/>
      <c r="C989" s="65"/>
      <c r="D989" s="7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x14ac:dyDescent="0.3">
      <c r="A990" s="70"/>
      <c r="B990" s="70"/>
      <c r="C990" s="65"/>
      <c r="D990" s="7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x14ac:dyDescent="0.3">
      <c r="A991" s="70"/>
      <c r="B991" s="70"/>
      <c r="C991" s="65"/>
      <c r="D991" s="7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x14ac:dyDescent="0.3">
      <c r="A992" s="70"/>
      <c r="B992" s="70"/>
      <c r="C992" s="65"/>
      <c r="D992" s="7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x14ac:dyDescent="0.3">
      <c r="A993" s="70"/>
      <c r="B993" s="70"/>
      <c r="C993" s="65"/>
      <c r="D993" s="7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x14ac:dyDescent="0.3">
      <c r="A994" s="70"/>
      <c r="B994" s="70"/>
      <c r="C994" s="65"/>
      <c r="D994" s="7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x14ac:dyDescent="0.3">
      <c r="A995" s="70"/>
      <c r="B995" s="70"/>
      <c r="C995" s="65"/>
      <c r="D995" s="7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x14ac:dyDescent="0.3">
      <c r="A996" s="70"/>
      <c r="B996" s="70"/>
      <c r="C996" s="65"/>
      <c r="D996" s="7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x14ac:dyDescent="0.3">
      <c r="A997" s="70"/>
      <c r="B997" s="70"/>
      <c r="C997" s="65"/>
      <c r="D997" s="7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x14ac:dyDescent="0.3">
      <c r="A998" s="70"/>
      <c r="B998" s="70"/>
      <c r="C998" s="65"/>
      <c r="D998" s="7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x14ac:dyDescent="0.3">
      <c r="A999" s="70"/>
      <c r="B999" s="70"/>
      <c r="C999" s="65"/>
      <c r="D999" s="7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x14ac:dyDescent="0.3">
      <c r="A1000" s="70"/>
      <c r="B1000" s="70"/>
      <c r="C1000" s="65"/>
      <c r="D1000" s="7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183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6.44140625" customWidth="1"/>
    <col min="2" max="2" width="49.88671875" customWidth="1"/>
  </cols>
  <sheetData>
    <row r="1" spans="1:34" ht="19.5" customHeight="1" x14ac:dyDescent="0.3">
      <c r="A1" s="84" t="s">
        <v>632</v>
      </c>
      <c r="B1" s="71" t="s">
        <v>633</v>
      </c>
      <c r="C1" s="84" t="s">
        <v>634</v>
      </c>
      <c r="D1" s="84" t="s">
        <v>635</v>
      </c>
      <c r="E1" s="76" t="s">
        <v>636</v>
      </c>
      <c r="F1" s="77"/>
      <c r="G1" s="78"/>
      <c r="H1" s="76" t="s">
        <v>637</v>
      </c>
      <c r="I1" s="77"/>
      <c r="J1" s="78"/>
      <c r="K1" s="76" t="s">
        <v>638</v>
      </c>
      <c r="L1" s="77"/>
      <c r="M1" s="78"/>
      <c r="N1" s="76" t="s">
        <v>639</v>
      </c>
      <c r="O1" s="77"/>
      <c r="P1" s="78"/>
      <c r="Q1" s="76" t="s">
        <v>640</v>
      </c>
      <c r="R1" s="77"/>
      <c r="S1" s="78"/>
      <c r="T1" s="76" t="s">
        <v>641</v>
      </c>
      <c r="U1" s="77"/>
      <c r="V1" s="78"/>
      <c r="W1" s="76" t="s">
        <v>642</v>
      </c>
      <c r="X1" s="77"/>
      <c r="Y1" s="78"/>
      <c r="Z1" s="76" t="s">
        <v>643</v>
      </c>
      <c r="AA1" s="77"/>
      <c r="AB1" s="78"/>
      <c r="AC1" s="76" t="s">
        <v>644</v>
      </c>
      <c r="AD1" s="77"/>
      <c r="AE1" s="78"/>
      <c r="AF1" s="76" t="s">
        <v>645</v>
      </c>
      <c r="AG1" s="77"/>
      <c r="AH1" s="78"/>
    </row>
    <row r="2" spans="1:34" ht="19.5" customHeight="1" x14ac:dyDescent="0.3">
      <c r="A2" s="80"/>
      <c r="B2" s="72" t="s">
        <v>646</v>
      </c>
      <c r="C2" s="80"/>
      <c r="D2" s="80"/>
      <c r="E2" s="72" t="s">
        <v>647</v>
      </c>
      <c r="F2" s="72" t="s">
        <v>648</v>
      </c>
      <c r="G2" s="72" t="s">
        <v>649</v>
      </c>
      <c r="H2" s="72" t="s">
        <v>647</v>
      </c>
      <c r="I2" s="72" t="s">
        <v>648</v>
      </c>
      <c r="J2" s="72" t="s">
        <v>649</v>
      </c>
      <c r="K2" s="72" t="s">
        <v>647</v>
      </c>
      <c r="L2" s="72" t="s">
        <v>648</v>
      </c>
      <c r="M2" s="72" t="s">
        <v>649</v>
      </c>
      <c r="N2" s="72" t="s">
        <v>647</v>
      </c>
      <c r="O2" s="72" t="s">
        <v>648</v>
      </c>
      <c r="P2" s="72" t="s">
        <v>649</v>
      </c>
      <c r="Q2" s="72" t="s">
        <v>647</v>
      </c>
      <c r="R2" s="72" t="s">
        <v>648</v>
      </c>
      <c r="S2" s="72" t="s">
        <v>649</v>
      </c>
      <c r="T2" s="72" t="s">
        <v>647</v>
      </c>
      <c r="U2" s="72" t="s">
        <v>648</v>
      </c>
      <c r="V2" s="72" t="s">
        <v>649</v>
      </c>
      <c r="W2" s="72" t="s">
        <v>647</v>
      </c>
      <c r="X2" s="72" t="s">
        <v>648</v>
      </c>
      <c r="Y2" s="72" t="s">
        <v>649</v>
      </c>
      <c r="Z2" s="72" t="s">
        <v>647</v>
      </c>
      <c r="AA2" s="72" t="s">
        <v>648</v>
      </c>
      <c r="AB2" s="72" t="s">
        <v>649</v>
      </c>
      <c r="AC2" s="72" t="s">
        <v>647</v>
      </c>
      <c r="AD2" s="72" t="s">
        <v>648</v>
      </c>
      <c r="AE2" s="72" t="s">
        <v>649</v>
      </c>
      <c r="AF2" s="72" t="s">
        <v>647</v>
      </c>
      <c r="AG2" s="72" t="s">
        <v>648</v>
      </c>
      <c r="AH2" s="72" t="s">
        <v>649</v>
      </c>
    </row>
    <row r="3" spans="1:34" ht="16.5" customHeight="1" x14ac:dyDescent="0.3">
      <c r="A3" s="79" t="s">
        <v>650</v>
      </c>
      <c r="B3" s="37" t="s">
        <v>651</v>
      </c>
      <c r="C3" s="37">
        <v>19032</v>
      </c>
      <c r="D3" s="73">
        <f t="shared" ref="D3:D183" si="0">SUM(F3,I3,L3,O3,R3,U3,X3,AA3,AD3,AG3)</f>
        <v>145223</v>
      </c>
      <c r="E3" s="74">
        <v>126449573</v>
      </c>
      <c r="F3" s="74">
        <v>12238</v>
      </c>
      <c r="G3" s="74">
        <v>1898015</v>
      </c>
      <c r="H3" s="74">
        <v>112080165</v>
      </c>
      <c r="I3" s="74">
        <v>11219</v>
      </c>
      <c r="J3" s="74">
        <v>1702391</v>
      </c>
      <c r="K3" s="74">
        <v>132021837</v>
      </c>
      <c r="L3" s="74">
        <v>12818</v>
      </c>
      <c r="M3" s="74">
        <v>2029661</v>
      </c>
      <c r="N3" s="74">
        <v>361151965</v>
      </c>
      <c r="O3" s="74">
        <v>35685</v>
      </c>
      <c r="P3" s="74">
        <v>5684451</v>
      </c>
      <c r="Q3" s="74">
        <v>124356689</v>
      </c>
      <c r="R3" s="74">
        <v>12546</v>
      </c>
      <c r="S3" s="74">
        <v>1972569</v>
      </c>
      <c r="T3" s="74">
        <v>119613225</v>
      </c>
      <c r="U3" s="74">
        <v>12446</v>
      </c>
      <c r="V3" s="74">
        <v>1915200</v>
      </c>
      <c r="W3" s="74">
        <v>119804395</v>
      </c>
      <c r="X3" s="74">
        <v>12621</v>
      </c>
      <c r="Y3" s="74">
        <v>1899667</v>
      </c>
      <c r="Z3" s="74">
        <v>112382934</v>
      </c>
      <c r="AA3" s="74">
        <v>11777</v>
      </c>
      <c r="AB3" s="74">
        <v>1759991</v>
      </c>
      <c r="AC3" s="74">
        <v>111106306</v>
      </c>
      <c r="AD3" s="74">
        <v>11775</v>
      </c>
      <c r="AE3" s="74">
        <v>1744918</v>
      </c>
      <c r="AF3" s="74">
        <v>119041492</v>
      </c>
      <c r="AG3" s="74">
        <v>12098</v>
      </c>
      <c r="AH3" s="74">
        <v>1894896</v>
      </c>
    </row>
    <row r="4" spans="1:34" ht="16.5" customHeight="1" x14ac:dyDescent="0.3">
      <c r="A4" s="80"/>
      <c r="B4" s="37" t="s">
        <v>652</v>
      </c>
      <c r="C4" s="37">
        <v>19035</v>
      </c>
      <c r="D4" s="73">
        <f t="shared" si="0"/>
        <v>7265</v>
      </c>
      <c r="E4" s="74">
        <v>7467184</v>
      </c>
      <c r="F4" s="37">
        <v>657</v>
      </c>
      <c r="G4" s="74">
        <v>181529</v>
      </c>
      <c r="H4" s="74">
        <v>6796213</v>
      </c>
      <c r="I4" s="37">
        <v>646</v>
      </c>
      <c r="J4" s="74">
        <v>184943</v>
      </c>
      <c r="K4" s="74">
        <v>6567105</v>
      </c>
      <c r="L4" s="37">
        <v>624</v>
      </c>
      <c r="M4" s="74">
        <v>168858</v>
      </c>
      <c r="N4" s="74">
        <v>19061731</v>
      </c>
      <c r="O4" s="74">
        <v>1656</v>
      </c>
      <c r="P4" s="74">
        <v>447361</v>
      </c>
      <c r="Q4" s="74">
        <v>6864099</v>
      </c>
      <c r="R4" s="37">
        <v>618</v>
      </c>
      <c r="S4" s="74">
        <v>155490</v>
      </c>
      <c r="T4" s="74">
        <v>7207824</v>
      </c>
      <c r="U4" s="37">
        <v>558</v>
      </c>
      <c r="V4" s="74">
        <v>177817</v>
      </c>
      <c r="W4" s="74">
        <v>6798121</v>
      </c>
      <c r="X4" s="37">
        <v>598</v>
      </c>
      <c r="Y4" s="74">
        <v>172159</v>
      </c>
      <c r="Z4" s="74">
        <v>7378287</v>
      </c>
      <c r="AA4" s="37">
        <v>643</v>
      </c>
      <c r="AB4" s="74">
        <v>182331</v>
      </c>
      <c r="AC4" s="74">
        <v>8037178</v>
      </c>
      <c r="AD4" s="37">
        <v>652</v>
      </c>
      <c r="AE4" s="74">
        <v>200931</v>
      </c>
      <c r="AF4" s="74">
        <v>7242183</v>
      </c>
      <c r="AG4" s="37">
        <v>613</v>
      </c>
      <c r="AH4" s="74">
        <v>170432</v>
      </c>
    </row>
    <row r="5" spans="1:34" ht="16.5" customHeight="1" x14ac:dyDescent="0.3">
      <c r="A5" s="81" t="s">
        <v>653</v>
      </c>
      <c r="B5" s="37" t="s">
        <v>654</v>
      </c>
      <c r="C5" s="37">
        <v>362752</v>
      </c>
      <c r="D5" s="73">
        <f t="shared" si="0"/>
        <v>2064577</v>
      </c>
      <c r="E5" s="74">
        <v>428167553</v>
      </c>
      <c r="F5" s="74">
        <v>196216</v>
      </c>
      <c r="G5" s="37">
        <v>0</v>
      </c>
      <c r="H5" s="74">
        <v>368062072</v>
      </c>
      <c r="I5" s="74">
        <v>177708</v>
      </c>
      <c r="J5" s="37">
        <v>0</v>
      </c>
      <c r="K5" s="74">
        <v>379128108</v>
      </c>
      <c r="L5" s="74">
        <v>194366</v>
      </c>
      <c r="M5" s="37">
        <v>0</v>
      </c>
      <c r="N5" s="74">
        <v>717444287</v>
      </c>
      <c r="O5" s="74">
        <v>348662</v>
      </c>
      <c r="P5" s="37">
        <v>0</v>
      </c>
      <c r="Q5" s="74">
        <v>391213944</v>
      </c>
      <c r="R5" s="74">
        <v>195767</v>
      </c>
      <c r="S5" s="37">
        <v>0</v>
      </c>
      <c r="T5" s="74">
        <v>347957806</v>
      </c>
      <c r="U5" s="74">
        <v>181632</v>
      </c>
      <c r="V5" s="37">
        <v>0</v>
      </c>
      <c r="W5" s="74">
        <v>366374982</v>
      </c>
      <c r="X5" s="74">
        <v>188753</v>
      </c>
      <c r="Y5" s="37">
        <v>0</v>
      </c>
      <c r="Z5" s="74">
        <v>369630864</v>
      </c>
      <c r="AA5" s="74">
        <v>189318</v>
      </c>
      <c r="AB5" s="37">
        <v>0</v>
      </c>
      <c r="AC5" s="74">
        <v>376295880</v>
      </c>
      <c r="AD5" s="74">
        <v>191963</v>
      </c>
      <c r="AE5" s="37">
        <v>0</v>
      </c>
      <c r="AF5" s="74">
        <v>398006024</v>
      </c>
      <c r="AG5" s="74">
        <v>200192</v>
      </c>
      <c r="AH5" s="37">
        <v>0</v>
      </c>
    </row>
    <row r="6" spans="1:34" ht="16.5" customHeight="1" x14ac:dyDescent="0.3">
      <c r="A6" s="82"/>
      <c r="B6" s="37" t="s">
        <v>560</v>
      </c>
      <c r="C6" s="37">
        <v>356627</v>
      </c>
      <c r="D6" s="73">
        <f t="shared" si="0"/>
        <v>176194</v>
      </c>
      <c r="E6" s="74">
        <v>290141452</v>
      </c>
      <c r="F6" s="74">
        <v>18950</v>
      </c>
      <c r="G6" s="74">
        <v>189500</v>
      </c>
      <c r="H6" s="74">
        <v>273725261</v>
      </c>
      <c r="I6" s="74">
        <v>17173</v>
      </c>
      <c r="J6" s="74">
        <v>171730</v>
      </c>
      <c r="K6" s="74">
        <v>267567240</v>
      </c>
      <c r="L6" s="74">
        <v>16974</v>
      </c>
      <c r="M6" s="74">
        <v>169740</v>
      </c>
      <c r="N6" s="74">
        <v>475683578</v>
      </c>
      <c r="O6" s="74">
        <v>29902</v>
      </c>
      <c r="P6" s="74">
        <v>299020</v>
      </c>
      <c r="Q6" s="74">
        <v>229340943</v>
      </c>
      <c r="R6" s="74">
        <v>14871</v>
      </c>
      <c r="S6" s="74">
        <v>148710</v>
      </c>
      <c r="T6" s="74">
        <v>243120902</v>
      </c>
      <c r="U6" s="74">
        <v>15714</v>
      </c>
      <c r="V6" s="74">
        <v>157140</v>
      </c>
      <c r="W6" s="74">
        <v>226263025</v>
      </c>
      <c r="X6" s="74">
        <v>15253</v>
      </c>
      <c r="Y6" s="74">
        <v>152530</v>
      </c>
      <c r="Z6" s="74">
        <v>218855139</v>
      </c>
      <c r="AA6" s="74">
        <v>14836</v>
      </c>
      <c r="AB6" s="74">
        <v>148360</v>
      </c>
      <c r="AC6" s="74">
        <v>246488755</v>
      </c>
      <c r="AD6" s="74">
        <v>16468</v>
      </c>
      <c r="AE6" s="74">
        <v>164680</v>
      </c>
      <c r="AF6" s="74">
        <v>243473070</v>
      </c>
      <c r="AG6" s="74">
        <v>16053</v>
      </c>
      <c r="AH6" s="74">
        <v>160530</v>
      </c>
    </row>
    <row r="7" spans="1:34" ht="16.5" customHeight="1" x14ac:dyDescent="0.3">
      <c r="A7" s="82"/>
      <c r="B7" s="37" t="s">
        <v>551</v>
      </c>
      <c r="C7" s="37">
        <v>362522</v>
      </c>
      <c r="D7" s="73">
        <f t="shared" si="0"/>
        <v>122563</v>
      </c>
      <c r="E7" s="37">
        <v>0</v>
      </c>
      <c r="F7" s="74">
        <v>60166</v>
      </c>
      <c r="G7" s="37">
        <v>0</v>
      </c>
      <c r="H7" s="37">
        <v>0</v>
      </c>
      <c r="I7" s="74">
        <v>36169</v>
      </c>
      <c r="J7" s="37">
        <v>0</v>
      </c>
      <c r="K7" s="37">
        <v>0</v>
      </c>
      <c r="L7" s="74">
        <v>13564</v>
      </c>
      <c r="M7" s="37">
        <v>0</v>
      </c>
      <c r="N7" s="37">
        <v>0</v>
      </c>
      <c r="O7" s="74">
        <v>8532</v>
      </c>
      <c r="P7" s="37">
        <v>0</v>
      </c>
      <c r="Q7" s="37">
        <v>0</v>
      </c>
      <c r="R7" s="37">
        <v>880</v>
      </c>
      <c r="S7" s="37">
        <v>0</v>
      </c>
      <c r="T7" s="37">
        <v>0</v>
      </c>
      <c r="U7" s="37">
        <v>183</v>
      </c>
      <c r="V7" s="37">
        <v>0</v>
      </c>
      <c r="W7" s="37">
        <v>0</v>
      </c>
      <c r="X7" s="74">
        <v>2201</v>
      </c>
      <c r="Y7" s="37">
        <v>0</v>
      </c>
      <c r="Z7" s="37">
        <v>0</v>
      </c>
      <c r="AA7" s="37">
        <v>649</v>
      </c>
      <c r="AB7" s="37">
        <v>0</v>
      </c>
      <c r="AC7" s="37">
        <v>0</v>
      </c>
      <c r="AD7" s="37">
        <v>103</v>
      </c>
      <c r="AE7" s="37">
        <v>0</v>
      </c>
      <c r="AF7" s="37">
        <v>0</v>
      </c>
      <c r="AG7" s="37">
        <v>116</v>
      </c>
      <c r="AH7" s="37">
        <v>0</v>
      </c>
    </row>
    <row r="8" spans="1:34" ht="16.5" customHeight="1" x14ac:dyDescent="0.3">
      <c r="A8" s="82"/>
      <c r="B8" s="37" t="s">
        <v>435</v>
      </c>
      <c r="C8" s="37">
        <v>363725</v>
      </c>
      <c r="D8" s="73">
        <f t="shared" si="0"/>
        <v>72570</v>
      </c>
      <c r="E8" s="74">
        <v>6956400</v>
      </c>
      <c r="F8" s="74">
        <v>13929</v>
      </c>
      <c r="G8" s="74">
        <v>208935</v>
      </c>
      <c r="H8" s="74">
        <v>6312300</v>
      </c>
      <c r="I8" s="74">
        <v>12631</v>
      </c>
      <c r="J8" s="74">
        <v>189465</v>
      </c>
      <c r="K8" s="74">
        <v>4864250</v>
      </c>
      <c r="L8" s="74">
        <v>9693</v>
      </c>
      <c r="M8" s="74">
        <v>145395</v>
      </c>
      <c r="N8" s="74">
        <v>6575400</v>
      </c>
      <c r="O8" s="74">
        <v>12994</v>
      </c>
      <c r="P8" s="74">
        <v>194910</v>
      </c>
      <c r="Q8" s="74">
        <v>3440850</v>
      </c>
      <c r="R8" s="74">
        <v>6795</v>
      </c>
      <c r="S8" s="74">
        <v>101925</v>
      </c>
      <c r="T8" s="74">
        <v>2574000</v>
      </c>
      <c r="U8" s="74">
        <v>5082</v>
      </c>
      <c r="V8" s="74">
        <v>76230</v>
      </c>
      <c r="W8" s="74">
        <v>1683100</v>
      </c>
      <c r="X8" s="74">
        <v>3293</v>
      </c>
      <c r="Y8" s="74">
        <v>49395</v>
      </c>
      <c r="Z8" s="74">
        <v>1325700</v>
      </c>
      <c r="AA8" s="74">
        <v>2640</v>
      </c>
      <c r="AB8" s="74">
        <v>39600</v>
      </c>
      <c r="AC8" s="74">
        <v>1447200</v>
      </c>
      <c r="AD8" s="74">
        <v>2873</v>
      </c>
      <c r="AE8" s="74">
        <v>43095</v>
      </c>
      <c r="AF8" s="74">
        <v>1332900</v>
      </c>
      <c r="AG8" s="74">
        <v>2640</v>
      </c>
      <c r="AH8" s="74">
        <v>39600</v>
      </c>
    </row>
    <row r="9" spans="1:34" ht="16.5" customHeight="1" x14ac:dyDescent="0.3">
      <c r="A9" s="82"/>
      <c r="B9" s="37" t="s">
        <v>655</v>
      </c>
      <c r="C9" s="37">
        <v>3421</v>
      </c>
      <c r="D9" s="73">
        <f t="shared" si="0"/>
        <v>57655</v>
      </c>
      <c r="E9" s="74">
        <v>4159102</v>
      </c>
      <c r="F9" s="74">
        <v>7588</v>
      </c>
      <c r="G9" s="74">
        <v>225720</v>
      </c>
      <c r="H9" s="74">
        <v>3898100</v>
      </c>
      <c r="I9" s="74">
        <v>6290</v>
      </c>
      <c r="J9" s="74">
        <v>182248</v>
      </c>
      <c r="K9" s="74">
        <v>3673611</v>
      </c>
      <c r="L9" s="74">
        <v>6021</v>
      </c>
      <c r="M9" s="74">
        <v>175648</v>
      </c>
      <c r="N9" s="74">
        <v>6766551</v>
      </c>
      <c r="O9" s="74">
        <v>12074</v>
      </c>
      <c r="P9" s="74">
        <v>366256</v>
      </c>
      <c r="Q9" s="74">
        <v>3104089</v>
      </c>
      <c r="R9" s="74">
        <v>5344</v>
      </c>
      <c r="S9" s="74">
        <v>153824</v>
      </c>
      <c r="T9" s="74">
        <v>3804055</v>
      </c>
      <c r="U9" s="74">
        <v>6182</v>
      </c>
      <c r="V9" s="74">
        <v>183304</v>
      </c>
      <c r="W9" s="74">
        <v>2081800</v>
      </c>
      <c r="X9" s="74">
        <v>3313</v>
      </c>
      <c r="Y9" s="74">
        <v>76956</v>
      </c>
      <c r="Z9" s="74">
        <v>1581600</v>
      </c>
      <c r="AA9" s="74">
        <v>2482</v>
      </c>
      <c r="AB9" s="74">
        <v>51568</v>
      </c>
      <c r="AC9" s="74">
        <v>1846700</v>
      </c>
      <c r="AD9" s="74">
        <v>2937</v>
      </c>
      <c r="AE9" s="74">
        <v>60852</v>
      </c>
      <c r="AF9" s="74">
        <v>3575221</v>
      </c>
      <c r="AG9" s="74">
        <v>5424</v>
      </c>
      <c r="AH9" s="74">
        <v>160336</v>
      </c>
    </row>
    <row r="10" spans="1:34" ht="16.5" customHeight="1" x14ac:dyDescent="0.3">
      <c r="A10" s="82"/>
      <c r="B10" s="37" t="s">
        <v>573</v>
      </c>
      <c r="C10" s="37">
        <v>3164</v>
      </c>
      <c r="D10" s="73">
        <f t="shared" si="0"/>
        <v>53667</v>
      </c>
      <c r="E10" s="74">
        <v>22868364</v>
      </c>
      <c r="F10" s="74">
        <v>6402</v>
      </c>
      <c r="G10" s="37">
        <v>0</v>
      </c>
      <c r="H10" s="74">
        <v>16664688</v>
      </c>
      <c r="I10" s="74">
        <v>5021</v>
      </c>
      <c r="J10" s="37">
        <v>0</v>
      </c>
      <c r="K10" s="74">
        <v>16228458</v>
      </c>
      <c r="L10" s="74">
        <v>5042</v>
      </c>
      <c r="M10" s="37">
        <v>0</v>
      </c>
      <c r="N10" s="74">
        <v>31427271</v>
      </c>
      <c r="O10" s="74">
        <v>8832</v>
      </c>
      <c r="P10" s="37">
        <v>0</v>
      </c>
      <c r="Q10" s="74">
        <v>14012146</v>
      </c>
      <c r="R10" s="74">
        <v>4475</v>
      </c>
      <c r="S10" s="37">
        <v>0</v>
      </c>
      <c r="T10" s="74">
        <v>15786988</v>
      </c>
      <c r="U10" s="74">
        <v>4763</v>
      </c>
      <c r="V10" s="37">
        <v>0</v>
      </c>
      <c r="W10" s="74">
        <v>15238943</v>
      </c>
      <c r="X10" s="74">
        <v>4499</v>
      </c>
      <c r="Y10" s="37">
        <v>0</v>
      </c>
      <c r="Z10" s="74">
        <v>15150968</v>
      </c>
      <c r="AA10" s="74">
        <v>4568</v>
      </c>
      <c r="AB10" s="37">
        <v>0</v>
      </c>
      <c r="AC10" s="74">
        <v>17380717</v>
      </c>
      <c r="AD10" s="74">
        <v>5152</v>
      </c>
      <c r="AE10" s="37">
        <v>0</v>
      </c>
      <c r="AF10" s="74">
        <v>15770989</v>
      </c>
      <c r="AG10" s="74">
        <v>4913</v>
      </c>
      <c r="AH10" s="37">
        <v>0</v>
      </c>
    </row>
    <row r="11" spans="1:34" ht="16.5" customHeight="1" x14ac:dyDescent="0.3">
      <c r="A11" s="82"/>
      <c r="B11" s="37" t="s">
        <v>564</v>
      </c>
      <c r="C11" s="37">
        <v>356625</v>
      </c>
      <c r="D11" s="73">
        <f t="shared" si="0"/>
        <v>39355</v>
      </c>
      <c r="E11" s="74">
        <v>52755328</v>
      </c>
      <c r="F11" s="74">
        <v>3886</v>
      </c>
      <c r="G11" s="74">
        <v>38860</v>
      </c>
      <c r="H11" s="74">
        <v>47598755</v>
      </c>
      <c r="I11" s="74">
        <v>3583</v>
      </c>
      <c r="J11" s="74">
        <v>35830</v>
      </c>
      <c r="K11" s="74">
        <v>49353925</v>
      </c>
      <c r="L11" s="74">
        <v>3663</v>
      </c>
      <c r="M11" s="74">
        <v>36630</v>
      </c>
      <c r="N11" s="74">
        <v>92693039</v>
      </c>
      <c r="O11" s="74">
        <v>6784</v>
      </c>
      <c r="P11" s="74">
        <v>67840</v>
      </c>
      <c r="Q11" s="74">
        <v>44732688</v>
      </c>
      <c r="R11" s="74">
        <v>3380</v>
      </c>
      <c r="S11" s="74">
        <v>33800</v>
      </c>
      <c r="T11" s="74">
        <v>46554937</v>
      </c>
      <c r="U11" s="74">
        <v>3527</v>
      </c>
      <c r="V11" s="74">
        <v>35270</v>
      </c>
      <c r="W11" s="74">
        <v>47773992</v>
      </c>
      <c r="X11" s="74">
        <v>3523</v>
      </c>
      <c r="Y11" s="74">
        <v>35230</v>
      </c>
      <c r="Z11" s="74">
        <v>43755867</v>
      </c>
      <c r="AA11" s="74">
        <v>3454</v>
      </c>
      <c r="AB11" s="74">
        <v>34540</v>
      </c>
      <c r="AC11" s="74">
        <v>46075193</v>
      </c>
      <c r="AD11" s="74">
        <v>3771</v>
      </c>
      <c r="AE11" s="74">
        <v>37710</v>
      </c>
      <c r="AF11" s="74">
        <v>50110641</v>
      </c>
      <c r="AG11" s="74">
        <v>3784</v>
      </c>
      <c r="AH11" s="74">
        <v>37840</v>
      </c>
    </row>
    <row r="12" spans="1:34" ht="16.5" customHeight="1" x14ac:dyDescent="0.3">
      <c r="A12" s="82"/>
      <c r="B12" s="37" t="s">
        <v>656</v>
      </c>
      <c r="C12" s="37">
        <v>364371</v>
      </c>
      <c r="D12" s="73">
        <f t="shared" si="0"/>
        <v>36538</v>
      </c>
      <c r="E12" s="74">
        <v>2001444</v>
      </c>
      <c r="F12" s="74">
        <v>3011</v>
      </c>
      <c r="G12" s="74">
        <v>30110</v>
      </c>
      <c r="H12" s="74">
        <v>1847726</v>
      </c>
      <c r="I12" s="74">
        <v>3042</v>
      </c>
      <c r="J12" s="74">
        <v>30420</v>
      </c>
      <c r="K12" s="74">
        <v>2543894</v>
      </c>
      <c r="L12" s="74">
        <v>3073</v>
      </c>
      <c r="M12" s="74">
        <v>30730</v>
      </c>
      <c r="N12" s="74">
        <v>5714910</v>
      </c>
      <c r="O12" s="74">
        <v>6658</v>
      </c>
      <c r="P12" s="74">
        <v>66580</v>
      </c>
      <c r="Q12" s="74">
        <v>3102744</v>
      </c>
      <c r="R12" s="74">
        <v>3366</v>
      </c>
      <c r="S12" s="74">
        <v>33660</v>
      </c>
      <c r="T12" s="74">
        <v>2826100</v>
      </c>
      <c r="U12" s="74">
        <v>3408</v>
      </c>
      <c r="V12" s="74">
        <v>34080</v>
      </c>
      <c r="W12" s="74">
        <v>2763685</v>
      </c>
      <c r="X12" s="74">
        <v>3420</v>
      </c>
      <c r="Y12" s="74">
        <v>34200</v>
      </c>
      <c r="Z12" s="74">
        <v>2844540</v>
      </c>
      <c r="AA12" s="74">
        <v>3387</v>
      </c>
      <c r="AB12" s="74">
        <v>33870</v>
      </c>
      <c r="AC12" s="74">
        <v>2724182</v>
      </c>
      <c r="AD12" s="74">
        <v>3604</v>
      </c>
      <c r="AE12" s="74">
        <v>36040</v>
      </c>
      <c r="AF12" s="74">
        <v>2748268</v>
      </c>
      <c r="AG12" s="74">
        <v>3569</v>
      </c>
      <c r="AH12" s="74">
        <v>35690</v>
      </c>
    </row>
    <row r="13" spans="1:34" ht="16.5" customHeight="1" x14ac:dyDescent="0.3">
      <c r="A13" s="82"/>
      <c r="B13" s="37" t="s">
        <v>562</v>
      </c>
      <c r="C13" s="37">
        <v>3181</v>
      </c>
      <c r="D13" s="73">
        <f t="shared" si="0"/>
        <v>34717</v>
      </c>
      <c r="E13" s="74">
        <v>1267077</v>
      </c>
      <c r="F13" s="74">
        <v>3370</v>
      </c>
      <c r="G13" s="74">
        <v>33670</v>
      </c>
      <c r="H13" s="74">
        <v>1192345</v>
      </c>
      <c r="I13" s="74">
        <v>3487</v>
      </c>
      <c r="J13" s="74">
        <v>34840</v>
      </c>
      <c r="K13" s="74">
        <v>1053351</v>
      </c>
      <c r="L13" s="74">
        <v>3398</v>
      </c>
      <c r="M13" s="74">
        <v>33940</v>
      </c>
      <c r="N13" s="74">
        <v>2313389</v>
      </c>
      <c r="O13" s="74">
        <v>6306</v>
      </c>
      <c r="P13" s="74">
        <v>63020</v>
      </c>
      <c r="Q13" s="74">
        <v>1034513</v>
      </c>
      <c r="R13" s="74">
        <v>3049</v>
      </c>
      <c r="S13" s="74">
        <v>30450</v>
      </c>
      <c r="T13" s="74">
        <v>1025221</v>
      </c>
      <c r="U13" s="74">
        <v>3136</v>
      </c>
      <c r="V13" s="74">
        <v>31330</v>
      </c>
      <c r="W13" s="74">
        <v>953938</v>
      </c>
      <c r="X13" s="74">
        <v>2986</v>
      </c>
      <c r="Y13" s="74">
        <v>29830</v>
      </c>
      <c r="Z13" s="74">
        <v>1001292</v>
      </c>
      <c r="AA13" s="74">
        <v>3024</v>
      </c>
      <c r="AB13" s="74">
        <v>30210</v>
      </c>
      <c r="AC13" s="74">
        <v>992529</v>
      </c>
      <c r="AD13" s="74">
        <v>3050</v>
      </c>
      <c r="AE13" s="74">
        <v>30460</v>
      </c>
      <c r="AF13" s="74">
        <v>844982</v>
      </c>
      <c r="AG13" s="74">
        <v>2911</v>
      </c>
      <c r="AH13" s="74">
        <v>29070</v>
      </c>
    </row>
    <row r="14" spans="1:34" ht="16.5" customHeight="1" x14ac:dyDescent="0.3">
      <c r="A14" s="82"/>
      <c r="B14" s="37" t="s">
        <v>534</v>
      </c>
      <c r="C14" s="37">
        <v>3261</v>
      </c>
      <c r="D14" s="73">
        <f t="shared" si="0"/>
        <v>29771</v>
      </c>
      <c r="E14" s="74">
        <v>1602880</v>
      </c>
      <c r="F14" s="74">
        <v>2937</v>
      </c>
      <c r="G14" s="74">
        <v>44055</v>
      </c>
      <c r="H14" s="74">
        <v>1441821</v>
      </c>
      <c r="I14" s="74">
        <v>2609</v>
      </c>
      <c r="J14" s="74">
        <v>39135</v>
      </c>
      <c r="K14" s="74">
        <v>1468296</v>
      </c>
      <c r="L14" s="74">
        <v>2725</v>
      </c>
      <c r="M14" s="74">
        <v>40875</v>
      </c>
      <c r="N14" s="74">
        <v>2902221</v>
      </c>
      <c r="O14" s="74">
        <v>5178</v>
      </c>
      <c r="P14" s="74">
        <v>77670</v>
      </c>
      <c r="Q14" s="74">
        <v>1459644</v>
      </c>
      <c r="R14" s="74">
        <v>2624</v>
      </c>
      <c r="S14" s="74">
        <v>39360</v>
      </c>
      <c r="T14" s="74">
        <v>1386497</v>
      </c>
      <c r="U14" s="74">
        <v>2522</v>
      </c>
      <c r="V14" s="74">
        <v>37830</v>
      </c>
      <c r="W14" s="74">
        <v>1437423</v>
      </c>
      <c r="X14" s="74">
        <v>2588</v>
      </c>
      <c r="Y14" s="74">
        <v>38820</v>
      </c>
      <c r="Z14" s="74">
        <v>1439296</v>
      </c>
      <c r="AA14" s="74">
        <v>2536</v>
      </c>
      <c r="AB14" s="74">
        <v>38040</v>
      </c>
      <c r="AC14" s="74">
        <v>1478794</v>
      </c>
      <c r="AD14" s="74">
        <v>2626</v>
      </c>
      <c r="AE14" s="74">
        <v>39390</v>
      </c>
      <c r="AF14" s="74">
        <v>1898543</v>
      </c>
      <c r="AG14" s="74">
        <v>3426</v>
      </c>
      <c r="AH14" s="74">
        <v>51390</v>
      </c>
    </row>
    <row r="15" spans="1:34" ht="16.5" customHeight="1" x14ac:dyDescent="0.3">
      <c r="A15" s="82"/>
      <c r="B15" s="37" t="s">
        <v>567</v>
      </c>
      <c r="C15" s="37">
        <v>356626</v>
      </c>
      <c r="D15" s="73">
        <f t="shared" si="0"/>
        <v>29344</v>
      </c>
      <c r="E15" s="74">
        <v>41750975</v>
      </c>
      <c r="F15" s="74">
        <v>2918</v>
      </c>
      <c r="G15" s="74">
        <v>29180</v>
      </c>
      <c r="H15" s="74">
        <v>40819880</v>
      </c>
      <c r="I15" s="74">
        <v>2783</v>
      </c>
      <c r="J15" s="74">
        <v>27830</v>
      </c>
      <c r="K15" s="74">
        <v>34605878</v>
      </c>
      <c r="L15" s="74">
        <v>2493</v>
      </c>
      <c r="M15" s="74">
        <v>24930</v>
      </c>
      <c r="N15" s="74">
        <v>61166379</v>
      </c>
      <c r="O15" s="74">
        <v>4300</v>
      </c>
      <c r="P15" s="74">
        <v>43000</v>
      </c>
      <c r="Q15" s="74">
        <v>41193612</v>
      </c>
      <c r="R15" s="74">
        <v>2675</v>
      </c>
      <c r="S15" s="74">
        <v>26750</v>
      </c>
      <c r="T15" s="74">
        <v>44441536</v>
      </c>
      <c r="U15" s="74">
        <v>2885</v>
      </c>
      <c r="V15" s="74">
        <v>28850</v>
      </c>
      <c r="W15" s="74">
        <v>44443549</v>
      </c>
      <c r="X15" s="74">
        <v>2929</v>
      </c>
      <c r="Y15" s="74">
        <v>29290</v>
      </c>
      <c r="Z15" s="74">
        <v>45365787</v>
      </c>
      <c r="AA15" s="74">
        <v>2913</v>
      </c>
      <c r="AB15" s="74">
        <v>29130</v>
      </c>
      <c r="AC15" s="74">
        <v>42235987</v>
      </c>
      <c r="AD15" s="74">
        <v>2933</v>
      </c>
      <c r="AE15" s="74">
        <v>29330</v>
      </c>
      <c r="AF15" s="74">
        <v>33171674</v>
      </c>
      <c r="AG15" s="74">
        <v>2515</v>
      </c>
      <c r="AH15" s="74">
        <v>25150</v>
      </c>
    </row>
    <row r="16" spans="1:34" ht="16.5" customHeight="1" x14ac:dyDescent="0.3">
      <c r="A16" s="82"/>
      <c r="B16" s="37" t="s">
        <v>462</v>
      </c>
      <c r="C16" s="37">
        <v>363745</v>
      </c>
      <c r="D16" s="73">
        <f t="shared" si="0"/>
        <v>26847</v>
      </c>
      <c r="E16" s="74">
        <v>1533986</v>
      </c>
      <c r="F16" s="74">
        <v>1626</v>
      </c>
      <c r="G16" s="37">
        <v>0</v>
      </c>
      <c r="H16" s="74">
        <v>1460626</v>
      </c>
      <c r="I16" s="74">
        <v>1621</v>
      </c>
      <c r="J16" s="37">
        <v>0</v>
      </c>
      <c r="K16" s="74">
        <v>1699522</v>
      </c>
      <c r="L16" s="74">
        <v>2002</v>
      </c>
      <c r="M16" s="37">
        <v>0</v>
      </c>
      <c r="N16" s="74">
        <v>3489860</v>
      </c>
      <c r="O16" s="74">
        <v>3556</v>
      </c>
      <c r="P16" s="37">
        <v>0</v>
      </c>
      <c r="Q16" s="74">
        <v>2066748</v>
      </c>
      <c r="R16" s="74">
        <v>2338</v>
      </c>
      <c r="S16" s="37">
        <v>0</v>
      </c>
      <c r="T16" s="74">
        <v>2331515</v>
      </c>
      <c r="U16" s="74">
        <v>2926</v>
      </c>
      <c r="V16" s="37">
        <v>0</v>
      </c>
      <c r="W16" s="74">
        <v>2347219</v>
      </c>
      <c r="X16" s="74">
        <v>3073</v>
      </c>
      <c r="Y16" s="37">
        <v>0</v>
      </c>
      <c r="Z16" s="74">
        <v>2248448</v>
      </c>
      <c r="AA16" s="74">
        <v>2923</v>
      </c>
      <c r="AB16" s="37">
        <v>0</v>
      </c>
      <c r="AC16" s="74">
        <v>2534749</v>
      </c>
      <c r="AD16" s="74">
        <v>3456</v>
      </c>
      <c r="AE16" s="37">
        <v>0</v>
      </c>
      <c r="AF16" s="74">
        <v>2413125</v>
      </c>
      <c r="AG16" s="74">
        <v>3326</v>
      </c>
      <c r="AH16" s="37">
        <v>0</v>
      </c>
    </row>
    <row r="17" spans="1:34" ht="16.5" customHeight="1" x14ac:dyDescent="0.3">
      <c r="A17" s="82"/>
      <c r="B17" s="37" t="s">
        <v>570</v>
      </c>
      <c r="C17" s="37">
        <v>3323</v>
      </c>
      <c r="D17" s="73">
        <f t="shared" si="0"/>
        <v>25595</v>
      </c>
      <c r="E17" s="74">
        <v>23213116</v>
      </c>
      <c r="F17" s="74">
        <v>2735</v>
      </c>
      <c r="G17" s="74">
        <v>27350</v>
      </c>
      <c r="H17" s="74">
        <v>23067115</v>
      </c>
      <c r="I17" s="74">
        <v>2746</v>
      </c>
      <c r="J17" s="74">
        <v>27460</v>
      </c>
      <c r="K17" s="74">
        <v>23876179</v>
      </c>
      <c r="L17" s="74">
        <v>2890</v>
      </c>
      <c r="M17" s="74">
        <v>28900</v>
      </c>
      <c r="N17" s="74">
        <v>43624190</v>
      </c>
      <c r="O17" s="74">
        <v>5588</v>
      </c>
      <c r="P17" s="74">
        <v>55880</v>
      </c>
      <c r="Q17" s="74">
        <v>21852242</v>
      </c>
      <c r="R17" s="74">
        <v>2774</v>
      </c>
      <c r="S17" s="74">
        <v>27740</v>
      </c>
      <c r="T17" s="74">
        <v>22242576</v>
      </c>
      <c r="U17" s="74">
        <v>2704</v>
      </c>
      <c r="V17" s="74">
        <v>27040</v>
      </c>
      <c r="W17" s="74">
        <v>23972051</v>
      </c>
      <c r="X17" s="74">
        <v>2803</v>
      </c>
      <c r="Y17" s="74">
        <v>28030</v>
      </c>
      <c r="Z17" s="74">
        <v>19684299</v>
      </c>
      <c r="AA17" s="74">
        <v>2376</v>
      </c>
      <c r="AB17" s="74">
        <v>23760</v>
      </c>
      <c r="AC17" s="74">
        <v>8199053</v>
      </c>
      <c r="AD17" s="37">
        <v>979</v>
      </c>
      <c r="AE17" s="74">
        <v>9790</v>
      </c>
      <c r="AF17" s="12"/>
      <c r="AG17" s="12"/>
      <c r="AH17" s="12"/>
    </row>
    <row r="18" spans="1:34" ht="16.5" customHeight="1" x14ac:dyDescent="0.3">
      <c r="A18" s="82"/>
      <c r="B18" s="37" t="s">
        <v>563</v>
      </c>
      <c r="C18" s="37">
        <v>2891</v>
      </c>
      <c r="D18" s="73">
        <f t="shared" si="0"/>
        <v>23441</v>
      </c>
      <c r="E18" s="74">
        <v>39513006</v>
      </c>
      <c r="F18" s="74">
        <v>2741</v>
      </c>
      <c r="G18" s="74">
        <v>40295</v>
      </c>
      <c r="H18" s="74">
        <v>35007864</v>
      </c>
      <c r="I18" s="74">
        <v>2509</v>
      </c>
      <c r="J18" s="74">
        <v>36845</v>
      </c>
      <c r="K18" s="74">
        <v>33487188</v>
      </c>
      <c r="L18" s="74">
        <v>2387</v>
      </c>
      <c r="M18" s="74">
        <v>35025</v>
      </c>
      <c r="N18" s="74">
        <v>53877249</v>
      </c>
      <c r="O18" s="74">
        <v>4310</v>
      </c>
      <c r="P18" s="74">
        <v>63310</v>
      </c>
      <c r="Q18" s="74">
        <v>23911224</v>
      </c>
      <c r="R18" s="74">
        <v>2034</v>
      </c>
      <c r="S18" s="74">
        <v>29880</v>
      </c>
      <c r="T18" s="74">
        <v>21760177</v>
      </c>
      <c r="U18" s="74">
        <v>1967</v>
      </c>
      <c r="V18" s="74">
        <v>28810</v>
      </c>
      <c r="W18" s="74">
        <v>22201887</v>
      </c>
      <c r="X18" s="74">
        <v>1941</v>
      </c>
      <c r="Y18" s="74">
        <v>28500</v>
      </c>
      <c r="Z18" s="74">
        <v>20626224</v>
      </c>
      <c r="AA18" s="74">
        <v>1808</v>
      </c>
      <c r="AB18" s="74">
        <v>26500</v>
      </c>
      <c r="AC18" s="74">
        <v>20845610</v>
      </c>
      <c r="AD18" s="74">
        <v>1869</v>
      </c>
      <c r="AE18" s="74">
        <v>27465</v>
      </c>
      <c r="AF18" s="74">
        <v>22215041</v>
      </c>
      <c r="AG18" s="74">
        <v>1875</v>
      </c>
      <c r="AH18" s="74">
        <v>27550</v>
      </c>
    </row>
    <row r="19" spans="1:34" ht="16.5" customHeight="1" x14ac:dyDescent="0.3">
      <c r="A19" s="82"/>
      <c r="B19" s="37" t="s">
        <v>566</v>
      </c>
      <c r="C19" s="37">
        <v>2895</v>
      </c>
      <c r="D19" s="73">
        <f t="shared" si="0"/>
        <v>22444</v>
      </c>
      <c r="E19" s="74">
        <v>772237</v>
      </c>
      <c r="F19" s="74">
        <v>2490</v>
      </c>
      <c r="G19" s="74">
        <v>24900</v>
      </c>
      <c r="H19" s="74">
        <v>768493</v>
      </c>
      <c r="I19" s="74">
        <v>2494</v>
      </c>
      <c r="J19" s="74">
        <v>24940</v>
      </c>
      <c r="K19" s="74">
        <v>715671</v>
      </c>
      <c r="L19" s="74">
        <v>2312</v>
      </c>
      <c r="M19" s="74">
        <v>23120</v>
      </c>
      <c r="N19" s="74">
        <v>1618610</v>
      </c>
      <c r="O19" s="74">
        <v>4110</v>
      </c>
      <c r="P19" s="74">
        <v>41100</v>
      </c>
      <c r="Q19" s="74">
        <v>835920</v>
      </c>
      <c r="R19" s="74">
        <v>1935</v>
      </c>
      <c r="S19" s="74">
        <v>19350</v>
      </c>
      <c r="T19" s="74">
        <v>799632</v>
      </c>
      <c r="U19" s="74">
        <v>1851</v>
      </c>
      <c r="V19" s="74">
        <v>18510</v>
      </c>
      <c r="W19" s="74">
        <v>807408</v>
      </c>
      <c r="X19" s="74">
        <v>1869</v>
      </c>
      <c r="Y19" s="74">
        <v>18690</v>
      </c>
      <c r="Z19" s="74">
        <v>792720</v>
      </c>
      <c r="AA19" s="74">
        <v>1835</v>
      </c>
      <c r="AB19" s="74">
        <v>18350</v>
      </c>
      <c r="AC19" s="74">
        <v>763776</v>
      </c>
      <c r="AD19" s="74">
        <v>1768</v>
      </c>
      <c r="AE19" s="74">
        <v>17680</v>
      </c>
      <c r="AF19" s="74">
        <v>768960</v>
      </c>
      <c r="AG19" s="74">
        <v>1780</v>
      </c>
      <c r="AH19" s="74">
        <v>17800</v>
      </c>
    </row>
    <row r="20" spans="1:34" ht="16.5" customHeight="1" x14ac:dyDescent="0.3">
      <c r="A20" s="82"/>
      <c r="B20" s="37" t="s">
        <v>458</v>
      </c>
      <c r="C20" s="37">
        <v>360014</v>
      </c>
      <c r="D20" s="73">
        <f t="shared" si="0"/>
        <v>19879</v>
      </c>
      <c r="E20" s="74">
        <v>21767254</v>
      </c>
      <c r="F20" s="74">
        <v>2133</v>
      </c>
      <c r="G20" s="74">
        <v>31515</v>
      </c>
      <c r="H20" s="74">
        <v>19555525</v>
      </c>
      <c r="I20" s="74">
        <v>1998</v>
      </c>
      <c r="J20" s="74">
        <v>29470</v>
      </c>
      <c r="K20" s="74">
        <v>19430466</v>
      </c>
      <c r="L20" s="74">
        <v>1986</v>
      </c>
      <c r="M20" s="74">
        <v>29215</v>
      </c>
      <c r="N20" s="74">
        <v>35114424</v>
      </c>
      <c r="O20" s="74">
        <v>3690</v>
      </c>
      <c r="P20" s="74">
        <v>54340</v>
      </c>
      <c r="Q20" s="74">
        <v>16693607</v>
      </c>
      <c r="R20" s="74">
        <v>1772</v>
      </c>
      <c r="S20" s="74">
        <v>26095</v>
      </c>
      <c r="T20" s="74">
        <v>15764537</v>
      </c>
      <c r="U20" s="74">
        <v>1716</v>
      </c>
      <c r="V20" s="74">
        <v>25280</v>
      </c>
      <c r="W20" s="74">
        <v>15331926</v>
      </c>
      <c r="X20" s="74">
        <v>1717</v>
      </c>
      <c r="Y20" s="74">
        <v>25235</v>
      </c>
      <c r="Z20" s="74">
        <v>14563695</v>
      </c>
      <c r="AA20" s="74">
        <v>1614</v>
      </c>
      <c r="AB20" s="74">
        <v>23785</v>
      </c>
      <c r="AC20" s="74">
        <v>15852473</v>
      </c>
      <c r="AD20" s="74">
        <v>1664</v>
      </c>
      <c r="AE20" s="74">
        <v>24470</v>
      </c>
      <c r="AF20" s="74">
        <v>14728848</v>
      </c>
      <c r="AG20" s="74">
        <v>1589</v>
      </c>
      <c r="AH20" s="74">
        <v>23380</v>
      </c>
    </row>
    <row r="21" spans="1:34" ht="16.5" customHeight="1" x14ac:dyDescent="0.3">
      <c r="A21" s="82"/>
      <c r="B21" s="37" t="s">
        <v>371</v>
      </c>
      <c r="C21" s="37">
        <v>3191</v>
      </c>
      <c r="D21" s="73">
        <f t="shared" si="0"/>
        <v>19145</v>
      </c>
      <c r="E21" s="74">
        <v>16644373</v>
      </c>
      <c r="F21" s="74">
        <v>2169</v>
      </c>
      <c r="G21" s="74">
        <v>21690</v>
      </c>
      <c r="H21" s="74">
        <v>15423398</v>
      </c>
      <c r="I21" s="74">
        <v>1954</v>
      </c>
      <c r="J21" s="74">
        <v>19540</v>
      </c>
      <c r="K21" s="74">
        <v>15302490</v>
      </c>
      <c r="L21" s="74">
        <v>1996</v>
      </c>
      <c r="M21" s="74">
        <v>19960</v>
      </c>
      <c r="N21" s="74">
        <v>27275365</v>
      </c>
      <c r="O21" s="74">
        <v>3596</v>
      </c>
      <c r="P21" s="74">
        <v>35960</v>
      </c>
      <c r="Q21" s="74">
        <v>12480566</v>
      </c>
      <c r="R21" s="74">
        <v>1647</v>
      </c>
      <c r="S21" s="74">
        <v>16470</v>
      </c>
      <c r="T21" s="74">
        <v>12864847</v>
      </c>
      <c r="U21" s="74">
        <v>1669</v>
      </c>
      <c r="V21" s="74">
        <v>16690</v>
      </c>
      <c r="W21" s="74">
        <v>12247057</v>
      </c>
      <c r="X21" s="74">
        <v>1609</v>
      </c>
      <c r="Y21" s="74">
        <v>16090</v>
      </c>
      <c r="Z21" s="74">
        <v>10986426</v>
      </c>
      <c r="AA21" s="74">
        <v>1497</v>
      </c>
      <c r="AB21" s="74">
        <v>14970</v>
      </c>
      <c r="AC21" s="74">
        <v>11224512</v>
      </c>
      <c r="AD21" s="74">
        <v>1502</v>
      </c>
      <c r="AE21" s="74">
        <v>15020</v>
      </c>
      <c r="AF21" s="74">
        <v>11075927</v>
      </c>
      <c r="AG21" s="74">
        <v>1506</v>
      </c>
      <c r="AH21" s="74">
        <v>15060</v>
      </c>
    </row>
    <row r="22" spans="1:34" ht="16.5" customHeight="1" x14ac:dyDescent="0.3">
      <c r="A22" s="82"/>
      <c r="B22" s="37" t="s">
        <v>432</v>
      </c>
      <c r="C22" s="37">
        <v>30119</v>
      </c>
      <c r="D22" s="73">
        <f t="shared" si="0"/>
        <v>18813</v>
      </c>
      <c r="E22" s="74">
        <v>907700</v>
      </c>
      <c r="F22" s="74">
        <v>2359</v>
      </c>
      <c r="G22" s="74">
        <v>23590</v>
      </c>
      <c r="H22" s="74">
        <v>784900</v>
      </c>
      <c r="I22" s="74">
        <v>2074</v>
      </c>
      <c r="J22" s="74">
        <v>20740</v>
      </c>
      <c r="K22" s="74">
        <v>963600</v>
      </c>
      <c r="L22" s="74">
        <v>2336</v>
      </c>
      <c r="M22" s="74">
        <v>23360</v>
      </c>
      <c r="N22" s="74">
        <v>2417600</v>
      </c>
      <c r="O22" s="74">
        <v>4510</v>
      </c>
      <c r="P22" s="74">
        <v>45100</v>
      </c>
      <c r="Q22" s="74">
        <v>1277800</v>
      </c>
      <c r="R22" s="74">
        <v>1964</v>
      </c>
      <c r="S22" s="74">
        <v>19640</v>
      </c>
      <c r="T22" s="74">
        <v>845100</v>
      </c>
      <c r="U22" s="74">
        <v>1403</v>
      </c>
      <c r="V22" s="74">
        <v>14030</v>
      </c>
      <c r="W22" s="74">
        <v>719200</v>
      </c>
      <c r="X22" s="74">
        <v>1256</v>
      </c>
      <c r="Y22" s="74">
        <v>12560</v>
      </c>
      <c r="Z22" s="74">
        <v>685500</v>
      </c>
      <c r="AA22" s="74">
        <v>1218</v>
      </c>
      <c r="AB22" s="74">
        <v>12180</v>
      </c>
      <c r="AC22" s="74">
        <v>530100</v>
      </c>
      <c r="AD22" s="37">
        <v>844</v>
      </c>
      <c r="AE22" s="74">
        <v>8440</v>
      </c>
      <c r="AF22" s="74">
        <v>504700</v>
      </c>
      <c r="AG22" s="37">
        <v>849</v>
      </c>
      <c r="AH22" s="74">
        <v>8490</v>
      </c>
    </row>
    <row r="23" spans="1:34" ht="16.5" customHeight="1" x14ac:dyDescent="0.3">
      <c r="A23" s="82"/>
      <c r="B23" s="37" t="s">
        <v>565</v>
      </c>
      <c r="C23" s="37">
        <v>3169</v>
      </c>
      <c r="D23" s="73">
        <f t="shared" si="0"/>
        <v>18649</v>
      </c>
      <c r="E23" s="74">
        <v>8458532</v>
      </c>
      <c r="F23" s="74">
        <v>1915</v>
      </c>
      <c r="G23" s="74">
        <v>19150</v>
      </c>
      <c r="H23" s="74">
        <v>8257414</v>
      </c>
      <c r="I23" s="74">
        <v>1814</v>
      </c>
      <c r="J23" s="74">
        <v>18140</v>
      </c>
      <c r="K23" s="74">
        <v>8672526</v>
      </c>
      <c r="L23" s="74">
        <v>1826</v>
      </c>
      <c r="M23" s="74">
        <v>18260</v>
      </c>
      <c r="N23" s="74">
        <v>15427079</v>
      </c>
      <c r="O23" s="74">
        <v>3498</v>
      </c>
      <c r="P23" s="74">
        <v>34980</v>
      </c>
      <c r="Q23" s="74">
        <v>7658460</v>
      </c>
      <c r="R23" s="74">
        <v>1669</v>
      </c>
      <c r="S23" s="74">
        <v>16690</v>
      </c>
      <c r="T23" s="74">
        <v>7083825</v>
      </c>
      <c r="U23" s="74">
        <v>1600</v>
      </c>
      <c r="V23" s="74">
        <v>16000</v>
      </c>
      <c r="W23" s="74">
        <v>7021054</v>
      </c>
      <c r="X23" s="74">
        <v>1663</v>
      </c>
      <c r="Y23" s="74">
        <v>16630</v>
      </c>
      <c r="Z23" s="74">
        <v>6814313</v>
      </c>
      <c r="AA23" s="74">
        <v>1584</v>
      </c>
      <c r="AB23" s="74">
        <v>15840</v>
      </c>
      <c r="AC23" s="74">
        <v>6527255</v>
      </c>
      <c r="AD23" s="74">
        <v>1545</v>
      </c>
      <c r="AE23" s="74">
        <v>15450</v>
      </c>
      <c r="AF23" s="74">
        <v>6822562</v>
      </c>
      <c r="AG23" s="74">
        <v>1535</v>
      </c>
      <c r="AH23" s="74">
        <v>15350</v>
      </c>
    </row>
    <row r="24" spans="1:34" ht="16.5" customHeight="1" x14ac:dyDescent="0.3">
      <c r="A24" s="82"/>
      <c r="B24" s="37" t="s">
        <v>390</v>
      </c>
      <c r="C24" s="37">
        <v>3210</v>
      </c>
      <c r="D24" s="73">
        <f t="shared" si="0"/>
        <v>17098</v>
      </c>
      <c r="E24" s="74">
        <v>21261876</v>
      </c>
      <c r="F24" s="74">
        <v>1794</v>
      </c>
      <c r="G24" s="74">
        <v>26910</v>
      </c>
      <c r="H24" s="74">
        <v>21035348</v>
      </c>
      <c r="I24" s="74">
        <v>1704</v>
      </c>
      <c r="J24" s="74">
        <v>25560</v>
      </c>
      <c r="K24" s="74">
        <v>18596224</v>
      </c>
      <c r="L24" s="74">
        <v>1594</v>
      </c>
      <c r="M24" s="74">
        <v>23910</v>
      </c>
      <c r="N24" s="74">
        <v>35946136</v>
      </c>
      <c r="O24" s="74">
        <v>3160</v>
      </c>
      <c r="P24" s="74">
        <v>47400</v>
      </c>
      <c r="Q24" s="74">
        <v>15229854</v>
      </c>
      <c r="R24" s="74">
        <v>1450</v>
      </c>
      <c r="S24" s="74">
        <v>21750</v>
      </c>
      <c r="T24" s="74">
        <v>14991108</v>
      </c>
      <c r="U24" s="74">
        <v>1408</v>
      </c>
      <c r="V24" s="74">
        <v>21120</v>
      </c>
      <c r="W24" s="74">
        <v>15395950</v>
      </c>
      <c r="X24" s="74">
        <v>1472</v>
      </c>
      <c r="Y24" s="74">
        <v>22080</v>
      </c>
      <c r="Z24" s="74">
        <v>13951522</v>
      </c>
      <c r="AA24" s="74">
        <v>1364</v>
      </c>
      <c r="AB24" s="74">
        <v>20460</v>
      </c>
      <c r="AC24" s="74">
        <v>14630818</v>
      </c>
      <c r="AD24" s="74">
        <v>1480</v>
      </c>
      <c r="AE24" s="74">
        <v>22200</v>
      </c>
      <c r="AF24" s="74">
        <v>17464378</v>
      </c>
      <c r="AG24" s="74">
        <v>1672</v>
      </c>
      <c r="AH24" s="74">
        <v>25080</v>
      </c>
    </row>
    <row r="25" spans="1:34" ht="16.5" customHeight="1" x14ac:dyDescent="0.3">
      <c r="A25" s="82"/>
      <c r="B25" s="37" t="s">
        <v>137</v>
      </c>
      <c r="C25" s="37">
        <v>2829</v>
      </c>
      <c r="D25" s="73">
        <f t="shared" si="0"/>
        <v>16911</v>
      </c>
      <c r="E25" s="74">
        <v>699312</v>
      </c>
      <c r="F25" s="74">
        <v>1762</v>
      </c>
      <c r="G25" s="74">
        <v>17620</v>
      </c>
      <c r="H25" s="74">
        <v>612544</v>
      </c>
      <c r="I25" s="74">
        <v>1611</v>
      </c>
      <c r="J25" s="74">
        <v>16110</v>
      </c>
      <c r="K25" s="74">
        <v>648339</v>
      </c>
      <c r="L25" s="74">
        <v>1663</v>
      </c>
      <c r="M25" s="74">
        <v>16630</v>
      </c>
      <c r="N25" s="74">
        <v>1185623</v>
      </c>
      <c r="O25" s="74">
        <v>3010</v>
      </c>
      <c r="P25" s="74">
        <v>30100</v>
      </c>
      <c r="Q25" s="74">
        <v>564058</v>
      </c>
      <c r="R25" s="74">
        <v>1471</v>
      </c>
      <c r="S25" s="74">
        <v>14710</v>
      </c>
      <c r="T25" s="74">
        <v>570077</v>
      </c>
      <c r="U25" s="74">
        <v>1458</v>
      </c>
      <c r="V25" s="74">
        <v>14580</v>
      </c>
      <c r="W25" s="74">
        <v>575383</v>
      </c>
      <c r="X25" s="74">
        <v>1466</v>
      </c>
      <c r="Y25" s="74">
        <v>14660</v>
      </c>
      <c r="Z25" s="74">
        <v>580327</v>
      </c>
      <c r="AA25" s="74">
        <v>1524</v>
      </c>
      <c r="AB25" s="74">
        <v>15240</v>
      </c>
      <c r="AC25" s="74">
        <v>573857</v>
      </c>
      <c r="AD25" s="74">
        <v>1467</v>
      </c>
      <c r="AE25" s="74">
        <v>14670</v>
      </c>
      <c r="AF25" s="74">
        <v>576034</v>
      </c>
      <c r="AG25" s="74">
        <v>1479</v>
      </c>
      <c r="AH25" s="74">
        <v>14790</v>
      </c>
    </row>
    <row r="26" spans="1:34" ht="16.5" customHeight="1" x14ac:dyDescent="0.3">
      <c r="A26" s="82"/>
      <c r="B26" s="37" t="s">
        <v>568</v>
      </c>
      <c r="C26" s="37">
        <v>2684</v>
      </c>
      <c r="D26" s="73">
        <f t="shared" si="0"/>
        <v>15999</v>
      </c>
      <c r="E26" s="74">
        <v>10270047</v>
      </c>
      <c r="F26" s="74">
        <v>1667</v>
      </c>
      <c r="G26" s="74">
        <v>25005</v>
      </c>
      <c r="H26" s="74">
        <v>8705573</v>
      </c>
      <c r="I26" s="74">
        <v>1429</v>
      </c>
      <c r="J26" s="74">
        <v>21435</v>
      </c>
      <c r="K26" s="74">
        <v>9241770</v>
      </c>
      <c r="L26" s="74">
        <v>1486</v>
      </c>
      <c r="M26" s="74">
        <v>22290</v>
      </c>
      <c r="N26" s="74">
        <v>16698374</v>
      </c>
      <c r="O26" s="74">
        <v>2590</v>
      </c>
      <c r="P26" s="74">
        <v>38850</v>
      </c>
      <c r="Q26" s="74">
        <v>8150452</v>
      </c>
      <c r="R26" s="74">
        <v>1324</v>
      </c>
      <c r="S26" s="74">
        <v>19860</v>
      </c>
      <c r="T26" s="74">
        <v>7971638</v>
      </c>
      <c r="U26" s="74">
        <v>1252</v>
      </c>
      <c r="V26" s="74">
        <v>18780</v>
      </c>
      <c r="W26" s="74">
        <v>7672876</v>
      </c>
      <c r="X26" s="74">
        <v>1251</v>
      </c>
      <c r="Y26" s="74">
        <v>18765</v>
      </c>
      <c r="Z26" s="74">
        <v>7691516</v>
      </c>
      <c r="AA26" s="74">
        <v>1251</v>
      </c>
      <c r="AB26" s="74">
        <v>18765</v>
      </c>
      <c r="AC26" s="74">
        <v>7959499</v>
      </c>
      <c r="AD26" s="74">
        <v>1350</v>
      </c>
      <c r="AE26" s="74">
        <v>20250</v>
      </c>
      <c r="AF26" s="74">
        <v>13285345</v>
      </c>
      <c r="AG26" s="74">
        <v>2399</v>
      </c>
      <c r="AH26" s="74">
        <v>35985</v>
      </c>
    </row>
    <row r="27" spans="1:34" ht="16.5" customHeight="1" x14ac:dyDescent="0.3">
      <c r="A27" s="82"/>
      <c r="B27" s="37" t="s">
        <v>98</v>
      </c>
      <c r="C27" s="37">
        <v>2693</v>
      </c>
      <c r="D27" s="73">
        <f t="shared" si="0"/>
        <v>15399</v>
      </c>
      <c r="E27" s="74">
        <v>2844106</v>
      </c>
      <c r="F27" s="74">
        <v>1520</v>
      </c>
      <c r="G27" s="74">
        <v>15200</v>
      </c>
      <c r="H27" s="74">
        <v>4435434</v>
      </c>
      <c r="I27" s="74">
        <v>1728</v>
      </c>
      <c r="J27" s="74">
        <v>17280</v>
      </c>
      <c r="K27" s="74">
        <v>9720563</v>
      </c>
      <c r="L27" s="74">
        <v>3331</v>
      </c>
      <c r="M27" s="74">
        <v>33310</v>
      </c>
      <c r="N27" s="74">
        <v>9848838</v>
      </c>
      <c r="O27" s="74">
        <v>2902</v>
      </c>
      <c r="P27" s="74">
        <v>29020</v>
      </c>
      <c r="Q27" s="74">
        <v>3684101</v>
      </c>
      <c r="R27" s="37">
        <v>831</v>
      </c>
      <c r="S27" s="74">
        <v>8310</v>
      </c>
      <c r="T27" s="74">
        <v>2903262</v>
      </c>
      <c r="U27" s="37">
        <v>714</v>
      </c>
      <c r="V27" s="74">
        <v>7140</v>
      </c>
      <c r="W27" s="74">
        <v>2124468</v>
      </c>
      <c r="X27" s="37">
        <v>920</v>
      </c>
      <c r="Y27" s="74">
        <v>9200</v>
      </c>
      <c r="Z27" s="74">
        <v>2371000</v>
      </c>
      <c r="AA27" s="37">
        <v>973</v>
      </c>
      <c r="AB27" s="74">
        <v>9730</v>
      </c>
      <c r="AC27" s="74">
        <v>2941987</v>
      </c>
      <c r="AD27" s="74">
        <v>1668</v>
      </c>
      <c r="AE27" s="74">
        <v>16680</v>
      </c>
      <c r="AF27" s="74">
        <v>2302499</v>
      </c>
      <c r="AG27" s="37">
        <v>812</v>
      </c>
      <c r="AH27" s="74">
        <v>8120</v>
      </c>
    </row>
    <row r="28" spans="1:34" ht="16.5" customHeight="1" x14ac:dyDescent="0.3">
      <c r="A28" s="82"/>
      <c r="B28" s="37" t="s">
        <v>314</v>
      </c>
      <c r="C28" s="37">
        <v>3129</v>
      </c>
      <c r="D28" s="73">
        <f t="shared" si="0"/>
        <v>15154</v>
      </c>
      <c r="E28" s="74">
        <v>39526216</v>
      </c>
      <c r="F28" s="74">
        <v>2104</v>
      </c>
      <c r="G28" s="74">
        <v>21040</v>
      </c>
      <c r="H28" s="74">
        <v>32591526</v>
      </c>
      <c r="I28" s="74">
        <v>1796</v>
      </c>
      <c r="J28" s="74">
        <v>17960</v>
      </c>
      <c r="K28" s="74">
        <v>29708286</v>
      </c>
      <c r="L28" s="74">
        <v>1717</v>
      </c>
      <c r="M28" s="74">
        <v>17170</v>
      </c>
      <c r="N28" s="74">
        <v>52585953</v>
      </c>
      <c r="O28" s="74">
        <v>3006</v>
      </c>
      <c r="P28" s="74">
        <v>30060</v>
      </c>
      <c r="Q28" s="74">
        <v>24637487</v>
      </c>
      <c r="R28" s="74">
        <v>1444</v>
      </c>
      <c r="S28" s="74">
        <v>14440</v>
      </c>
      <c r="T28" s="74">
        <v>18455550</v>
      </c>
      <c r="U28" s="74">
        <v>1202</v>
      </c>
      <c r="V28" s="74">
        <v>12020</v>
      </c>
      <c r="W28" s="74">
        <v>10990303</v>
      </c>
      <c r="X28" s="74">
        <v>1055</v>
      </c>
      <c r="Y28" s="74">
        <v>10550</v>
      </c>
      <c r="Z28" s="74">
        <v>9017678</v>
      </c>
      <c r="AA28" s="37">
        <v>931</v>
      </c>
      <c r="AB28" s="74">
        <v>9310</v>
      </c>
      <c r="AC28" s="74">
        <v>9192523</v>
      </c>
      <c r="AD28" s="37">
        <v>950</v>
      </c>
      <c r="AE28" s="74">
        <v>9500</v>
      </c>
      <c r="AF28" s="74">
        <v>10708817</v>
      </c>
      <c r="AG28" s="37">
        <v>949</v>
      </c>
      <c r="AH28" s="74">
        <v>9490</v>
      </c>
    </row>
    <row r="29" spans="1:34" ht="16.5" customHeight="1" x14ac:dyDescent="0.3">
      <c r="A29" s="82"/>
      <c r="B29" s="37" t="s">
        <v>571</v>
      </c>
      <c r="C29" s="37">
        <v>356628</v>
      </c>
      <c r="D29" s="73">
        <f t="shared" si="0"/>
        <v>10603</v>
      </c>
      <c r="E29" s="74">
        <v>15368120</v>
      </c>
      <c r="F29" s="74">
        <v>1125</v>
      </c>
      <c r="G29" s="74">
        <v>11250</v>
      </c>
      <c r="H29" s="74">
        <v>12787420</v>
      </c>
      <c r="I29" s="37">
        <v>965</v>
      </c>
      <c r="J29" s="74">
        <v>9650</v>
      </c>
      <c r="K29" s="74">
        <v>12669888</v>
      </c>
      <c r="L29" s="37">
        <v>971</v>
      </c>
      <c r="M29" s="74">
        <v>9710</v>
      </c>
      <c r="N29" s="74">
        <v>26448438</v>
      </c>
      <c r="O29" s="74">
        <v>1962</v>
      </c>
      <c r="P29" s="74">
        <v>19620</v>
      </c>
      <c r="Q29" s="74">
        <v>11017213</v>
      </c>
      <c r="R29" s="37">
        <v>875</v>
      </c>
      <c r="S29" s="74">
        <v>8750</v>
      </c>
      <c r="T29" s="74">
        <v>11671133</v>
      </c>
      <c r="U29" s="37">
        <v>957</v>
      </c>
      <c r="V29" s="74">
        <v>9570</v>
      </c>
      <c r="W29" s="74">
        <v>13191111</v>
      </c>
      <c r="X29" s="74">
        <v>1023</v>
      </c>
      <c r="Y29" s="74">
        <v>10230</v>
      </c>
      <c r="Z29" s="74">
        <v>11108292</v>
      </c>
      <c r="AA29" s="37">
        <v>824</v>
      </c>
      <c r="AB29" s="74">
        <v>8240</v>
      </c>
      <c r="AC29" s="74">
        <v>11602319</v>
      </c>
      <c r="AD29" s="37">
        <v>907</v>
      </c>
      <c r="AE29" s="74">
        <v>9070</v>
      </c>
      <c r="AF29" s="74">
        <v>13369330</v>
      </c>
      <c r="AG29" s="37">
        <v>994</v>
      </c>
      <c r="AH29" s="74">
        <v>9940</v>
      </c>
    </row>
    <row r="30" spans="1:34" ht="16.5" customHeight="1" x14ac:dyDescent="0.3">
      <c r="A30" s="82"/>
      <c r="B30" s="37" t="s">
        <v>572</v>
      </c>
      <c r="C30" s="37">
        <v>356630</v>
      </c>
      <c r="D30" s="73">
        <f t="shared" si="0"/>
        <v>10300</v>
      </c>
      <c r="E30" s="74">
        <v>13643966</v>
      </c>
      <c r="F30" s="37">
        <v>931</v>
      </c>
      <c r="G30" s="74">
        <v>9310</v>
      </c>
      <c r="H30" s="74">
        <v>14541036</v>
      </c>
      <c r="I30" s="74">
        <v>1017</v>
      </c>
      <c r="J30" s="74">
        <v>10170</v>
      </c>
      <c r="K30" s="74">
        <v>15055320</v>
      </c>
      <c r="L30" s="74">
        <v>1037</v>
      </c>
      <c r="M30" s="74">
        <v>10370</v>
      </c>
      <c r="N30" s="74">
        <v>27539543</v>
      </c>
      <c r="O30" s="74">
        <v>1798</v>
      </c>
      <c r="P30" s="74">
        <v>17980</v>
      </c>
      <c r="Q30" s="74">
        <v>12701538</v>
      </c>
      <c r="R30" s="37">
        <v>866</v>
      </c>
      <c r="S30" s="74">
        <v>8660</v>
      </c>
      <c r="T30" s="74">
        <v>13248115</v>
      </c>
      <c r="U30" s="37">
        <v>957</v>
      </c>
      <c r="V30" s="74">
        <v>9570</v>
      </c>
      <c r="W30" s="74">
        <v>11888304</v>
      </c>
      <c r="X30" s="37">
        <v>837</v>
      </c>
      <c r="Y30" s="74">
        <v>8370</v>
      </c>
      <c r="Z30" s="74">
        <v>13045571</v>
      </c>
      <c r="AA30" s="37">
        <v>845</v>
      </c>
      <c r="AB30" s="74">
        <v>8450</v>
      </c>
      <c r="AC30" s="74">
        <v>14088581</v>
      </c>
      <c r="AD30" s="74">
        <v>1018</v>
      </c>
      <c r="AE30" s="74">
        <v>10180</v>
      </c>
      <c r="AF30" s="74">
        <v>14506307</v>
      </c>
      <c r="AG30" s="37">
        <v>994</v>
      </c>
      <c r="AH30" s="74">
        <v>9940</v>
      </c>
    </row>
    <row r="31" spans="1:34" ht="16.5" customHeight="1" x14ac:dyDescent="0.3">
      <c r="A31" s="82"/>
      <c r="B31" s="37" t="s">
        <v>569</v>
      </c>
      <c r="C31" s="37">
        <v>3260</v>
      </c>
      <c r="D31" s="73">
        <f t="shared" si="0"/>
        <v>9930</v>
      </c>
      <c r="E31" s="74">
        <v>543818</v>
      </c>
      <c r="F31" s="37">
        <v>976</v>
      </c>
      <c r="G31" s="74">
        <v>14640</v>
      </c>
      <c r="H31" s="74">
        <v>532083</v>
      </c>
      <c r="I31" s="37">
        <v>893</v>
      </c>
      <c r="J31" s="74">
        <v>13395</v>
      </c>
      <c r="K31" s="74">
        <v>522229</v>
      </c>
      <c r="L31" s="37">
        <v>948</v>
      </c>
      <c r="M31" s="74">
        <v>14220</v>
      </c>
      <c r="N31" s="74">
        <v>1015418</v>
      </c>
      <c r="O31" s="74">
        <v>1728</v>
      </c>
      <c r="P31" s="74">
        <v>25920</v>
      </c>
      <c r="Q31" s="74">
        <v>539261</v>
      </c>
      <c r="R31" s="37">
        <v>887</v>
      </c>
      <c r="S31" s="74">
        <v>13305</v>
      </c>
      <c r="T31" s="74">
        <v>449859</v>
      </c>
      <c r="U31" s="37">
        <v>815</v>
      </c>
      <c r="V31" s="74">
        <v>12225</v>
      </c>
      <c r="W31" s="74">
        <v>481104</v>
      </c>
      <c r="X31" s="37">
        <v>848</v>
      </c>
      <c r="Y31" s="74">
        <v>12720</v>
      </c>
      <c r="Z31" s="74">
        <v>502258</v>
      </c>
      <c r="AA31" s="37">
        <v>828</v>
      </c>
      <c r="AB31" s="74">
        <v>12420</v>
      </c>
      <c r="AC31" s="74">
        <v>471514</v>
      </c>
      <c r="AD31" s="37">
        <v>837</v>
      </c>
      <c r="AE31" s="74">
        <v>12555</v>
      </c>
      <c r="AF31" s="74">
        <v>673612</v>
      </c>
      <c r="AG31" s="74">
        <v>1170</v>
      </c>
      <c r="AH31" s="74">
        <v>17550</v>
      </c>
    </row>
    <row r="32" spans="1:34" ht="16.5" customHeight="1" x14ac:dyDescent="0.3">
      <c r="A32" s="82"/>
      <c r="B32" s="37" t="s">
        <v>130</v>
      </c>
      <c r="C32" s="37">
        <v>2799</v>
      </c>
      <c r="D32" s="73">
        <f t="shared" si="0"/>
        <v>9293</v>
      </c>
      <c r="E32" s="74">
        <v>3485202</v>
      </c>
      <c r="F32" s="74">
        <v>1608</v>
      </c>
      <c r="G32" s="74">
        <v>16080</v>
      </c>
      <c r="H32" s="74">
        <v>1231400</v>
      </c>
      <c r="I32" s="37">
        <v>821</v>
      </c>
      <c r="J32" s="74">
        <v>8210</v>
      </c>
      <c r="K32" s="74">
        <v>1120802</v>
      </c>
      <c r="L32" s="74">
        <v>1600</v>
      </c>
      <c r="M32" s="74">
        <v>16000</v>
      </c>
      <c r="N32" s="74">
        <v>439400</v>
      </c>
      <c r="O32" s="37">
        <v>618</v>
      </c>
      <c r="P32" s="74">
        <v>6180</v>
      </c>
      <c r="Q32" s="74">
        <v>172210</v>
      </c>
      <c r="R32" s="37">
        <v>183</v>
      </c>
      <c r="S32" s="74">
        <v>1830</v>
      </c>
      <c r="T32" s="74">
        <v>347500</v>
      </c>
      <c r="U32" s="37">
        <v>428</v>
      </c>
      <c r="V32" s="74">
        <v>4280</v>
      </c>
      <c r="W32" s="74">
        <v>2758500</v>
      </c>
      <c r="X32" s="74">
        <v>1330</v>
      </c>
      <c r="Y32" s="74">
        <v>13300</v>
      </c>
      <c r="Z32" s="74">
        <v>1340400</v>
      </c>
      <c r="AA32" s="74">
        <v>1022</v>
      </c>
      <c r="AB32" s="74">
        <v>10220</v>
      </c>
      <c r="AC32" s="74">
        <v>928610</v>
      </c>
      <c r="AD32" s="74">
        <v>1251</v>
      </c>
      <c r="AE32" s="74">
        <v>12510</v>
      </c>
      <c r="AF32" s="74">
        <v>328301</v>
      </c>
      <c r="AG32" s="37">
        <v>432</v>
      </c>
      <c r="AH32" s="74">
        <v>4320</v>
      </c>
    </row>
    <row r="33" spans="1:34" ht="16.5" customHeight="1" x14ac:dyDescent="0.3">
      <c r="A33" s="82"/>
      <c r="B33" s="37" t="s">
        <v>189</v>
      </c>
      <c r="C33" s="37">
        <v>2940</v>
      </c>
      <c r="D33" s="73">
        <f t="shared" si="0"/>
        <v>8307</v>
      </c>
      <c r="E33" s="74">
        <v>5414295</v>
      </c>
      <c r="F33" s="37">
        <v>977</v>
      </c>
      <c r="G33" s="74">
        <v>14655</v>
      </c>
      <c r="H33" s="74">
        <v>5320383</v>
      </c>
      <c r="I33" s="37">
        <v>992</v>
      </c>
      <c r="J33" s="74">
        <v>14880</v>
      </c>
      <c r="K33" s="74">
        <v>4944797</v>
      </c>
      <c r="L33" s="37">
        <v>941</v>
      </c>
      <c r="M33" s="74">
        <v>14115</v>
      </c>
      <c r="N33" s="74">
        <v>7292119</v>
      </c>
      <c r="O33" s="74">
        <v>1340</v>
      </c>
      <c r="P33" s="74">
        <v>20100</v>
      </c>
      <c r="Q33" s="74">
        <v>4128446</v>
      </c>
      <c r="R33" s="37">
        <v>685</v>
      </c>
      <c r="S33" s="74">
        <v>10275</v>
      </c>
      <c r="T33" s="74">
        <v>3558980</v>
      </c>
      <c r="U33" s="37">
        <v>637</v>
      </c>
      <c r="V33" s="74">
        <v>9555</v>
      </c>
      <c r="W33" s="74">
        <v>3618515</v>
      </c>
      <c r="X33" s="37">
        <v>655</v>
      </c>
      <c r="Y33" s="74">
        <v>9825</v>
      </c>
      <c r="Z33" s="74">
        <v>2981246</v>
      </c>
      <c r="AA33" s="37">
        <v>621</v>
      </c>
      <c r="AB33" s="74">
        <v>9315</v>
      </c>
      <c r="AC33" s="74">
        <v>4296886</v>
      </c>
      <c r="AD33" s="37">
        <v>783</v>
      </c>
      <c r="AE33" s="74">
        <v>11745</v>
      </c>
      <c r="AF33" s="74">
        <v>4063835</v>
      </c>
      <c r="AG33" s="37">
        <v>676</v>
      </c>
      <c r="AH33" s="74">
        <v>10140</v>
      </c>
    </row>
    <row r="34" spans="1:34" ht="16.5" customHeight="1" x14ac:dyDescent="0.3">
      <c r="A34" s="82"/>
      <c r="B34" s="37" t="s">
        <v>575</v>
      </c>
      <c r="C34" s="37">
        <v>2971</v>
      </c>
      <c r="D34" s="73">
        <f t="shared" si="0"/>
        <v>6371</v>
      </c>
      <c r="E34" s="74">
        <v>26160</v>
      </c>
      <c r="F34" s="37">
        <v>407</v>
      </c>
      <c r="G34" s="74">
        <v>4070</v>
      </c>
      <c r="H34" s="74">
        <v>31350</v>
      </c>
      <c r="I34" s="37">
        <v>442</v>
      </c>
      <c r="J34" s="74">
        <v>4420</v>
      </c>
      <c r="K34" s="74">
        <v>88630</v>
      </c>
      <c r="L34" s="74">
        <v>1411</v>
      </c>
      <c r="M34" s="74">
        <v>14110</v>
      </c>
      <c r="N34" s="74">
        <v>54300</v>
      </c>
      <c r="O34" s="37">
        <v>848</v>
      </c>
      <c r="P34" s="74">
        <v>8480</v>
      </c>
      <c r="Q34" s="74">
        <v>30490</v>
      </c>
      <c r="R34" s="37">
        <v>423</v>
      </c>
      <c r="S34" s="74">
        <v>4230</v>
      </c>
      <c r="T34" s="74">
        <v>34160</v>
      </c>
      <c r="U34" s="37">
        <v>506</v>
      </c>
      <c r="V34" s="74">
        <v>5060</v>
      </c>
      <c r="W34" s="74">
        <v>25510</v>
      </c>
      <c r="X34" s="37">
        <v>397</v>
      </c>
      <c r="Y34" s="74">
        <v>3970</v>
      </c>
      <c r="Z34" s="74">
        <v>37820</v>
      </c>
      <c r="AA34" s="37">
        <v>579</v>
      </c>
      <c r="AB34" s="74">
        <v>5790</v>
      </c>
      <c r="AC34" s="74">
        <v>62490</v>
      </c>
      <c r="AD34" s="37">
        <v>989</v>
      </c>
      <c r="AE34" s="74">
        <v>9890</v>
      </c>
      <c r="AF34" s="74">
        <v>24420</v>
      </c>
      <c r="AG34" s="37">
        <v>369</v>
      </c>
      <c r="AH34" s="74">
        <v>3690</v>
      </c>
    </row>
    <row r="35" spans="1:34" ht="16.5" customHeight="1" x14ac:dyDescent="0.3">
      <c r="A35" s="82"/>
      <c r="B35" s="37" t="s">
        <v>576</v>
      </c>
      <c r="C35" s="37">
        <v>3013</v>
      </c>
      <c r="D35" s="73">
        <f t="shared" si="0"/>
        <v>5892</v>
      </c>
      <c r="E35" s="74">
        <v>4354836</v>
      </c>
      <c r="F35" s="37">
        <v>944</v>
      </c>
      <c r="G35" s="74">
        <v>14160</v>
      </c>
      <c r="H35" s="74">
        <v>3438583</v>
      </c>
      <c r="I35" s="37">
        <v>731</v>
      </c>
      <c r="J35" s="74">
        <v>10965</v>
      </c>
      <c r="K35" s="74">
        <v>3648182</v>
      </c>
      <c r="L35" s="37">
        <v>774</v>
      </c>
      <c r="M35" s="74">
        <v>11610</v>
      </c>
      <c r="N35" s="74">
        <v>4557414</v>
      </c>
      <c r="O35" s="37">
        <v>954</v>
      </c>
      <c r="P35" s="74">
        <v>14310</v>
      </c>
      <c r="Q35" s="74">
        <v>1983799</v>
      </c>
      <c r="R35" s="37">
        <v>422</v>
      </c>
      <c r="S35" s="74">
        <v>6330</v>
      </c>
      <c r="T35" s="74">
        <v>1929199</v>
      </c>
      <c r="U35" s="37">
        <v>424</v>
      </c>
      <c r="V35" s="74">
        <v>6360</v>
      </c>
      <c r="W35" s="74">
        <v>2044594</v>
      </c>
      <c r="X35" s="37">
        <v>402</v>
      </c>
      <c r="Y35" s="74">
        <v>6030</v>
      </c>
      <c r="Z35" s="74">
        <v>1805134</v>
      </c>
      <c r="AA35" s="37">
        <v>379</v>
      </c>
      <c r="AB35" s="74">
        <v>5685</v>
      </c>
      <c r="AC35" s="74">
        <v>1849291</v>
      </c>
      <c r="AD35" s="37">
        <v>391</v>
      </c>
      <c r="AE35" s="74">
        <v>5865</v>
      </c>
      <c r="AF35" s="74">
        <v>2097329</v>
      </c>
      <c r="AG35" s="37">
        <v>471</v>
      </c>
      <c r="AH35" s="74">
        <v>7065</v>
      </c>
    </row>
    <row r="36" spans="1:34" ht="16.5" customHeight="1" x14ac:dyDescent="0.3">
      <c r="A36" s="82"/>
      <c r="B36" s="37" t="s">
        <v>118</v>
      </c>
      <c r="C36" s="37">
        <v>2786</v>
      </c>
      <c r="D36" s="73">
        <f t="shared" si="0"/>
        <v>5473</v>
      </c>
      <c r="E36" s="74">
        <v>1921570</v>
      </c>
      <c r="F36" s="37">
        <v>530</v>
      </c>
      <c r="G36" s="74">
        <v>7950</v>
      </c>
      <c r="H36" s="74">
        <v>1945277</v>
      </c>
      <c r="I36" s="37">
        <v>515</v>
      </c>
      <c r="J36" s="74">
        <v>7725</v>
      </c>
      <c r="K36" s="74">
        <v>1855945</v>
      </c>
      <c r="L36" s="37">
        <v>530</v>
      </c>
      <c r="M36" s="74">
        <v>7950</v>
      </c>
      <c r="N36" s="74">
        <v>3889704</v>
      </c>
      <c r="O36" s="74">
        <v>1006</v>
      </c>
      <c r="P36" s="74">
        <v>15090</v>
      </c>
      <c r="Q36" s="74">
        <v>1632454</v>
      </c>
      <c r="R36" s="37">
        <v>487</v>
      </c>
      <c r="S36" s="74">
        <v>7305</v>
      </c>
      <c r="T36" s="74">
        <v>1573414</v>
      </c>
      <c r="U36" s="37">
        <v>481</v>
      </c>
      <c r="V36" s="74">
        <v>7215</v>
      </c>
      <c r="W36" s="74">
        <v>1895860</v>
      </c>
      <c r="X36" s="37">
        <v>488</v>
      </c>
      <c r="Y36" s="74">
        <v>7320</v>
      </c>
      <c r="Z36" s="74">
        <v>1528195</v>
      </c>
      <c r="AA36" s="37">
        <v>454</v>
      </c>
      <c r="AB36" s="74">
        <v>6810</v>
      </c>
      <c r="AC36" s="74">
        <v>1858693</v>
      </c>
      <c r="AD36" s="37">
        <v>500</v>
      </c>
      <c r="AE36" s="74">
        <v>7500</v>
      </c>
      <c r="AF36" s="74">
        <v>1935607</v>
      </c>
      <c r="AG36" s="37">
        <v>482</v>
      </c>
      <c r="AH36" s="74">
        <v>7230</v>
      </c>
    </row>
    <row r="37" spans="1:34" ht="16.5" customHeight="1" x14ac:dyDescent="0.3">
      <c r="A37" s="82"/>
      <c r="B37" s="37" t="s">
        <v>574</v>
      </c>
      <c r="C37" s="37">
        <v>359360</v>
      </c>
      <c r="D37" s="73">
        <f t="shared" si="0"/>
        <v>4693</v>
      </c>
      <c r="E37" s="74">
        <v>2434770</v>
      </c>
      <c r="F37" s="37">
        <v>483</v>
      </c>
      <c r="G37" s="74">
        <v>4830</v>
      </c>
      <c r="H37" s="74">
        <v>2379208</v>
      </c>
      <c r="I37" s="37">
        <v>440</v>
      </c>
      <c r="J37" s="74">
        <v>4400</v>
      </c>
      <c r="K37" s="74">
        <v>2266988</v>
      </c>
      <c r="L37" s="37">
        <v>435</v>
      </c>
      <c r="M37" s="74">
        <v>4350</v>
      </c>
      <c r="N37" s="74">
        <v>5187132</v>
      </c>
      <c r="O37" s="37">
        <v>914</v>
      </c>
      <c r="P37" s="74">
        <v>9140</v>
      </c>
      <c r="Q37" s="74">
        <v>2610854</v>
      </c>
      <c r="R37" s="37">
        <v>439</v>
      </c>
      <c r="S37" s="74">
        <v>4390</v>
      </c>
      <c r="T37" s="74">
        <v>2824951</v>
      </c>
      <c r="U37" s="37">
        <v>387</v>
      </c>
      <c r="V37" s="74">
        <v>3870</v>
      </c>
      <c r="W37" s="74">
        <v>2788137</v>
      </c>
      <c r="X37" s="37">
        <v>415</v>
      </c>
      <c r="Y37" s="74">
        <v>4150</v>
      </c>
      <c r="Z37" s="74">
        <v>2224915</v>
      </c>
      <c r="AA37" s="37">
        <v>400</v>
      </c>
      <c r="AB37" s="74">
        <v>4000</v>
      </c>
      <c r="AC37" s="74">
        <v>1157764</v>
      </c>
      <c r="AD37" s="37">
        <v>367</v>
      </c>
      <c r="AE37" s="74">
        <v>3670</v>
      </c>
      <c r="AF37" s="74">
        <v>1449087</v>
      </c>
      <c r="AG37" s="37">
        <v>413</v>
      </c>
      <c r="AH37" s="74">
        <v>4130</v>
      </c>
    </row>
    <row r="38" spans="1:34" ht="16.5" customHeight="1" x14ac:dyDescent="0.3">
      <c r="A38" s="82"/>
      <c r="B38" s="37" t="s">
        <v>577</v>
      </c>
      <c r="C38" s="37">
        <v>2937</v>
      </c>
      <c r="D38" s="73">
        <f t="shared" si="0"/>
        <v>4637</v>
      </c>
      <c r="E38" s="74">
        <v>3605254</v>
      </c>
      <c r="F38" s="37">
        <v>453</v>
      </c>
      <c r="G38" s="74">
        <v>6645</v>
      </c>
      <c r="H38" s="74">
        <v>3457159</v>
      </c>
      <c r="I38" s="37">
        <v>438</v>
      </c>
      <c r="J38" s="74">
        <v>6425</v>
      </c>
      <c r="K38" s="74">
        <v>3271232</v>
      </c>
      <c r="L38" s="37">
        <v>456</v>
      </c>
      <c r="M38" s="74">
        <v>6670</v>
      </c>
      <c r="N38" s="74">
        <v>6042046</v>
      </c>
      <c r="O38" s="37">
        <v>826</v>
      </c>
      <c r="P38" s="74">
        <v>12170</v>
      </c>
      <c r="Q38" s="74">
        <v>3046049</v>
      </c>
      <c r="R38" s="37">
        <v>413</v>
      </c>
      <c r="S38" s="74">
        <v>6035</v>
      </c>
      <c r="T38" s="74">
        <v>2909306</v>
      </c>
      <c r="U38" s="37">
        <v>410</v>
      </c>
      <c r="V38" s="74">
        <v>5990</v>
      </c>
      <c r="W38" s="74">
        <v>3223339</v>
      </c>
      <c r="X38" s="37">
        <v>428</v>
      </c>
      <c r="Y38" s="74">
        <v>6270</v>
      </c>
      <c r="Z38" s="74">
        <v>2593357</v>
      </c>
      <c r="AA38" s="37">
        <v>389</v>
      </c>
      <c r="AB38" s="74">
        <v>5670</v>
      </c>
      <c r="AC38" s="74">
        <v>2858311</v>
      </c>
      <c r="AD38" s="37">
        <v>412</v>
      </c>
      <c r="AE38" s="74">
        <v>6020</v>
      </c>
      <c r="AF38" s="74">
        <v>2851327</v>
      </c>
      <c r="AG38" s="37">
        <v>412</v>
      </c>
      <c r="AH38" s="74">
        <v>6010</v>
      </c>
    </row>
    <row r="39" spans="1:34" ht="16.5" customHeight="1" x14ac:dyDescent="0.3">
      <c r="A39" s="82"/>
      <c r="B39" s="37" t="s">
        <v>163</v>
      </c>
      <c r="C39" s="37">
        <v>2885</v>
      </c>
      <c r="D39" s="73">
        <f t="shared" si="0"/>
        <v>4335</v>
      </c>
      <c r="E39" s="74">
        <v>279200</v>
      </c>
      <c r="F39" s="37">
        <v>349</v>
      </c>
      <c r="G39" s="74">
        <v>3490</v>
      </c>
      <c r="H39" s="74">
        <v>112800</v>
      </c>
      <c r="I39" s="37">
        <v>141</v>
      </c>
      <c r="J39" s="74">
        <v>1410</v>
      </c>
      <c r="K39" s="74">
        <v>417600</v>
      </c>
      <c r="L39" s="37">
        <v>522</v>
      </c>
      <c r="M39" s="74">
        <v>5220</v>
      </c>
      <c r="N39" s="74">
        <v>235200</v>
      </c>
      <c r="O39" s="37">
        <v>294</v>
      </c>
      <c r="P39" s="74">
        <v>2940</v>
      </c>
      <c r="Q39" s="74">
        <v>96800</v>
      </c>
      <c r="R39" s="37">
        <v>121</v>
      </c>
      <c r="S39" s="74">
        <v>1210</v>
      </c>
      <c r="T39" s="74">
        <v>875200</v>
      </c>
      <c r="U39" s="74">
        <v>1094</v>
      </c>
      <c r="V39" s="74">
        <v>10940</v>
      </c>
      <c r="W39" s="74">
        <v>702400</v>
      </c>
      <c r="X39" s="37">
        <v>878</v>
      </c>
      <c r="Y39" s="74">
        <v>8780</v>
      </c>
      <c r="Z39" s="74">
        <v>186400</v>
      </c>
      <c r="AA39" s="37">
        <v>233</v>
      </c>
      <c r="AB39" s="74">
        <v>2330</v>
      </c>
      <c r="AC39" s="74">
        <v>330400</v>
      </c>
      <c r="AD39" s="37">
        <v>413</v>
      </c>
      <c r="AE39" s="74">
        <v>4130</v>
      </c>
      <c r="AF39" s="74">
        <v>232000</v>
      </c>
      <c r="AG39" s="37">
        <v>290</v>
      </c>
      <c r="AH39" s="74">
        <v>2900</v>
      </c>
    </row>
    <row r="40" spans="1:34" ht="16.5" customHeight="1" x14ac:dyDescent="0.3">
      <c r="A40" s="82"/>
      <c r="B40" s="37" t="s">
        <v>579</v>
      </c>
      <c r="C40" s="37">
        <v>2744</v>
      </c>
      <c r="D40" s="73">
        <f t="shared" si="0"/>
        <v>4294</v>
      </c>
      <c r="E40" s="74">
        <v>3428086</v>
      </c>
      <c r="F40" s="37">
        <v>512</v>
      </c>
      <c r="G40" s="74">
        <v>7680</v>
      </c>
      <c r="H40" s="74">
        <v>2518107</v>
      </c>
      <c r="I40" s="37">
        <v>453</v>
      </c>
      <c r="J40" s="74">
        <v>6795</v>
      </c>
      <c r="K40" s="74">
        <v>3447836</v>
      </c>
      <c r="L40" s="37">
        <v>489</v>
      </c>
      <c r="M40" s="74">
        <v>7335</v>
      </c>
      <c r="N40" s="74">
        <v>4792090</v>
      </c>
      <c r="O40" s="37">
        <v>752</v>
      </c>
      <c r="P40" s="74">
        <v>11280</v>
      </c>
      <c r="Q40" s="74">
        <v>1953503</v>
      </c>
      <c r="R40" s="37">
        <v>335</v>
      </c>
      <c r="S40" s="74">
        <v>5025</v>
      </c>
      <c r="T40" s="74">
        <v>1852770</v>
      </c>
      <c r="U40" s="37">
        <v>334</v>
      </c>
      <c r="V40" s="74">
        <v>5010</v>
      </c>
      <c r="W40" s="74">
        <v>1918351</v>
      </c>
      <c r="X40" s="37">
        <v>319</v>
      </c>
      <c r="Y40" s="74">
        <v>4785</v>
      </c>
      <c r="Z40" s="74">
        <v>2408398</v>
      </c>
      <c r="AA40" s="37">
        <v>354</v>
      </c>
      <c r="AB40" s="74">
        <v>5310</v>
      </c>
      <c r="AC40" s="74">
        <v>2599521</v>
      </c>
      <c r="AD40" s="37">
        <v>398</v>
      </c>
      <c r="AE40" s="74">
        <v>5970</v>
      </c>
      <c r="AF40" s="74">
        <v>2206742</v>
      </c>
      <c r="AG40" s="37">
        <v>348</v>
      </c>
      <c r="AH40" s="74">
        <v>5220</v>
      </c>
    </row>
    <row r="41" spans="1:34" ht="16.5" customHeight="1" x14ac:dyDescent="0.3">
      <c r="A41" s="82"/>
      <c r="B41" s="37" t="s">
        <v>221</v>
      </c>
      <c r="C41" s="37">
        <v>3016</v>
      </c>
      <c r="D41" s="73">
        <f t="shared" si="0"/>
        <v>4077</v>
      </c>
      <c r="E41" s="74">
        <v>3652090</v>
      </c>
      <c r="F41" s="37">
        <v>445</v>
      </c>
      <c r="G41" s="74">
        <v>6675</v>
      </c>
      <c r="H41" s="74">
        <v>3512074</v>
      </c>
      <c r="I41" s="37">
        <v>430</v>
      </c>
      <c r="J41" s="74">
        <v>6450</v>
      </c>
      <c r="K41" s="74">
        <v>3077993</v>
      </c>
      <c r="L41" s="37">
        <v>380</v>
      </c>
      <c r="M41" s="74">
        <v>5700</v>
      </c>
      <c r="N41" s="74">
        <v>6188390</v>
      </c>
      <c r="O41" s="37">
        <v>756</v>
      </c>
      <c r="P41" s="74">
        <v>11340</v>
      </c>
      <c r="Q41" s="74">
        <v>2978711</v>
      </c>
      <c r="R41" s="37">
        <v>357</v>
      </c>
      <c r="S41" s="74">
        <v>5355</v>
      </c>
      <c r="T41" s="74">
        <v>2557157</v>
      </c>
      <c r="U41" s="37">
        <v>336</v>
      </c>
      <c r="V41" s="74">
        <v>5040</v>
      </c>
      <c r="W41" s="74">
        <v>2890073</v>
      </c>
      <c r="X41" s="37">
        <v>366</v>
      </c>
      <c r="Y41" s="74">
        <v>5490</v>
      </c>
      <c r="Z41" s="74">
        <v>2628853</v>
      </c>
      <c r="AA41" s="37">
        <v>341</v>
      </c>
      <c r="AB41" s="74">
        <v>5115</v>
      </c>
      <c r="AC41" s="74">
        <v>2534185</v>
      </c>
      <c r="AD41" s="37">
        <v>323</v>
      </c>
      <c r="AE41" s="74">
        <v>4845</v>
      </c>
      <c r="AF41" s="74">
        <v>2627030</v>
      </c>
      <c r="AG41" s="37">
        <v>343</v>
      </c>
      <c r="AH41" s="74">
        <v>5145</v>
      </c>
    </row>
    <row r="42" spans="1:34" ht="16.5" customHeight="1" x14ac:dyDescent="0.3">
      <c r="A42" s="82"/>
      <c r="B42" s="37" t="s">
        <v>590</v>
      </c>
      <c r="C42" s="37">
        <v>3254</v>
      </c>
      <c r="D42" s="73">
        <f t="shared" si="0"/>
        <v>3911</v>
      </c>
      <c r="E42" s="74">
        <v>4462571</v>
      </c>
      <c r="F42" s="37">
        <v>383</v>
      </c>
      <c r="G42" s="74">
        <v>5745</v>
      </c>
      <c r="H42" s="74">
        <v>4708398</v>
      </c>
      <c r="I42" s="37">
        <v>418</v>
      </c>
      <c r="J42" s="74">
        <v>6270</v>
      </c>
      <c r="K42" s="74">
        <v>4715743</v>
      </c>
      <c r="L42" s="37">
        <v>397</v>
      </c>
      <c r="M42" s="74">
        <v>5955</v>
      </c>
      <c r="N42" s="74">
        <v>8586739</v>
      </c>
      <c r="O42" s="37">
        <v>692</v>
      </c>
      <c r="P42" s="74">
        <v>10380</v>
      </c>
      <c r="Q42" s="74">
        <v>3232804</v>
      </c>
      <c r="R42" s="37">
        <v>299</v>
      </c>
      <c r="S42" s="74">
        <v>4485</v>
      </c>
      <c r="T42" s="74">
        <v>4488559</v>
      </c>
      <c r="U42" s="37">
        <v>358</v>
      </c>
      <c r="V42" s="74">
        <v>5370</v>
      </c>
      <c r="W42" s="74">
        <v>3771508</v>
      </c>
      <c r="X42" s="37">
        <v>322</v>
      </c>
      <c r="Y42" s="74">
        <v>4830</v>
      </c>
      <c r="Z42" s="74">
        <v>3782661</v>
      </c>
      <c r="AA42" s="37">
        <v>326</v>
      </c>
      <c r="AB42" s="74">
        <v>4890</v>
      </c>
      <c r="AC42" s="74">
        <v>3816133</v>
      </c>
      <c r="AD42" s="37">
        <v>355</v>
      </c>
      <c r="AE42" s="74">
        <v>5325</v>
      </c>
      <c r="AF42" s="74">
        <v>4036360</v>
      </c>
      <c r="AG42" s="37">
        <v>361</v>
      </c>
      <c r="AH42" s="74">
        <v>5415</v>
      </c>
    </row>
    <row r="43" spans="1:34" ht="16.5" customHeight="1" x14ac:dyDescent="0.3">
      <c r="A43" s="82"/>
      <c r="B43" s="37" t="s">
        <v>657</v>
      </c>
      <c r="C43" s="37">
        <v>364544</v>
      </c>
      <c r="D43" s="73">
        <f t="shared" si="0"/>
        <v>3899</v>
      </c>
      <c r="E43" s="12"/>
      <c r="F43" s="12"/>
      <c r="G43" s="12"/>
      <c r="H43" s="74">
        <v>1484902</v>
      </c>
      <c r="I43" s="74">
        <v>1156</v>
      </c>
      <c r="J43" s="74">
        <v>17340</v>
      </c>
      <c r="K43" s="74">
        <v>778554</v>
      </c>
      <c r="L43" s="37">
        <v>577</v>
      </c>
      <c r="M43" s="74">
        <v>8655</v>
      </c>
      <c r="N43" s="74">
        <v>1509737</v>
      </c>
      <c r="O43" s="74">
        <v>1018</v>
      </c>
      <c r="P43" s="74">
        <v>15270</v>
      </c>
      <c r="Q43" s="74">
        <v>611113</v>
      </c>
      <c r="R43" s="37">
        <v>444</v>
      </c>
      <c r="S43" s="74">
        <v>6660</v>
      </c>
      <c r="T43" s="74">
        <v>329199</v>
      </c>
      <c r="U43" s="37">
        <v>259</v>
      </c>
      <c r="V43" s="74">
        <v>3885</v>
      </c>
      <c r="W43" s="74">
        <v>205503</v>
      </c>
      <c r="X43" s="37">
        <v>161</v>
      </c>
      <c r="Y43" s="74">
        <v>2415</v>
      </c>
      <c r="Z43" s="74">
        <v>190274</v>
      </c>
      <c r="AA43" s="37">
        <v>123</v>
      </c>
      <c r="AB43" s="74">
        <v>1845</v>
      </c>
      <c r="AC43" s="74">
        <v>160320</v>
      </c>
      <c r="AD43" s="37">
        <v>112</v>
      </c>
      <c r="AE43" s="74">
        <v>1680</v>
      </c>
      <c r="AF43" s="74">
        <v>84609</v>
      </c>
      <c r="AG43" s="37">
        <v>49</v>
      </c>
      <c r="AH43" s="37">
        <v>735</v>
      </c>
    </row>
    <row r="44" spans="1:34" ht="16.5" customHeight="1" x14ac:dyDescent="0.3">
      <c r="A44" s="82"/>
      <c r="B44" s="37" t="s">
        <v>580</v>
      </c>
      <c r="C44" s="37">
        <v>359333</v>
      </c>
      <c r="D44" s="73">
        <f t="shared" si="0"/>
        <v>3300</v>
      </c>
      <c r="E44" s="74">
        <v>1397058</v>
      </c>
      <c r="F44" s="37">
        <v>377</v>
      </c>
      <c r="G44" s="74">
        <v>5190</v>
      </c>
      <c r="H44" s="74">
        <v>1051535</v>
      </c>
      <c r="I44" s="37">
        <v>290</v>
      </c>
      <c r="J44" s="74">
        <v>4045</v>
      </c>
      <c r="K44" s="74">
        <v>1247715</v>
      </c>
      <c r="L44" s="37">
        <v>317</v>
      </c>
      <c r="M44" s="74">
        <v>4340</v>
      </c>
      <c r="N44" s="74">
        <v>2552307</v>
      </c>
      <c r="O44" s="37">
        <v>642</v>
      </c>
      <c r="P44" s="74">
        <v>8800</v>
      </c>
      <c r="Q44" s="74">
        <v>1078835</v>
      </c>
      <c r="R44" s="37">
        <v>281</v>
      </c>
      <c r="S44" s="74">
        <v>3925</v>
      </c>
      <c r="T44" s="74">
        <v>1096253</v>
      </c>
      <c r="U44" s="37">
        <v>277</v>
      </c>
      <c r="V44" s="74">
        <v>3810</v>
      </c>
      <c r="W44" s="74">
        <v>1159283</v>
      </c>
      <c r="X44" s="37">
        <v>303</v>
      </c>
      <c r="Y44" s="74">
        <v>4190</v>
      </c>
      <c r="Z44" s="74">
        <v>987580</v>
      </c>
      <c r="AA44" s="37">
        <v>266</v>
      </c>
      <c r="AB44" s="74">
        <v>3695</v>
      </c>
      <c r="AC44" s="74">
        <v>916453</v>
      </c>
      <c r="AD44" s="37">
        <v>269</v>
      </c>
      <c r="AE44" s="74">
        <v>3760</v>
      </c>
      <c r="AF44" s="74">
        <v>1327679</v>
      </c>
      <c r="AG44" s="37">
        <v>278</v>
      </c>
      <c r="AH44" s="74">
        <v>3830</v>
      </c>
    </row>
    <row r="45" spans="1:34" ht="16.5" customHeight="1" x14ac:dyDescent="0.3">
      <c r="A45" s="82"/>
      <c r="B45" s="37" t="s">
        <v>586</v>
      </c>
      <c r="C45" s="37">
        <v>3253</v>
      </c>
      <c r="D45" s="73">
        <f t="shared" si="0"/>
        <v>3261</v>
      </c>
      <c r="E45" s="74">
        <v>5800672</v>
      </c>
      <c r="F45" s="37">
        <v>307</v>
      </c>
      <c r="G45" s="74">
        <v>3070</v>
      </c>
      <c r="H45" s="74">
        <v>5584495</v>
      </c>
      <c r="I45" s="37">
        <v>293</v>
      </c>
      <c r="J45" s="74">
        <v>2930</v>
      </c>
      <c r="K45" s="74">
        <v>5716351</v>
      </c>
      <c r="L45" s="37">
        <v>289</v>
      </c>
      <c r="M45" s="74">
        <v>2890</v>
      </c>
      <c r="N45" s="74">
        <v>13209436</v>
      </c>
      <c r="O45" s="37">
        <v>606</v>
      </c>
      <c r="P45" s="74">
        <v>6060</v>
      </c>
      <c r="Q45" s="74">
        <v>5763751</v>
      </c>
      <c r="R45" s="37">
        <v>271</v>
      </c>
      <c r="S45" s="74">
        <v>2710</v>
      </c>
      <c r="T45" s="74">
        <v>6569577</v>
      </c>
      <c r="U45" s="37">
        <v>324</v>
      </c>
      <c r="V45" s="74">
        <v>3240</v>
      </c>
      <c r="W45" s="74">
        <v>5406548</v>
      </c>
      <c r="X45" s="37">
        <v>282</v>
      </c>
      <c r="Y45" s="74">
        <v>2820</v>
      </c>
      <c r="Z45" s="74">
        <v>5770776</v>
      </c>
      <c r="AA45" s="37">
        <v>267</v>
      </c>
      <c r="AB45" s="74">
        <v>2670</v>
      </c>
      <c r="AC45" s="74">
        <v>6012410</v>
      </c>
      <c r="AD45" s="37">
        <v>312</v>
      </c>
      <c r="AE45" s="74">
        <v>3120</v>
      </c>
      <c r="AF45" s="74">
        <v>5858707</v>
      </c>
      <c r="AG45" s="37">
        <v>310</v>
      </c>
      <c r="AH45" s="74">
        <v>3100</v>
      </c>
    </row>
    <row r="46" spans="1:34" ht="16.5" customHeight="1" x14ac:dyDescent="0.3">
      <c r="A46" s="82"/>
      <c r="B46" s="37" t="s">
        <v>92</v>
      </c>
      <c r="C46" s="37">
        <v>2689</v>
      </c>
      <c r="D46" s="73">
        <f t="shared" si="0"/>
        <v>3200</v>
      </c>
      <c r="E46" s="74">
        <v>730765</v>
      </c>
      <c r="F46" s="37">
        <v>353</v>
      </c>
      <c r="G46" s="74">
        <v>3530</v>
      </c>
      <c r="H46" s="74">
        <v>720234</v>
      </c>
      <c r="I46" s="37">
        <v>291</v>
      </c>
      <c r="J46" s="74">
        <v>2910</v>
      </c>
      <c r="K46" s="74">
        <v>838939</v>
      </c>
      <c r="L46" s="37">
        <v>301</v>
      </c>
      <c r="M46" s="74">
        <v>3010</v>
      </c>
      <c r="N46" s="74">
        <v>1390369</v>
      </c>
      <c r="O46" s="37">
        <v>582</v>
      </c>
      <c r="P46" s="74">
        <v>5820</v>
      </c>
      <c r="Q46" s="74">
        <v>625554</v>
      </c>
      <c r="R46" s="37">
        <v>313</v>
      </c>
      <c r="S46" s="74">
        <v>3130</v>
      </c>
      <c r="T46" s="74">
        <v>570117</v>
      </c>
      <c r="U46" s="37">
        <v>283</v>
      </c>
      <c r="V46" s="74">
        <v>2830</v>
      </c>
      <c r="W46" s="74">
        <v>578144</v>
      </c>
      <c r="X46" s="37">
        <v>270</v>
      </c>
      <c r="Y46" s="74">
        <v>2700</v>
      </c>
      <c r="Z46" s="74">
        <v>518160</v>
      </c>
      <c r="AA46" s="37">
        <v>259</v>
      </c>
      <c r="AB46" s="74">
        <v>2590</v>
      </c>
      <c r="AC46" s="74">
        <v>545172</v>
      </c>
      <c r="AD46" s="37">
        <v>282</v>
      </c>
      <c r="AE46" s="74">
        <v>2820</v>
      </c>
      <c r="AF46" s="74">
        <v>594793</v>
      </c>
      <c r="AG46" s="37">
        <v>266</v>
      </c>
      <c r="AH46" s="74">
        <v>2660</v>
      </c>
    </row>
    <row r="47" spans="1:34" ht="16.5" customHeight="1" x14ac:dyDescent="0.3">
      <c r="A47" s="82"/>
      <c r="B47" s="37" t="s">
        <v>585</v>
      </c>
      <c r="C47" s="37">
        <v>2692</v>
      </c>
      <c r="D47" s="73">
        <f t="shared" si="0"/>
        <v>2789</v>
      </c>
      <c r="E47" s="74">
        <v>1641323</v>
      </c>
      <c r="F47" s="37">
        <v>303</v>
      </c>
      <c r="G47" s="74">
        <v>4545</v>
      </c>
      <c r="H47" s="74">
        <v>1483220</v>
      </c>
      <c r="I47" s="37">
        <v>254</v>
      </c>
      <c r="J47" s="74">
        <v>3810</v>
      </c>
      <c r="K47" s="74">
        <v>1421689</v>
      </c>
      <c r="L47" s="37">
        <v>269</v>
      </c>
      <c r="M47" s="74">
        <v>4035</v>
      </c>
      <c r="N47" s="74">
        <v>2893460</v>
      </c>
      <c r="O47" s="37">
        <v>460</v>
      </c>
      <c r="P47" s="74">
        <v>6900</v>
      </c>
      <c r="Q47" s="74">
        <v>1581250</v>
      </c>
      <c r="R47" s="37">
        <v>236</v>
      </c>
      <c r="S47" s="74">
        <v>3540</v>
      </c>
      <c r="T47" s="74">
        <v>1350983</v>
      </c>
      <c r="U47" s="37">
        <v>226</v>
      </c>
      <c r="V47" s="74">
        <v>3390</v>
      </c>
      <c r="W47" s="74">
        <v>1274520</v>
      </c>
      <c r="X47" s="37">
        <v>224</v>
      </c>
      <c r="Y47" s="74">
        <v>3360</v>
      </c>
      <c r="Z47" s="74">
        <v>1316751</v>
      </c>
      <c r="AA47" s="37">
        <v>244</v>
      </c>
      <c r="AB47" s="74">
        <v>3660</v>
      </c>
      <c r="AC47" s="74">
        <v>1497405</v>
      </c>
      <c r="AD47" s="37">
        <v>261</v>
      </c>
      <c r="AE47" s="74">
        <v>3915</v>
      </c>
      <c r="AF47" s="74">
        <v>1663920</v>
      </c>
      <c r="AG47" s="37">
        <v>312</v>
      </c>
      <c r="AH47" s="74">
        <v>4680</v>
      </c>
    </row>
    <row r="48" spans="1:34" ht="16.5" customHeight="1" x14ac:dyDescent="0.3">
      <c r="A48" s="82"/>
      <c r="B48" s="37" t="s">
        <v>184</v>
      </c>
      <c r="C48" s="37">
        <v>2928</v>
      </c>
      <c r="D48" s="73">
        <f t="shared" si="0"/>
        <v>2604</v>
      </c>
      <c r="E48" s="74">
        <v>108451</v>
      </c>
      <c r="F48" s="37">
        <v>234</v>
      </c>
      <c r="G48" s="74">
        <v>2340</v>
      </c>
      <c r="H48" s="74">
        <v>89301</v>
      </c>
      <c r="I48" s="37">
        <v>200</v>
      </c>
      <c r="J48" s="74">
        <v>2000</v>
      </c>
      <c r="K48" s="74">
        <v>119500</v>
      </c>
      <c r="L48" s="37">
        <v>302</v>
      </c>
      <c r="M48" s="74">
        <v>3020</v>
      </c>
      <c r="N48" s="74">
        <v>143600</v>
      </c>
      <c r="O48" s="37">
        <v>234</v>
      </c>
      <c r="P48" s="74">
        <v>2340</v>
      </c>
      <c r="Q48" s="74">
        <v>63250</v>
      </c>
      <c r="R48" s="37">
        <v>116</v>
      </c>
      <c r="S48" s="74">
        <v>1160</v>
      </c>
      <c r="T48" s="74">
        <v>270000</v>
      </c>
      <c r="U48" s="37">
        <v>619</v>
      </c>
      <c r="V48" s="74">
        <v>6190</v>
      </c>
      <c r="W48" s="74">
        <v>119800</v>
      </c>
      <c r="X48" s="37">
        <v>251</v>
      </c>
      <c r="Y48" s="74">
        <v>2510</v>
      </c>
      <c r="Z48" s="74">
        <v>118400</v>
      </c>
      <c r="AA48" s="37">
        <v>284</v>
      </c>
      <c r="AB48" s="74">
        <v>2840</v>
      </c>
      <c r="AC48" s="74">
        <v>122900</v>
      </c>
      <c r="AD48" s="37">
        <v>278</v>
      </c>
      <c r="AE48" s="74">
        <v>2780</v>
      </c>
      <c r="AF48" s="74">
        <v>39500</v>
      </c>
      <c r="AG48" s="37">
        <v>86</v>
      </c>
      <c r="AH48" s="37">
        <v>860</v>
      </c>
    </row>
    <row r="49" spans="1:34" ht="16.5" customHeight="1" x14ac:dyDescent="0.3">
      <c r="A49" s="82"/>
      <c r="B49" s="37" t="s">
        <v>232</v>
      </c>
      <c r="C49" s="37">
        <v>3036</v>
      </c>
      <c r="D49" s="73">
        <f t="shared" si="0"/>
        <v>2517</v>
      </c>
      <c r="E49" s="74">
        <v>484058</v>
      </c>
      <c r="F49" s="37">
        <v>510</v>
      </c>
      <c r="G49" s="74">
        <v>7650</v>
      </c>
      <c r="H49" s="74">
        <v>1456006</v>
      </c>
      <c r="I49" s="74">
        <v>1099</v>
      </c>
      <c r="J49" s="74">
        <v>16485</v>
      </c>
      <c r="K49" s="74">
        <v>288456</v>
      </c>
      <c r="L49" s="37">
        <v>300</v>
      </c>
      <c r="M49" s="74">
        <v>4500</v>
      </c>
      <c r="N49" s="74">
        <v>304926</v>
      </c>
      <c r="O49" s="37">
        <v>208</v>
      </c>
      <c r="P49" s="74">
        <v>3120</v>
      </c>
      <c r="Q49" s="74">
        <v>139601</v>
      </c>
      <c r="R49" s="37">
        <v>115</v>
      </c>
      <c r="S49" s="74">
        <v>1725</v>
      </c>
      <c r="T49" s="74">
        <v>66866</v>
      </c>
      <c r="U49" s="37">
        <v>72</v>
      </c>
      <c r="V49" s="74">
        <v>1080</v>
      </c>
      <c r="W49" s="74">
        <v>183683</v>
      </c>
      <c r="X49" s="37">
        <v>79</v>
      </c>
      <c r="Y49" s="74">
        <v>1185</v>
      </c>
      <c r="Z49" s="74">
        <v>115440</v>
      </c>
      <c r="AA49" s="37">
        <v>50</v>
      </c>
      <c r="AB49" s="37">
        <v>750</v>
      </c>
      <c r="AC49" s="74">
        <v>61153</v>
      </c>
      <c r="AD49" s="37">
        <v>35</v>
      </c>
      <c r="AE49" s="37">
        <v>525</v>
      </c>
      <c r="AF49" s="74">
        <v>120534</v>
      </c>
      <c r="AG49" s="37">
        <v>49</v>
      </c>
      <c r="AH49" s="37">
        <v>735</v>
      </c>
    </row>
    <row r="50" spans="1:34" ht="16.5" customHeight="1" x14ac:dyDescent="0.3">
      <c r="A50" s="82"/>
      <c r="B50" s="37" t="s">
        <v>658</v>
      </c>
      <c r="C50" s="37">
        <v>3406</v>
      </c>
      <c r="D50" s="73">
        <f t="shared" si="0"/>
        <v>2476</v>
      </c>
      <c r="E50" s="74">
        <v>293560</v>
      </c>
      <c r="F50" s="37">
        <v>417</v>
      </c>
      <c r="G50" s="74">
        <v>22680</v>
      </c>
      <c r="H50" s="74">
        <v>374978</v>
      </c>
      <c r="I50" s="37">
        <v>332</v>
      </c>
      <c r="J50" s="74">
        <v>18816</v>
      </c>
      <c r="K50" s="74">
        <v>363190</v>
      </c>
      <c r="L50" s="37">
        <v>329</v>
      </c>
      <c r="M50" s="74">
        <v>18480</v>
      </c>
      <c r="N50" s="74">
        <v>349060</v>
      </c>
      <c r="O50" s="37">
        <v>536</v>
      </c>
      <c r="P50" s="74">
        <v>31920</v>
      </c>
      <c r="Q50" s="74">
        <v>216530</v>
      </c>
      <c r="R50" s="37">
        <v>248</v>
      </c>
      <c r="S50" s="74">
        <v>13944</v>
      </c>
      <c r="T50" s="74">
        <v>121450</v>
      </c>
      <c r="U50" s="37">
        <v>198</v>
      </c>
      <c r="V50" s="74">
        <v>10920</v>
      </c>
      <c r="W50" s="74">
        <v>94162</v>
      </c>
      <c r="X50" s="37">
        <v>142</v>
      </c>
      <c r="Y50" s="74">
        <v>5712</v>
      </c>
      <c r="Z50" s="74">
        <v>39400</v>
      </c>
      <c r="AA50" s="37">
        <v>64</v>
      </c>
      <c r="AB50" s="74">
        <v>2184</v>
      </c>
      <c r="AC50" s="74">
        <v>48300</v>
      </c>
      <c r="AD50" s="37">
        <v>95</v>
      </c>
      <c r="AE50" s="74">
        <v>3864</v>
      </c>
      <c r="AF50" s="74">
        <v>84900</v>
      </c>
      <c r="AG50" s="37">
        <v>115</v>
      </c>
      <c r="AH50" s="74">
        <v>7056</v>
      </c>
    </row>
    <row r="51" spans="1:34" ht="16.5" customHeight="1" x14ac:dyDescent="0.3">
      <c r="A51" s="82"/>
      <c r="B51" s="37" t="s">
        <v>587</v>
      </c>
      <c r="C51" s="37">
        <v>3067</v>
      </c>
      <c r="D51" s="73">
        <f t="shared" si="0"/>
        <v>2433</v>
      </c>
      <c r="E51" s="74">
        <v>3783098</v>
      </c>
      <c r="F51" s="37">
        <v>255</v>
      </c>
      <c r="G51" s="74">
        <v>3825</v>
      </c>
      <c r="H51" s="74">
        <v>2708709</v>
      </c>
      <c r="I51" s="37">
        <v>239</v>
      </c>
      <c r="J51" s="74">
        <v>3585</v>
      </c>
      <c r="K51" s="74">
        <v>3772849</v>
      </c>
      <c r="L51" s="37">
        <v>243</v>
      </c>
      <c r="M51" s="74">
        <v>3645</v>
      </c>
      <c r="N51" s="74">
        <v>6408420</v>
      </c>
      <c r="O51" s="37">
        <v>470</v>
      </c>
      <c r="P51" s="74">
        <v>7050</v>
      </c>
      <c r="Q51" s="74">
        <v>3755350</v>
      </c>
      <c r="R51" s="37">
        <v>242</v>
      </c>
      <c r="S51" s="74">
        <v>3630</v>
      </c>
      <c r="T51" s="74">
        <v>3260625</v>
      </c>
      <c r="U51" s="37">
        <v>221</v>
      </c>
      <c r="V51" s="74">
        <v>3315</v>
      </c>
      <c r="W51" s="74">
        <v>1665783</v>
      </c>
      <c r="X51" s="37">
        <v>189</v>
      </c>
      <c r="Y51" s="74">
        <v>2835</v>
      </c>
      <c r="Z51" s="74">
        <v>1747946</v>
      </c>
      <c r="AA51" s="37">
        <v>191</v>
      </c>
      <c r="AB51" s="74">
        <v>2865</v>
      </c>
      <c r="AC51" s="74">
        <v>1853744</v>
      </c>
      <c r="AD51" s="37">
        <v>203</v>
      </c>
      <c r="AE51" s="74">
        <v>3045</v>
      </c>
      <c r="AF51" s="74">
        <v>1166932</v>
      </c>
      <c r="AG51" s="37">
        <v>180</v>
      </c>
      <c r="AH51" s="74">
        <v>2700</v>
      </c>
    </row>
    <row r="52" spans="1:34" ht="16.5" customHeight="1" x14ac:dyDescent="0.3">
      <c r="A52" s="82"/>
      <c r="B52" s="37" t="s">
        <v>581</v>
      </c>
      <c r="C52" s="37">
        <v>2943</v>
      </c>
      <c r="D52" s="73">
        <f t="shared" si="0"/>
        <v>2307</v>
      </c>
      <c r="E52" s="74">
        <v>1295363</v>
      </c>
      <c r="F52" s="37">
        <v>248</v>
      </c>
      <c r="G52" s="74">
        <v>4630</v>
      </c>
      <c r="H52" s="74">
        <v>1160682</v>
      </c>
      <c r="I52" s="37">
        <v>205</v>
      </c>
      <c r="J52" s="74">
        <v>3870</v>
      </c>
      <c r="K52" s="74">
        <v>1242482</v>
      </c>
      <c r="L52" s="37">
        <v>230</v>
      </c>
      <c r="M52" s="74">
        <v>4270</v>
      </c>
      <c r="N52" s="74">
        <v>2077885</v>
      </c>
      <c r="O52" s="37">
        <v>434</v>
      </c>
      <c r="P52" s="74">
        <v>8050</v>
      </c>
      <c r="Q52" s="74">
        <v>1144110</v>
      </c>
      <c r="R52" s="37">
        <v>210</v>
      </c>
      <c r="S52" s="74">
        <v>3955</v>
      </c>
      <c r="T52" s="74">
        <v>865306</v>
      </c>
      <c r="U52" s="37">
        <v>184</v>
      </c>
      <c r="V52" s="74">
        <v>3430</v>
      </c>
      <c r="W52" s="74">
        <v>833130</v>
      </c>
      <c r="X52" s="37">
        <v>185</v>
      </c>
      <c r="Y52" s="74">
        <v>3495</v>
      </c>
      <c r="Z52" s="74">
        <v>934839</v>
      </c>
      <c r="AA52" s="37">
        <v>185</v>
      </c>
      <c r="AB52" s="74">
        <v>3475</v>
      </c>
      <c r="AC52" s="74">
        <v>960373</v>
      </c>
      <c r="AD52" s="37">
        <v>173</v>
      </c>
      <c r="AE52" s="74">
        <v>3245</v>
      </c>
      <c r="AF52" s="74">
        <v>1370471</v>
      </c>
      <c r="AG52" s="37">
        <v>253</v>
      </c>
      <c r="AH52" s="74">
        <v>4830</v>
      </c>
    </row>
    <row r="53" spans="1:34" ht="16.5" customHeight="1" x14ac:dyDescent="0.3">
      <c r="A53" s="82"/>
      <c r="B53" s="37" t="s">
        <v>547</v>
      </c>
      <c r="C53" s="37">
        <v>358864</v>
      </c>
      <c r="D53" s="73">
        <f t="shared" si="0"/>
        <v>2142</v>
      </c>
      <c r="E53" s="74">
        <v>-1626845</v>
      </c>
      <c r="F53" s="37">
        <v>209</v>
      </c>
      <c r="G53" s="37">
        <v>0</v>
      </c>
      <c r="H53" s="74">
        <v>-1758405</v>
      </c>
      <c r="I53" s="37">
        <v>220</v>
      </c>
      <c r="J53" s="37">
        <v>0</v>
      </c>
      <c r="K53" s="74">
        <v>-1544300</v>
      </c>
      <c r="L53" s="37">
        <v>202</v>
      </c>
      <c r="M53" s="37">
        <v>0</v>
      </c>
      <c r="N53" s="74">
        <v>-2886102</v>
      </c>
      <c r="O53" s="37">
        <v>346</v>
      </c>
      <c r="P53" s="37">
        <v>0</v>
      </c>
      <c r="Q53" s="74">
        <v>-1781939</v>
      </c>
      <c r="R53" s="37">
        <v>227</v>
      </c>
      <c r="S53" s="37">
        <v>0</v>
      </c>
      <c r="T53" s="74">
        <v>-1330732</v>
      </c>
      <c r="U53" s="37">
        <v>168</v>
      </c>
      <c r="V53" s="37">
        <v>0</v>
      </c>
      <c r="W53" s="74">
        <v>-1487009</v>
      </c>
      <c r="X53" s="37">
        <v>193</v>
      </c>
      <c r="Y53" s="37">
        <v>0</v>
      </c>
      <c r="Z53" s="74">
        <v>-1190405</v>
      </c>
      <c r="AA53" s="37">
        <v>159</v>
      </c>
      <c r="AB53" s="37">
        <v>0</v>
      </c>
      <c r="AC53" s="74">
        <v>-1698434</v>
      </c>
      <c r="AD53" s="37">
        <v>195</v>
      </c>
      <c r="AE53" s="37">
        <v>0</v>
      </c>
      <c r="AF53" s="74">
        <v>-1812373</v>
      </c>
      <c r="AG53" s="37">
        <v>223</v>
      </c>
      <c r="AH53" s="37">
        <v>0</v>
      </c>
    </row>
    <row r="54" spans="1:34" ht="16.5" customHeight="1" x14ac:dyDescent="0.3">
      <c r="A54" s="82"/>
      <c r="B54" s="37" t="s">
        <v>578</v>
      </c>
      <c r="C54" s="37">
        <v>2714</v>
      </c>
      <c r="D54" s="73">
        <f t="shared" si="0"/>
        <v>2105</v>
      </c>
      <c r="E54" s="74">
        <v>476401</v>
      </c>
      <c r="F54" s="37">
        <v>174</v>
      </c>
      <c r="G54" s="74">
        <v>1740</v>
      </c>
      <c r="H54" s="74">
        <v>694350</v>
      </c>
      <c r="I54" s="37">
        <v>244</v>
      </c>
      <c r="J54" s="74">
        <v>2440</v>
      </c>
      <c r="K54" s="74">
        <v>813900</v>
      </c>
      <c r="L54" s="37">
        <v>401</v>
      </c>
      <c r="M54" s="74">
        <v>4010</v>
      </c>
      <c r="N54" s="74">
        <v>639202</v>
      </c>
      <c r="O54" s="37">
        <v>202</v>
      </c>
      <c r="P54" s="74">
        <v>2020</v>
      </c>
      <c r="Q54" s="74">
        <v>438700</v>
      </c>
      <c r="R54" s="37">
        <v>142</v>
      </c>
      <c r="S54" s="74">
        <v>1420</v>
      </c>
      <c r="T54" s="74">
        <v>720200</v>
      </c>
      <c r="U54" s="37">
        <v>302</v>
      </c>
      <c r="V54" s="74">
        <v>3020</v>
      </c>
      <c r="W54" s="74">
        <v>416800</v>
      </c>
      <c r="X54" s="37">
        <v>150</v>
      </c>
      <c r="Y54" s="74">
        <v>1500</v>
      </c>
      <c r="Z54" s="74">
        <v>661600</v>
      </c>
      <c r="AA54" s="37">
        <v>215</v>
      </c>
      <c r="AB54" s="74">
        <v>2150</v>
      </c>
      <c r="AC54" s="74">
        <v>491650</v>
      </c>
      <c r="AD54" s="37">
        <v>224</v>
      </c>
      <c r="AE54" s="74">
        <v>2240</v>
      </c>
      <c r="AF54" s="74">
        <v>91600</v>
      </c>
      <c r="AG54" s="37">
        <v>51</v>
      </c>
      <c r="AH54" s="37">
        <v>510</v>
      </c>
    </row>
    <row r="55" spans="1:34" ht="16.5" customHeight="1" x14ac:dyDescent="0.3">
      <c r="A55" s="82"/>
      <c r="B55" s="37" t="s">
        <v>83</v>
      </c>
      <c r="C55" s="37">
        <v>2655</v>
      </c>
      <c r="D55" s="73">
        <f t="shared" si="0"/>
        <v>2104</v>
      </c>
      <c r="E55" s="74">
        <v>89266</v>
      </c>
      <c r="F55" s="37">
        <v>194</v>
      </c>
      <c r="G55" s="74">
        <v>1940</v>
      </c>
      <c r="H55" s="74">
        <v>104228</v>
      </c>
      <c r="I55" s="37">
        <v>206</v>
      </c>
      <c r="J55" s="74">
        <v>2060</v>
      </c>
      <c r="K55" s="74">
        <v>123884</v>
      </c>
      <c r="L55" s="37">
        <v>203</v>
      </c>
      <c r="M55" s="74">
        <v>2030</v>
      </c>
      <c r="N55" s="74">
        <v>291907</v>
      </c>
      <c r="O55" s="37">
        <v>392</v>
      </c>
      <c r="P55" s="74">
        <v>3920</v>
      </c>
      <c r="Q55" s="74">
        <v>108612</v>
      </c>
      <c r="R55" s="37">
        <v>187</v>
      </c>
      <c r="S55" s="74">
        <v>1870</v>
      </c>
      <c r="T55" s="74">
        <v>104576</v>
      </c>
      <c r="U55" s="37">
        <v>186</v>
      </c>
      <c r="V55" s="74">
        <v>1860</v>
      </c>
      <c r="W55" s="74">
        <v>113755</v>
      </c>
      <c r="X55" s="37">
        <v>190</v>
      </c>
      <c r="Y55" s="74">
        <v>1900</v>
      </c>
      <c r="Z55" s="74">
        <v>115331</v>
      </c>
      <c r="AA55" s="37">
        <v>174</v>
      </c>
      <c r="AB55" s="74">
        <v>1740</v>
      </c>
      <c r="AC55" s="74">
        <v>123836</v>
      </c>
      <c r="AD55" s="37">
        <v>189</v>
      </c>
      <c r="AE55" s="74">
        <v>1890</v>
      </c>
      <c r="AF55" s="74">
        <v>102044</v>
      </c>
      <c r="AG55" s="37">
        <v>183</v>
      </c>
      <c r="AH55" s="74">
        <v>1830</v>
      </c>
    </row>
    <row r="56" spans="1:34" ht="16.5" customHeight="1" x14ac:dyDescent="0.3">
      <c r="A56" s="82"/>
      <c r="B56" s="37" t="s">
        <v>659</v>
      </c>
      <c r="C56" s="37">
        <v>365495</v>
      </c>
      <c r="D56" s="73">
        <f t="shared" si="0"/>
        <v>2013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37">
        <v>0</v>
      </c>
      <c r="AA56" s="74">
        <v>1248</v>
      </c>
      <c r="AB56" s="74">
        <v>249600</v>
      </c>
      <c r="AC56" s="37">
        <v>0</v>
      </c>
      <c r="AD56" s="37">
        <v>765</v>
      </c>
      <c r="AE56" s="74">
        <v>153000</v>
      </c>
      <c r="AF56" s="12"/>
      <c r="AG56" s="12"/>
      <c r="AH56" s="12"/>
    </row>
    <row r="57" spans="1:34" ht="16.5" customHeight="1" x14ac:dyDescent="0.3">
      <c r="A57" s="82"/>
      <c r="B57" s="37" t="s">
        <v>618</v>
      </c>
      <c r="C57" s="37">
        <v>364526</v>
      </c>
      <c r="D57" s="73">
        <f t="shared" si="0"/>
        <v>1964</v>
      </c>
      <c r="E57" s="74">
        <v>164903</v>
      </c>
      <c r="F57" s="37">
        <v>179</v>
      </c>
      <c r="G57" s="74">
        <v>2685</v>
      </c>
      <c r="H57" s="74">
        <v>135373</v>
      </c>
      <c r="I57" s="37">
        <v>161</v>
      </c>
      <c r="J57" s="74">
        <v>2415</v>
      </c>
      <c r="K57" s="74">
        <v>153411</v>
      </c>
      <c r="L57" s="37">
        <v>174</v>
      </c>
      <c r="M57" s="74">
        <v>2610</v>
      </c>
      <c r="N57" s="74">
        <v>323356</v>
      </c>
      <c r="O57" s="37">
        <v>372</v>
      </c>
      <c r="P57" s="74">
        <v>5580</v>
      </c>
      <c r="Q57" s="74">
        <v>146216</v>
      </c>
      <c r="R57" s="37">
        <v>170</v>
      </c>
      <c r="S57" s="74">
        <v>2550</v>
      </c>
      <c r="T57" s="74">
        <v>135839</v>
      </c>
      <c r="U57" s="37">
        <v>168</v>
      </c>
      <c r="V57" s="74">
        <v>2520</v>
      </c>
      <c r="W57" s="74">
        <v>174257</v>
      </c>
      <c r="X57" s="37">
        <v>201</v>
      </c>
      <c r="Y57" s="74">
        <v>3015</v>
      </c>
      <c r="Z57" s="74">
        <v>120364</v>
      </c>
      <c r="AA57" s="37">
        <v>165</v>
      </c>
      <c r="AB57" s="74">
        <v>2475</v>
      </c>
      <c r="AC57" s="74">
        <v>162218</v>
      </c>
      <c r="AD57" s="37">
        <v>180</v>
      </c>
      <c r="AE57" s="74">
        <v>2700</v>
      </c>
      <c r="AF57" s="74">
        <v>151816</v>
      </c>
      <c r="AG57" s="37">
        <v>194</v>
      </c>
      <c r="AH57" s="74">
        <v>2910</v>
      </c>
    </row>
    <row r="58" spans="1:34" ht="16.5" customHeight="1" x14ac:dyDescent="0.3">
      <c r="A58" s="82"/>
      <c r="B58" s="37" t="s">
        <v>597</v>
      </c>
      <c r="C58" s="37">
        <v>3325</v>
      </c>
      <c r="D58" s="73">
        <f t="shared" si="0"/>
        <v>1950</v>
      </c>
      <c r="E58" s="74">
        <v>324420</v>
      </c>
      <c r="F58" s="37">
        <v>174</v>
      </c>
      <c r="G58" s="74">
        <v>11310</v>
      </c>
      <c r="H58" s="74">
        <v>412395</v>
      </c>
      <c r="I58" s="37">
        <v>219</v>
      </c>
      <c r="J58" s="74">
        <v>14235</v>
      </c>
      <c r="K58" s="74">
        <v>576420</v>
      </c>
      <c r="L58" s="37">
        <v>324</v>
      </c>
      <c r="M58" s="74">
        <v>21060</v>
      </c>
      <c r="N58" s="74">
        <v>503640</v>
      </c>
      <c r="O58" s="37">
        <v>300</v>
      </c>
      <c r="P58" s="74">
        <v>19500</v>
      </c>
      <c r="Q58" s="74">
        <v>198960</v>
      </c>
      <c r="R58" s="37">
        <v>108</v>
      </c>
      <c r="S58" s="74">
        <v>7020</v>
      </c>
      <c r="T58" s="74">
        <v>264535</v>
      </c>
      <c r="U58" s="37">
        <v>143</v>
      </c>
      <c r="V58" s="74">
        <v>9295</v>
      </c>
      <c r="W58" s="74">
        <v>187155</v>
      </c>
      <c r="X58" s="37">
        <v>103</v>
      </c>
      <c r="Y58" s="74">
        <v>6695</v>
      </c>
      <c r="Z58" s="74">
        <v>276435</v>
      </c>
      <c r="AA58" s="37">
        <v>155</v>
      </c>
      <c r="AB58" s="74">
        <v>10075</v>
      </c>
      <c r="AC58" s="74">
        <v>390895</v>
      </c>
      <c r="AD58" s="37">
        <v>223</v>
      </c>
      <c r="AE58" s="74">
        <v>14495</v>
      </c>
      <c r="AF58" s="74">
        <v>356835</v>
      </c>
      <c r="AG58" s="37">
        <v>201</v>
      </c>
      <c r="AH58" s="74">
        <v>13065</v>
      </c>
    </row>
    <row r="59" spans="1:34" ht="16.5" customHeight="1" x14ac:dyDescent="0.3">
      <c r="A59" s="82"/>
      <c r="B59" s="37" t="s">
        <v>584</v>
      </c>
      <c r="C59" s="37">
        <v>2685</v>
      </c>
      <c r="D59" s="73">
        <f t="shared" si="0"/>
        <v>1715</v>
      </c>
      <c r="E59" s="74">
        <v>531516</v>
      </c>
      <c r="F59" s="37">
        <v>168</v>
      </c>
      <c r="G59" s="74">
        <v>1680</v>
      </c>
      <c r="H59" s="74">
        <v>479542</v>
      </c>
      <c r="I59" s="37">
        <v>161</v>
      </c>
      <c r="J59" s="74">
        <v>1610</v>
      </c>
      <c r="K59" s="74">
        <v>496962</v>
      </c>
      <c r="L59" s="37">
        <v>173</v>
      </c>
      <c r="M59" s="74">
        <v>1730</v>
      </c>
      <c r="N59" s="74">
        <v>719358</v>
      </c>
      <c r="O59" s="37">
        <v>310</v>
      </c>
      <c r="P59" s="74">
        <v>3100</v>
      </c>
      <c r="Q59" s="74">
        <v>560488</v>
      </c>
      <c r="R59" s="37">
        <v>155</v>
      </c>
      <c r="S59" s="74">
        <v>1550</v>
      </c>
      <c r="T59" s="74">
        <v>490588</v>
      </c>
      <c r="U59" s="37">
        <v>154</v>
      </c>
      <c r="V59" s="74">
        <v>1540</v>
      </c>
      <c r="W59" s="74">
        <v>491580</v>
      </c>
      <c r="X59" s="37">
        <v>165</v>
      </c>
      <c r="Y59" s="74">
        <v>1650</v>
      </c>
      <c r="Z59" s="74">
        <v>516938</v>
      </c>
      <c r="AA59" s="37">
        <v>130</v>
      </c>
      <c r="AB59" s="74">
        <v>1300</v>
      </c>
      <c r="AC59" s="74">
        <v>294839</v>
      </c>
      <c r="AD59" s="37">
        <v>146</v>
      </c>
      <c r="AE59" s="74">
        <v>1460</v>
      </c>
      <c r="AF59" s="74">
        <v>522290</v>
      </c>
      <c r="AG59" s="37">
        <v>153</v>
      </c>
      <c r="AH59" s="74">
        <v>1530</v>
      </c>
    </row>
    <row r="60" spans="1:34" ht="16.5" customHeight="1" x14ac:dyDescent="0.3">
      <c r="A60" s="82"/>
      <c r="B60" s="37" t="s">
        <v>431</v>
      </c>
      <c r="C60" s="37">
        <v>30107</v>
      </c>
      <c r="D60" s="73">
        <f t="shared" si="0"/>
        <v>1606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7">
        <v>0</v>
      </c>
      <c r="R60" s="37">
        <v>18</v>
      </c>
      <c r="S60" s="74">
        <v>7200</v>
      </c>
      <c r="T60" s="37">
        <v>0</v>
      </c>
      <c r="U60" s="74">
        <v>1588</v>
      </c>
      <c r="V60" s="74">
        <v>635200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spans="1:34" ht="16.5" customHeight="1" x14ac:dyDescent="0.3">
      <c r="A61" s="82"/>
      <c r="B61" s="37" t="s">
        <v>150</v>
      </c>
      <c r="C61" s="37">
        <v>2851</v>
      </c>
      <c r="D61" s="73">
        <f t="shared" si="0"/>
        <v>1603</v>
      </c>
      <c r="E61" s="74">
        <v>1043124</v>
      </c>
      <c r="F61" s="37">
        <v>156</v>
      </c>
      <c r="G61" s="74">
        <v>1560</v>
      </c>
      <c r="H61" s="74">
        <v>960454</v>
      </c>
      <c r="I61" s="37">
        <v>146</v>
      </c>
      <c r="J61" s="74">
        <v>1460</v>
      </c>
      <c r="K61" s="74">
        <v>818173</v>
      </c>
      <c r="L61" s="37">
        <v>164</v>
      </c>
      <c r="M61" s="74">
        <v>1640</v>
      </c>
      <c r="N61" s="74">
        <v>1704245</v>
      </c>
      <c r="O61" s="37">
        <v>304</v>
      </c>
      <c r="P61" s="74">
        <v>3040</v>
      </c>
      <c r="Q61" s="74">
        <v>783452</v>
      </c>
      <c r="R61" s="37">
        <v>137</v>
      </c>
      <c r="S61" s="74">
        <v>1370</v>
      </c>
      <c r="T61" s="74">
        <v>1474656</v>
      </c>
      <c r="U61" s="37">
        <v>142</v>
      </c>
      <c r="V61" s="74">
        <v>1420</v>
      </c>
      <c r="W61" s="74">
        <v>955230</v>
      </c>
      <c r="X61" s="37">
        <v>143</v>
      </c>
      <c r="Y61" s="74">
        <v>1430</v>
      </c>
      <c r="Z61" s="74">
        <v>777069</v>
      </c>
      <c r="AA61" s="37">
        <v>126</v>
      </c>
      <c r="AB61" s="74">
        <v>1260</v>
      </c>
      <c r="AC61" s="74">
        <v>974938</v>
      </c>
      <c r="AD61" s="37">
        <v>127</v>
      </c>
      <c r="AE61" s="74">
        <v>1270</v>
      </c>
      <c r="AF61" s="74">
        <v>1241324</v>
      </c>
      <c r="AG61" s="37">
        <v>158</v>
      </c>
      <c r="AH61" s="74">
        <v>1580</v>
      </c>
    </row>
    <row r="62" spans="1:34" ht="16.5" customHeight="1" x14ac:dyDescent="0.3">
      <c r="A62" s="82"/>
      <c r="B62" s="37" t="s">
        <v>116</v>
      </c>
      <c r="C62" s="37">
        <v>2781</v>
      </c>
      <c r="D62" s="73">
        <f t="shared" si="0"/>
        <v>1571</v>
      </c>
      <c r="E62" s="74">
        <v>3812035</v>
      </c>
      <c r="F62" s="37">
        <v>169</v>
      </c>
      <c r="G62" s="74">
        <v>1910</v>
      </c>
      <c r="H62" s="74">
        <v>4109179</v>
      </c>
      <c r="I62" s="37">
        <v>155</v>
      </c>
      <c r="J62" s="74">
        <v>1890</v>
      </c>
      <c r="K62" s="74">
        <v>5122266</v>
      </c>
      <c r="L62" s="37">
        <v>150</v>
      </c>
      <c r="M62" s="74">
        <v>1990</v>
      </c>
      <c r="N62" s="74">
        <v>6849545</v>
      </c>
      <c r="O62" s="37">
        <v>288</v>
      </c>
      <c r="P62" s="74">
        <v>3300</v>
      </c>
      <c r="Q62" s="74">
        <v>3178762</v>
      </c>
      <c r="R62" s="37">
        <v>147</v>
      </c>
      <c r="S62" s="74">
        <v>1640</v>
      </c>
      <c r="T62" s="74">
        <v>4542725</v>
      </c>
      <c r="U62" s="37">
        <v>134</v>
      </c>
      <c r="V62" s="74">
        <v>1800</v>
      </c>
      <c r="W62" s="74">
        <v>3117790</v>
      </c>
      <c r="X62" s="37">
        <v>137</v>
      </c>
      <c r="Y62" s="74">
        <v>1580</v>
      </c>
      <c r="Z62" s="74">
        <v>2909513</v>
      </c>
      <c r="AA62" s="37">
        <v>131</v>
      </c>
      <c r="AB62" s="74">
        <v>1470</v>
      </c>
      <c r="AC62" s="74">
        <v>3200859</v>
      </c>
      <c r="AD62" s="37">
        <v>131</v>
      </c>
      <c r="AE62" s="74">
        <v>1540</v>
      </c>
      <c r="AF62" s="74">
        <v>2756460</v>
      </c>
      <c r="AG62" s="37">
        <v>129</v>
      </c>
      <c r="AH62" s="74">
        <v>1450</v>
      </c>
    </row>
    <row r="63" spans="1:34" ht="16.5" customHeight="1" x14ac:dyDescent="0.3">
      <c r="A63" s="82"/>
      <c r="B63" s="37" t="s">
        <v>591</v>
      </c>
      <c r="C63" s="37">
        <v>2798</v>
      </c>
      <c r="D63" s="73">
        <f t="shared" si="0"/>
        <v>1507</v>
      </c>
      <c r="E63" s="74">
        <v>16000</v>
      </c>
      <c r="F63" s="37">
        <v>192</v>
      </c>
      <c r="G63" s="74">
        <v>1920</v>
      </c>
      <c r="H63" s="74">
        <v>11700</v>
      </c>
      <c r="I63" s="37">
        <v>137</v>
      </c>
      <c r="J63" s="74">
        <v>1370</v>
      </c>
      <c r="K63" s="74">
        <v>12300</v>
      </c>
      <c r="L63" s="37">
        <v>159</v>
      </c>
      <c r="M63" s="74">
        <v>1590</v>
      </c>
      <c r="N63" s="74">
        <v>16800</v>
      </c>
      <c r="O63" s="37">
        <v>202</v>
      </c>
      <c r="P63" s="74">
        <v>2020</v>
      </c>
      <c r="Q63" s="74">
        <v>13500</v>
      </c>
      <c r="R63" s="37">
        <v>158</v>
      </c>
      <c r="S63" s="74">
        <v>1580</v>
      </c>
      <c r="T63" s="74">
        <v>14300</v>
      </c>
      <c r="U63" s="37">
        <v>165</v>
      </c>
      <c r="V63" s="74">
        <v>1650</v>
      </c>
      <c r="W63" s="74">
        <v>11900</v>
      </c>
      <c r="X63" s="37">
        <v>155</v>
      </c>
      <c r="Y63" s="74">
        <v>1550</v>
      </c>
      <c r="Z63" s="74">
        <v>9800</v>
      </c>
      <c r="AA63" s="37">
        <v>114</v>
      </c>
      <c r="AB63" s="74">
        <v>1140</v>
      </c>
      <c r="AC63" s="74">
        <v>8900</v>
      </c>
      <c r="AD63" s="37">
        <v>118</v>
      </c>
      <c r="AE63" s="74">
        <v>1180</v>
      </c>
      <c r="AF63" s="74">
        <v>9100</v>
      </c>
      <c r="AG63" s="37">
        <v>107</v>
      </c>
      <c r="AH63" s="74">
        <v>1070</v>
      </c>
    </row>
    <row r="64" spans="1:34" ht="16.5" customHeight="1" x14ac:dyDescent="0.3">
      <c r="A64" s="82"/>
      <c r="B64" s="37" t="s">
        <v>421</v>
      </c>
      <c r="C64" s="37">
        <v>30099</v>
      </c>
      <c r="D64" s="73">
        <f t="shared" si="0"/>
        <v>1486</v>
      </c>
      <c r="E64" s="74">
        <v>27400</v>
      </c>
      <c r="F64" s="37">
        <v>179</v>
      </c>
      <c r="G64" s="37">
        <v>0</v>
      </c>
      <c r="H64" s="74">
        <v>15750</v>
      </c>
      <c r="I64" s="37">
        <v>105</v>
      </c>
      <c r="J64" s="37">
        <v>0</v>
      </c>
      <c r="K64" s="74">
        <v>21250</v>
      </c>
      <c r="L64" s="37">
        <v>139</v>
      </c>
      <c r="M64" s="37">
        <v>0</v>
      </c>
      <c r="N64" s="74">
        <v>37800</v>
      </c>
      <c r="O64" s="37">
        <v>248</v>
      </c>
      <c r="P64" s="37">
        <v>0</v>
      </c>
      <c r="Q64" s="74">
        <v>20500</v>
      </c>
      <c r="R64" s="37">
        <v>133</v>
      </c>
      <c r="S64" s="37">
        <v>0</v>
      </c>
      <c r="T64" s="74">
        <v>23900</v>
      </c>
      <c r="U64" s="37">
        <v>158</v>
      </c>
      <c r="V64" s="37">
        <v>0</v>
      </c>
      <c r="W64" s="74">
        <v>19150</v>
      </c>
      <c r="X64" s="37">
        <v>127</v>
      </c>
      <c r="Y64" s="37">
        <v>0</v>
      </c>
      <c r="Z64" s="74">
        <v>16750</v>
      </c>
      <c r="AA64" s="37">
        <v>109</v>
      </c>
      <c r="AB64" s="37">
        <v>0</v>
      </c>
      <c r="AC64" s="74">
        <v>20300</v>
      </c>
      <c r="AD64" s="37">
        <v>130</v>
      </c>
      <c r="AE64" s="37">
        <v>0</v>
      </c>
      <c r="AF64" s="74">
        <v>24250</v>
      </c>
      <c r="AG64" s="37">
        <v>158</v>
      </c>
      <c r="AH64" s="37">
        <v>0</v>
      </c>
    </row>
    <row r="65" spans="1:34" ht="16.5" customHeight="1" x14ac:dyDescent="0.3">
      <c r="A65" s="82"/>
      <c r="B65" s="37" t="s">
        <v>660</v>
      </c>
      <c r="C65" s="37">
        <v>365123</v>
      </c>
      <c r="D65" s="73">
        <f t="shared" si="0"/>
        <v>1368</v>
      </c>
      <c r="E65" s="12"/>
      <c r="F65" s="12"/>
      <c r="G65" s="12"/>
      <c r="H65" s="37">
        <v>212</v>
      </c>
      <c r="I65" s="37">
        <v>1</v>
      </c>
      <c r="J65" s="37">
        <v>10</v>
      </c>
      <c r="K65" s="12"/>
      <c r="L65" s="12"/>
      <c r="M65" s="12"/>
      <c r="N65" s="12"/>
      <c r="O65" s="12"/>
      <c r="P65" s="12"/>
      <c r="Q65" s="74">
        <v>779693</v>
      </c>
      <c r="R65" s="37">
        <v>227</v>
      </c>
      <c r="S65" s="74">
        <v>2270</v>
      </c>
      <c r="T65" s="74">
        <v>724244</v>
      </c>
      <c r="U65" s="37">
        <v>238</v>
      </c>
      <c r="V65" s="74">
        <v>2380</v>
      </c>
      <c r="W65" s="74">
        <v>786099</v>
      </c>
      <c r="X65" s="37">
        <v>232</v>
      </c>
      <c r="Y65" s="74">
        <v>2320</v>
      </c>
      <c r="Z65" s="74">
        <v>680860</v>
      </c>
      <c r="AA65" s="37">
        <v>224</v>
      </c>
      <c r="AB65" s="74">
        <v>2240</v>
      </c>
      <c r="AC65" s="74">
        <v>613170</v>
      </c>
      <c r="AD65" s="37">
        <v>223</v>
      </c>
      <c r="AE65" s="74">
        <v>2230</v>
      </c>
      <c r="AF65" s="74">
        <v>642722</v>
      </c>
      <c r="AG65" s="37">
        <v>223</v>
      </c>
      <c r="AH65" s="74">
        <v>2230</v>
      </c>
    </row>
    <row r="66" spans="1:34" ht="16.5" customHeight="1" x14ac:dyDescent="0.3">
      <c r="A66" s="82"/>
      <c r="B66" s="37" t="s">
        <v>589</v>
      </c>
      <c r="C66" s="37">
        <v>3113</v>
      </c>
      <c r="D66" s="73">
        <f t="shared" si="0"/>
        <v>1361</v>
      </c>
      <c r="E66" s="74">
        <v>470160</v>
      </c>
      <c r="F66" s="37">
        <v>285</v>
      </c>
      <c r="G66" s="74">
        <v>2850</v>
      </c>
      <c r="H66" s="74">
        <v>123720</v>
      </c>
      <c r="I66" s="37">
        <v>28</v>
      </c>
      <c r="J66" s="37">
        <v>280</v>
      </c>
      <c r="K66" s="74">
        <v>793500</v>
      </c>
      <c r="L66" s="37">
        <v>167</v>
      </c>
      <c r="M66" s="74">
        <v>1670</v>
      </c>
      <c r="N66" s="74">
        <v>849940</v>
      </c>
      <c r="O66" s="37">
        <v>80</v>
      </c>
      <c r="P66" s="37">
        <v>800</v>
      </c>
      <c r="Q66" s="74">
        <v>714841</v>
      </c>
      <c r="R66" s="37">
        <v>351</v>
      </c>
      <c r="S66" s="74">
        <v>3510</v>
      </c>
      <c r="T66" s="74">
        <v>1129417</v>
      </c>
      <c r="U66" s="37">
        <v>146</v>
      </c>
      <c r="V66" s="74">
        <v>1460</v>
      </c>
      <c r="W66" s="74">
        <v>595160</v>
      </c>
      <c r="X66" s="37">
        <v>81</v>
      </c>
      <c r="Y66" s="37">
        <v>810</v>
      </c>
      <c r="Z66" s="74">
        <v>959560</v>
      </c>
      <c r="AA66" s="37">
        <v>178</v>
      </c>
      <c r="AB66" s="74">
        <v>1780</v>
      </c>
      <c r="AC66" s="74">
        <v>55550</v>
      </c>
      <c r="AD66" s="37">
        <v>17</v>
      </c>
      <c r="AE66" s="37">
        <v>170</v>
      </c>
      <c r="AF66" s="74">
        <v>105180</v>
      </c>
      <c r="AG66" s="37">
        <v>28</v>
      </c>
      <c r="AH66" s="37">
        <v>280</v>
      </c>
    </row>
    <row r="67" spans="1:34" ht="16.5" customHeight="1" x14ac:dyDescent="0.3">
      <c r="A67" s="82"/>
      <c r="B67" s="37" t="s">
        <v>593</v>
      </c>
      <c r="C67" s="37">
        <v>2834</v>
      </c>
      <c r="D67" s="73">
        <f t="shared" si="0"/>
        <v>1324</v>
      </c>
      <c r="E67" s="74">
        <v>97442</v>
      </c>
      <c r="F67" s="37">
        <v>128</v>
      </c>
      <c r="G67" s="74">
        <v>1280</v>
      </c>
      <c r="H67" s="74">
        <v>72855</v>
      </c>
      <c r="I67" s="37">
        <v>128</v>
      </c>
      <c r="J67" s="74">
        <v>1280</v>
      </c>
      <c r="K67" s="74">
        <v>84935</v>
      </c>
      <c r="L67" s="37">
        <v>137</v>
      </c>
      <c r="M67" s="74">
        <v>1370</v>
      </c>
      <c r="N67" s="74">
        <v>138468</v>
      </c>
      <c r="O67" s="37">
        <v>218</v>
      </c>
      <c r="P67" s="74">
        <v>2180</v>
      </c>
      <c r="Q67" s="74">
        <v>65476</v>
      </c>
      <c r="R67" s="37">
        <v>115</v>
      </c>
      <c r="S67" s="74">
        <v>1150</v>
      </c>
      <c r="T67" s="74">
        <v>84620</v>
      </c>
      <c r="U67" s="37">
        <v>119</v>
      </c>
      <c r="V67" s="74">
        <v>1190</v>
      </c>
      <c r="W67" s="74">
        <v>117129</v>
      </c>
      <c r="X67" s="37">
        <v>124</v>
      </c>
      <c r="Y67" s="74">
        <v>1240</v>
      </c>
      <c r="Z67" s="74">
        <v>69417</v>
      </c>
      <c r="AA67" s="37">
        <v>120</v>
      </c>
      <c r="AB67" s="74">
        <v>1200</v>
      </c>
      <c r="AC67" s="74">
        <v>84170</v>
      </c>
      <c r="AD67" s="37">
        <v>124</v>
      </c>
      <c r="AE67" s="74">
        <v>1240</v>
      </c>
      <c r="AF67" s="74">
        <v>67534</v>
      </c>
      <c r="AG67" s="37">
        <v>111</v>
      </c>
      <c r="AH67" s="74">
        <v>1110</v>
      </c>
    </row>
    <row r="68" spans="1:34" ht="16.5" customHeight="1" x14ac:dyDescent="0.3">
      <c r="A68" s="82"/>
      <c r="B68" s="37" t="s">
        <v>583</v>
      </c>
      <c r="C68" s="37">
        <v>2654</v>
      </c>
      <c r="D68" s="73">
        <f t="shared" si="0"/>
        <v>1128</v>
      </c>
      <c r="E68" s="74">
        <v>562326</v>
      </c>
      <c r="F68" s="37">
        <v>244</v>
      </c>
      <c r="G68" s="74">
        <v>2440</v>
      </c>
      <c r="H68" s="74">
        <v>550892</v>
      </c>
      <c r="I68" s="37">
        <v>237</v>
      </c>
      <c r="J68" s="74">
        <v>2370</v>
      </c>
      <c r="K68" s="74">
        <v>689449</v>
      </c>
      <c r="L68" s="37">
        <v>251</v>
      </c>
      <c r="M68" s="74">
        <v>2510</v>
      </c>
      <c r="N68" s="74">
        <v>1295865</v>
      </c>
      <c r="O68" s="37">
        <v>396</v>
      </c>
      <c r="P68" s="74">
        <v>3960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spans="1:34" ht="16.5" customHeight="1" x14ac:dyDescent="0.3">
      <c r="A69" s="82"/>
      <c r="B69" s="37" t="s">
        <v>344</v>
      </c>
      <c r="C69" s="37">
        <v>3166</v>
      </c>
      <c r="D69" s="73">
        <f t="shared" si="0"/>
        <v>1074</v>
      </c>
      <c r="E69" s="74">
        <v>636415</v>
      </c>
      <c r="F69" s="37">
        <v>159</v>
      </c>
      <c r="G69" s="74">
        <v>2385</v>
      </c>
      <c r="H69" s="74">
        <v>449696</v>
      </c>
      <c r="I69" s="37">
        <v>123</v>
      </c>
      <c r="J69" s="74">
        <v>1845</v>
      </c>
      <c r="K69" s="74">
        <v>397480</v>
      </c>
      <c r="L69" s="37">
        <v>96</v>
      </c>
      <c r="M69" s="74">
        <v>1440</v>
      </c>
      <c r="N69" s="74">
        <v>590576</v>
      </c>
      <c r="O69" s="37">
        <v>160</v>
      </c>
      <c r="P69" s="74">
        <v>2400</v>
      </c>
      <c r="Q69" s="74">
        <v>297133</v>
      </c>
      <c r="R69" s="37">
        <v>84</v>
      </c>
      <c r="S69" s="74">
        <v>1260</v>
      </c>
      <c r="T69" s="74">
        <v>271905</v>
      </c>
      <c r="U69" s="37">
        <v>71</v>
      </c>
      <c r="V69" s="74">
        <v>1065</v>
      </c>
      <c r="W69" s="74">
        <v>313927</v>
      </c>
      <c r="X69" s="37">
        <v>84</v>
      </c>
      <c r="Y69" s="74">
        <v>1260</v>
      </c>
      <c r="Z69" s="74">
        <v>268106</v>
      </c>
      <c r="AA69" s="37">
        <v>85</v>
      </c>
      <c r="AB69" s="74">
        <v>1275</v>
      </c>
      <c r="AC69" s="74">
        <v>291123</v>
      </c>
      <c r="AD69" s="37">
        <v>92</v>
      </c>
      <c r="AE69" s="74">
        <v>1380</v>
      </c>
      <c r="AF69" s="74">
        <v>374540</v>
      </c>
      <c r="AG69" s="37">
        <v>120</v>
      </c>
      <c r="AH69" s="74">
        <v>1800</v>
      </c>
    </row>
    <row r="70" spans="1:34" ht="16.5" customHeight="1" x14ac:dyDescent="0.3">
      <c r="A70" s="82"/>
      <c r="B70" s="37" t="s">
        <v>429</v>
      </c>
      <c r="C70" s="37">
        <v>30106</v>
      </c>
      <c r="D70" s="73">
        <f t="shared" si="0"/>
        <v>1015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37">
        <v>0</v>
      </c>
      <c r="U70" s="37">
        <v>479</v>
      </c>
      <c r="V70" s="74">
        <v>143700</v>
      </c>
      <c r="W70" s="37">
        <v>0</v>
      </c>
      <c r="X70" s="37">
        <v>536</v>
      </c>
      <c r="Y70" s="74">
        <v>160800</v>
      </c>
      <c r="Z70" s="12"/>
      <c r="AA70" s="12"/>
      <c r="AB70" s="12"/>
      <c r="AC70" s="12"/>
      <c r="AD70" s="12"/>
      <c r="AE70" s="12"/>
      <c r="AF70" s="12"/>
      <c r="AG70" s="12"/>
      <c r="AH70" s="12"/>
    </row>
    <row r="71" spans="1:34" ht="16.5" customHeight="1" x14ac:dyDescent="0.3">
      <c r="A71" s="82"/>
      <c r="B71" s="37" t="s">
        <v>304</v>
      </c>
      <c r="C71" s="37">
        <v>3114</v>
      </c>
      <c r="D71" s="73">
        <f t="shared" si="0"/>
        <v>1006</v>
      </c>
      <c r="E71" s="74">
        <v>2500024</v>
      </c>
      <c r="F71" s="37">
        <v>115</v>
      </c>
      <c r="G71" s="74">
        <v>1150</v>
      </c>
      <c r="H71" s="74">
        <v>2148072</v>
      </c>
      <c r="I71" s="37">
        <v>93</v>
      </c>
      <c r="J71" s="37">
        <v>930</v>
      </c>
      <c r="K71" s="74">
        <v>2607889</v>
      </c>
      <c r="L71" s="37">
        <v>104</v>
      </c>
      <c r="M71" s="74">
        <v>1040</v>
      </c>
      <c r="N71" s="74">
        <v>4278332</v>
      </c>
      <c r="O71" s="37">
        <v>174</v>
      </c>
      <c r="P71" s="74">
        <v>1740</v>
      </c>
      <c r="Q71" s="74">
        <v>2037297</v>
      </c>
      <c r="R71" s="37">
        <v>88</v>
      </c>
      <c r="S71" s="37">
        <v>880</v>
      </c>
      <c r="T71" s="74">
        <v>1837165</v>
      </c>
      <c r="U71" s="37">
        <v>81</v>
      </c>
      <c r="V71" s="37">
        <v>810</v>
      </c>
      <c r="W71" s="74">
        <v>1621036</v>
      </c>
      <c r="X71" s="37">
        <v>72</v>
      </c>
      <c r="Y71" s="37">
        <v>720</v>
      </c>
      <c r="Z71" s="74">
        <v>2019110</v>
      </c>
      <c r="AA71" s="37">
        <v>88</v>
      </c>
      <c r="AB71" s="37">
        <v>880</v>
      </c>
      <c r="AC71" s="74">
        <v>2133827</v>
      </c>
      <c r="AD71" s="37">
        <v>94</v>
      </c>
      <c r="AE71" s="37">
        <v>940</v>
      </c>
      <c r="AF71" s="74">
        <v>2270041</v>
      </c>
      <c r="AG71" s="37">
        <v>97</v>
      </c>
      <c r="AH71" s="37">
        <v>970</v>
      </c>
    </row>
    <row r="72" spans="1:34" ht="16.5" customHeight="1" x14ac:dyDescent="0.3">
      <c r="A72" s="82"/>
      <c r="B72" s="37" t="s">
        <v>600</v>
      </c>
      <c r="C72" s="37">
        <v>35699</v>
      </c>
      <c r="D72" s="73">
        <f t="shared" si="0"/>
        <v>876</v>
      </c>
      <c r="E72" s="74">
        <v>37400</v>
      </c>
      <c r="F72" s="37">
        <v>92</v>
      </c>
      <c r="G72" s="37">
        <v>0</v>
      </c>
      <c r="H72" s="74">
        <v>26000</v>
      </c>
      <c r="I72" s="37">
        <v>80</v>
      </c>
      <c r="J72" s="37">
        <v>0</v>
      </c>
      <c r="K72" s="74">
        <v>25450</v>
      </c>
      <c r="L72" s="37">
        <v>82</v>
      </c>
      <c r="M72" s="37">
        <v>0</v>
      </c>
      <c r="N72" s="74">
        <v>45400</v>
      </c>
      <c r="O72" s="37">
        <v>164</v>
      </c>
      <c r="P72" s="37">
        <v>0</v>
      </c>
      <c r="Q72" s="74">
        <v>26950</v>
      </c>
      <c r="R72" s="37">
        <v>79</v>
      </c>
      <c r="S72" s="37">
        <v>0</v>
      </c>
      <c r="T72" s="74">
        <v>20200</v>
      </c>
      <c r="U72" s="37">
        <v>68</v>
      </c>
      <c r="V72" s="37">
        <v>0</v>
      </c>
      <c r="W72" s="74">
        <v>63500</v>
      </c>
      <c r="X72" s="37">
        <v>80</v>
      </c>
      <c r="Y72" s="37">
        <v>0</v>
      </c>
      <c r="Z72" s="74">
        <v>25410</v>
      </c>
      <c r="AA72" s="37">
        <v>72</v>
      </c>
      <c r="AB72" s="37">
        <v>0</v>
      </c>
      <c r="AC72" s="74">
        <v>65250</v>
      </c>
      <c r="AD72" s="37">
        <v>80</v>
      </c>
      <c r="AE72" s="37">
        <v>0</v>
      </c>
      <c r="AF72" s="74">
        <v>70250</v>
      </c>
      <c r="AG72" s="37">
        <v>79</v>
      </c>
      <c r="AH72" s="37">
        <v>0</v>
      </c>
    </row>
    <row r="73" spans="1:34" ht="16.5" customHeight="1" x14ac:dyDescent="0.3">
      <c r="A73" s="82"/>
      <c r="B73" s="37" t="s">
        <v>545</v>
      </c>
      <c r="C73" s="37">
        <v>357221</v>
      </c>
      <c r="D73" s="73">
        <f t="shared" si="0"/>
        <v>864</v>
      </c>
      <c r="E73" s="74">
        <v>-437896</v>
      </c>
      <c r="F73" s="37">
        <v>110</v>
      </c>
      <c r="G73" s="74">
        <v>1100</v>
      </c>
      <c r="H73" s="74">
        <v>-321730</v>
      </c>
      <c r="I73" s="37">
        <v>79</v>
      </c>
      <c r="J73" s="37">
        <v>790</v>
      </c>
      <c r="K73" s="74">
        <v>-232157</v>
      </c>
      <c r="L73" s="37">
        <v>61</v>
      </c>
      <c r="M73" s="37">
        <v>610</v>
      </c>
      <c r="N73" s="74">
        <v>-589220</v>
      </c>
      <c r="O73" s="37">
        <v>152</v>
      </c>
      <c r="P73" s="74">
        <v>1520</v>
      </c>
      <c r="Q73" s="74">
        <v>-287300</v>
      </c>
      <c r="R73" s="37">
        <v>81</v>
      </c>
      <c r="S73" s="37">
        <v>810</v>
      </c>
      <c r="T73" s="74">
        <v>-315186</v>
      </c>
      <c r="U73" s="37">
        <v>107</v>
      </c>
      <c r="V73" s="74">
        <v>1070</v>
      </c>
      <c r="W73" s="74">
        <v>-285626</v>
      </c>
      <c r="X73" s="37">
        <v>78</v>
      </c>
      <c r="Y73" s="37">
        <v>780</v>
      </c>
      <c r="Z73" s="74">
        <v>-156488</v>
      </c>
      <c r="AA73" s="37">
        <v>53</v>
      </c>
      <c r="AB73" s="37">
        <v>530</v>
      </c>
      <c r="AC73" s="74">
        <v>-282250</v>
      </c>
      <c r="AD73" s="37">
        <v>80</v>
      </c>
      <c r="AE73" s="37">
        <v>800</v>
      </c>
      <c r="AF73" s="74">
        <v>-225646</v>
      </c>
      <c r="AG73" s="37">
        <v>63</v>
      </c>
      <c r="AH73" s="37">
        <v>630</v>
      </c>
    </row>
    <row r="74" spans="1:34" ht="16.5" customHeight="1" x14ac:dyDescent="0.3">
      <c r="A74" s="82"/>
      <c r="B74" s="37" t="s">
        <v>599</v>
      </c>
      <c r="C74" s="37">
        <v>2892</v>
      </c>
      <c r="D74" s="73">
        <f t="shared" si="0"/>
        <v>847</v>
      </c>
      <c r="E74" s="74">
        <v>46200</v>
      </c>
      <c r="F74" s="37">
        <v>87</v>
      </c>
      <c r="G74" s="37">
        <v>870</v>
      </c>
      <c r="H74" s="74">
        <v>34700</v>
      </c>
      <c r="I74" s="37">
        <v>72</v>
      </c>
      <c r="J74" s="37">
        <v>720</v>
      </c>
      <c r="K74" s="74">
        <v>74700</v>
      </c>
      <c r="L74" s="37">
        <v>154</v>
      </c>
      <c r="M74" s="74">
        <v>1540</v>
      </c>
      <c r="N74" s="74">
        <v>78000</v>
      </c>
      <c r="O74" s="37">
        <v>170</v>
      </c>
      <c r="P74" s="74">
        <v>1700</v>
      </c>
      <c r="Q74" s="74">
        <v>28300</v>
      </c>
      <c r="R74" s="37">
        <v>56</v>
      </c>
      <c r="S74" s="37">
        <v>560</v>
      </c>
      <c r="T74" s="74">
        <v>20300</v>
      </c>
      <c r="U74" s="37">
        <v>41</v>
      </c>
      <c r="V74" s="37">
        <v>410</v>
      </c>
      <c r="W74" s="74">
        <v>16800</v>
      </c>
      <c r="X74" s="37">
        <v>35</v>
      </c>
      <c r="Y74" s="37">
        <v>350</v>
      </c>
      <c r="Z74" s="74">
        <v>25400</v>
      </c>
      <c r="AA74" s="37">
        <v>46</v>
      </c>
      <c r="AB74" s="37">
        <v>460</v>
      </c>
      <c r="AC74" s="74">
        <v>59200</v>
      </c>
      <c r="AD74" s="37">
        <v>104</v>
      </c>
      <c r="AE74" s="74">
        <v>1040</v>
      </c>
      <c r="AF74" s="74">
        <v>40100</v>
      </c>
      <c r="AG74" s="37">
        <v>82</v>
      </c>
      <c r="AH74" s="37">
        <v>820</v>
      </c>
    </row>
    <row r="75" spans="1:34" ht="16.5" customHeight="1" x14ac:dyDescent="0.3">
      <c r="A75" s="82"/>
      <c r="B75" s="37" t="s">
        <v>131</v>
      </c>
      <c r="C75" s="37">
        <v>2810</v>
      </c>
      <c r="D75" s="73">
        <f t="shared" si="0"/>
        <v>828</v>
      </c>
      <c r="E75" s="74">
        <v>330580</v>
      </c>
      <c r="F75" s="37">
        <v>80</v>
      </c>
      <c r="G75" s="37">
        <v>800</v>
      </c>
      <c r="H75" s="74">
        <v>196455</v>
      </c>
      <c r="I75" s="37">
        <v>57</v>
      </c>
      <c r="J75" s="37">
        <v>570</v>
      </c>
      <c r="K75" s="74">
        <v>305518</v>
      </c>
      <c r="L75" s="37">
        <v>63</v>
      </c>
      <c r="M75" s="37">
        <v>630</v>
      </c>
      <c r="N75" s="74">
        <v>488991</v>
      </c>
      <c r="O75" s="37">
        <v>138</v>
      </c>
      <c r="P75" s="74">
        <v>1380</v>
      </c>
      <c r="Q75" s="74">
        <v>265195</v>
      </c>
      <c r="R75" s="37">
        <v>70</v>
      </c>
      <c r="S75" s="37">
        <v>700</v>
      </c>
      <c r="T75" s="74">
        <v>159270</v>
      </c>
      <c r="U75" s="37">
        <v>52</v>
      </c>
      <c r="V75" s="37">
        <v>520</v>
      </c>
      <c r="W75" s="74">
        <v>207493</v>
      </c>
      <c r="X75" s="37">
        <v>62</v>
      </c>
      <c r="Y75" s="37">
        <v>620</v>
      </c>
      <c r="Z75" s="74">
        <v>185431</v>
      </c>
      <c r="AA75" s="37">
        <v>51</v>
      </c>
      <c r="AB75" s="37">
        <v>510</v>
      </c>
      <c r="AC75" s="74">
        <v>325398</v>
      </c>
      <c r="AD75" s="37">
        <v>63</v>
      </c>
      <c r="AE75" s="37">
        <v>630</v>
      </c>
      <c r="AF75" s="74">
        <v>983417</v>
      </c>
      <c r="AG75" s="37">
        <v>192</v>
      </c>
      <c r="AH75" s="74">
        <v>1920</v>
      </c>
    </row>
    <row r="76" spans="1:34" ht="16.5" customHeight="1" x14ac:dyDescent="0.3">
      <c r="A76" s="82"/>
      <c r="B76" s="37" t="s">
        <v>194</v>
      </c>
      <c r="C76" s="37">
        <v>2953</v>
      </c>
      <c r="D76" s="73">
        <f t="shared" si="0"/>
        <v>816</v>
      </c>
      <c r="E76" s="74">
        <v>185878</v>
      </c>
      <c r="F76" s="37">
        <v>74</v>
      </c>
      <c r="G76" s="74">
        <v>1110</v>
      </c>
      <c r="H76" s="74">
        <v>235693</v>
      </c>
      <c r="I76" s="37">
        <v>82</v>
      </c>
      <c r="J76" s="74">
        <v>1230</v>
      </c>
      <c r="K76" s="74">
        <v>208390</v>
      </c>
      <c r="L76" s="37">
        <v>69</v>
      </c>
      <c r="M76" s="74">
        <v>1035</v>
      </c>
      <c r="N76" s="74">
        <v>495664</v>
      </c>
      <c r="O76" s="37">
        <v>154</v>
      </c>
      <c r="P76" s="74">
        <v>2310</v>
      </c>
      <c r="Q76" s="74">
        <v>195335</v>
      </c>
      <c r="R76" s="37">
        <v>77</v>
      </c>
      <c r="S76" s="74">
        <v>1155</v>
      </c>
      <c r="T76" s="74">
        <v>260371</v>
      </c>
      <c r="U76" s="37">
        <v>85</v>
      </c>
      <c r="V76" s="74">
        <v>1275</v>
      </c>
      <c r="W76" s="74">
        <v>298434</v>
      </c>
      <c r="X76" s="37">
        <v>78</v>
      </c>
      <c r="Y76" s="74">
        <v>1170</v>
      </c>
      <c r="Z76" s="74">
        <v>177480</v>
      </c>
      <c r="AA76" s="37">
        <v>60</v>
      </c>
      <c r="AB76" s="37">
        <v>900</v>
      </c>
      <c r="AC76" s="74">
        <v>246104</v>
      </c>
      <c r="AD76" s="37">
        <v>75</v>
      </c>
      <c r="AE76" s="74">
        <v>1125</v>
      </c>
      <c r="AF76" s="74">
        <v>256885</v>
      </c>
      <c r="AG76" s="37">
        <v>62</v>
      </c>
      <c r="AH76" s="37">
        <v>930</v>
      </c>
    </row>
    <row r="77" spans="1:34" ht="16.5" customHeight="1" x14ac:dyDescent="0.3">
      <c r="A77" s="82"/>
      <c r="B77" s="37" t="s">
        <v>241</v>
      </c>
      <c r="C77" s="37">
        <v>3045</v>
      </c>
      <c r="D77" s="73">
        <f t="shared" si="0"/>
        <v>800</v>
      </c>
      <c r="E77" s="74">
        <v>86009</v>
      </c>
      <c r="F77" s="37">
        <v>91</v>
      </c>
      <c r="G77" s="74">
        <v>1320</v>
      </c>
      <c r="H77" s="74">
        <v>70472</v>
      </c>
      <c r="I77" s="37">
        <v>74</v>
      </c>
      <c r="J77" s="74">
        <v>1085</v>
      </c>
      <c r="K77" s="74">
        <v>72524</v>
      </c>
      <c r="L77" s="37">
        <v>77</v>
      </c>
      <c r="M77" s="74">
        <v>1125</v>
      </c>
      <c r="N77" s="74">
        <v>158908</v>
      </c>
      <c r="O77" s="37">
        <v>158</v>
      </c>
      <c r="P77" s="74">
        <v>2330</v>
      </c>
      <c r="Q77" s="74">
        <v>58590</v>
      </c>
      <c r="R77" s="37">
        <v>61</v>
      </c>
      <c r="S77" s="37">
        <v>895</v>
      </c>
      <c r="T77" s="74">
        <v>66749</v>
      </c>
      <c r="U77" s="37">
        <v>71</v>
      </c>
      <c r="V77" s="74">
        <v>1045</v>
      </c>
      <c r="W77" s="74">
        <v>78731</v>
      </c>
      <c r="X77" s="37">
        <v>77</v>
      </c>
      <c r="Y77" s="74">
        <v>1130</v>
      </c>
      <c r="Z77" s="74">
        <v>55742</v>
      </c>
      <c r="AA77" s="37">
        <v>65</v>
      </c>
      <c r="AB77" s="37">
        <v>950</v>
      </c>
      <c r="AC77" s="74">
        <v>71763</v>
      </c>
      <c r="AD77" s="37">
        <v>71</v>
      </c>
      <c r="AE77" s="74">
        <v>1045</v>
      </c>
      <c r="AF77" s="74">
        <v>56322</v>
      </c>
      <c r="AG77" s="37">
        <v>55</v>
      </c>
      <c r="AH77" s="37">
        <v>800</v>
      </c>
    </row>
    <row r="78" spans="1:34" ht="16.5" customHeight="1" x14ac:dyDescent="0.3">
      <c r="A78" s="82"/>
      <c r="B78" s="37" t="s">
        <v>592</v>
      </c>
      <c r="C78" s="37">
        <v>2967</v>
      </c>
      <c r="D78" s="73">
        <f t="shared" si="0"/>
        <v>798</v>
      </c>
      <c r="E78" s="74">
        <v>864313</v>
      </c>
      <c r="F78" s="37">
        <v>87</v>
      </c>
      <c r="G78" s="74">
        <v>1265</v>
      </c>
      <c r="H78" s="74">
        <v>890933</v>
      </c>
      <c r="I78" s="37">
        <v>87</v>
      </c>
      <c r="J78" s="74">
        <v>1265</v>
      </c>
      <c r="K78" s="74">
        <v>611986</v>
      </c>
      <c r="L78" s="37">
        <v>66</v>
      </c>
      <c r="M78" s="37">
        <v>960</v>
      </c>
      <c r="N78" s="74">
        <v>1339239</v>
      </c>
      <c r="O78" s="37">
        <v>142</v>
      </c>
      <c r="P78" s="74">
        <v>2060</v>
      </c>
      <c r="Q78" s="74">
        <v>551259</v>
      </c>
      <c r="R78" s="37">
        <v>68</v>
      </c>
      <c r="S78" s="37">
        <v>995</v>
      </c>
      <c r="T78" s="74">
        <v>486500</v>
      </c>
      <c r="U78" s="37">
        <v>66</v>
      </c>
      <c r="V78" s="37">
        <v>950</v>
      </c>
      <c r="W78" s="74">
        <v>603741</v>
      </c>
      <c r="X78" s="37">
        <v>79</v>
      </c>
      <c r="Y78" s="74">
        <v>1150</v>
      </c>
      <c r="Z78" s="74">
        <v>606258</v>
      </c>
      <c r="AA78" s="37">
        <v>71</v>
      </c>
      <c r="AB78" s="74">
        <v>1030</v>
      </c>
      <c r="AC78" s="74">
        <v>518792</v>
      </c>
      <c r="AD78" s="37">
        <v>66</v>
      </c>
      <c r="AE78" s="37">
        <v>975</v>
      </c>
      <c r="AF78" s="74">
        <v>507771</v>
      </c>
      <c r="AG78" s="37">
        <v>66</v>
      </c>
      <c r="AH78" s="37">
        <v>975</v>
      </c>
    </row>
    <row r="79" spans="1:34" ht="16.5" customHeight="1" x14ac:dyDescent="0.3">
      <c r="A79" s="82"/>
      <c r="B79" s="37" t="s">
        <v>472</v>
      </c>
      <c r="C79" s="37">
        <v>365067</v>
      </c>
      <c r="D79" s="73">
        <f t="shared" si="0"/>
        <v>779</v>
      </c>
      <c r="E79" s="74">
        <v>2336</v>
      </c>
      <c r="F79" s="37">
        <v>73</v>
      </c>
      <c r="G79" s="37">
        <v>0</v>
      </c>
      <c r="H79" s="74">
        <v>2592</v>
      </c>
      <c r="I79" s="37">
        <v>81</v>
      </c>
      <c r="J79" s="37">
        <v>0</v>
      </c>
      <c r="K79" s="74">
        <v>2912</v>
      </c>
      <c r="L79" s="37">
        <v>91</v>
      </c>
      <c r="M79" s="37">
        <v>0</v>
      </c>
      <c r="N79" s="74">
        <v>4544</v>
      </c>
      <c r="O79" s="37">
        <v>142</v>
      </c>
      <c r="P79" s="37">
        <v>0</v>
      </c>
      <c r="Q79" s="74">
        <v>2560</v>
      </c>
      <c r="R79" s="37">
        <v>80</v>
      </c>
      <c r="S79" s="37">
        <v>0</v>
      </c>
      <c r="T79" s="74">
        <v>2816</v>
      </c>
      <c r="U79" s="37">
        <v>88</v>
      </c>
      <c r="V79" s="37">
        <v>0</v>
      </c>
      <c r="W79" s="74">
        <v>2528</v>
      </c>
      <c r="X79" s="37">
        <v>79</v>
      </c>
      <c r="Y79" s="37">
        <v>0</v>
      </c>
      <c r="Z79" s="74">
        <v>1504</v>
      </c>
      <c r="AA79" s="37">
        <v>47</v>
      </c>
      <c r="AB79" s="37">
        <v>0</v>
      </c>
      <c r="AC79" s="74">
        <v>1280</v>
      </c>
      <c r="AD79" s="37">
        <v>40</v>
      </c>
      <c r="AE79" s="37">
        <v>0</v>
      </c>
      <c r="AF79" s="74">
        <v>1856</v>
      </c>
      <c r="AG79" s="37">
        <v>58</v>
      </c>
      <c r="AH79" s="37">
        <v>0</v>
      </c>
    </row>
    <row r="80" spans="1:34" ht="16.5" customHeight="1" x14ac:dyDescent="0.3">
      <c r="A80" s="82"/>
      <c r="B80" s="37" t="s">
        <v>470</v>
      </c>
      <c r="C80" s="37">
        <v>364823</v>
      </c>
      <c r="D80" s="73">
        <f t="shared" si="0"/>
        <v>779</v>
      </c>
      <c r="E80" s="74">
        <v>116464</v>
      </c>
      <c r="F80" s="37">
        <v>73</v>
      </c>
      <c r="G80" s="74">
        <v>1460</v>
      </c>
      <c r="H80" s="74">
        <v>145843</v>
      </c>
      <c r="I80" s="37">
        <v>81</v>
      </c>
      <c r="J80" s="74">
        <v>1620</v>
      </c>
      <c r="K80" s="74">
        <v>161878</v>
      </c>
      <c r="L80" s="37">
        <v>91</v>
      </c>
      <c r="M80" s="74">
        <v>1820</v>
      </c>
      <c r="N80" s="74">
        <v>218801</v>
      </c>
      <c r="O80" s="37">
        <v>142</v>
      </c>
      <c r="P80" s="74">
        <v>2840</v>
      </c>
      <c r="Q80" s="74">
        <v>122082</v>
      </c>
      <c r="R80" s="37">
        <v>80</v>
      </c>
      <c r="S80" s="74">
        <v>1600</v>
      </c>
      <c r="T80" s="74">
        <v>133691</v>
      </c>
      <c r="U80" s="37">
        <v>88</v>
      </c>
      <c r="V80" s="74">
        <v>1760</v>
      </c>
      <c r="W80" s="74">
        <v>127136</v>
      </c>
      <c r="X80" s="37">
        <v>79</v>
      </c>
      <c r="Y80" s="74">
        <v>1580</v>
      </c>
      <c r="Z80" s="74">
        <v>66634</v>
      </c>
      <c r="AA80" s="37">
        <v>47</v>
      </c>
      <c r="AB80" s="37">
        <v>940</v>
      </c>
      <c r="AC80" s="74">
        <v>69699</v>
      </c>
      <c r="AD80" s="37">
        <v>40</v>
      </c>
      <c r="AE80" s="37">
        <v>800</v>
      </c>
      <c r="AF80" s="74">
        <v>84746</v>
      </c>
      <c r="AG80" s="37">
        <v>58</v>
      </c>
      <c r="AH80" s="74">
        <v>1160</v>
      </c>
    </row>
    <row r="81" spans="1:34" ht="16.5" customHeight="1" x14ac:dyDescent="0.3">
      <c r="A81" s="82"/>
      <c r="B81" s="37" t="s">
        <v>588</v>
      </c>
      <c r="C81" s="37">
        <v>3183</v>
      </c>
      <c r="D81" s="73">
        <f t="shared" si="0"/>
        <v>763</v>
      </c>
      <c r="E81" s="74">
        <v>36827</v>
      </c>
      <c r="F81" s="37">
        <v>83</v>
      </c>
      <c r="G81" s="74">
        <v>1245</v>
      </c>
      <c r="H81" s="74">
        <v>30764</v>
      </c>
      <c r="I81" s="37">
        <v>73</v>
      </c>
      <c r="J81" s="74">
        <v>1095</v>
      </c>
      <c r="K81" s="74">
        <v>36222</v>
      </c>
      <c r="L81" s="37">
        <v>78</v>
      </c>
      <c r="M81" s="74">
        <v>1170</v>
      </c>
      <c r="N81" s="74">
        <v>66716</v>
      </c>
      <c r="O81" s="37">
        <v>152</v>
      </c>
      <c r="P81" s="74">
        <v>2280</v>
      </c>
      <c r="Q81" s="74">
        <v>35644</v>
      </c>
      <c r="R81" s="37">
        <v>69</v>
      </c>
      <c r="S81" s="74">
        <v>1035</v>
      </c>
      <c r="T81" s="74">
        <v>34481</v>
      </c>
      <c r="U81" s="37">
        <v>71</v>
      </c>
      <c r="V81" s="74">
        <v>1065</v>
      </c>
      <c r="W81" s="74">
        <v>31892</v>
      </c>
      <c r="X81" s="37">
        <v>67</v>
      </c>
      <c r="Y81" s="74">
        <v>1005</v>
      </c>
      <c r="Z81" s="74">
        <v>30161</v>
      </c>
      <c r="AA81" s="37">
        <v>56</v>
      </c>
      <c r="AB81" s="37">
        <v>840</v>
      </c>
      <c r="AC81" s="74">
        <v>23381</v>
      </c>
      <c r="AD81" s="37">
        <v>54</v>
      </c>
      <c r="AE81" s="37">
        <v>810</v>
      </c>
      <c r="AF81" s="74">
        <v>29049</v>
      </c>
      <c r="AG81" s="37">
        <v>60</v>
      </c>
      <c r="AH81" s="37">
        <v>900</v>
      </c>
    </row>
    <row r="82" spans="1:34" ht="16.5" customHeight="1" x14ac:dyDescent="0.3">
      <c r="A82" s="82"/>
      <c r="B82" s="37" t="s">
        <v>211</v>
      </c>
      <c r="C82" s="37">
        <v>2995</v>
      </c>
      <c r="D82" s="73">
        <f t="shared" si="0"/>
        <v>744</v>
      </c>
      <c r="E82" s="74">
        <v>5963413</v>
      </c>
      <c r="F82" s="37">
        <v>744</v>
      </c>
      <c r="G82" s="74">
        <v>11160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spans="1:34" ht="16.5" customHeight="1" x14ac:dyDescent="0.3">
      <c r="A83" s="82"/>
      <c r="B83" s="37" t="s">
        <v>594</v>
      </c>
      <c r="C83" s="37">
        <v>2790</v>
      </c>
      <c r="D83" s="73">
        <f t="shared" si="0"/>
        <v>697</v>
      </c>
      <c r="E83" s="74">
        <v>228310</v>
      </c>
      <c r="F83" s="37">
        <v>287</v>
      </c>
      <c r="G83" s="74">
        <v>8610</v>
      </c>
      <c r="H83" s="74">
        <v>127370</v>
      </c>
      <c r="I83" s="37">
        <v>137</v>
      </c>
      <c r="J83" s="74">
        <v>4110</v>
      </c>
      <c r="K83" s="74">
        <v>57510</v>
      </c>
      <c r="L83" s="37">
        <v>66</v>
      </c>
      <c r="M83" s="74">
        <v>1980</v>
      </c>
      <c r="N83" s="74">
        <v>39300</v>
      </c>
      <c r="O83" s="37">
        <v>58</v>
      </c>
      <c r="P83" s="74">
        <v>1740</v>
      </c>
      <c r="Q83" s="74">
        <v>31180</v>
      </c>
      <c r="R83" s="37">
        <v>43</v>
      </c>
      <c r="S83" s="74">
        <v>1290</v>
      </c>
      <c r="T83" s="74">
        <v>15700</v>
      </c>
      <c r="U83" s="37">
        <v>24</v>
      </c>
      <c r="V83" s="37">
        <v>720</v>
      </c>
      <c r="W83" s="74">
        <v>11250</v>
      </c>
      <c r="X83" s="37">
        <v>20</v>
      </c>
      <c r="Y83" s="37">
        <v>600</v>
      </c>
      <c r="Z83" s="74">
        <v>11900</v>
      </c>
      <c r="AA83" s="37">
        <v>20</v>
      </c>
      <c r="AB83" s="37">
        <v>600</v>
      </c>
      <c r="AC83" s="74">
        <v>9300</v>
      </c>
      <c r="AD83" s="37">
        <v>17</v>
      </c>
      <c r="AE83" s="37">
        <v>510</v>
      </c>
      <c r="AF83" s="74">
        <v>14200</v>
      </c>
      <c r="AG83" s="37">
        <v>25</v>
      </c>
      <c r="AH83" s="37">
        <v>750</v>
      </c>
    </row>
    <row r="84" spans="1:34" ht="16.5" customHeight="1" x14ac:dyDescent="0.3">
      <c r="A84" s="82"/>
      <c r="B84" s="37" t="s">
        <v>149</v>
      </c>
      <c r="C84" s="37">
        <v>2850</v>
      </c>
      <c r="D84" s="73">
        <f t="shared" si="0"/>
        <v>634</v>
      </c>
      <c r="E84" s="74">
        <v>392817</v>
      </c>
      <c r="F84" s="37">
        <v>60</v>
      </c>
      <c r="G84" s="37">
        <v>600</v>
      </c>
      <c r="H84" s="74">
        <v>418470</v>
      </c>
      <c r="I84" s="37">
        <v>61</v>
      </c>
      <c r="J84" s="37">
        <v>610</v>
      </c>
      <c r="K84" s="74">
        <v>498727</v>
      </c>
      <c r="L84" s="37">
        <v>62</v>
      </c>
      <c r="M84" s="37">
        <v>620</v>
      </c>
      <c r="N84" s="74">
        <v>923933</v>
      </c>
      <c r="O84" s="37">
        <v>120</v>
      </c>
      <c r="P84" s="74">
        <v>1200</v>
      </c>
      <c r="Q84" s="74">
        <v>332563</v>
      </c>
      <c r="R84" s="37">
        <v>58</v>
      </c>
      <c r="S84" s="37">
        <v>580</v>
      </c>
      <c r="T84" s="74">
        <v>382681</v>
      </c>
      <c r="U84" s="37">
        <v>49</v>
      </c>
      <c r="V84" s="37">
        <v>490</v>
      </c>
      <c r="W84" s="74">
        <v>440030</v>
      </c>
      <c r="X84" s="37">
        <v>59</v>
      </c>
      <c r="Y84" s="37">
        <v>590</v>
      </c>
      <c r="Z84" s="74">
        <v>426981</v>
      </c>
      <c r="AA84" s="37">
        <v>53</v>
      </c>
      <c r="AB84" s="37">
        <v>530</v>
      </c>
      <c r="AC84" s="74">
        <v>342558</v>
      </c>
      <c r="AD84" s="37">
        <v>53</v>
      </c>
      <c r="AE84" s="37">
        <v>530</v>
      </c>
      <c r="AF84" s="74">
        <v>300892</v>
      </c>
      <c r="AG84" s="37">
        <v>59</v>
      </c>
      <c r="AH84" s="37">
        <v>590</v>
      </c>
    </row>
    <row r="85" spans="1:34" ht="16.5" customHeight="1" x14ac:dyDescent="0.3">
      <c r="A85" s="82"/>
      <c r="B85" s="37" t="s">
        <v>321</v>
      </c>
      <c r="C85" s="37">
        <v>3141</v>
      </c>
      <c r="D85" s="73">
        <f t="shared" si="0"/>
        <v>605</v>
      </c>
      <c r="E85" s="74">
        <v>331990</v>
      </c>
      <c r="F85" s="37">
        <v>88</v>
      </c>
      <c r="G85" s="74">
        <v>1320</v>
      </c>
      <c r="H85" s="74">
        <v>1551197</v>
      </c>
      <c r="I85" s="37">
        <v>234</v>
      </c>
      <c r="J85" s="74">
        <v>3510</v>
      </c>
      <c r="K85" s="74">
        <v>295244</v>
      </c>
      <c r="L85" s="37">
        <v>75</v>
      </c>
      <c r="M85" s="74">
        <v>1125</v>
      </c>
      <c r="N85" s="74">
        <v>235216</v>
      </c>
      <c r="O85" s="37">
        <v>82</v>
      </c>
      <c r="P85" s="74">
        <v>1230</v>
      </c>
      <c r="Q85" s="74">
        <v>76484</v>
      </c>
      <c r="R85" s="37">
        <v>19</v>
      </c>
      <c r="S85" s="37">
        <v>285</v>
      </c>
      <c r="T85" s="74">
        <v>148961</v>
      </c>
      <c r="U85" s="37">
        <v>23</v>
      </c>
      <c r="V85" s="37">
        <v>345</v>
      </c>
      <c r="W85" s="74">
        <v>78903</v>
      </c>
      <c r="X85" s="37">
        <v>27</v>
      </c>
      <c r="Y85" s="37">
        <v>405</v>
      </c>
      <c r="Z85" s="74">
        <v>60684</v>
      </c>
      <c r="AA85" s="37">
        <v>16</v>
      </c>
      <c r="AB85" s="37">
        <v>240</v>
      </c>
      <c r="AC85" s="74">
        <v>75659</v>
      </c>
      <c r="AD85" s="37">
        <v>26</v>
      </c>
      <c r="AE85" s="37">
        <v>390</v>
      </c>
      <c r="AF85" s="74">
        <v>31039</v>
      </c>
      <c r="AG85" s="37">
        <v>15</v>
      </c>
      <c r="AH85" s="37">
        <v>225</v>
      </c>
    </row>
    <row r="86" spans="1:34" ht="16.5" customHeight="1" x14ac:dyDescent="0.3">
      <c r="A86" s="82"/>
      <c r="B86" s="37" t="s">
        <v>185</v>
      </c>
      <c r="C86" s="37">
        <v>2929</v>
      </c>
      <c r="D86" s="73">
        <f t="shared" si="0"/>
        <v>582</v>
      </c>
      <c r="E86" s="74">
        <v>10800</v>
      </c>
      <c r="F86" s="37">
        <v>36</v>
      </c>
      <c r="G86" s="37">
        <v>360</v>
      </c>
      <c r="H86" s="74">
        <v>16200</v>
      </c>
      <c r="I86" s="37">
        <v>54</v>
      </c>
      <c r="J86" s="37">
        <v>540</v>
      </c>
      <c r="K86" s="74">
        <v>20100</v>
      </c>
      <c r="L86" s="37">
        <v>67</v>
      </c>
      <c r="M86" s="37">
        <v>670</v>
      </c>
      <c r="N86" s="74">
        <v>22800</v>
      </c>
      <c r="O86" s="37">
        <v>76</v>
      </c>
      <c r="P86" s="37">
        <v>760</v>
      </c>
      <c r="Q86" s="74">
        <v>9300</v>
      </c>
      <c r="R86" s="37">
        <v>31</v>
      </c>
      <c r="S86" s="37">
        <v>310</v>
      </c>
      <c r="T86" s="74">
        <v>15000</v>
      </c>
      <c r="U86" s="37">
        <v>50</v>
      </c>
      <c r="V86" s="37">
        <v>500</v>
      </c>
      <c r="W86" s="74">
        <v>39900</v>
      </c>
      <c r="X86" s="37">
        <v>133</v>
      </c>
      <c r="Y86" s="74">
        <v>1330</v>
      </c>
      <c r="Z86" s="74">
        <v>18300</v>
      </c>
      <c r="AA86" s="37">
        <v>61</v>
      </c>
      <c r="AB86" s="37">
        <v>610</v>
      </c>
      <c r="AC86" s="74">
        <v>13800</v>
      </c>
      <c r="AD86" s="37">
        <v>46</v>
      </c>
      <c r="AE86" s="37">
        <v>460</v>
      </c>
      <c r="AF86" s="74">
        <v>8400</v>
      </c>
      <c r="AG86" s="37">
        <v>28</v>
      </c>
      <c r="AH86" s="37">
        <v>280</v>
      </c>
    </row>
    <row r="87" spans="1:34" ht="16.5" customHeight="1" x14ac:dyDescent="0.3">
      <c r="A87" s="82"/>
      <c r="B87" s="37" t="s">
        <v>601</v>
      </c>
      <c r="C87" s="37">
        <v>2883</v>
      </c>
      <c r="D87" s="73">
        <f t="shared" si="0"/>
        <v>562</v>
      </c>
      <c r="E87" s="74">
        <v>81000</v>
      </c>
      <c r="F87" s="37">
        <v>81</v>
      </c>
      <c r="G87" s="37">
        <v>810</v>
      </c>
      <c r="H87" s="74">
        <v>38000</v>
      </c>
      <c r="I87" s="37">
        <v>38</v>
      </c>
      <c r="J87" s="37">
        <v>380</v>
      </c>
      <c r="K87" s="74">
        <v>61000</v>
      </c>
      <c r="L87" s="37">
        <v>61</v>
      </c>
      <c r="M87" s="37">
        <v>610</v>
      </c>
      <c r="N87" s="74">
        <v>94000</v>
      </c>
      <c r="O87" s="37">
        <v>94</v>
      </c>
      <c r="P87" s="37">
        <v>940</v>
      </c>
      <c r="Q87" s="74">
        <v>30000</v>
      </c>
      <c r="R87" s="37">
        <v>28</v>
      </c>
      <c r="S87" s="37">
        <v>280</v>
      </c>
      <c r="T87" s="74">
        <v>33000</v>
      </c>
      <c r="U87" s="37">
        <v>29</v>
      </c>
      <c r="V87" s="37">
        <v>290</v>
      </c>
      <c r="W87" s="74">
        <v>31000</v>
      </c>
      <c r="X87" s="37">
        <v>31</v>
      </c>
      <c r="Y87" s="37">
        <v>310</v>
      </c>
      <c r="Z87" s="74">
        <v>44000</v>
      </c>
      <c r="AA87" s="37">
        <v>44</v>
      </c>
      <c r="AB87" s="37">
        <v>440</v>
      </c>
      <c r="AC87" s="74">
        <v>97000</v>
      </c>
      <c r="AD87" s="37">
        <v>97</v>
      </c>
      <c r="AE87" s="37">
        <v>970</v>
      </c>
      <c r="AF87" s="74">
        <v>59000</v>
      </c>
      <c r="AG87" s="37">
        <v>59</v>
      </c>
      <c r="AH87" s="37">
        <v>590</v>
      </c>
    </row>
    <row r="88" spans="1:34" ht="16.5" customHeight="1" x14ac:dyDescent="0.3">
      <c r="A88" s="82"/>
      <c r="B88" s="37" t="s">
        <v>427</v>
      </c>
      <c r="C88" s="37">
        <v>30103</v>
      </c>
      <c r="D88" s="73">
        <f t="shared" si="0"/>
        <v>511</v>
      </c>
      <c r="E88" s="74">
        <v>505629</v>
      </c>
      <c r="F88" s="37">
        <v>56</v>
      </c>
      <c r="G88" s="37">
        <v>840</v>
      </c>
      <c r="H88" s="74">
        <v>327160</v>
      </c>
      <c r="I88" s="37">
        <v>38</v>
      </c>
      <c r="J88" s="37">
        <v>570</v>
      </c>
      <c r="K88" s="74">
        <v>532072</v>
      </c>
      <c r="L88" s="37">
        <v>65</v>
      </c>
      <c r="M88" s="37">
        <v>975</v>
      </c>
      <c r="N88" s="74">
        <v>480294</v>
      </c>
      <c r="O88" s="37">
        <v>88</v>
      </c>
      <c r="P88" s="74">
        <v>1320</v>
      </c>
      <c r="Q88" s="74">
        <v>300426</v>
      </c>
      <c r="R88" s="37">
        <v>38</v>
      </c>
      <c r="S88" s="37">
        <v>570</v>
      </c>
      <c r="T88" s="74">
        <v>245835</v>
      </c>
      <c r="U88" s="37">
        <v>39</v>
      </c>
      <c r="V88" s="37">
        <v>585</v>
      </c>
      <c r="W88" s="74">
        <v>363517</v>
      </c>
      <c r="X88" s="37">
        <v>48</v>
      </c>
      <c r="Y88" s="37">
        <v>720</v>
      </c>
      <c r="Z88" s="74">
        <v>293733</v>
      </c>
      <c r="AA88" s="37">
        <v>36</v>
      </c>
      <c r="AB88" s="37">
        <v>540</v>
      </c>
      <c r="AC88" s="74">
        <v>373034</v>
      </c>
      <c r="AD88" s="37">
        <v>56</v>
      </c>
      <c r="AE88" s="37">
        <v>840</v>
      </c>
      <c r="AF88" s="74">
        <v>403317</v>
      </c>
      <c r="AG88" s="37">
        <v>47</v>
      </c>
      <c r="AH88" s="37">
        <v>705</v>
      </c>
    </row>
    <row r="89" spans="1:34" ht="16.5" customHeight="1" x14ac:dyDescent="0.3">
      <c r="A89" s="82"/>
      <c r="B89" s="37" t="s">
        <v>598</v>
      </c>
      <c r="C89" s="37">
        <v>3180</v>
      </c>
      <c r="D89" s="73">
        <f t="shared" si="0"/>
        <v>494</v>
      </c>
      <c r="E89" s="74">
        <v>25681</v>
      </c>
      <c r="F89" s="37">
        <v>52</v>
      </c>
      <c r="G89" s="37">
        <v>780</v>
      </c>
      <c r="H89" s="74">
        <v>29329</v>
      </c>
      <c r="I89" s="37">
        <v>53</v>
      </c>
      <c r="J89" s="37">
        <v>795</v>
      </c>
      <c r="K89" s="74">
        <v>29698</v>
      </c>
      <c r="L89" s="37">
        <v>51</v>
      </c>
      <c r="M89" s="37">
        <v>765</v>
      </c>
      <c r="N89" s="74">
        <v>55010</v>
      </c>
      <c r="O89" s="37">
        <v>84</v>
      </c>
      <c r="P89" s="74">
        <v>1260</v>
      </c>
      <c r="Q89" s="74">
        <v>29336</v>
      </c>
      <c r="R89" s="37">
        <v>43</v>
      </c>
      <c r="S89" s="37">
        <v>645</v>
      </c>
      <c r="T89" s="74">
        <v>17099</v>
      </c>
      <c r="U89" s="37">
        <v>38</v>
      </c>
      <c r="V89" s="37">
        <v>570</v>
      </c>
      <c r="W89" s="74">
        <v>19622</v>
      </c>
      <c r="X89" s="37">
        <v>35</v>
      </c>
      <c r="Y89" s="37">
        <v>525</v>
      </c>
      <c r="Z89" s="74">
        <v>25195</v>
      </c>
      <c r="AA89" s="37">
        <v>46</v>
      </c>
      <c r="AB89" s="37">
        <v>690</v>
      </c>
      <c r="AC89" s="74">
        <v>27888</v>
      </c>
      <c r="AD89" s="37">
        <v>49</v>
      </c>
      <c r="AE89" s="37">
        <v>735</v>
      </c>
      <c r="AF89" s="74">
        <v>23276</v>
      </c>
      <c r="AG89" s="37">
        <v>43</v>
      </c>
      <c r="AH89" s="37">
        <v>645</v>
      </c>
    </row>
    <row r="90" spans="1:34" ht="16.5" customHeight="1" x14ac:dyDescent="0.3">
      <c r="A90" s="82"/>
      <c r="B90" s="37" t="s">
        <v>661</v>
      </c>
      <c r="C90" s="37">
        <v>366627</v>
      </c>
      <c r="D90" s="73">
        <f t="shared" si="0"/>
        <v>468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37">
        <v>100</v>
      </c>
      <c r="X90" s="37">
        <v>1</v>
      </c>
      <c r="Y90" s="37">
        <v>10</v>
      </c>
      <c r="Z90" s="74">
        <v>230814</v>
      </c>
      <c r="AA90" s="37">
        <v>86</v>
      </c>
      <c r="AB90" s="37">
        <v>860</v>
      </c>
      <c r="AC90" s="74">
        <v>708221</v>
      </c>
      <c r="AD90" s="37">
        <v>265</v>
      </c>
      <c r="AE90" s="74">
        <v>2650</v>
      </c>
      <c r="AF90" s="74">
        <v>309294</v>
      </c>
      <c r="AG90" s="37">
        <v>116</v>
      </c>
      <c r="AH90" s="74">
        <v>1160</v>
      </c>
    </row>
    <row r="91" spans="1:34" ht="16.5" customHeight="1" x14ac:dyDescent="0.3">
      <c r="A91" s="82"/>
      <c r="B91" s="37" t="s">
        <v>596</v>
      </c>
      <c r="C91" s="37">
        <v>3177</v>
      </c>
      <c r="D91" s="73">
        <f t="shared" si="0"/>
        <v>416</v>
      </c>
      <c r="E91" s="74">
        <v>29533</v>
      </c>
      <c r="F91" s="37">
        <v>47</v>
      </c>
      <c r="G91" s="37">
        <v>705</v>
      </c>
      <c r="H91" s="74">
        <v>27367</v>
      </c>
      <c r="I91" s="37">
        <v>41</v>
      </c>
      <c r="J91" s="37">
        <v>615</v>
      </c>
      <c r="K91" s="74">
        <v>26790</v>
      </c>
      <c r="L91" s="37">
        <v>38</v>
      </c>
      <c r="M91" s="37">
        <v>570</v>
      </c>
      <c r="N91" s="74">
        <v>61577</v>
      </c>
      <c r="O91" s="37">
        <v>80</v>
      </c>
      <c r="P91" s="74">
        <v>1200</v>
      </c>
      <c r="Q91" s="74">
        <v>32463</v>
      </c>
      <c r="R91" s="37">
        <v>39</v>
      </c>
      <c r="S91" s="37">
        <v>585</v>
      </c>
      <c r="T91" s="74">
        <v>23950</v>
      </c>
      <c r="U91" s="37">
        <v>36</v>
      </c>
      <c r="V91" s="37">
        <v>540</v>
      </c>
      <c r="W91" s="74">
        <v>27494</v>
      </c>
      <c r="X91" s="37">
        <v>38</v>
      </c>
      <c r="Y91" s="37">
        <v>570</v>
      </c>
      <c r="Z91" s="74">
        <v>24751</v>
      </c>
      <c r="AA91" s="37">
        <v>32</v>
      </c>
      <c r="AB91" s="37">
        <v>480</v>
      </c>
      <c r="AC91" s="74">
        <v>25961</v>
      </c>
      <c r="AD91" s="37">
        <v>34</v>
      </c>
      <c r="AE91" s="37">
        <v>510</v>
      </c>
      <c r="AF91" s="74">
        <v>23930</v>
      </c>
      <c r="AG91" s="37">
        <v>31</v>
      </c>
      <c r="AH91" s="37">
        <v>465</v>
      </c>
    </row>
    <row r="92" spans="1:34" ht="16.5" customHeight="1" x14ac:dyDescent="0.3">
      <c r="A92" s="82"/>
      <c r="B92" s="37" t="s">
        <v>616</v>
      </c>
      <c r="C92" s="37">
        <v>2658</v>
      </c>
      <c r="D92" s="73">
        <f t="shared" si="0"/>
        <v>403</v>
      </c>
      <c r="E92" s="74">
        <v>1364215</v>
      </c>
      <c r="F92" s="37">
        <v>55</v>
      </c>
      <c r="G92" s="37">
        <v>825</v>
      </c>
      <c r="H92" s="74">
        <v>797855</v>
      </c>
      <c r="I92" s="37">
        <v>36</v>
      </c>
      <c r="J92" s="37">
        <v>540</v>
      </c>
      <c r="K92" s="74">
        <v>756154</v>
      </c>
      <c r="L92" s="37">
        <v>33</v>
      </c>
      <c r="M92" s="37">
        <v>495</v>
      </c>
      <c r="N92" s="74">
        <v>1522607</v>
      </c>
      <c r="O92" s="37">
        <v>70</v>
      </c>
      <c r="P92" s="74">
        <v>1050</v>
      </c>
      <c r="Q92" s="74">
        <v>600899</v>
      </c>
      <c r="R92" s="37">
        <v>41</v>
      </c>
      <c r="S92" s="37">
        <v>615</v>
      </c>
      <c r="T92" s="74">
        <v>756845</v>
      </c>
      <c r="U92" s="37">
        <v>39</v>
      </c>
      <c r="V92" s="37">
        <v>585</v>
      </c>
      <c r="W92" s="74">
        <v>390696</v>
      </c>
      <c r="X92" s="37">
        <v>18</v>
      </c>
      <c r="Y92" s="37">
        <v>270</v>
      </c>
      <c r="Z92" s="74">
        <v>561800</v>
      </c>
      <c r="AA92" s="37">
        <v>24</v>
      </c>
      <c r="AB92" s="37">
        <v>360</v>
      </c>
      <c r="AC92" s="74">
        <v>763667</v>
      </c>
      <c r="AD92" s="37">
        <v>41</v>
      </c>
      <c r="AE92" s="37">
        <v>615</v>
      </c>
      <c r="AF92" s="74">
        <v>961160</v>
      </c>
      <c r="AG92" s="37">
        <v>46</v>
      </c>
      <c r="AH92" s="37">
        <v>690</v>
      </c>
    </row>
    <row r="93" spans="1:34" ht="16.5" customHeight="1" x14ac:dyDescent="0.3">
      <c r="A93" s="82"/>
      <c r="B93" s="37" t="s">
        <v>363</v>
      </c>
      <c r="C93" s="37">
        <v>30115</v>
      </c>
      <c r="D93" s="73">
        <f t="shared" si="0"/>
        <v>397</v>
      </c>
      <c r="E93" s="74">
        <v>80571</v>
      </c>
      <c r="F93" s="37">
        <v>23</v>
      </c>
      <c r="G93" s="37">
        <v>230</v>
      </c>
      <c r="H93" s="74">
        <v>113091</v>
      </c>
      <c r="I93" s="37">
        <v>22</v>
      </c>
      <c r="J93" s="37">
        <v>220</v>
      </c>
      <c r="K93" s="74">
        <v>84796</v>
      </c>
      <c r="L93" s="37">
        <v>16</v>
      </c>
      <c r="M93" s="37">
        <v>160</v>
      </c>
      <c r="N93" s="74">
        <v>110619</v>
      </c>
      <c r="O93" s="37">
        <v>46</v>
      </c>
      <c r="P93" s="37">
        <v>460</v>
      </c>
      <c r="Q93" s="74">
        <v>35339</v>
      </c>
      <c r="R93" s="37">
        <v>21</v>
      </c>
      <c r="S93" s="37">
        <v>210</v>
      </c>
      <c r="T93" s="74">
        <v>110569</v>
      </c>
      <c r="U93" s="37">
        <v>33</v>
      </c>
      <c r="V93" s="37">
        <v>330</v>
      </c>
      <c r="W93" s="74">
        <v>460593</v>
      </c>
      <c r="X93" s="37">
        <v>74</v>
      </c>
      <c r="Y93" s="37">
        <v>740</v>
      </c>
      <c r="Z93" s="74">
        <v>162240</v>
      </c>
      <c r="AA93" s="37">
        <v>28</v>
      </c>
      <c r="AB93" s="37">
        <v>290</v>
      </c>
      <c r="AC93" s="74">
        <v>50682</v>
      </c>
      <c r="AD93" s="37">
        <v>23</v>
      </c>
      <c r="AE93" s="37">
        <v>230</v>
      </c>
      <c r="AF93" s="74">
        <v>586244</v>
      </c>
      <c r="AG93" s="37">
        <v>111</v>
      </c>
      <c r="AH93" s="74">
        <v>1110</v>
      </c>
    </row>
    <row r="94" spans="1:34" ht="16.5" customHeight="1" x14ac:dyDescent="0.3">
      <c r="A94" s="82"/>
      <c r="B94" s="37" t="s">
        <v>332</v>
      </c>
      <c r="C94" s="37">
        <v>3153</v>
      </c>
      <c r="D94" s="73">
        <f t="shared" si="0"/>
        <v>388</v>
      </c>
      <c r="E94" s="74">
        <v>63610</v>
      </c>
      <c r="F94" s="37">
        <v>35</v>
      </c>
      <c r="G94" s="37">
        <v>525</v>
      </c>
      <c r="H94" s="74">
        <v>66953</v>
      </c>
      <c r="I94" s="37">
        <v>38</v>
      </c>
      <c r="J94" s="37">
        <v>570</v>
      </c>
      <c r="K94" s="74">
        <v>59962</v>
      </c>
      <c r="L94" s="37">
        <v>36</v>
      </c>
      <c r="M94" s="37">
        <v>540</v>
      </c>
      <c r="N94" s="74">
        <v>101016</v>
      </c>
      <c r="O94" s="37">
        <v>60</v>
      </c>
      <c r="P94" s="37">
        <v>900</v>
      </c>
      <c r="Q94" s="74">
        <v>56942</v>
      </c>
      <c r="R94" s="37">
        <v>37</v>
      </c>
      <c r="S94" s="37">
        <v>555</v>
      </c>
      <c r="T94" s="74">
        <v>52084</v>
      </c>
      <c r="U94" s="37">
        <v>34</v>
      </c>
      <c r="V94" s="37">
        <v>510</v>
      </c>
      <c r="W94" s="74">
        <v>58349</v>
      </c>
      <c r="X94" s="37">
        <v>36</v>
      </c>
      <c r="Y94" s="37">
        <v>540</v>
      </c>
      <c r="Z94" s="74">
        <v>54113</v>
      </c>
      <c r="AA94" s="37">
        <v>38</v>
      </c>
      <c r="AB94" s="37">
        <v>570</v>
      </c>
      <c r="AC94" s="74">
        <v>49433</v>
      </c>
      <c r="AD94" s="37">
        <v>35</v>
      </c>
      <c r="AE94" s="37">
        <v>525</v>
      </c>
      <c r="AF94" s="74">
        <v>64135</v>
      </c>
      <c r="AG94" s="37">
        <v>39</v>
      </c>
      <c r="AH94" s="37">
        <v>585</v>
      </c>
    </row>
    <row r="95" spans="1:34" ht="16.5" customHeight="1" x14ac:dyDescent="0.3">
      <c r="A95" s="82"/>
      <c r="B95" s="37" t="s">
        <v>662</v>
      </c>
      <c r="C95" s="37">
        <v>363834</v>
      </c>
      <c r="D95" s="73">
        <f t="shared" si="0"/>
        <v>382</v>
      </c>
      <c r="E95" s="74">
        <v>165849</v>
      </c>
      <c r="F95" s="37">
        <v>37</v>
      </c>
      <c r="G95" s="37">
        <v>370</v>
      </c>
      <c r="H95" s="74">
        <v>129992</v>
      </c>
      <c r="I95" s="37">
        <v>42</v>
      </c>
      <c r="J95" s="37">
        <v>420</v>
      </c>
      <c r="K95" s="74">
        <v>131501</v>
      </c>
      <c r="L95" s="37">
        <v>41</v>
      </c>
      <c r="M95" s="37">
        <v>410</v>
      </c>
      <c r="N95" s="74">
        <v>291822</v>
      </c>
      <c r="O95" s="37">
        <v>70</v>
      </c>
      <c r="P95" s="37">
        <v>700</v>
      </c>
      <c r="Q95" s="74">
        <v>142025</v>
      </c>
      <c r="R95" s="37">
        <v>36</v>
      </c>
      <c r="S95" s="37">
        <v>360</v>
      </c>
      <c r="T95" s="74">
        <v>170743</v>
      </c>
      <c r="U95" s="37">
        <v>38</v>
      </c>
      <c r="V95" s="37">
        <v>380</v>
      </c>
      <c r="W95" s="74">
        <v>95763</v>
      </c>
      <c r="X95" s="37">
        <v>32</v>
      </c>
      <c r="Y95" s="37">
        <v>320</v>
      </c>
      <c r="Z95" s="74">
        <v>103731</v>
      </c>
      <c r="AA95" s="37">
        <v>32</v>
      </c>
      <c r="AB95" s="37">
        <v>320</v>
      </c>
      <c r="AC95" s="74">
        <v>90350</v>
      </c>
      <c r="AD95" s="37">
        <v>28</v>
      </c>
      <c r="AE95" s="37">
        <v>280</v>
      </c>
      <c r="AF95" s="74">
        <v>72479</v>
      </c>
      <c r="AG95" s="37">
        <v>26</v>
      </c>
      <c r="AH95" s="37">
        <v>260</v>
      </c>
    </row>
    <row r="96" spans="1:34" ht="16.5" customHeight="1" x14ac:dyDescent="0.3">
      <c r="A96" s="82"/>
      <c r="B96" s="37" t="s">
        <v>214</v>
      </c>
      <c r="C96" s="37">
        <v>3004</v>
      </c>
      <c r="D96" s="73">
        <f t="shared" si="0"/>
        <v>369</v>
      </c>
      <c r="E96" s="74">
        <v>272609</v>
      </c>
      <c r="F96" s="37">
        <v>34</v>
      </c>
      <c r="G96" s="37">
        <v>340</v>
      </c>
      <c r="H96" s="74">
        <v>274459</v>
      </c>
      <c r="I96" s="37">
        <v>30</v>
      </c>
      <c r="J96" s="37">
        <v>310</v>
      </c>
      <c r="K96" s="74">
        <v>271816</v>
      </c>
      <c r="L96" s="37">
        <v>37</v>
      </c>
      <c r="M96" s="37">
        <v>370</v>
      </c>
      <c r="N96" s="74">
        <v>496790</v>
      </c>
      <c r="O96" s="37">
        <v>66</v>
      </c>
      <c r="P96" s="37">
        <v>660</v>
      </c>
      <c r="Q96" s="74">
        <v>303686</v>
      </c>
      <c r="R96" s="37">
        <v>32</v>
      </c>
      <c r="S96" s="37">
        <v>320</v>
      </c>
      <c r="T96" s="74">
        <v>245420</v>
      </c>
      <c r="U96" s="37">
        <v>33</v>
      </c>
      <c r="V96" s="37">
        <v>330</v>
      </c>
      <c r="W96" s="74">
        <v>378523</v>
      </c>
      <c r="X96" s="37">
        <v>38</v>
      </c>
      <c r="Y96" s="37">
        <v>380</v>
      </c>
      <c r="Z96" s="74">
        <v>306442</v>
      </c>
      <c r="AA96" s="37">
        <v>32</v>
      </c>
      <c r="AB96" s="37">
        <v>340</v>
      </c>
      <c r="AC96" s="74">
        <v>299306</v>
      </c>
      <c r="AD96" s="37">
        <v>32</v>
      </c>
      <c r="AE96" s="37">
        <v>320</v>
      </c>
      <c r="AF96" s="74">
        <v>330943</v>
      </c>
      <c r="AG96" s="37">
        <v>35</v>
      </c>
      <c r="AH96" s="37">
        <v>350</v>
      </c>
    </row>
    <row r="97" spans="1:34" ht="16.5" customHeight="1" x14ac:dyDescent="0.3">
      <c r="A97" s="82"/>
      <c r="B97" s="37" t="s">
        <v>148</v>
      </c>
      <c r="C97" s="37">
        <v>2849</v>
      </c>
      <c r="D97" s="73">
        <f t="shared" si="0"/>
        <v>354</v>
      </c>
      <c r="E97" s="74">
        <v>1502375</v>
      </c>
      <c r="F97" s="37">
        <v>66</v>
      </c>
      <c r="G97" s="37">
        <v>990</v>
      </c>
      <c r="H97" s="74">
        <v>369289</v>
      </c>
      <c r="I97" s="37">
        <v>27</v>
      </c>
      <c r="J97" s="37">
        <v>405</v>
      </c>
      <c r="K97" s="74">
        <v>284174</v>
      </c>
      <c r="L97" s="37">
        <v>21</v>
      </c>
      <c r="M97" s="37">
        <v>315</v>
      </c>
      <c r="N97" s="74">
        <v>2132034</v>
      </c>
      <c r="O97" s="37">
        <v>88</v>
      </c>
      <c r="P97" s="74">
        <v>1320</v>
      </c>
      <c r="Q97" s="74">
        <v>658846</v>
      </c>
      <c r="R97" s="37">
        <v>28</v>
      </c>
      <c r="S97" s="37">
        <v>420</v>
      </c>
      <c r="T97" s="74">
        <v>708794</v>
      </c>
      <c r="U97" s="37">
        <v>32</v>
      </c>
      <c r="V97" s="37">
        <v>480</v>
      </c>
      <c r="W97" s="74">
        <v>565634</v>
      </c>
      <c r="X97" s="37">
        <v>31</v>
      </c>
      <c r="Y97" s="37">
        <v>465</v>
      </c>
      <c r="Z97" s="74">
        <v>471762</v>
      </c>
      <c r="AA97" s="37">
        <v>24</v>
      </c>
      <c r="AB97" s="37">
        <v>360</v>
      </c>
      <c r="AC97" s="74">
        <v>550499</v>
      </c>
      <c r="AD97" s="37">
        <v>19</v>
      </c>
      <c r="AE97" s="37">
        <v>285</v>
      </c>
      <c r="AF97" s="74">
        <v>364209</v>
      </c>
      <c r="AG97" s="37">
        <v>18</v>
      </c>
      <c r="AH97" s="37">
        <v>270</v>
      </c>
    </row>
    <row r="98" spans="1:34" ht="16.5" customHeight="1" x14ac:dyDescent="0.3">
      <c r="A98" s="82"/>
      <c r="B98" s="37" t="s">
        <v>603</v>
      </c>
      <c r="C98" s="37">
        <v>30102</v>
      </c>
      <c r="D98" s="73">
        <f t="shared" si="0"/>
        <v>337</v>
      </c>
      <c r="E98" s="74">
        <v>21283</v>
      </c>
      <c r="F98" s="37">
        <v>34</v>
      </c>
      <c r="G98" s="37">
        <v>510</v>
      </c>
      <c r="H98" s="74">
        <v>19950</v>
      </c>
      <c r="I98" s="37">
        <v>25</v>
      </c>
      <c r="J98" s="37">
        <v>375</v>
      </c>
      <c r="K98" s="74">
        <v>22040</v>
      </c>
      <c r="L98" s="37">
        <v>29</v>
      </c>
      <c r="M98" s="37">
        <v>435</v>
      </c>
      <c r="N98" s="74">
        <v>45891</v>
      </c>
      <c r="O98" s="37">
        <v>58</v>
      </c>
      <c r="P98" s="37">
        <v>870</v>
      </c>
      <c r="Q98" s="74">
        <v>21411</v>
      </c>
      <c r="R98" s="37">
        <v>31</v>
      </c>
      <c r="S98" s="37">
        <v>465</v>
      </c>
      <c r="T98" s="74">
        <v>28550</v>
      </c>
      <c r="U98" s="37">
        <v>37</v>
      </c>
      <c r="V98" s="37">
        <v>555</v>
      </c>
      <c r="W98" s="74">
        <v>22366</v>
      </c>
      <c r="X98" s="37">
        <v>34</v>
      </c>
      <c r="Y98" s="37">
        <v>510</v>
      </c>
      <c r="Z98" s="74">
        <v>14481</v>
      </c>
      <c r="AA98" s="37">
        <v>22</v>
      </c>
      <c r="AB98" s="37">
        <v>330</v>
      </c>
      <c r="AC98" s="74">
        <v>24977</v>
      </c>
      <c r="AD98" s="37">
        <v>28</v>
      </c>
      <c r="AE98" s="37">
        <v>420</v>
      </c>
      <c r="AF98" s="74">
        <v>26469</v>
      </c>
      <c r="AG98" s="37">
        <v>39</v>
      </c>
      <c r="AH98" s="37">
        <v>585</v>
      </c>
    </row>
    <row r="99" spans="1:34" ht="16.5" customHeight="1" x14ac:dyDescent="0.3">
      <c r="A99" s="82"/>
      <c r="B99" s="37" t="s">
        <v>218</v>
      </c>
      <c r="C99" s="37">
        <v>3010</v>
      </c>
      <c r="D99" s="73">
        <f t="shared" si="0"/>
        <v>323</v>
      </c>
      <c r="E99" s="74">
        <v>409882</v>
      </c>
      <c r="F99" s="37">
        <v>49</v>
      </c>
      <c r="G99" s="37">
        <v>735</v>
      </c>
      <c r="H99" s="74">
        <v>403131</v>
      </c>
      <c r="I99" s="37">
        <v>49</v>
      </c>
      <c r="J99" s="37">
        <v>735</v>
      </c>
      <c r="K99" s="74">
        <v>347185</v>
      </c>
      <c r="L99" s="37">
        <v>41</v>
      </c>
      <c r="M99" s="37">
        <v>615</v>
      </c>
      <c r="N99" s="74">
        <v>439103</v>
      </c>
      <c r="O99" s="37">
        <v>50</v>
      </c>
      <c r="P99" s="37">
        <v>750</v>
      </c>
      <c r="Q99" s="74">
        <v>220706</v>
      </c>
      <c r="R99" s="37">
        <v>24</v>
      </c>
      <c r="S99" s="37">
        <v>360</v>
      </c>
      <c r="T99" s="74">
        <v>178279</v>
      </c>
      <c r="U99" s="37">
        <v>16</v>
      </c>
      <c r="V99" s="37">
        <v>240</v>
      </c>
      <c r="W99" s="74">
        <v>213588</v>
      </c>
      <c r="X99" s="37">
        <v>20</v>
      </c>
      <c r="Y99" s="37">
        <v>300</v>
      </c>
      <c r="Z99" s="74">
        <v>235164</v>
      </c>
      <c r="AA99" s="37">
        <v>26</v>
      </c>
      <c r="AB99" s="37">
        <v>390</v>
      </c>
      <c r="AC99" s="74">
        <v>197828</v>
      </c>
      <c r="AD99" s="37">
        <v>20</v>
      </c>
      <c r="AE99" s="37">
        <v>300</v>
      </c>
      <c r="AF99" s="74">
        <v>342771</v>
      </c>
      <c r="AG99" s="37">
        <v>28</v>
      </c>
      <c r="AH99" s="37">
        <v>420</v>
      </c>
    </row>
    <row r="100" spans="1:34" ht="16.5" customHeight="1" x14ac:dyDescent="0.3">
      <c r="A100" s="82"/>
      <c r="B100" s="37" t="s">
        <v>160</v>
      </c>
      <c r="C100" s="37">
        <v>2882</v>
      </c>
      <c r="D100" s="73">
        <f t="shared" si="0"/>
        <v>305</v>
      </c>
      <c r="E100" s="74">
        <v>839800</v>
      </c>
      <c r="F100" s="37">
        <v>79</v>
      </c>
      <c r="G100" s="37">
        <v>790</v>
      </c>
      <c r="H100" s="74">
        <v>214800</v>
      </c>
      <c r="I100" s="37">
        <v>31</v>
      </c>
      <c r="J100" s="37">
        <v>310</v>
      </c>
      <c r="K100" s="74">
        <v>236100</v>
      </c>
      <c r="L100" s="37">
        <v>42</v>
      </c>
      <c r="M100" s="37">
        <v>420</v>
      </c>
      <c r="N100" s="74">
        <v>167000</v>
      </c>
      <c r="O100" s="37">
        <v>22</v>
      </c>
      <c r="P100" s="37">
        <v>220</v>
      </c>
      <c r="Q100" s="74">
        <v>2000</v>
      </c>
      <c r="R100" s="37">
        <v>1</v>
      </c>
      <c r="S100" s="37">
        <v>10</v>
      </c>
      <c r="T100" s="74">
        <v>32700</v>
      </c>
      <c r="U100" s="37">
        <v>7</v>
      </c>
      <c r="V100" s="37">
        <v>70</v>
      </c>
      <c r="W100" s="74">
        <v>1983900</v>
      </c>
      <c r="X100" s="37">
        <v>105</v>
      </c>
      <c r="Y100" s="74">
        <v>1050</v>
      </c>
      <c r="Z100" s="74">
        <v>78400</v>
      </c>
      <c r="AA100" s="37">
        <v>8</v>
      </c>
      <c r="AB100" s="37">
        <v>80</v>
      </c>
      <c r="AC100" s="74">
        <v>32500</v>
      </c>
      <c r="AD100" s="37">
        <v>6</v>
      </c>
      <c r="AE100" s="37">
        <v>60</v>
      </c>
      <c r="AF100" s="74">
        <v>16400</v>
      </c>
      <c r="AG100" s="37">
        <v>4</v>
      </c>
      <c r="AH100" s="37">
        <v>40</v>
      </c>
    </row>
    <row r="101" spans="1:34" ht="16.5" customHeight="1" x14ac:dyDescent="0.3">
      <c r="A101" s="82"/>
      <c r="B101" s="37" t="s">
        <v>208</v>
      </c>
      <c r="C101" s="37">
        <v>2990</v>
      </c>
      <c r="D101" s="73">
        <f t="shared" si="0"/>
        <v>292</v>
      </c>
      <c r="E101" s="74">
        <v>234399</v>
      </c>
      <c r="F101" s="37">
        <v>33</v>
      </c>
      <c r="G101" s="37">
        <v>660</v>
      </c>
      <c r="H101" s="74">
        <v>225557</v>
      </c>
      <c r="I101" s="37">
        <v>25</v>
      </c>
      <c r="J101" s="37">
        <v>500</v>
      </c>
      <c r="K101" s="74">
        <v>175423</v>
      </c>
      <c r="L101" s="37">
        <v>26</v>
      </c>
      <c r="M101" s="37">
        <v>520</v>
      </c>
      <c r="N101" s="74">
        <v>392615</v>
      </c>
      <c r="O101" s="37">
        <v>48</v>
      </c>
      <c r="P101" s="37">
        <v>960</v>
      </c>
      <c r="Q101" s="74">
        <v>119188</v>
      </c>
      <c r="R101" s="37">
        <v>15</v>
      </c>
      <c r="S101" s="37">
        <v>300</v>
      </c>
      <c r="T101" s="74">
        <v>216033</v>
      </c>
      <c r="U101" s="37">
        <v>27</v>
      </c>
      <c r="V101" s="37">
        <v>540</v>
      </c>
      <c r="W101" s="74">
        <v>183389</v>
      </c>
      <c r="X101" s="37">
        <v>21</v>
      </c>
      <c r="Y101" s="37">
        <v>420</v>
      </c>
      <c r="Z101" s="74">
        <v>271207</v>
      </c>
      <c r="AA101" s="37">
        <v>38</v>
      </c>
      <c r="AB101" s="37">
        <v>760</v>
      </c>
      <c r="AC101" s="74">
        <v>229891</v>
      </c>
      <c r="AD101" s="37">
        <v>29</v>
      </c>
      <c r="AE101" s="37">
        <v>580</v>
      </c>
      <c r="AF101" s="74">
        <v>323799</v>
      </c>
      <c r="AG101" s="37">
        <v>30</v>
      </c>
      <c r="AH101" s="37">
        <v>600</v>
      </c>
    </row>
    <row r="102" spans="1:34" ht="16.5" customHeight="1" x14ac:dyDescent="0.3">
      <c r="A102" s="82"/>
      <c r="B102" s="37" t="s">
        <v>207</v>
      </c>
      <c r="C102" s="37">
        <v>3049</v>
      </c>
      <c r="D102" s="73">
        <f t="shared" si="0"/>
        <v>289</v>
      </c>
      <c r="E102" s="74">
        <v>215145</v>
      </c>
      <c r="F102" s="37">
        <v>22</v>
      </c>
      <c r="G102" s="37">
        <v>330</v>
      </c>
      <c r="H102" s="74">
        <v>244343</v>
      </c>
      <c r="I102" s="37">
        <v>23</v>
      </c>
      <c r="J102" s="37">
        <v>345</v>
      </c>
      <c r="K102" s="74">
        <v>395099</v>
      </c>
      <c r="L102" s="37">
        <v>34</v>
      </c>
      <c r="M102" s="37">
        <v>510</v>
      </c>
      <c r="N102" s="74">
        <v>629102</v>
      </c>
      <c r="O102" s="37">
        <v>58</v>
      </c>
      <c r="P102" s="37">
        <v>870</v>
      </c>
      <c r="Q102" s="74">
        <v>279430</v>
      </c>
      <c r="R102" s="37">
        <v>24</v>
      </c>
      <c r="S102" s="37">
        <v>360</v>
      </c>
      <c r="T102" s="74">
        <v>256956</v>
      </c>
      <c r="U102" s="37">
        <v>25</v>
      </c>
      <c r="V102" s="37">
        <v>375</v>
      </c>
      <c r="W102" s="74">
        <v>209195</v>
      </c>
      <c r="X102" s="37">
        <v>29</v>
      </c>
      <c r="Y102" s="37">
        <v>435</v>
      </c>
      <c r="Z102" s="74">
        <v>106343</v>
      </c>
      <c r="AA102" s="37">
        <v>14</v>
      </c>
      <c r="AB102" s="37">
        <v>210</v>
      </c>
      <c r="AC102" s="74">
        <v>324026</v>
      </c>
      <c r="AD102" s="37">
        <v>30</v>
      </c>
      <c r="AE102" s="37">
        <v>450</v>
      </c>
      <c r="AF102" s="74">
        <v>515235</v>
      </c>
      <c r="AG102" s="37">
        <v>30</v>
      </c>
      <c r="AH102" s="37">
        <v>450</v>
      </c>
    </row>
    <row r="103" spans="1:34" ht="16.5" customHeight="1" x14ac:dyDescent="0.3">
      <c r="A103" s="82"/>
      <c r="B103" s="37" t="s">
        <v>663</v>
      </c>
      <c r="C103" s="37">
        <v>366629</v>
      </c>
      <c r="D103" s="73">
        <f t="shared" si="0"/>
        <v>289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37">
        <v>100</v>
      </c>
      <c r="X103" s="37">
        <v>2</v>
      </c>
      <c r="Y103" s="37">
        <v>20</v>
      </c>
      <c r="Z103" s="74">
        <v>204329</v>
      </c>
      <c r="AA103" s="37">
        <v>61</v>
      </c>
      <c r="AB103" s="37">
        <v>610</v>
      </c>
      <c r="AC103" s="74">
        <v>526809</v>
      </c>
      <c r="AD103" s="37">
        <v>159</v>
      </c>
      <c r="AE103" s="74">
        <v>1590</v>
      </c>
      <c r="AF103" s="74">
        <v>213526</v>
      </c>
      <c r="AG103" s="37">
        <v>67</v>
      </c>
      <c r="AH103" s="37">
        <v>670</v>
      </c>
    </row>
    <row r="104" spans="1:34" ht="16.5" customHeight="1" x14ac:dyDescent="0.3">
      <c r="A104" s="82"/>
      <c r="B104" s="37" t="s">
        <v>117</v>
      </c>
      <c r="C104" s="37">
        <v>2782</v>
      </c>
      <c r="D104" s="73">
        <f t="shared" si="0"/>
        <v>284</v>
      </c>
      <c r="E104" s="74">
        <v>142849</v>
      </c>
      <c r="F104" s="37">
        <v>26</v>
      </c>
      <c r="G104" s="37">
        <v>390</v>
      </c>
      <c r="H104" s="74">
        <v>140575</v>
      </c>
      <c r="I104" s="37">
        <v>32</v>
      </c>
      <c r="J104" s="37">
        <v>480</v>
      </c>
      <c r="K104" s="74">
        <v>74571</v>
      </c>
      <c r="L104" s="37">
        <v>30</v>
      </c>
      <c r="M104" s="37">
        <v>450</v>
      </c>
      <c r="N104" s="74">
        <v>200856</v>
      </c>
      <c r="O104" s="37">
        <v>54</v>
      </c>
      <c r="P104" s="37">
        <v>810</v>
      </c>
      <c r="Q104" s="74">
        <v>56196</v>
      </c>
      <c r="R104" s="37">
        <v>24</v>
      </c>
      <c r="S104" s="37">
        <v>360</v>
      </c>
      <c r="T104" s="74">
        <v>147559</v>
      </c>
      <c r="U104" s="37">
        <v>24</v>
      </c>
      <c r="V104" s="37">
        <v>360</v>
      </c>
      <c r="W104" s="74">
        <v>60998</v>
      </c>
      <c r="X104" s="37">
        <v>25</v>
      </c>
      <c r="Y104" s="37">
        <v>375</v>
      </c>
      <c r="Z104" s="74">
        <v>59236</v>
      </c>
      <c r="AA104" s="37">
        <v>26</v>
      </c>
      <c r="AB104" s="37">
        <v>390</v>
      </c>
      <c r="AC104" s="74">
        <v>115238</v>
      </c>
      <c r="AD104" s="37">
        <v>18</v>
      </c>
      <c r="AE104" s="37">
        <v>270</v>
      </c>
      <c r="AF104" s="74">
        <v>172706</v>
      </c>
      <c r="AG104" s="37">
        <v>25</v>
      </c>
      <c r="AH104" s="37">
        <v>375</v>
      </c>
    </row>
    <row r="105" spans="1:34" ht="16.5" customHeight="1" x14ac:dyDescent="0.3">
      <c r="A105" s="82"/>
      <c r="B105" s="37" t="s">
        <v>604</v>
      </c>
      <c r="C105" s="37">
        <v>3197</v>
      </c>
      <c r="D105" s="73">
        <f t="shared" si="0"/>
        <v>271</v>
      </c>
      <c r="E105" s="74">
        <v>94787</v>
      </c>
      <c r="F105" s="37">
        <v>29</v>
      </c>
      <c r="G105" s="37">
        <v>290</v>
      </c>
      <c r="H105" s="74">
        <v>81912</v>
      </c>
      <c r="I105" s="37">
        <v>26</v>
      </c>
      <c r="J105" s="37">
        <v>260</v>
      </c>
      <c r="K105" s="74">
        <v>81886</v>
      </c>
      <c r="L105" s="37">
        <v>25</v>
      </c>
      <c r="M105" s="37">
        <v>250</v>
      </c>
      <c r="N105" s="74">
        <v>131426</v>
      </c>
      <c r="O105" s="37">
        <v>44</v>
      </c>
      <c r="P105" s="37">
        <v>440</v>
      </c>
      <c r="Q105" s="74">
        <v>100664</v>
      </c>
      <c r="R105" s="37">
        <v>28</v>
      </c>
      <c r="S105" s="37">
        <v>280</v>
      </c>
      <c r="T105" s="74">
        <v>77180</v>
      </c>
      <c r="U105" s="37">
        <v>25</v>
      </c>
      <c r="V105" s="37">
        <v>250</v>
      </c>
      <c r="W105" s="74">
        <v>88061</v>
      </c>
      <c r="X105" s="37">
        <v>28</v>
      </c>
      <c r="Y105" s="37">
        <v>280</v>
      </c>
      <c r="Z105" s="74">
        <v>76101</v>
      </c>
      <c r="AA105" s="37">
        <v>25</v>
      </c>
      <c r="AB105" s="37">
        <v>250</v>
      </c>
      <c r="AC105" s="74">
        <v>72801</v>
      </c>
      <c r="AD105" s="37">
        <v>22</v>
      </c>
      <c r="AE105" s="37">
        <v>220</v>
      </c>
      <c r="AF105" s="74">
        <v>64040</v>
      </c>
      <c r="AG105" s="37">
        <v>19</v>
      </c>
      <c r="AH105" s="37">
        <v>190</v>
      </c>
    </row>
    <row r="106" spans="1:34" ht="16.5" customHeight="1" x14ac:dyDescent="0.3">
      <c r="A106" s="82"/>
      <c r="B106" s="37" t="s">
        <v>664</v>
      </c>
      <c r="C106" s="37">
        <v>366915</v>
      </c>
      <c r="D106" s="73">
        <f t="shared" si="0"/>
        <v>250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74">
        <v>1200</v>
      </c>
      <c r="AA106" s="37">
        <v>3</v>
      </c>
      <c r="AB106" s="37">
        <v>0</v>
      </c>
      <c r="AC106" s="12"/>
      <c r="AD106" s="12"/>
      <c r="AE106" s="12"/>
      <c r="AF106" s="74">
        <v>98800</v>
      </c>
      <c r="AG106" s="37">
        <v>247</v>
      </c>
      <c r="AH106" s="37">
        <v>0</v>
      </c>
    </row>
    <row r="107" spans="1:34" ht="16.5" customHeight="1" x14ac:dyDescent="0.3">
      <c r="A107" s="82"/>
      <c r="B107" s="37" t="s">
        <v>318</v>
      </c>
      <c r="C107" s="37">
        <v>3136</v>
      </c>
      <c r="D107" s="73">
        <f t="shared" si="0"/>
        <v>246</v>
      </c>
      <c r="E107" s="74">
        <v>210636</v>
      </c>
      <c r="F107" s="37">
        <v>27</v>
      </c>
      <c r="G107" s="37">
        <v>405</v>
      </c>
      <c r="H107" s="74">
        <v>127137</v>
      </c>
      <c r="I107" s="37">
        <v>20</v>
      </c>
      <c r="J107" s="37">
        <v>300</v>
      </c>
      <c r="K107" s="74">
        <v>266426</v>
      </c>
      <c r="L107" s="37">
        <v>32</v>
      </c>
      <c r="M107" s="37">
        <v>480</v>
      </c>
      <c r="N107" s="74">
        <v>360547</v>
      </c>
      <c r="O107" s="37">
        <v>48</v>
      </c>
      <c r="P107" s="37">
        <v>720</v>
      </c>
      <c r="Q107" s="74">
        <v>131874</v>
      </c>
      <c r="R107" s="37">
        <v>16</v>
      </c>
      <c r="S107" s="37">
        <v>240</v>
      </c>
      <c r="T107" s="74">
        <v>151864</v>
      </c>
      <c r="U107" s="37">
        <v>21</v>
      </c>
      <c r="V107" s="37">
        <v>315</v>
      </c>
      <c r="W107" s="74">
        <v>94997</v>
      </c>
      <c r="X107" s="37">
        <v>14</v>
      </c>
      <c r="Y107" s="37">
        <v>210</v>
      </c>
      <c r="Z107" s="74">
        <v>182908</v>
      </c>
      <c r="AA107" s="37">
        <v>27</v>
      </c>
      <c r="AB107" s="37">
        <v>405</v>
      </c>
      <c r="AC107" s="74">
        <v>142590</v>
      </c>
      <c r="AD107" s="37">
        <v>21</v>
      </c>
      <c r="AE107" s="37">
        <v>315</v>
      </c>
      <c r="AF107" s="74">
        <v>121648</v>
      </c>
      <c r="AG107" s="37">
        <v>20</v>
      </c>
      <c r="AH107" s="37">
        <v>300</v>
      </c>
    </row>
    <row r="108" spans="1:34" ht="16.5" customHeight="1" x14ac:dyDescent="0.3">
      <c r="A108" s="82"/>
      <c r="B108" s="37" t="s">
        <v>602</v>
      </c>
      <c r="C108" s="37">
        <v>2881</v>
      </c>
      <c r="D108" s="73">
        <f t="shared" si="0"/>
        <v>235</v>
      </c>
      <c r="E108" s="74">
        <v>9700</v>
      </c>
      <c r="F108" s="37">
        <v>30</v>
      </c>
      <c r="G108" s="37">
        <v>300</v>
      </c>
      <c r="H108" s="74">
        <v>12800</v>
      </c>
      <c r="I108" s="37">
        <v>23</v>
      </c>
      <c r="J108" s="37">
        <v>230</v>
      </c>
      <c r="K108" s="74">
        <v>5300</v>
      </c>
      <c r="L108" s="37">
        <v>21</v>
      </c>
      <c r="M108" s="37">
        <v>210</v>
      </c>
      <c r="N108" s="74">
        <v>8400</v>
      </c>
      <c r="O108" s="37">
        <v>34</v>
      </c>
      <c r="P108" s="37">
        <v>340</v>
      </c>
      <c r="Q108" s="74">
        <v>9100</v>
      </c>
      <c r="R108" s="37">
        <v>23</v>
      </c>
      <c r="S108" s="37">
        <v>230</v>
      </c>
      <c r="T108" s="74">
        <v>11500</v>
      </c>
      <c r="U108" s="37">
        <v>28</v>
      </c>
      <c r="V108" s="37">
        <v>280</v>
      </c>
      <c r="W108" s="74">
        <v>13000</v>
      </c>
      <c r="X108" s="37">
        <v>27</v>
      </c>
      <c r="Y108" s="37">
        <v>270</v>
      </c>
      <c r="Z108" s="74">
        <v>4600</v>
      </c>
      <c r="AA108" s="37">
        <v>16</v>
      </c>
      <c r="AB108" s="37">
        <v>160</v>
      </c>
      <c r="AC108" s="74">
        <v>7200</v>
      </c>
      <c r="AD108" s="37">
        <v>18</v>
      </c>
      <c r="AE108" s="37">
        <v>180</v>
      </c>
      <c r="AF108" s="74">
        <v>5500</v>
      </c>
      <c r="AG108" s="37">
        <v>15</v>
      </c>
      <c r="AH108" s="37">
        <v>150</v>
      </c>
    </row>
    <row r="109" spans="1:34" ht="16.5" customHeight="1" x14ac:dyDescent="0.3">
      <c r="A109" s="82"/>
      <c r="B109" s="37" t="s">
        <v>665</v>
      </c>
      <c r="C109" s="37">
        <v>364822</v>
      </c>
      <c r="D109" s="73">
        <f t="shared" si="0"/>
        <v>230</v>
      </c>
      <c r="E109" s="74">
        <v>4380</v>
      </c>
      <c r="F109" s="37">
        <v>14</v>
      </c>
      <c r="G109" s="37">
        <v>0</v>
      </c>
      <c r="H109" s="74">
        <v>4250</v>
      </c>
      <c r="I109" s="37">
        <v>14</v>
      </c>
      <c r="J109" s="37">
        <v>0</v>
      </c>
      <c r="K109" s="74">
        <v>9080</v>
      </c>
      <c r="L109" s="37">
        <v>33</v>
      </c>
      <c r="M109" s="37">
        <v>0</v>
      </c>
      <c r="N109" s="74">
        <v>29011</v>
      </c>
      <c r="O109" s="37">
        <v>86</v>
      </c>
      <c r="P109" s="37">
        <v>0</v>
      </c>
      <c r="Q109" s="74">
        <v>5650</v>
      </c>
      <c r="R109" s="37">
        <v>18</v>
      </c>
      <c r="S109" s="37">
        <v>0</v>
      </c>
      <c r="T109" s="74">
        <v>5000</v>
      </c>
      <c r="U109" s="37">
        <v>18</v>
      </c>
      <c r="V109" s="37">
        <v>0</v>
      </c>
      <c r="W109" s="74">
        <v>6695</v>
      </c>
      <c r="X109" s="37">
        <v>22</v>
      </c>
      <c r="Y109" s="37">
        <v>0</v>
      </c>
      <c r="Z109" s="74">
        <v>5072</v>
      </c>
      <c r="AA109" s="37">
        <v>13</v>
      </c>
      <c r="AB109" s="37">
        <v>0</v>
      </c>
      <c r="AC109" s="74">
        <v>3275</v>
      </c>
      <c r="AD109" s="37">
        <v>10</v>
      </c>
      <c r="AE109" s="37">
        <v>0</v>
      </c>
      <c r="AF109" s="37">
        <v>570</v>
      </c>
      <c r="AG109" s="37">
        <v>2</v>
      </c>
      <c r="AH109" s="37">
        <v>0</v>
      </c>
    </row>
    <row r="110" spans="1:34" ht="16.5" customHeight="1" x14ac:dyDescent="0.3">
      <c r="A110" s="82"/>
      <c r="B110" s="37" t="s">
        <v>409</v>
      </c>
      <c r="C110" s="37">
        <v>2670</v>
      </c>
      <c r="D110" s="73">
        <f t="shared" si="0"/>
        <v>229</v>
      </c>
      <c r="E110" s="74">
        <v>4800</v>
      </c>
      <c r="F110" s="37">
        <v>16</v>
      </c>
      <c r="G110" s="37">
        <v>160</v>
      </c>
      <c r="H110" s="74">
        <v>4800</v>
      </c>
      <c r="I110" s="37">
        <v>16</v>
      </c>
      <c r="J110" s="37">
        <v>160</v>
      </c>
      <c r="K110" s="74">
        <v>12000</v>
      </c>
      <c r="L110" s="37">
        <v>40</v>
      </c>
      <c r="M110" s="37">
        <v>400</v>
      </c>
      <c r="N110" s="74">
        <v>4200</v>
      </c>
      <c r="O110" s="37">
        <v>14</v>
      </c>
      <c r="P110" s="37">
        <v>140</v>
      </c>
      <c r="Q110" s="74">
        <v>2700</v>
      </c>
      <c r="R110" s="37">
        <v>9</v>
      </c>
      <c r="S110" s="37">
        <v>90</v>
      </c>
      <c r="T110" s="74">
        <v>1800</v>
      </c>
      <c r="U110" s="37">
        <v>6</v>
      </c>
      <c r="V110" s="37">
        <v>60</v>
      </c>
      <c r="W110" s="74">
        <v>2400</v>
      </c>
      <c r="X110" s="37">
        <v>8</v>
      </c>
      <c r="Y110" s="37">
        <v>80</v>
      </c>
      <c r="Z110" s="74">
        <v>6000</v>
      </c>
      <c r="AA110" s="37">
        <v>20</v>
      </c>
      <c r="AB110" s="37">
        <v>200</v>
      </c>
      <c r="AC110" s="74">
        <v>16800</v>
      </c>
      <c r="AD110" s="37">
        <v>56</v>
      </c>
      <c r="AE110" s="37">
        <v>560</v>
      </c>
      <c r="AF110" s="74">
        <v>13200</v>
      </c>
      <c r="AG110" s="37">
        <v>44</v>
      </c>
      <c r="AH110" s="37">
        <v>440</v>
      </c>
    </row>
    <row r="111" spans="1:34" ht="16.5" customHeight="1" x14ac:dyDescent="0.3">
      <c r="A111" s="82"/>
      <c r="B111" s="37" t="s">
        <v>546</v>
      </c>
      <c r="C111" s="37">
        <v>357648</v>
      </c>
      <c r="D111" s="73">
        <f t="shared" si="0"/>
        <v>227</v>
      </c>
      <c r="E111" s="74">
        <v>-78023</v>
      </c>
      <c r="F111" s="37">
        <v>19</v>
      </c>
      <c r="G111" s="37">
        <v>0</v>
      </c>
      <c r="H111" s="74">
        <v>-107790</v>
      </c>
      <c r="I111" s="37">
        <v>30</v>
      </c>
      <c r="J111" s="37">
        <v>0</v>
      </c>
      <c r="K111" s="74">
        <v>-46698</v>
      </c>
      <c r="L111" s="37">
        <v>17</v>
      </c>
      <c r="M111" s="37">
        <v>0</v>
      </c>
      <c r="N111" s="74">
        <v>-63332</v>
      </c>
      <c r="O111" s="37">
        <v>24</v>
      </c>
      <c r="P111" s="37">
        <v>0</v>
      </c>
      <c r="Q111" s="74">
        <v>-61300</v>
      </c>
      <c r="R111" s="37">
        <v>23</v>
      </c>
      <c r="S111" s="37">
        <v>0</v>
      </c>
      <c r="T111" s="74">
        <v>-76897</v>
      </c>
      <c r="U111" s="37">
        <v>23</v>
      </c>
      <c r="V111" s="37">
        <v>0</v>
      </c>
      <c r="W111" s="74">
        <v>-71300</v>
      </c>
      <c r="X111" s="37">
        <v>19</v>
      </c>
      <c r="Y111" s="37">
        <v>0</v>
      </c>
      <c r="Z111" s="74">
        <v>-41500</v>
      </c>
      <c r="AA111" s="37">
        <v>13</v>
      </c>
      <c r="AB111" s="37">
        <v>0</v>
      </c>
      <c r="AC111" s="74">
        <v>-51680</v>
      </c>
      <c r="AD111" s="37">
        <v>18</v>
      </c>
      <c r="AE111" s="37">
        <v>0</v>
      </c>
      <c r="AF111" s="74">
        <v>-52390</v>
      </c>
      <c r="AG111" s="37">
        <v>41</v>
      </c>
      <c r="AH111" s="37">
        <v>0</v>
      </c>
    </row>
    <row r="112" spans="1:34" ht="16.5" customHeight="1" x14ac:dyDescent="0.3">
      <c r="A112" s="82"/>
      <c r="B112" s="37" t="s">
        <v>372</v>
      </c>
      <c r="C112" s="37">
        <v>3192</v>
      </c>
      <c r="D112" s="73">
        <f t="shared" si="0"/>
        <v>223</v>
      </c>
      <c r="E112" s="74">
        <v>12600</v>
      </c>
      <c r="F112" s="37">
        <v>63</v>
      </c>
      <c r="G112" s="37">
        <v>0</v>
      </c>
      <c r="H112" s="74">
        <v>3000</v>
      </c>
      <c r="I112" s="37">
        <v>15</v>
      </c>
      <c r="J112" s="37">
        <v>0</v>
      </c>
      <c r="K112" s="74">
        <v>2800</v>
      </c>
      <c r="L112" s="37">
        <v>14</v>
      </c>
      <c r="M112" s="37">
        <v>0</v>
      </c>
      <c r="N112" s="74">
        <v>5600</v>
      </c>
      <c r="O112" s="37">
        <v>28</v>
      </c>
      <c r="P112" s="37">
        <v>0</v>
      </c>
      <c r="Q112" s="74">
        <v>7000</v>
      </c>
      <c r="R112" s="37">
        <v>35</v>
      </c>
      <c r="S112" s="37">
        <v>0</v>
      </c>
      <c r="T112" s="74">
        <v>1800</v>
      </c>
      <c r="U112" s="37">
        <v>9</v>
      </c>
      <c r="V112" s="37">
        <v>0</v>
      </c>
      <c r="W112" s="74">
        <v>3200</v>
      </c>
      <c r="X112" s="37">
        <v>16</v>
      </c>
      <c r="Y112" s="37">
        <v>0</v>
      </c>
      <c r="Z112" s="74">
        <v>1200</v>
      </c>
      <c r="AA112" s="37">
        <v>6</v>
      </c>
      <c r="AB112" s="37">
        <v>0</v>
      </c>
      <c r="AC112" s="74">
        <v>4600</v>
      </c>
      <c r="AD112" s="37">
        <v>23</v>
      </c>
      <c r="AE112" s="37">
        <v>0</v>
      </c>
      <c r="AF112" s="74">
        <v>2800</v>
      </c>
      <c r="AG112" s="37">
        <v>14</v>
      </c>
      <c r="AH112" s="37">
        <v>0</v>
      </c>
    </row>
    <row r="113" spans="1:34" ht="16.5" customHeight="1" x14ac:dyDescent="0.3">
      <c r="A113" s="82"/>
      <c r="B113" s="37" t="s">
        <v>524</v>
      </c>
      <c r="C113" s="37">
        <v>3250</v>
      </c>
      <c r="D113" s="73">
        <f t="shared" si="0"/>
        <v>221</v>
      </c>
      <c r="E113" s="74">
        <v>326000</v>
      </c>
      <c r="F113" s="37">
        <v>21</v>
      </c>
      <c r="G113" s="37">
        <v>315</v>
      </c>
      <c r="H113" s="74">
        <v>418000</v>
      </c>
      <c r="I113" s="37">
        <v>22</v>
      </c>
      <c r="J113" s="37">
        <v>330</v>
      </c>
      <c r="K113" s="74">
        <v>395000</v>
      </c>
      <c r="L113" s="37">
        <v>23</v>
      </c>
      <c r="M113" s="37">
        <v>345</v>
      </c>
      <c r="N113" s="74">
        <v>818000</v>
      </c>
      <c r="O113" s="37">
        <v>46</v>
      </c>
      <c r="P113" s="37">
        <v>690</v>
      </c>
      <c r="Q113" s="74">
        <v>395000</v>
      </c>
      <c r="R113" s="37">
        <v>23</v>
      </c>
      <c r="S113" s="37">
        <v>345</v>
      </c>
      <c r="T113" s="74">
        <v>288000</v>
      </c>
      <c r="U113" s="37">
        <v>15</v>
      </c>
      <c r="V113" s="37">
        <v>225</v>
      </c>
      <c r="W113" s="74">
        <v>295000</v>
      </c>
      <c r="X113" s="37">
        <v>19</v>
      </c>
      <c r="Y113" s="37">
        <v>285</v>
      </c>
      <c r="Z113" s="74">
        <v>242000</v>
      </c>
      <c r="AA113" s="37">
        <v>18</v>
      </c>
      <c r="AB113" s="37">
        <v>270</v>
      </c>
      <c r="AC113" s="74">
        <v>326500</v>
      </c>
      <c r="AD113" s="37">
        <v>19</v>
      </c>
      <c r="AE113" s="37">
        <v>285</v>
      </c>
      <c r="AF113" s="74">
        <v>264000</v>
      </c>
      <c r="AG113" s="37">
        <v>15</v>
      </c>
      <c r="AH113" s="37">
        <v>225</v>
      </c>
    </row>
    <row r="114" spans="1:34" ht="16.5" customHeight="1" x14ac:dyDescent="0.3">
      <c r="A114" s="82"/>
      <c r="B114" s="37" t="s">
        <v>450</v>
      </c>
      <c r="C114" s="37">
        <v>358222</v>
      </c>
      <c r="D114" s="73">
        <f t="shared" si="0"/>
        <v>209</v>
      </c>
      <c r="E114" s="74">
        <v>14550</v>
      </c>
      <c r="F114" s="37">
        <v>24</v>
      </c>
      <c r="G114" s="37">
        <v>240</v>
      </c>
      <c r="H114" s="74">
        <v>9800</v>
      </c>
      <c r="I114" s="37">
        <v>15</v>
      </c>
      <c r="J114" s="37">
        <v>150</v>
      </c>
      <c r="K114" s="74">
        <v>19000</v>
      </c>
      <c r="L114" s="37">
        <v>24</v>
      </c>
      <c r="M114" s="37">
        <v>240</v>
      </c>
      <c r="N114" s="74">
        <v>31800</v>
      </c>
      <c r="O114" s="37">
        <v>28</v>
      </c>
      <c r="P114" s="37">
        <v>280</v>
      </c>
      <c r="Q114" s="74">
        <v>8900</v>
      </c>
      <c r="R114" s="37">
        <v>13</v>
      </c>
      <c r="S114" s="37">
        <v>130</v>
      </c>
      <c r="T114" s="74">
        <v>25210</v>
      </c>
      <c r="U114" s="37">
        <v>26</v>
      </c>
      <c r="V114" s="37">
        <v>260</v>
      </c>
      <c r="W114" s="74">
        <v>14100</v>
      </c>
      <c r="X114" s="37">
        <v>22</v>
      </c>
      <c r="Y114" s="37">
        <v>220</v>
      </c>
      <c r="Z114" s="74">
        <v>12050</v>
      </c>
      <c r="AA114" s="37">
        <v>10</v>
      </c>
      <c r="AB114" s="37">
        <v>100</v>
      </c>
      <c r="AC114" s="74">
        <v>12900</v>
      </c>
      <c r="AD114" s="37">
        <v>24</v>
      </c>
      <c r="AE114" s="37">
        <v>240</v>
      </c>
      <c r="AF114" s="74">
        <v>17200</v>
      </c>
      <c r="AG114" s="37">
        <v>23</v>
      </c>
      <c r="AH114" s="37">
        <v>230</v>
      </c>
    </row>
    <row r="115" spans="1:34" ht="16.5" customHeight="1" x14ac:dyDescent="0.3">
      <c r="A115" s="82"/>
      <c r="B115" s="37" t="s">
        <v>127</v>
      </c>
      <c r="C115" s="37">
        <v>2792</v>
      </c>
      <c r="D115" s="73">
        <f t="shared" si="0"/>
        <v>204</v>
      </c>
      <c r="E115" s="74">
        <v>104050</v>
      </c>
      <c r="F115" s="37">
        <v>65</v>
      </c>
      <c r="G115" s="74">
        <v>1950</v>
      </c>
      <c r="H115" s="74">
        <v>48000</v>
      </c>
      <c r="I115" s="37">
        <v>46</v>
      </c>
      <c r="J115" s="74">
        <v>1380</v>
      </c>
      <c r="K115" s="74">
        <v>24200</v>
      </c>
      <c r="L115" s="37">
        <v>16</v>
      </c>
      <c r="M115" s="37">
        <v>480</v>
      </c>
      <c r="N115" s="74">
        <v>17660</v>
      </c>
      <c r="O115" s="37">
        <v>30</v>
      </c>
      <c r="P115" s="37">
        <v>900</v>
      </c>
      <c r="Q115" s="74">
        <v>4600</v>
      </c>
      <c r="R115" s="37">
        <v>9</v>
      </c>
      <c r="S115" s="37">
        <v>270</v>
      </c>
      <c r="T115" s="74">
        <v>5800</v>
      </c>
      <c r="U115" s="37">
        <v>8</v>
      </c>
      <c r="V115" s="37">
        <v>240</v>
      </c>
      <c r="W115" s="74">
        <v>16100</v>
      </c>
      <c r="X115" s="37">
        <v>15</v>
      </c>
      <c r="Y115" s="37">
        <v>450</v>
      </c>
      <c r="Z115" s="74">
        <v>4000</v>
      </c>
      <c r="AA115" s="37">
        <v>6</v>
      </c>
      <c r="AB115" s="37">
        <v>180</v>
      </c>
      <c r="AC115" s="74">
        <v>1600</v>
      </c>
      <c r="AD115" s="37">
        <v>4</v>
      </c>
      <c r="AE115" s="37">
        <v>120</v>
      </c>
      <c r="AF115" s="74">
        <v>2900</v>
      </c>
      <c r="AG115" s="37">
        <v>5</v>
      </c>
      <c r="AH115" s="37">
        <v>150</v>
      </c>
    </row>
    <row r="116" spans="1:34" ht="16.5" customHeight="1" x14ac:dyDescent="0.3">
      <c r="A116" s="82"/>
      <c r="B116" s="37" t="s">
        <v>611</v>
      </c>
      <c r="C116" s="37">
        <v>358223</v>
      </c>
      <c r="D116" s="73">
        <f t="shared" si="0"/>
        <v>204</v>
      </c>
      <c r="E116" s="74">
        <v>11500</v>
      </c>
      <c r="F116" s="37">
        <v>22</v>
      </c>
      <c r="G116" s="37">
        <v>220</v>
      </c>
      <c r="H116" s="74">
        <v>7900</v>
      </c>
      <c r="I116" s="37">
        <v>24</v>
      </c>
      <c r="J116" s="37">
        <v>240</v>
      </c>
      <c r="K116" s="74">
        <v>11050</v>
      </c>
      <c r="L116" s="37">
        <v>31</v>
      </c>
      <c r="M116" s="37">
        <v>310</v>
      </c>
      <c r="N116" s="74">
        <v>15600</v>
      </c>
      <c r="O116" s="37">
        <v>34</v>
      </c>
      <c r="P116" s="37">
        <v>340</v>
      </c>
      <c r="Q116" s="74">
        <v>3050</v>
      </c>
      <c r="R116" s="37">
        <v>13</v>
      </c>
      <c r="S116" s="37">
        <v>130</v>
      </c>
      <c r="T116" s="74">
        <v>9650</v>
      </c>
      <c r="U116" s="37">
        <v>21</v>
      </c>
      <c r="V116" s="37">
        <v>210</v>
      </c>
      <c r="W116" s="74">
        <v>8000</v>
      </c>
      <c r="X116" s="37">
        <v>14</v>
      </c>
      <c r="Y116" s="37">
        <v>140</v>
      </c>
      <c r="Z116" s="74">
        <v>5150</v>
      </c>
      <c r="AA116" s="37">
        <v>16</v>
      </c>
      <c r="AB116" s="37">
        <v>160</v>
      </c>
      <c r="AC116" s="74">
        <v>3950</v>
      </c>
      <c r="AD116" s="37">
        <v>16</v>
      </c>
      <c r="AE116" s="37">
        <v>160</v>
      </c>
      <c r="AF116" s="74">
        <v>3450</v>
      </c>
      <c r="AG116" s="37">
        <v>13</v>
      </c>
      <c r="AH116" s="37">
        <v>130</v>
      </c>
    </row>
    <row r="117" spans="1:34" ht="16.5" customHeight="1" x14ac:dyDescent="0.3">
      <c r="A117" s="82"/>
      <c r="B117" s="37" t="s">
        <v>459</v>
      </c>
      <c r="C117" s="37">
        <v>359334</v>
      </c>
      <c r="D117" s="73">
        <f t="shared" si="0"/>
        <v>193</v>
      </c>
      <c r="E117" s="74">
        <v>57376</v>
      </c>
      <c r="F117" s="37">
        <v>12</v>
      </c>
      <c r="G117" s="37">
        <v>180</v>
      </c>
      <c r="H117" s="74">
        <v>60933</v>
      </c>
      <c r="I117" s="37">
        <v>15</v>
      </c>
      <c r="J117" s="37">
        <v>225</v>
      </c>
      <c r="K117" s="74">
        <v>90498</v>
      </c>
      <c r="L117" s="37">
        <v>16</v>
      </c>
      <c r="M117" s="37">
        <v>235</v>
      </c>
      <c r="N117" s="74">
        <v>147790</v>
      </c>
      <c r="O117" s="37">
        <v>28</v>
      </c>
      <c r="P117" s="37">
        <v>400</v>
      </c>
      <c r="Q117" s="74">
        <v>70319</v>
      </c>
      <c r="R117" s="37">
        <v>16</v>
      </c>
      <c r="S117" s="37">
        <v>235</v>
      </c>
      <c r="T117" s="74">
        <v>99948</v>
      </c>
      <c r="U117" s="37">
        <v>18</v>
      </c>
      <c r="V117" s="37">
        <v>250</v>
      </c>
      <c r="W117" s="74">
        <v>103308</v>
      </c>
      <c r="X117" s="37">
        <v>20</v>
      </c>
      <c r="Y117" s="37">
        <v>275</v>
      </c>
      <c r="Z117" s="74">
        <v>95861</v>
      </c>
      <c r="AA117" s="37">
        <v>18</v>
      </c>
      <c r="AB117" s="37">
        <v>260</v>
      </c>
      <c r="AC117" s="74">
        <v>130181</v>
      </c>
      <c r="AD117" s="37">
        <v>24</v>
      </c>
      <c r="AE117" s="37">
        <v>335</v>
      </c>
      <c r="AF117" s="74">
        <v>161727</v>
      </c>
      <c r="AG117" s="37">
        <v>26</v>
      </c>
      <c r="AH117" s="37">
        <v>370</v>
      </c>
    </row>
    <row r="118" spans="1:34" ht="16.5" customHeight="1" x14ac:dyDescent="0.3">
      <c r="A118" s="82"/>
      <c r="B118" s="37" t="s">
        <v>168</v>
      </c>
      <c r="C118" s="37">
        <v>2893</v>
      </c>
      <c r="D118" s="73">
        <f t="shared" si="0"/>
        <v>153</v>
      </c>
      <c r="E118" s="74">
        <v>2400</v>
      </c>
      <c r="F118" s="37">
        <v>15</v>
      </c>
      <c r="G118" s="37">
        <v>150</v>
      </c>
      <c r="H118" s="37">
        <v>900</v>
      </c>
      <c r="I118" s="37">
        <v>4</v>
      </c>
      <c r="J118" s="37">
        <v>40</v>
      </c>
      <c r="K118" s="74">
        <v>2500</v>
      </c>
      <c r="L118" s="37">
        <v>12</v>
      </c>
      <c r="M118" s="37">
        <v>120</v>
      </c>
      <c r="N118" s="74">
        <v>4800</v>
      </c>
      <c r="O118" s="37">
        <v>20</v>
      </c>
      <c r="P118" s="37">
        <v>200</v>
      </c>
      <c r="Q118" s="74">
        <v>2500</v>
      </c>
      <c r="R118" s="37">
        <v>10</v>
      </c>
      <c r="S118" s="37">
        <v>100</v>
      </c>
      <c r="T118" s="74">
        <v>7000</v>
      </c>
      <c r="U118" s="37">
        <v>28</v>
      </c>
      <c r="V118" s="37">
        <v>280</v>
      </c>
      <c r="W118" s="74">
        <v>4100</v>
      </c>
      <c r="X118" s="37">
        <v>23</v>
      </c>
      <c r="Y118" s="37">
        <v>230</v>
      </c>
      <c r="Z118" s="74">
        <v>3800</v>
      </c>
      <c r="AA118" s="37">
        <v>18</v>
      </c>
      <c r="AB118" s="37">
        <v>180</v>
      </c>
      <c r="AC118" s="74">
        <v>1600</v>
      </c>
      <c r="AD118" s="37">
        <v>14</v>
      </c>
      <c r="AE118" s="37">
        <v>140</v>
      </c>
      <c r="AF118" s="74">
        <v>1400</v>
      </c>
      <c r="AG118" s="37">
        <v>9</v>
      </c>
      <c r="AH118" s="37">
        <v>90</v>
      </c>
    </row>
    <row r="119" spans="1:34" ht="16.5" customHeight="1" x14ac:dyDescent="0.3">
      <c r="A119" s="82"/>
      <c r="B119" s="37" t="s">
        <v>146</v>
      </c>
      <c r="C119" s="37">
        <v>2845</v>
      </c>
      <c r="D119" s="73">
        <f t="shared" si="0"/>
        <v>145</v>
      </c>
      <c r="E119" s="74">
        <v>115590</v>
      </c>
      <c r="F119" s="37">
        <v>14</v>
      </c>
      <c r="G119" s="37">
        <v>190</v>
      </c>
      <c r="H119" s="74">
        <v>90097</v>
      </c>
      <c r="I119" s="37">
        <v>12</v>
      </c>
      <c r="J119" s="37">
        <v>165</v>
      </c>
      <c r="K119" s="74">
        <v>373625</v>
      </c>
      <c r="L119" s="37">
        <v>20</v>
      </c>
      <c r="M119" s="37">
        <v>260</v>
      </c>
      <c r="N119" s="74">
        <v>147680</v>
      </c>
      <c r="O119" s="37">
        <v>20</v>
      </c>
      <c r="P119" s="37">
        <v>270</v>
      </c>
      <c r="Q119" s="74">
        <v>737883</v>
      </c>
      <c r="R119" s="37">
        <v>24</v>
      </c>
      <c r="S119" s="37">
        <v>355</v>
      </c>
      <c r="T119" s="74">
        <v>99280</v>
      </c>
      <c r="U119" s="37">
        <v>11</v>
      </c>
      <c r="V119" s="37">
        <v>145</v>
      </c>
      <c r="W119" s="74">
        <v>124325</v>
      </c>
      <c r="X119" s="37">
        <v>12</v>
      </c>
      <c r="Y119" s="37">
        <v>165</v>
      </c>
      <c r="Z119" s="74">
        <v>42726</v>
      </c>
      <c r="AA119" s="37">
        <v>9</v>
      </c>
      <c r="AB119" s="37">
        <v>120</v>
      </c>
      <c r="AC119" s="74">
        <v>167259</v>
      </c>
      <c r="AD119" s="37">
        <v>11</v>
      </c>
      <c r="AE119" s="37">
        <v>140</v>
      </c>
      <c r="AF119" s="74">
        <v>90376</v>
      </c>
      <c r="AG119" s="37">
        <v>12</v>
      </c>
      <c r="AH119" s="37">
        <v>160</v>
      </c>
    </row>
    <row r="120" spans="1:34" ht="16.5" customHeight="1" x14ac:dyDescent="0.3">
      <c r="A120" s="82"/>
      <c r="B120" s="37" t="s">
        <v>100</v>
      </c>
      <c r="C120" s="37">
        <v>2696</v>
      </c>
      <c r="D120" s="73">
        <f t="shared" si="0"/>
        <v>145</v>
      </c>
      <c r="E120" s="74">
        <v>60970</v>
      </c>
      <c r="F120" s="37">
        <v>19</v>
      </c>
      <c r="G120" s="37">
        <v>0</v>
      </c>
      <c r="H120" s="74">
        <v>29544</v>
      </c>
      <c r="I120" s="37">
        <v>14</v>
      </c>
      <c r="J120" s="37">
        <v>0</v>
      </c>
      <c r="K120" s="74">
        <v>77762</v>
      </c>
      <c r="L120" s="37">
        <v>15</v>
      </c>
      <c r="M120" s="37">
        <v>0</v>
      </c>
      <c r="N120" s="74">
        <v>165915</v>
      </c>
      <c r="O120" s="37">
        <v>20</v>
      </c>
      <c r="P120" s="37">
        <v>0</v>
      </c>
      <c r="Q120" s="74">
        <v>35501</v>
      </c>
      <c r="R120" s="37">
        <v>13</v>
      </c>
      <c r="S120" s="37">
        <v>0</v>
      </c>
      <c r="T120" s="74">
        <v>117255</v>
      </c>
      <c r="U120" s="37">
        <v>15</v>
      </c>
      <c r="V120" s="37">
        <v>0</v>
      </c>
      <c r="W120" s="74">
        <v>86460</v>
      </c>
      <c r="X120" s="37">
        <v>10</v>
      </c>
      <c r="Y120" s="37">
        <v>0</v>
      </c>
      <c r="Z120" s="74">
        <v>40427</v>
      </c>
      <c r="AA120" s="37">
        <v>12</v>
      </c>
      <c r="AB120" s="37">
        <v>0</v>
      </c>
      <c r="AC120" s="74">
        <v>103885</v>
      </c>
      <c r="AD120" s="37">
        <v>17</v>
      </c>
      <c r="AE120" s="37">
        <v>0</v>
      </c>
      <c r="AF120" s="74">
        <v>98779</v>
      </c>
      <c r="AG120" s="37">
        <v>10</v>
      </c>
      <c r="AH120" s="37">
        <v>0</v>
      </c>
    </row>
    <row r="121" spans="1:34" ht="16.5" customHeight="1" x14ac:dyDescent="0.3">
      <c r="A121" s="82"/>
      <c r="B121" s="37" t="s">
        <v>164</v>
      </c>
      <c r="C121" s="37">
        <v>2886</v>
      </c>
      <c r="D121" s="73">
        <f t="shared" si="0"/>
        <v>140</v>
      </c>
      <c r="E121" s="74">
        <v>10400</v>
      </c>
      <c r="F121" s="37">
        <v>9</v>
      </c>
      <c r="G121" s="37">
        <v>90</v>
      </c>
      <c r="H121" s="74">
        <v>21550</v>
      </c>
      <c r="I121" s="37">
        <v>21</v>
      </c>
      <c r="J121" s="37">
        <v>210</v>
      </c>
      <c r="K121" s="74">
        <v>17450</v>
      </c>
      <c r="L121" s="37">
        <v>22</v>
      </c>
      <c r="M121" s="37">
        <v>220</v>
      </c>
      <c r="N121" s="74">
        <v>20800</v>
      </c>
      <c r="O121" s="37">
        <v>24</v>
      </c>
      <c r="P121" s="37">
        <v>240</v>
      </c>
      <c r="Q121" s="74">
        <v>7790</v>
      </c>
      <c r="R121" s="37">
        <v>8</v>
      </c>
      <c r="S121" s="37">
        <v>80</v>
      </c>
      <c r="T121" s="74">
        <v>2300</v>
      </c>
      <c r="U121" s="37">
        <v>3</v>
      </c>
      <c r="V121" s="37">
        <v>30</v>
      </c>
      <c r="W121" s="74">
        <v>6700</v>
      </c>
      <c r="X121" s="37">
        <v>7</v>
      </c>
      <c r="Y121" s="37">
        <v>70</v>
      </c>
      <c r="Z121" s="74">
        <v>23000</v>
      </c>
      <c r="AA121" s="37">
        <v>19</v>
      </c>
      <c r="AB121" s="37">
        <v>190</v>
      </c>
      <c r="AC121" s="74">
        <v>17400</v>
      </c>
      <c r="AD121" s="37">
        <v>22</v>
      </c>
      <c r="AE121" s="37">
        <v>220</v>
      </c>
      <c r="AF121" s="74">
        <v>3200</v>
      </c>
      <c r="AG121" s="37">
        <v>5</v>
      </c>
      <c r="AH121" s="37">
        <v>50</v>
      </c>
    </row>
    <row r="122" spans="1:34" ht="16.5" customHeight="1" x14ac:dyDescent="0.3">
      <c r="A122" s="82"/>
      <c r="B122" s="37" t="s">
        <v>315</v>
      </c>
      <c r="C122" s="37">
        <v>3130</v>
      </c>
      <c r="D122" s="73">
        <f t="shared" si="0"/>
        <v>139</v>
      </c>
      <c r="E122" s="74">
        <v>62828</v>
      </c>
      <c r="F122" s="37">
        <v>18</v>
      </c>
      <c r="G122" s="37">
        <v>180</v>
      </c>
      <c r="H122" s="74">
        <v>56328</v>
      </c>
      <c r="I122" s="37">
        <v>13</v>
      </c>
      <c r="J122" s="37">
        <v>130</v>
      </c>
      <c r="K122" s="74">
        <v>57853</v>
      </c>
      <c r="L122" s="37">
        <v>14</v>
      </c>
      <c r="M122" s="37">
        <v>140</v>
      </c>
      <c r="N122" s="74">
        <v>52156</v>
      </c>
      <c r="O122" s="37">
        <v>22</v>
      </c>
      <c r="P122" s="37">
        <v>220</v>
      </c>
      <c r="Q122" s="74">
        <v>45426</v>
      </c>
      <c r="R122" s="37">
        <v>12</v>
      </c>
      <c r="S122" s="37">
        <v>120</v>
      </c>
      <c r="T122" s="74">
        <v>84608</v>
      </c>
      <c r="U122" s="37">
        <v>12</v>
      </c>
      <c r="V122" s="37">
        <v>120</v>
      </c>
      <c r="W122" s="74">
        <v>36003</v>
      </c>
      <c r="X122" s="37">
        <v>11</v>
      </c>
      <c r="Y122" s="37">
        <v>110</v>
      </c>
      <c r="Z122" s="74">
        <v>40803</v>
      </c>
      <c r="AA122" s="37">
        <v>13</v>
      </c>
      <c r="AB122" s="37">
        <v>130</v>
      </c>
      <c r="AC122" s="74">
        <v>44901</v>
      </c>
      <c r="AD122" s="37">
        <v>12</v>
      </c>
      <c r="AE122" s="37">
        <v>120</v>
      </c>
      <c r="AF122" s="74">
        <v>77145</v>
      </c>
      <c r="AG122" s="37">
        <v>12</v>
      </c>
      <c r="AH122" s="37">
        <v>120</v>
      </c>
    </row>
    <row r="123" spans="1:34" ht="16.5" customHeight="1" x14ac:dyDescent="0.3">
      <c r="A123" s="82"/>
      <c r="B123" s="37" t="s">
        <v>619</v>
      </c>
      <c r="C123" s="37">
        <v>3326</v>
      </c>
      <c r="D123" s="73">
        <f t="shared" si="0"/>
        <v>138</v>
      </c>
      <c r="E123" s="74">
        <v>23795</v>
      </c>
      <c r="F123" s="37">
        <v>13</v>
      </c>
      <c r="G123" s="37">
        <v>0</v>
      </c>
      <c r="H123" s="74">
        <v>21300</v>
      </c>
      <c r="I123" s="37">
        <v>12</v>
      </c>
      <c r="J123" s="37">
        <v>0</v>
      </c>
      <c r="K123" s="74">
        <v>48190</v>
      </c>
      <c r="L123" s="37">
        <v>26</v>
      </c>
      <c r="M123" s="37">
        <v>0</v>
      </c>
      <c r="N123" s="74">
        <v>23600</v>
      </c>
      <c r="O123" s="37">
        <v>14</v>
      </c>
      <c r="P123" s="37">
        <v>0</v>
      </c>
      <c r="Q123" s="74">
        <v>11075</v>
      </c>
      <c r="R123" s="37">
        <v>7</v>
      </c>
      <c r="S123" s="37">
        <v>0</v>
      </c>
      <c r="T123" s="74">
        <v>4755</v>
      </c>
      <c r="U123" s="37">
        <v>3</v>
      </c>
      <c r="V123" s="37">
        <v>0</v>
      </c>
      <c r="W123" s="74">
        <v>27090</v>
      </c>
      <c r="X123" s="37">
        <v>14</v>
      </c>
      <c r="Y123" s="37">
        <v>0</v>
      </c>
      <c r="Z123" s="74">
        <v>34795</v>
      </c>
      <c r="AA123" s="37">
        <v>21</v>
      </c>
      <c r="AB123" s="37">
        <v>0</v>
      </c>
      <c r="AC123" s="74">
        <v>15890</v>
      </c>
      <c r="AD123" s="37">
        <v>10</v>
      </c>
      <c r="AE123" s="37">
        <v>0</v>
      </c>
      <c r="AF123" s="74">
        <v>29585</v>
      </c>
      <c r="AG123" s="37">
        <v>18</v>
      </c>
      <c r="AH123" s="37">
        <v>0</v>
      </c>
    </row>
    <row r="124" spans="1:34" ht="16.5" customHeight="1" x14ac:dyDescent="0.3">
      <c r="A124" s="82"/>
      <c r="B124" s="37" t="s">
        <v>613</v>
      </c>
      <c r="C124" s="37">
        <v>364888</v>
      </c>
      <c r="D124" s="73">
        <f t="shared" si="0"/>
        <v>138</v>
      </c>
      <c r="E124" s="12"/>
      <c r="F124" s="12"/>
      <c r="G124" s="12"/>
      <c r="H124" s="74">
        <v>9000</v>
      </c>
      <c r="I124" s="37">
        <v>15</v>
      </c>
      <c r="J124" s="37">
        <v>0</v>
      </c>
      <c r="K124" s="74">
        <v>5100</v>
      </c>
      <c r="L124" s="37">
        <v>6</v>
      </c>
      <c r="M124" s="37">
        <v>0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74">
        <v>1262500</v>
      </c>
      <c r="AD124" s="37">
        <v>101</v>
      </c>
      <c r="AE124" s="37">
        <v>0</v>
      </c>
      <c r="AF124" s="74">
        <v>48000</v>
      </c>
      <c r="AG124" s="37">
        <v>16</v>
      </c>
      <c r="AH124" s="37">
        <v>0</v>
      </c>
    </row>
    <row r="125" spans="1:34" ht="16.5" customHeight="1" x14ac:dyDescent="0.3">
      <c r="A125" s="82"/>
      <c r="B125" s="37" t="s">
        <v>549</v>
      </c>
      <c r="C125" s="37">
        <v>360617</v>
      </c>
      <c r="D125" s="73">
        <f t="shared" si="0"/>
        <v>121</v>
      </c>
      <c r="E125" s="74">
        <v>-8506</v>
      </c>
      <c r="F125" s="37">
        <v>9</v>
      </c>
      <c r="G125" s="37">
        <v>0</v>
      </c>
      <c r="H125" s="74">
        <v>-2960</v>
      </c>
      <c r="I125" s="37">
        <v>10</v>
      </c>
      <c r="J125" s="37">
        <v>0</v>
      </c>
      <c r="K125" s="74">
        <v>-23079</v>
      </c>
      <c r="L125" s="37">
        <v>10</v>
      </c>
      <c r="M125" s="37">
        <v>0</v>
      </c>
      <c r="N125" s="74">
        <v>-2200</v>
      </c>
      <c r="O125" s="37">
        <v>14</v>
      </c>
      <c r="P125" s="37">
        <v>0</v>
      </c>
      <c r="Q125" s="74">
        <v>-28700</v>
      </c>
      <c r="R125" s="37">
        <v>13</v>
      </c>
      <c r="S125" s="37">
        <v>0</v>
      </c>
      <c r="T125" s="74">
        <v>-20440</v>
      </c>
      <c r="U125" s="37">
        <v>25</v>
      </c>
      <c r="V125" s="37">
        <v>0</v>
      </c>
      <c r="W125" s="74">
        <v>-32600</v>
      </c>
      <c r="X125" s="37">
        <v>14</v>
      </c>
      <c r="Y125" s="37">
        <v>0</v>
      </c>
      <c r="Z125" s="74">
        <v>-26120</v>
      </c>
      <c r="AA125" s="37">
        <v>8</v>
      </c>
      <c r="AB125" s="37">
        <v>0</v>
      </c>
      <c r="AC125" s="74">
        <v>-36300</v>
      </c>
      <c r="AD125" s="37">
        <v>10</v>
      </c>
      <c r="AE125" s="37">
        <v>0</v>
      </c>
      <c r="AF125" s="74">
        <v>-13500</v>
      </c>
      <c r="AG125" s="37">
        <v>8</v>
      </c>
      <c r="AH125" s="37">
        <v>0</v>
      </c>
    </row>
    <row r="126" spans="1:34" ht="16.5" customHeight="1" x14ac:dyDescent="0.3">
      <c r="A126" s="82"/>
      <c r="B126" s="37" t="s">
        <v>333</v>
      </c>
      <c r="C126" s="37">
        <v>3154</v>
      </c>
      <c r="D126" s="73">
        <f t="shared" si="0"/>
        <v>115</v>
      </c>
      <c r="E126" s="74">
        <v>20500</v>
      </c>
      <c r="F126" s="37">
        <v>4</v>
      </c>
      <c r="G126" s="37">
        <v>40</v>
      </c>
      <c r="H126" s="74">
        <v>230000</v>
      </c>
      <c r="I126" s="37">
        <v>23</v>
      </c>
      <c r="J126" s="37">
        <v>230</v>
      </c>
      <c r="K126" s="74">
        <v>8900</v>
      </c>
      <c r="L126" s="37">
        <v>21</v>
      </c>
      <c r="M126" s="37">
        <v>210</v>
      </c>
      <c r="N126" s="74">
        <v>5800</v>
      </c>
      <c r="O126" s="37">
        <v>18</v>
      </c>
      <c r="P126" s="37">
        <v>180</v>
      </c>
      <c r="Q126" s="74">
        <v>164800</v>
      </c>
      <c r="R126" s="37">
        <v>26</v>
      </c>
      <c r="S126" s="37">
        <v>260</v>
      </c>
      <c r="T126" s="74">
        <v>13100</v>
      </c>
      <c r="U126" s="37">
        <v>2</v>
      </c>
      <c r="V126" s="37">
        <v>20</v>
      </c>
      <c r="W126" s="74">
        <v>30200</v>
      </c>
      <c r="X126" s="37">
        <v>2</v>
      </c>
      <c r="Y126" s="37">
        <v>20</v>
      </c>
      <c r="Z126" s="12"/>
      <c r="AA126" s="12"/>
      <c r="AB126" s="12"/>
      <c r="AC126" s="74">
        <v>5400</v>
      </c>
      <c r="AD126" s="37">
        <v>18</v>
      </c>
      <c r="AE126" s="37">
        <v>180</v>
      </c>
      <c r="AF126" s="74">
        <v>19601</v>
      </c>
      <c r="AG126" s="37">
        <v>1</v>
      </c>
      <c r="AH126" s="37">
        <v>10</v>
      </c>
    </row>
    <row r="127" spans="1:34" ht="16.5" customHeight="1" x14ac:dyDescent="0.3">
      <c r="A127" s="82"/>
      <c r="B127" s="37" t="s">
        <v>607</v>
      </c>
      <c r="C127" s="37">
        <v>2907</v>
      </c>
      <c r="D127" s="73">
        <f t="shared" si="0"/>
        <v>113</v>
      </c>
      <c r="E127" s="74">
        <v>57101</v>
      </c>
      <c r="F127" s="37">
        <v>17</v>
      </c>
      <c r="G127" s="37">
        <v>340</v>
      </c>
      <c r="H127" s="74">
        <v>23700</v>
      </c>
      <c r="I127" s="37">
        <v>13</v>
      </c>
      <c r="J127" s="37">
        <v>260</v>
      </c>
      <c r="K127" s="74">
        <v>26312</v>
      </c>
      <c r="L127" s="37">
        <v>12</v>
      </c>
      <c r="M127" s="37">
        <v>240</v>
      </c>
      <c r="N127" s="74">
        <v>37004</v>
      </c>
      <c r="O127" s="37">
        <v>20</v>
      </c>
      <c r="P127" s="37">
        <v>400</v>
      </c>
      <c r="Q127" s="74">
        <v>20497</v>
      </c>
      <c r="R127" s="37">
        <v>11</v>
      </c>
      <c r="S127" s="37">
        <v>220</v>
      </c>
      <c r="T127" s="74">
        <v>13986</v>
      </c>
      <c r="U127" s="37">
        <v>8</v>
      </c>
      <c r="V127" s="37">
        <v>160</v>
      </c>
      <c r="W127" s="74">
        <v>20004</v>
      </c>
      <c r="X127" s="37">
        <v>10</v>
      </c>
      <c r="Y127" s="37">
        <v>195</v>
      </c>
      <c r="Z127" s="74">
        <v>10283</v>
      </c>
      <c r="AA127" s="37">
        <v>6</v>
      </c>
      <c r="AB127" s="37">
        <v>120</v>
      </c>
      <c r="AC127" s="74">
        <v>43900</v>
      </c>
      <c r="AD127" s="37">
        <v>11</v>
      </c>
      <c r="AE127" s="37">
        <v>220</v>
      </c>
      <c r="AF127" s="74">
        <v>8463</v>
      </c>
      <c r="AG127" s="37">
        <v>5</v>
      </c>
      <c r="AH127" s="37">
        <v>100</v>
      </c>
    </row>
    <row r="128" spans="1:34" ht="16.5" customHeight="1" x14ac:dyDescent="0.3">
      <c r="A128" s="82"/>
      <c r="B128" s="37" t="s">
        <v>608</v>
      </c>
      <c r="C128" s="37">
        <v>2871</v>
      </c>
      <c r="D128" s="73">
        <f t="shared" si="0"/>
        <v>112</v>
      </c>
      <c r="E128" s="74">
        <v>106253</v>
      </c>
      <c r="F128" s="37">
        <v>14</v>
      </c>
      <c r="G128" s="37">
        <v>155</v>
      </c>
      <c r="H128" s="74">
        <v>90670</v>
      </c>
      <c r="I128" s="37">
        <v>8</v>
      </c>
      <c r="J128" s="37">
        <v>85</v>
      </c>
      <c r="K128" s="74">
        <v>73300</v>
      </c>
      <c r="L128" s="37">
        <v>7</v>
      </c>
      <c r="M128" s="37">
        <v>75</v>
      </c>
      <c r="N128" s="74">
        <v>244360</v>
      </c>
      <c r="O128" s="37">
        <v>24</v>
      </c>
      <c r="P128" s="37">
        <v>250</v>
      </c>
      <c r="Q128" s="74">
        <v>95322</v>
      </c>
      <c r="R128" s="37">
        <v>11</v>
      </c>
      <c r="S128" s="37">
        <v>115</v>
      </c>
      <c r="T128" s="74">
        <v>195508</v>
      </c>
      <c r="U128" s="37">
        <v>14</v>
      </c>
      <c r="V128" s="37">
        <v>155</v>
      </c>
      <c r="W128" s="74">
        <v>70050</v>
      </c>
      <c r="X128" s="37">
        <v>9</v>
      </c>
      <c r="Y128" s="37">
        <v>95</v>
      </c>
      <c r="Z128" s="74">
        <v>81020</v>
      </c>
      <c r="AA128" s="37">
        <v>11</v>
      </c>
      <c r="AB128" s="37">
        <v>110</v>
      </c>
      <c r="AC128" s="74">
        <v>68810</v>
      </c>
      <c r="AD128" s="37">
        <v>5</v>
      </c>
      <c r="AE128" s="37">
        <v>50</v>
      </c>
      <c r="AF128" s="74">
        <v>100420</v>
      </c>
      <c r="AG128" s="37">
        <v>9</v>
      </c>
      <c r="AH128" s="37">
        <v>100</v>
      </c>
    </row>
    <row r="129" spans="1:34" ht="16.5" customHeight="1" x14ac:dyDescent="0.3">
      <c r="A129" s="82"/>
      <c r="B129" s="37" t="s">
        <v>355</v>
      </c>
      <c r="C129" s="37">
        <v>3176</v>
      </c>
      <c r="D129" s="73">
        <f t="shared" si="0"/>
        <v>110</v>
      </c>
      <c r="E129" s="74">
        <v>3634</v>
      </c>
      <c r="F129" s="37">
        <v>7</v>
      </c>
      <c r="G129" s="37">
        <v>140</v>
      </c>
      <c r="H129" s="74">
        <v>1056</v>
      </c>
      <c r="I129" s="37">
        <v>3</v>
      </c>
      <c r="J129" s="37">
        <v>60</v>
      </c>
      <c r="K129" s="74">
        <v>4553</v>
      </c>
      <c r="L129" s="37">
        <v>1</v>
      </c>
      <c r="M129" s="37">
        <v>20</v>
      </c>
      <c r="N129" s="74">
        <v>12136</v>
      </c>
      <c r="O129" s="37">
        <v>6</v>
      </c>
      <c r="P129" s="37">
        <v>120</v>
      </c>
      <c r="Q129" s="74">
        <v>22851</v>
      </c>
      <c r="R129" s="37">
        <v>16</v>
      </c>
      <c r="S129" s="37">
        <v>320</v>
      </c>
      <c r="T129" s="74">
        <v>29946</v>
      </c>
      <c r="U129" s="37">
        <v>6</v>
      </c>
      <c r="V129" s="37">
        <v>120</v>
      </c>
      <c r="W129" s="12"/>
      <c r="X129" s="12"/>
      <c r="Y129" s="12"/>
      <c r="Z129" s="74">
        <v>129033</v>
      </c>
      <c r="AA129" s="37">
        <v>46</v>
      </c>
      <c r="AB129" s="37">
        <v>925</v>
      </c>
      <c r="AC129" s="74">
        <v>60269</v>
      </c>
      <c r="AD129" s="37">
        <v>14</v>
      </c>
      <c r="AE129" s="37">
        <v>305</v>
      </c>
      <c r="AF129" s="74">
        <v>41780</v>
      </c>
      <c r="AG129" s="37">
        <v>11</v>
      </c>
      <c r="AH129" s="37">
        <v>225</v>
      </c>
    </row>
    <row r="130" spans="1:34" ht="16.5" customHeight="1" x14ac:dyDescent="0.3">
      <c r="A130" s="82"/>
      <c r="B130" s="37" t="s">
        <v>536</v>
      </c>
      <c r="C130" s="37">
        <v>3262</v>
      </c>
      <c r="D130" s="73">
        <f t="shared" si="0"/>
        <v>109</v>
      </c>
      <c r="E130" s="74">
        <v>52153</v>
      </c>
      <c r="F130" s="37">
        <v>12</v>
      </c>
      <c r="G130" s="37">
        <v>120</v>
      </c>
      <c r="H130" s="74">
        <v>52018</v>
      </c>
      <c r="I130" s="37">
        <v>12</v>
      </c>
      <c r="J130" s="37">
        <v>120</v>
      </c>
      <c r="K130" s="74">
        <v>23849</v>
      </c>
      <c r="L130" s="37">
        <v>11</v>
      </c>
      <c r="M130" s="37">
        <v>110</v>
      </c>
      <c r="N130" s="74">
        <v>36635</v>
      </c>
      <c r="O130" s="37">
        <v>20</v>
      </c>
      <c r="P130" s="37">
        <v>200</v>
      </c>
      <c r="Q130" s="74">
        <v>19393</v>
      </c>
      <c r="R130" s="37">
        <v>10</v>
      </c>
      <c r="S130" s="37">
        <v>100</v>
      </c>
      <c r="T130" s="74">
        <v>11098</v>
      </c>
      <c r="U130" s="37">
        <v>9</v>
      </c>
      <c r="V130" s="37">
        <v>90</v>
      </c>
      <c r="W130" s="74">
        <v>19638</v>
      </c>
      <c r="X130" s="37">
        <v>9</v>
      </c>
      <c r="Y130" s="37">
        <v>90</v>
      </c>
      <c r="Z130" s="74">
        <v>17338</v>
      </c>
      <c r="AA130" s="37">
        <v>9</v>
      </c>
      <c r="AB130" s="37">
        <v>90</v>
      </c>
      <c r="AC130" s="74">
        <v>54031</v>
      </c>
      <c r="AD130" s="37">
        <v>11</v>
      </c>
      <c r="AE130" s="37">
        <v>110</v>
      </c>
      <c r="AF130" s="74">
        <v>3948</v>
      </c>
      <c r="AG130" s="37">
        <v>6</v>
      </c>
      <c r="AH130" s="37">
        <v>60</v>
      </c>
    </row>
    <row r="131" spans="1:34" ht="16.5" customHeight="1" x14ac:dyDescent="0.3">
      <c r="A131" s="82"/>
      <c r="B131" s="37" t="s">
        <v>595</v>
      </c>
      <c r="C131" s="37">
        <v>2880</v>
      </c>
      <c r="D131" s="73">
        <f t="shared" si="0"/>
        <v>107</v>
      </c>
      <c r="E131" s="37">
        <v>500</v>
      </c>
      <c r="F131" s="37">
        <v>1</v>
      </c>
      <c r="G131" s="37">
        <v>10</v>
      </c>
      <c r="H131" s="74">
        <v>2500</v>
      </c>
      <c r="I131" s="37">
        <v>5</v>
      </c>
      <c r="J131" s="37">
        <v>50</v>
      </c>
      <c r="K131" s="74">
        <v>3000</v>
      </c>
      <c r="L131" s="37">
        <v>6</v>
      </c>
      <c r="M131" s="37">
        <v>60</v>
      </c>
      <c r="N131" s="74">
        <v>14000</v>
      </c>
      <c r="O131" s="37">
        <v>28</v>
      </c>
      <c r="P131" s="37">
        <v>280</v>
      </c>
      <c r="Q131" s="74">
        <v>8000</v>
      </c>
      <c r="R131" s="37">
        <v>16</v>
      </c>
      <c r="S131" s="37">
        <v>160</v>
      </c>
      <c r="T131" s="74">
        <v>7000</v>
      </c>
      <c r="U131" s="37">
        <v>14</v>
      </c>
      <c r="V131" s="37">
        <v>140</v>
      </c>
      <c r="W131" s="74">
        <v>18500</v>
      </c>
      <c r="X131" s="37">
        <v>37</v>
      </c>
      <c r="Y131" s="37">
        <v>370</v>
      </c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spans="1:34" ht="16.5" customHeight="1" x14ac:dyDescent="0.3">
      <c r="A132" s="82"/>
      <c r="B132" s="37" t="s">
        <v>393</v>
      </c>
      <c r="C132" s="37">
        <v>3213</v>
      </c>
      <c r="D132" s="73">
        <f t="shared" si="0"/>
        <v>103</v>
      </c>
      <c r="E132" s="74">
        <v>9680</v>
      </c>
      <c r="F132" s="37">
        <v>7</v>
      </c>
      <c r="G132" s="37">
        <v>70</v>
      </c>
      <c r="H132" s="74">
        <v>18520</v>
      </c>
      <c r="I132" s="37">
        <v>11</v>
      </c>
      <c r="J132" s="37">
        <v>110</v>
      </c>
      <c r="K132" s="37">
        <v>620</v>
      </c>
      <c r="L132" s="37">
        <v>1</v>
      </c>
      <c r="M132" s="37">
        <v>10</v>
      </c>
      <c r="N132" s="12"/>
      <c r="O132" s="12"/>
      <c r="P132" s="12"/>
      <c r="Q132" s="74">
        <v>48840</v>
      </c>
      <c r="R132" s="37">
        <v>25</v>
      </c>
      <c r="S132" s="37">
        <v>250</v>
      </c>
      <c r="T132" s="74">
        <v>66320</v>
      </c>
      <c r="U132" s="37">
        <v>34</v>
      </c>
      <c r="V132" s="37">
        <v>340</v>
      </c>
      <c r="W132" s="74">
        <v>29890</v>
      </c>
      <c r="X132" s="37">
        <v>12</v>
      </c>
      <c r="Y132" s="37">
        <v>120</v>
      </c>
      <c r="Z132" s="74">
        <v>21720</v>
      </c>
      <c r="AA132" s="37">
        <v>13</v>
      </c>
      <c r="AB132" s="37">
        <v>130</v>
      </c>
      <c r="AC132" s="12"/>
      <c r="AD132" s="12"/>
      <c r="AE132" s="12"/>
      <c r="AF132" s="12"/>
      <c r="AG132" s="12"/>
      <c r="AH132" s="12"/>
    </row>
    <row r="133" spans="1:34" ht="16.5" customHeight="1" x14ac:dyDescent="0.3">
      <c r="A133" s="82"/>
      <c r="B133" s="37" t="s">
        <v>621</v>
      </c>
      <c r="C133" s="37">
        <v>3163</v>
      </c>
      <c r="D133" s="73">
        <f t="shared" si="0"/>
        <v>97</v>
      </c>
      <c r="E133" s="74">
        <v>43278</v>
      </c>
      <c r="F133" s="37">
        <v>6</v>
      </c>
      <c r="G133" s="37">
        <v>0</v>
      </c>
      <c r="H133" s="74">
        <v>53572</v>
      </c>
      <c r="I133" s="37">
        <v>10</v>
      </c>
      <c r="J133" s="37">
        <v>0</v>
      </c>
      <c r="K133" s="74">
        <v>47108</v>
      </c>
      <c r="L133" s="37">
        <v>9</v>
      </c>
      <c r="M133" s="37">
        <v>0</v>
      </c>
      <c r="N133" s="74">
        <v>89035</v>
      </c>
      <c r="O133" s="37">
        <v>20</v>
      </c>
      <c r="P133" s="37">
        <v>0</v>
      </c>
      <c r="Q133" s="74">
        <v>25089</v>
      </c>
      <c r="R133" s="37">
        <v>5</v>
      </c>
      <c r="S133" s="37">
        <v>0</v>
      </c>
      <c r="T133" s="74">
        <v>37910</v>
      </c>
      <c r="U133" s="37">
        <v>5</v>
      </c>
      <c r="V133" s="37">
        <v>0</v>
      </c>
      <c r="W133" s="37">
        <v>392</v>
      </c>
      <c r="X133" s="37">
        <v>1</v>
      </c>
      <c r="Y133" s="37">
        <v>0</v>
      </c>
      <c r="Z133" s="74">
        <v>21144</v>
      </c>
      <c r="AA133" s="37">
        <v>6</v>
      </c>
      <c r="AB133" s="37">
        <v>0</v>
      </c>
      <c r="AC133" s="74">
        <v>205851</v>
      </c>
      <c r="AD133" s="37">
        <v>23</v>
      </c>
      <c r="AE133" s="37">
        <v>0</v>
      </c>
      <c r="AF133" s="74">
        <v>46571</v>
      </c>
      <c r="AG133" s="37">
        <v>12</v>
      </c>
      <c r="AH133" s="37">
        <v>0</v>
      </c>
    </row>
    <row r="134" spans="1:34" ht="16.5" customHeight="1" x14ac:dyDescent="0.3">
      <c r="A134" s="82"/>
      <c r="B134" s="37" t="s">
        <v>624</v>
      </c>
      <c r="C134" s="37">
        <v>3044</v>
      </c>
      <c r="D134" s="73">
        <f t="shared" si="0"/>
        <v>95</v>
      </c>
      <c r="E134" s="74">
        <v>219366</v>
      </c>
      <c r="F134" s="37">
        <v>9</v>
      </c>
      <c r="G134" s="37">
        <v>135</v>
      </c>
      <c r="H134" s="74">
        <v>171334</v>
      </c>
      <c r="I134" s="37">
        <v>7</v>
      </c>
      <c r="J134" s="37">
        <v>105</v>
      </c>
      <c r="K134" s="74">
        <v>214842</v>
      </c>
      <c r="L134" s="37">
        <v>11</v>
      </c>
      <c r="M134" s="37">
        <v>165</v>
      </c>
      <c r="N134" s="74">
        <v>341668</v>
      </c>
      <c r="O134" s="37">
        <v>14</v>
      </c>
      <c r="P134" s="37">
        <v>210</v>
      </c>
      <c r="Q134" s="74">
        <v>140834</v>
      </c>
      <c r="R134" s="37">
        <v>6</v>
      </c>
      <c r="S134" s="37">
        <v>90</v>
      </c>
      <c r="T134" s="74">
        <v>258141</v>
      </c>
      <c r="U134" s="37">
        <v>8</v>
      </c>
      <c r="V134" s="37">
        <v>120</v>
      </c>
      <c r="W134" s="74">
        <v>176763</v>
      </c>
      <c r="X134" s="37">
        <v>8</v>
      </c>
      <c r="Y134" s="37">
        <v>120</v>
      </c>
      <c r="Z134" s="74">
        <v>330204</v>
      </c>
      <c r="AA134" s="37">
        <v>12</v>
      </c>
      <c r="AB134" s="37">
        <v>180</v>
      </c>
      <c r="AC134" s="74">
        <v>223407</v>
      </c>
      <c r="AD134" s="37">
        <v>11</v>
      </c>
      <c r="AE134" s="37">
        <v>165</v>
      </c>
      <c r="AF134" s="74">
        <v>213574</v>
      </c>
      <c r="AG134" s="37">
        <v>9</v>
      </c>
      <c r="AH134" s="37">
        <v>135</v>
      </c>
    </row>
    <row r="135" spans="1:34" ht="16.5" customHeight="1" x14ac:dyDescent="0.3">
      <c r="A135" s="82"/>
      <c r="B135" s="37" t="s">
        <v>615</v>
      </c>
      <c r="C135" s="37">
        <v>2669</v>
      </c>
      <c r="D135" s="73">
        <f t="shared" si="0"/>
        <v>92</v>
      </c>
      <c r="E135" s="74">
        <v>15491</v>
      </c>
      <c r="F135" s="37">
        <v>11</v>
      </c>
      <c r="G135" s="37">
        <v>165</v>
      </c>
      <c r="H135" s="74">
        <v>8060</v>
      </c>
      <c r="I135" s="37">
        <v>9</v>
      </c>
      <c r="J135" s="37">
        <v>135</v>
      </c>
      <c r="K135" s="74">
        <v>13630</v>
      </c>
      <c r="L135" s="37">
        <v>9</v>
      </c>
      <c r="M135" s="37">
        <v>135</v>
      </c>
      <c r="N135" s="74">
        <v>25196</v>
      </c>
      <c r="O135" s="37">
        <v>18</v>
      </c>
      <c r="P135" s="37">
        <v>270</v>
      </c>
      <c r="Q135" s="74">
        <v>7015</v>
      </c>
      <c r="R135" s="37">
        <v>7</v>
      </c>
      <c r="S135" s="37">
        <v>105</v>
      </c>
      <c r="T135" s="74">
        <v>10090</v>
      </c>
      <c r="U135" s="37">
        <v>8</v>
      </c>
      <c r="V135" s="37">
        <v>120</v>
      </c>
      <c r="W135" s="74">
        <v>5690</v>
      </c>
      <c r="X135" s="37">
        <v>5</v>
      </c>
      <c r="Y135" s="37">
        <v>75</v>
      </c>
      <c r="Z135" s="74">
        <v>6800</v>
      </c>
      <c r="AA135" s="37">
        <v>7</v>
      </c>
      <c r="AB135" s="37">
        <v>105</v>
      </c>
      <c r="AC135" s="74">
        <v>8360</v>
      </c>
      <c r="AD135" s="37">
        <v>9</v>
      </c>
      <c r="AE135" s="37">
        <v>135</v>
      </c>
      <c r="AF135" s="74">
        <v>14441</v>
      </c>
      <c r="AG135" s="37">
        <v>9</v>
      </c>
      <c r="AH135" s="37">
        <v>135</v>
      </c>
    </row>
    <row r="136" spans="1:34" ht="16.5" customHeight="1" x14ac:dyDescent="0.3">
      <c r="A136" s="82"/>
      <c r="B136" s="37" t="s">
        <v>606</v>
      </c>
      <c r="C136" s="37">
        <v>3194</v>
      </c>
      <c r="D136" s="73">
        <f t="shared" si="0"/>
        <v>90</v>
      </c>
      <c r="E136" s="74">
        <v>96825</v>
      </c>
      <c r="F136" s="37">
        <v>15</v>
      </c>
      <c r="G136" s="37">
        <v>150</v>
      </c>
      <c r="H136" s="74">
        <v>13250</v>
      </c>
      <c r="I136" s="37">
        <v>5</v>
      </c>
      <c r="J136" s="37">
        <v>50</v>
      </c>
      <c r="K136" s="74">
        <v>7475</v>
      </c>
      <c r="L136" s="37">
        <v>1</v>
      </c>
      <c r="M136" s="37">
        <v>10</v>
      </c>
      <c r="N136" s="74">
        <v>126150</v>
      </c>
      <c r="O136" s="37">
        <v>22</v>
      </c>
      <c r="P136" s="37">
        <v>220</v>
      </c>
      <c r="Q136" s="74">
        <v>46200</v>
      </c>
      <c r="R136" s="37">
        <v>3</v>
      </c>
      <c r="S136" s="37">
        <v>30</v>
      </c>
      <c r="T136" s="74">
        <v>16575</v>
      </c>
      <c r="U136" s="37">
        <v>2</v>
      </c>
      <c r="V136" s="37">
        <v>20</v>
      </c>
      <c r="W136" s="74">
        <v>422975</v>
      </c>
      <c r="X136" s="37">
        <v>37</v>
      </c>
      <c r="Y136" s="37">
        <v>370</v>
      </c>
      <c r="Z136" s="74">
        <v>6125</v>
      </c>
      <c r="AA136" s="37">
        <v>1</v>
      </c>
      <c r="AB136" s="37">
        <v>10</v>
      </c>
      <c r="AC136" s="74">
        <v>7600</v>
      </c>
      <c r="AD136" s="37">
        <v>4</v>
      </c>
      <c r="AE136" s="37">
        <v>40</v>
      </c>
      <c r="AF136" s="12"/>
      <c r="AG136" s="12"/>
      <c r="AH136" s="12"/>
    </row>
    <row r="137" spans="1:34" ht="16.5" customHeight="1" x14ac:dyDescent="0.3">
      <c r="A137" s="82"/>
      <c r="B137" s="37" t="s">
        <v>227</v>
      </c>
      <c r="C137" s="37">
        <v>3029</v>
      </c>
      <c r="D137" s="73">
        <f t="shared" si="0"/>
        <v>85</v>
      </c>
      <c r="E137" s="74">
        <v>11990</v>
      </c>
      <c r="F137" s="37">
        <v>9</v>
      </c>
      <c r="G137" s="37">
        <v>135</v>
      </c>
      <c r="H137" s="74">
        <v>61274</v>
      </c>
      <c r="I137" s="37">
        <v>14</v>
      </c>
      <c r="J137" s="37">
        <v>210</v>
      </c>
      <c r="K137" s="74">
        <v>25000</v>
      </c>
      <c r="L137" s="37">
        <v>8</v>
      </c>
      <c r="M137" s="37">
        <v>120</v>
      </c>
      <c r="N137" s="74">
        <v>18366</v>
      </c>
      <c r="O137" s="37">
        <v>18</v>
      </c>
      <c r="P137" s="37">
        <v>270</v>
      </c>
      <c r="Q137" s="74">
        <v>53528</v>
      </c>
      <c r="R137" s="37">
        <v>9</v>
      </c>
      <c r="S137" s="37">
        <v>135</v>
      </c>
      <c r="T137" s="74">
        <v>11730</v>
      </c>
      <c r="U137" s="37">
        <v>7</v>
      </c>
      <c r="V137" s="37">
        <v>105</v>
      </c>
      <c r="W137" s="74">
        <v>5030</v>
      </c>
      <c r="X137" s="37">
        <v>6</v>
      </c>
      <c r="Y137" s="37">
        <v>90</v>
      </c>
      <c r="Z137" s="74">
        <v>4500</v>
      </c>
      <c r="AA137" s="37">
        <v>4</v>
      </c>
      <c r="AB137" s="37">
        <v>60</v>
      </c>
      <c r="AC137" s="74">
        <v>32703</v>
      </c>
      <c r="AD137" s="37">
        <v>2</v>
      </c>
      <c r="AE137" s="37">
        <v>30</v>
      </c>
      <c r="AF137" s="74">
        <v>89000</v>
      </c>
      <c r="AG137" s="37">
        <v>8</v>
      </c>
      <c r="AH137" s="37">
        <v>120</v>
      </c>
    </row>
    <row r="138" spans="1:34" ht="16.5" customHeight="1" x14ac:dyDescent="0.3">
      <c r="A138" s="82"/>
      <c r="B138" s="37" t="s">
        <v>144</v>
      </c>
      <c r="C138" s="37">
        <v>2844</v>
      </c>
      <c r="D138" s="73">
        <f t="shared" si="0"/>
        <v>77</v>
      </c>
      <c r="E138" s="74">
        <v>41700</v>
      </c>
      <c r="F138" s="37">
        <v>5</v>
      </c>
      <c r="G138" s="37">
        <v>70</v>
      </c>
      <c r="H138" s="74">
        <v>151301</v>
      </c>
      <c r="I138" s="37">
        <v>9</v>
      </c>
      <c r="J138" s="37">
        <v>135</v>
      </c>
      <c r="K138" s="74">
        <v>155000</v>
      </c>
      <c r="L138" s="37">
        <v>7</v>
      </c>
      <c r="M138" s="37">
        <v>95</v>
      </c>
      <c r="N138" s="74">
        <v>46320</v>
      </c>
      <c r="O138" s="37">
        <v>12</v>
      </c>
      <c r="P138" s="37">
        <v>160</v>
      </c>
      <c r="Q138" s="74">
        <v>82700</v>
      </c>
      <c r="R138" s="37">
        <v>6</v>
      </c>
      <c r="S138" s="37">
        <v>85</v>
      </c>
      <c r="T138" s="74">
        <v>164700</v>
      </c>
      <c r="U138" s="37">
        <v>12</v>
      </c>
      <c r="V138" s="37">
        <v>145</v>
      </c>
      <c r="W138" s="74">
        <v>138000</v>
      </c>
      <c r="X138" s="37">
        <v>6</v>
      </c>
      <c r="Y138" s="37">
        <v>90</v>
      </c>
      <c r="Z138" s="74">
        <v>45420</v>
      </c>
      <c r="AA138" s="37">
        <v>6</v>
      </c>
      <c r="AB138" s="37">
        <v>80</v>
      </c>
      <c r="AC138" s="74">
        <v>53520</v>
      </c>
      <c r="AD138" s="37">
        <v>7</v>
      </c>
      <c r="AE138" s="37">
        <v>90</v>
      </c>
      <c r="AF138" s="74">
        <v>106700</v>
      </c>
      <c r="AG138" s="37">
        <v>7</v>
      </c>
      <c r="AH138" s="37">
        <v>90</v>
      </c>
    </row>
    <row r="139" spans="1:34" ht="16.5" customHeight="1" x14ac:dyDescent="0.3">
      <c r="A139" s="82"/>
      <c r="B139" s="37" t="s">
        <v>237</v>
      </c>
      <c r="C139" s="37">
        <v>3041</v>
      </c>
      <c r="D139" s="73">
        <f t="shared" si="0"/>
        <v>75</v>
      </c>
      <c r="E139" s="74">
        <v>72950</v>
      </c>
      <c r="F139" s="37">
        <v>10</v>
      </c>
      <c r="G139" s="37">
        <v>150</v>
      </c>
      <c r="H139" s="74">
        <v>33132</v>
      </c>
      <c r="I139" s="37">
        <v>4</v>
      </c>
      <c r="J139" s="37">
        <v>60</v>
      </c>
      <c r="K139" s="74">
        <v>61830</v>
      </c>
      <c r="L139" s="37">
        <v>12</v>
      </c>
      <c r="M139" s="37">
        <v>180</v>
      </c>
      <c r="N139" s="74">
        <v>123746</v>
      </c>
      <c r="O139" s="37">
        <v>18</v>
      </c>
      <c r="P139" s="37">
        <v>270</v>
      </c>
      <c r="Q139" s="74">
        <v>27443</v>
      </c>
      <c r="R139" s="37">
        <v>6</v>
      </c>
      <c r="S139" s="37">
        <v>90</v>
      </c>
      <c r="T139" s="74">
        <v>76714</v>
      </c>
      <c r="U139" s="37">
        <v>6</v>
      </c>
      <c r="V139" s="37">
        <v>90</v>
      </c>
      <c r="W139" s="74">
        <v>30947</v>
      </c>
      <c r="X139" s="37">
        <v>8</v>
      </c>
      <c r="Y139" s="37">
        <v>120</v>
      </c>
      <c r="Z139" s="74">
        <v>10638</v>
      </c>
      <c r="AA139" s="37">
        <v>4</v>
      </c>
      <c r="AB139" s="37">
        <v>60</v>
      </c>
      <c r="AC139" s="74">
        <v>2192</v>
      </c>
      <c r="AD139" s="37">
        <v>1</v>
      </c>
      <c r="AE139" s="37">
        <v>15</v>
      </c>
      <c r="AF139" s="74">
        <v>27680</v>
      </c>
      <c r="AG139" s="37">
        <v>6</v>
      </c>
      <c r="AH139" s="37">
        <v>90</v>
      </c>
    </row>
    <row r="140" spans="1:34" ht="16.5" customHeight="1" x14ac:dyDescent="0.3">
      <c r="A140" s="82"/>
      <c r="B140" s="37" t="s">
        <v>457</v>
      </c>
      <c r="C140" s="37">
        <v>359771</v>
      </c>
      <c r="D140" s="73">
        <f t="shared" si="0"/>
        <v>61</v>
      </c>
      <c r="E140" s="12"/>
      <c r="F140" s="12"/>
      <c r="G140" s="12"/>
      <c r="H140" s="12"/>
      <c r="I140" s="12"/>
      <c r="J140" s="12"/>
      <c r="K140" s="74">
        <v>1800</v>
      </c>
      <c r="L140" s="37">
        <v>4</v>
      </c>
      <c r="M140" s="37">
        <v>0</v>
      </c>
      <c r="N140" s="74">
        <v>5480</v>
      </c>
      <c r="O140" s="37">
        <v>12</v>
      </c>
      <c r="P140" s="37">
        <v>0</v>
      </c>
      <c r="Q140" s="74">
        <v>4660</v>
      </c>
      <c r="R140" s="37">
        <v>10</v>
      </c>
      <c r="S140" s="37">
        <v>0</v>
      </c>
      <c r="T140" s="74">
        <v>3760</v>
      </c>
      <c r="U140" s="37">
        <v>8</v>
      </c>
      <c r="V140" s="37">
        <v>0</v>
      </c>
      <c r="W140" s="74">
        <v>3350</v>
      </c>
      <c r="X140" s="37">
        <v>7</v>
      </c>
      <c r="Y140" s="37">
        <v>0</v>
      </c>
      <c r="Z140" s="74">
        <v>1390</v>
      </c>
      <c r="AA140" s="37">
        <v>3</v>
      </c>
      <c r="AB140" s="37">
        <v>0</v>
      </c>
      <c r="AC140" s="74">
        <v>3720</v>
      </c>
      <c r="AD140" s="37">
        <v>8</v>
      </c>
      <c r="AE140" s="37">
        <v>0</v>
      </c>
      <c r="AF140" s="74">
        <v>4410</v>
      </c>
      <c r="AG140" s="37">
        <v>9</v>
      </c>
      <c r="AH140" s="37">
        <v>0</v>
      </c>
    </row>
    <row r="141" spans="1:34" ht="16.5" customHeight="1" x14ac:dyDescent="0.3">
      <c r="A141" s="82"/>
      <c r="B141" s="37" t="s">
        <v>612</v>
      </c>
      <c r="C141" s="37">
        <v>3021</v>
      </c>
      <c r="D141" s="73">
        <f t="shared" si="0"/>
        <v>59</v>
      </c>
      <c r="E141" s="74">
        <v>27004</v>
      </c>
      <c r="F141" s="37">
        <v>4</v>
      </c>
      <c r="G141" s="37">
        <v>60</v>
      </c>
      <c r="H141" s="74">
        <v>169900</v>
      </c>
      <c r="I141" s="37">
        <v>6</v>
      </c>
      <c r="J141" s="37">
        <v>90</v>
      </c>
      <c r="K141" s="74">
        <v>121894</v>
      </c>
      <c r="L141" s="37">
        <v>7</v>
      </c>
      <c r="M141" s="37">
        <v>105</v>
      </c>
      <c r="N141" s="74">
        <v>162400</v>
      </c>
      <c r="O141" s="37">
        <v>10</v>
      </c>
      <c r="P141" s="37">
        <v>150</v>
      </c>
      <c r="Q141" s="74">
        <v>25994</v>
      </c>
      <c r="R141" s="37">
        <v>7</v>
      </c>
      <c r="S141" s="37">
        <v>105</v>
      </c>
      <c r="T141" s="74">
        <v>77700</v>
      </c>
      <c r="U141" s="37">
        <v>5</v>
      </c>
      <c r="V141" s="37">
        <v>75</v>
      </c>
      <c r="W141" s="74">
        <v>10320</v>
      </c>
      <c r="X141" s="37">
        <v>4</v>
      </c>
      <c r="Y141" s="37">
        <v>60</v>
      </c>
      <c r="Z141" s="74">
        <v>70175</v>
      </c>
      <c r="AA141" s="37">
        <v>5</v>
      </c>
      <c r="AB141" s="37">
        <v>75</v>
      </c>
      <c r="AC141" s="74">
        <v>90847</v>
      </c>
      <c r="AD141" s="37">
        <v>4</v>
      </c>
      <c r="AE141" s="37">
        <v>60</v>
      </c>
      <c r="AF141" s="74">
        <v>27376</v>
      </c>
      <c r="AG141" s="37">
        <v>7</v>
      </c>
      <c r="AH141" s="37">
        <v>105</v>
      </c>
    </row>
    <row r="142" spans="1:34" ht="16.5" customHeight="1" x14ac:dyDescent="0.3">
      <c r="A142" s="82"/>
      <c r="B142" s="37" t="s">
        <v>617</v>
      </c>
      <c r="C142" s="37">
        <v>2836</v>
      </c>
      <c r="D142" s="73">
        <f t="shared" si="0"/>
        <v>57</v>
      </c>
      <c r="E142" s="74">
        <v>68444</v>
      </c>
      <c r="F142" s="37">
        <v>9</v>
      </c>
      <c r="G142" s="37">
        <v>90</v>
      </c>
      <c r="H142" s="74">
        <v>27238</v>
      </c>
      <c r="I142" s="37">
        <v>3</v>
      </c>
      <c r="J142" s="37">
        <v>30</v>
      </c>
      <c r="K142" s="74">
        <v>41825</v>
      </c>
      <c r="L142" s="37">
        <v>9</v>
      </c>
      <c r="M142" s="37">
        <v>90</v>
      </c>
      <c r="N142" s="74">
        <v>64710</v>
      </c>
      <c r="O142" s="37">
        <v>10</v>
      </c>
      <c r="P142" s="37">
        <v>100</v>
      </c>
      <c r="Q142" s="74">
        <v>44069</v>
      </c>
      <c r="R142" s="37">
        <v>7</v>
      </c>
      <c r="S142" s="37">
        <v>70</v>
      </c>
      <c r="T142" s="74">
        <v>31840</v>
      </c>
      <c r="U142" s="37">
        <v>4</v>
      </c>
      <c r="V142" s="37">
        <v>40</v>
      </c>
      <c r="W142" s="74">
        <v>52682</v>
      </c>
      <c r="X142" s="37">
        <v>3</v>
      </c>
      <c r="Y142" s="37">
        <v>30</v>
      </c>
      <c r="Z142" s="74">
        <v>21220</v>
      </c>
      <c r="AA142" s="37">
        <v>3</v>
      </c>
      <c r="AB142" s="37">
        <v>30</v>
      </c>
      <c r="AC142" s="74">
        <v>23311</v>
      </c>
      <c r="AD142" s="37">
        <v>4</v>
      </c>
      <c r="AE142" s="37">
        <v>40</v>
      </c>
      <c r="AF142" s="74">
        <v>25054</v>
      </c>
      <c r="AG142" s="37">
        <v>5</v>
      </c>
      <c r="AH142" s="37">
        <v>50</v>
      </c>
    </row>
    <row r="143" spans="1:34" ht="16.5" customHeight="1" x14ac:dyDescent="0.3">
      <c r="A143" s="82"/>
      <c r="B143" s="37" t="s">
        <v>113</v>
      </c>
      <c r="C143" s="37">
        <v>2762</v>
      </c>
      <c r="D143" s="73">
        <f t="shared" si="0"/>
        <v>57</v>
      </c>
      <c r="E143" s="74">
        <v>9915</v>
      </c>
      <c r="F143" s="37">
        <v>5</v>
      </c>
      <c r="G143" s="37">
        <v>50</v>
      </c>
      <c r="H143" s="74">
        <v>7235</v>
      </c>
      <c r="I143" s="37">
        <v>4</v>
      </c>
      <c r="J143" s="37">
        <v>40</v>
      </c>
      <c r="K143" s="74">
        <v>8685</v>
      </c>
      <c r="L143" s="37">
        <v>4</v>
      </c>
      <c r="M143" s="37">
        <v>40</v>
      </c>
      <c r="N143" s="74">
        <v>38430</v>
      </c>
      <c r="O143" s="37">
        <v>16</v>
      </c>
      <c r="P143" s="37">
        <v>160</v>
      </c>
      <c r="Q143" s="74">
        <v>9385</v>
      </c>
      <c r="R143" s="37">
        <v>6</v>
      </c>
      <c r="S143" s="37">
        <v>60</v>
      </c>
      <c r="T143" s="74">
        <v>12090</v>
      </c>
      <c r="U143" s="37">
        <v>7</v>
      </c>
      <c r="V143" s="37">
        <v>70</v>
      </c>
      <c r="W143" s="74">
        <v>5720</v>
      </c>
      <c r="X143" s="37">
        <v>3</v>
      </c>
      <c r="Y143" s="37">
        <v>30</v>
      </c>
      <c r="Z143" s="74">
        <v>8075</v>
      </c>
      <c r="AA143" s="37">
        <v>4</v>
      </c>
      <c r="AB143" s="37">
        <v>40</v>
      </c>
      <c r="AC143" s="74">
        <v>10056</v>
      </c>
      <c r="AD143" s="37">
        <v>5</v>
      </c>
      <c r="AE143" s="37">
        <v>50</v>
      </c>
      <c r="AF143" s="74">
        <v>6235</v>
      </c>
      <c r="AG143" s="37">
        <v>3</v>
      </c>
      <c r="AH143" s="37">
        <v>30</v>
      </c>
    </row>
    <row r="144" spans="1:34" ht="16.5" customHeight="1" x14ac:dyDescent="0.3">
      <c r="A144" s="82"/>
      <c r="B144" s="37" t="s">
        <v>374</v>
      </c>
      <c r="C144" s="37">
        <v>3193</v>
      </c>
      <c r="D144" s="73">
        <f t="shared" si="0"/>
        <v>57</v>
      </c>
      <c r="E144" s="74">
        <v>7500</v>
      </c>
      <c r="F144" s="37">
        <v>15</v>
      </c>
      <c r="G144" s="37">
        <v>0</v>
      </c>
      <c r="H144" s="74">
        <v>3500</v>
      </c>
      <c r="I144" s="37">
        <v>7</v>
      </c>
      <c r="J144" s="37">
        <v>0</v>
      </c>
      <c r="K144" s="74">
        <v>2000</v>
      </c>
      <c r="L144" s="37">
        <v>4</v>
      </c>
      <c r="M144" s="37">
        <v>0</v>
      </c>
      <c r="N144" s="74">
        <v>5000</v>
      </c>
      <c r="O144" s="37">
        <v>10</v>
      </c>
      <c r="P144" s="37">
        <v>0</v>
      </c>
      <c r="Q144" s="74">
        <v>4000</v>
      </c>
      <c r="R144" s="37">
        <v>8</v>
      </c>
      <c r="S144" s="37">
        <v>0</v>
      </c>
      <c r="T144" s="74">
        <v>3500</v>
      </c>
      <c r="U144" s="37">
        <v>7</v>
      </c>
      <c r="V144" s="37">
        <v>0</v>
      </c>
      <c r="W144" s="37">
        <v>500</v>
      </c>
      <c r="X144" s="37">
        <v>1</v>
      </c>
      <c r="Y144" s="37">
        <v>0</v>
      </c>
      <c r="Z144" s="74">
        <v>1000</v>
      </c>
      <c r="AA144" s="37">
        <v>2</v>
      </c>
      <c r="AB144" s="37">
        <v>0</v>
      </c>
      <c r="AC144" s="74">
        <v>1000</v>
      </c>
      <c r="AD144" s="37">
        <v>2</v>
      </c>
      <c r="AE144" s="37">
        <v>0</v>
      </c>
      <c r="AF144" s="37">
        <v>500</v>
      </c>
      <c r="AG144" s="37">
        <v>1</v>
      </c>
      <c r="AH144" s="37">
        <v>0</v>
      </c>
    </row>
    <row r="145" spans="1:34" ht="16.5" customHeight="1" x14ac:dyDescent="0.3">
      <c r="A145" s="82"/>
      <c r="B145" s="37" t="s">
        <v>614</v>
      </c>
      <c r="C145" s="37">
        <v>3188</v>
      </c>
      <c r="D145" s="73">
        <f t="shared" si="0"/>
        <v>48</v>
      </c>
      <c r="E145" s="74">
        <v>6050</v>
      </c>
      <c r="F145" s="37">
        <v>8</v>
      </c>
      <c r="G145" s="37">
        <v>120</v>
      </c>
      <c r="H145" s="74">
        <v>8330</v>
      </c>
      <c r="I145" s="37">
        <v>9</v>
      </c>
      <c r="J145" s="37">
        <v>135</v>
      </c>
      <c r="K145" s="74">
        <v>4490</v>
      </c>
      <c r="L145" s="37">
        <v>6</v>
      </c>
      <c r="M145" s="37">
        <v>90</v>
      </c>
      <c r="N145" s="74">
        <v>2000</v>
      </c>
      <c r="O145" s="37">
        <v>4</v>
      </c>
      <c r="P145" s="37">
        <v>60</v>
      </c>
      <c r="Q145" s="74">
        <v>3370</v>
      </c>
      <c r="R145" s="37">
        <v>3</v>
      </c>
      <c r="S145" s="37">
        <v>45</v>
      </c>
      <c r="T145" s="74">
        <v>1000</v>
      </c>
      <c r="U145" s="37">
        <v>2</v>
      </c>
      <c r="V145" s="37">
        <v>30</v>
      </c>
      <c r="W145" s="74">
        <v>3580</v>
      </c>
      <c r="X145" s="37">
        <v>4</v>
      </c>
      <c r="Y145" s="37">
        <v>60</v>
      </c>
      <c r="Z145" s="74">
        <v>2000</v>
      </c>
      <c r="AA145" s="37">
        <v>3</v>
      </c>
      <c r="AB145" s="37">
        <v>45</v>
      </c>
      <c r="AC145" s="74">
        <v>1790</v>
      </c>
      <c r="AD145" s="37">
        <v>3</v>
      </c>
      <c r="AE145" s="37">
        <v>45</v>
      </c>
      <c r="AF145" s="74">
        <v>4108</v>
      </c>
      <c r="AG145" s="37">
        <v>6</v>
      </c>
      <c r="AH145" s="37">
        <v>90</v>
      </c>
    </row>
    <row r="146" spans="1:34" ht="16.5" customHeight="1" x14ac:dyDescent="0.3">
      <c r="A146" s="82"/>
      <c r="B146" s="37" t="s">
        <v>289</v>
      </c>
      <c r="C146" s="37">
        <v>3103</v>
      </c>
      <c r="D146" s="73">
        <f t="shared" si="0"/>
        <v>41</v>
      </c>
      <c r="E146" s="74">
        <v>8236</v>
      </c>
      <c r="F146" s="37">
        <v>6</v>
      </c>
      <c r="G146" s="37">
        <v>60</v>
      </c>
      <c r="H146" s="74">
        <v>13301</v>
      </c>
      <c r="I146" s="37">
        <v>6</v>
      </c>
      <c r="J146" s="37">
        <v>60</v>
      </c>
      <c r="K146" s="74">
        <v>12252</v>
      </c>
      <c r="L146" s="37">
        <v>5</v>
      </c>
      <c r="M146" s="37">
        <v>50</v>
      </c>
      <c r="N146" s="74">
        <v>20780</v>
      </c>
      <c r="O146" s="37">
        <v>8</v>
      </c>
      <c r="P146" s="37">
        <v>80</v>
      </c>
      <c r="Q146" s="74">
        <v>8294</v>
      </c>
      <c r="R146" s="37">
        <v>3</v>
      </c>
      <c r="S146" s="37">
        <v>30</v>
      </c>
      <c r="T146" s="74">
        <v>7694</v>
      </c>
      <c r="U146" s="37">
        <v>3</v>
      </c>
      <c r="V146" s="37">
        <v>30</v>
      </c>
      <c r="W146" s="74">
        <v>9574</v>
      </c>
      <c r="X146" s="37">
        <v>3</v>
      </c>
      <c r="Y146" s="37">
        <v>30</v>
      </c>
      <c r="Z146" s="74">
        <v>2614</v>
      </c>
      <c r="AA146" s="37">
        <v>1</v>
      </c>
      <c r="AB146" s="37">
        <v>10</v>
      </c>
      <c r="AC146" s="74">
        <v>3907</v>
      </c>
      <c r="AD146" s="37">
        <v>2</v>
      </c>
      <c r="AE146" s="37">
        <v>20</v>
      </c>
      <c r="AF146" s="74">
        <v>7245</v>
      </c>
      <c r="AG146" s="37">
        <v>4</v>
      </c>
      <c r="AH146" s="37">
        <v>40</v>
      </c>
    </row>
    <row r="147" spans="1:34" ht="16.5" customHeight="1" x14ac:dyDescent="0.3">
      <c r="A147" s="82"/>
      <c r="B147" s="37" t="s">
        <v>256</v>
      </c>
      <c r="C147" s="37">
        <v>3061</v>
      </c>
      <c r="D147" s="73">
        <f t="shared" si="0"/>
        <v>39</v>
      </c>
      <c r="E147" s="74">
        <v>16500</v>
      </c>
      <c r="F147" s="37">
        <v>3</v>
      </c>
      <c r="G147" s="37">
        <v>45</v>
      </c>
      <c r="H147" s="74">
        <v>16500</v>
      </c>
      <c r="I147" s="37">
        <v>3</v>
      </c>
      <c r="J147" s="37">
        <v>45</v>
      </c>
      <c r="K147" s="74">
        <v>8500</v>
      </c>
      <c r="L147" s="37">
        <v>1</v>
      </c>
      <c r="M147" s="37">
        <v>15</v>
      </c>
      <c r="N147" s="74">
        <v>58000</v>
      </c>
      <c r="O147" s="37">
        <v>10</v>
      </c>
      <c r="P147" s="37">
        <v>150</v>
      </c>
      <c r="Q147" s="74">
        <v>20500</v>
      </c>
      <c r="R147" s="37">
        <v>5</v>
      </c>
      <c r="S147" s="37">
        <v>75</v>
      </c>
      <c r="T147" s="74">
        <v>16500</v>
      </c>
      <c r="U147" s="37">
        <v>3</v>
      </c>
      <c r="V147" s="37">
        <v>45</v>
      </c>
      <c r="W147" s="74">
        <v>20500</v>
      </c>
      <c r="X147" s="37">
        <v>4</v>
      </c>
      <c r="Y147" s="37">
        <v>60</v>
      </c>
      <c r="Z147" s="74">
        <v>16500</v>
      </c>
      <c r="AA147" s="37">
        <v>3</v>
      </c>
      <c r="AB147" s="37">
        <v>45</v>
      </c>
      <c r="AC147" s="74">
        <v>66500</v>
      </c>
      <c r="AD147" s="37">
        <v>4</v>
      </c>
      <c r="AE147" s="37">
        <v>60</v>
      </c>
      <c r="AF147" s="74">
        <v>16500</v>
      </c>
      <c r="AG147" s="37">
        <v>3</v>
      </c>
      <c r="AH147" s="37">
        <v>45</v>
      </c>
    </row>
    <row r="148" spans="1:34" ht="16.5" customHeight="1" x14ac:dyDescent="0.3">
      <c r="A148" s="82"/>
      <c r="B148" s="37" t="s">
        <v>452</v>
      </c>
      <c r="C148" s="37">
        <v>358456</v>
      </c>
      <c r="D148" s="73">
        <f t="shared" si="0"/>
        <v>36</v>
      </c>
      <c r="E148" s="37">
        <v>600</v>
      </c>
      <c r="F148" s="37">
        <v>2</v>
      </c>
      <c r="G148" s="37">
        <v>20</v>
      </c>
      <c r="H148" s="74">
        <v>1800</v>
      </c>
      <c r="I148" s="37">
        <v>5</v>
      </c>
      <c r="J148" s="37">
        <v>50</v>
      </c>
      <c r="K148" s="37">
        <v>600</v>
      </c>
      <c r="L148" s="37">
        <v>2</v>
      </c>
      <c r="M148" s="37">
        <v>20</v>
      </c>
      <c r="N148" s="74">
        <v>1200</v>
      </c>
      <c r="O148" s="37">
        <v>4</v>
      </c>
      <c r="P148" s="37">
        <v>40</v>
      </c>
      <c r="Q148" s="74">
        <v>3900</v>
      </c>
      <c r="R148" s="37">
        <v>5</v>
      </c>
      <c r="S148" s="37">
        <v>50</v>
      </c>
      <c r="T148" s="74">
        <v>1100</v>
      </c>
      <c r="U148" s="37">
        <v>3</v>
      </c>
      <c r="V148" s="37">
        <v>30</v>
      </c>
      <c r="W148" s="74">
        <v>3600</v>
      </c>
      <c r="X148" s="37">
        <v>3</v>
      </c>
      <c r="Y148" s="37">
        <v>30</v>
      </c>
      <c r="Z148" s="74">
        <v>2400</v>
      </c>
      <c r="AA148" s="37">
        <v>3</v>
      </c>
      <c r="AB148" s="37">
        <v>30</v>
      </c>
      <c r="AC148" s="74">
        <v>1100</v>
      </c>
      <c r="AD148" s="37">
        <v>5</v>
      </c>
      <c r="AE148" s="37">
        <v>50</v>
      </c>
      <c r="AF148" s="74">
        <v>1000</v>
      </c>
      <c r="AG148" s="37">
        <v>4</v>
      </c>
      <c r="AH148" s="37">
        <v>40</v>
      </c>
    </row>
    <row r="149" spans="1:34" ht="16.5" customHeight="1" x14ac:dyDescent="0.3">
      <c r="A149" s="82"/>
      <c r="B149" s="37" t="s">
        <v>288</v>
      </c>
      <c r="C149" s="37">
        <v>3102</v>
      </c>
      <c r="D149" s="73">
        <f t="shared" si="0"/>
        <v>26</v>
      </c>
      <c r="E149" s="12"/>
      <c r="F149" s="12"/>
      <c r="G149" s="12"/>
      <c r="H149" s="74">
        <v>2500</v>
      </c>
      <c r="I149" s="37">
        <v>5</v>
      </c>
      <c r="J149" s="37">
        <v>50</v>
      </c>
      <c r="K149" s="74">
        <v>3500</v>
      </c>
      <c r="L149" s="37">
        <v>7</v>
      </c>
      <c r="M149" s="37">
        <v>70</v>
      </c>
      <c r="N149" s="74">
        <v>5000</v>
      </c>
      <c r="O149" s="37">
        <v>10</v>
      </c>
      <c r="P149" s="37">
        <v>100</v>
      </c>
      <c r="Q149" s="74">
        <v>1000</v>
      </c>
      <c r="R149" s="37">
        <v>2</v>
      </c>
      <c r="S149" s="37">
        <v>20</v>
      </c>
      <c r="T149" s="37">
        <v>500</v>
      </c>
      <c r="U149" s="37">
        <v>1</v>
      </c>
      <c r="V149" s="37">
        <v>10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37">
        <v>500</v>
      </c>
      <c r="AG149" s="37">
        <v>1</v>
      </c>
      <c r="AH149" s="37">
        <v>10</v>
      </c>
    </row>
    <row r="150" spans="1:34" ht="16.5" customHeight="1" x14ac:dyDescent="0.3">
      <c r="A150" s="82"/>
      <c r="B150" s="37" t="s">
        <v>229</v>
      </c>
      <c r="C150" s="37">
        <v>3031</v>
      </c>
      <c r="D150" s="73">
        <f t="shared" si="0"/>
        <v>19</v>
      </c>
      <c r="E150" s="37">
        <v>800</v>
      </c>
      <c r="F150" s="37">
        <v>1</v>
      </c>
      <c r="G150" s="37">
        <v>10</v>
      </c>
      <c r="H150" s="12"/>
      <c r="I150" s="12"/>
      <c r="J150" s="12"/>
      <c r="K150" s="74">
        <v>1400</v>
      </c>
      <c r="L150" s="37">
        <v>4</v>
      </c>
      <c r="M150" s="37">
        <v>40</v>
      </c>
      <c r="N150" s="74">
        <v>2000</v>
      </c>
      <c r="O150" s="37">
        <v>4</v>
      </c>
      <c r="P150" s="37">
        <v>40</v>
      </c>
      <c r="Q150" s="12"/>
      <c r="R150" s="12"/>
      <c r="S150" s="12"/>
      <c r="T150" s="12"/>
      <c r="U150" s="12"/>
      <c r="V150" s="12"/>
      <c r="W150" s="74">
        <v>9700</v>
      </c>
      <c r="X150" s="37">
        <v>6</v>
      </c>
      <c r="Y150" s="37">
        <v>60</v>
      </c>
      <c r="Z150" s="74">
        <v>5600</v>
      </c>
      <c r="AA150" s="37">
        <v>2</v>
      </c>
      <c r="AB150" s="37">
        <v>20</v>
      </c>
      <c r="AC150" s="74">
        <v>1000</v>
      </c>
      <c r="AD150" s="37">
        <v>2</v>
      </c>
      <c r="AE150" s="37">
        <v>20</v>
      </c>
      <c r="AF150" s="12"/>
      <c r="AG150" s="12"/>
      <c r="AH150" s="12"/>
    </row>
    <row r="151" spans="1:34" ht="16.5" customHeight="1" x14ac:dyDescent="0.3">
      <c r="A151" s="82"/>
      <c r="B151" s="37" t="s">
        <v>428</v>
      </c>
      <c r="C151" s="37">
        <v>30104</v>
      </c>
      <c r="D151" s="73">
        <f t="shared" si="0"/>
        <v>15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74">
        <v>17850</v>
      </c>
      <c r="O151" s="37">
        <v>10</v>
      </c>
      <c r="P151" s="37">
        <v>150</v>
      </c>
      <c r="Q151" s="12"/>
      <c r="R151" s="12"/>
      <c r="S151" s="12"/>
      <c r="T151" s="74">
        <v>2822</v>
      </c>
      <c r="U151" s="37">
        <v>2</v>
      </c>
      <c r="V151" s="37">
        <v>30</v>
      </c>
      <c r="W151" s="12"/>
      <c r="X151" s="12"/>
      <c r="Y151" s="12"/>
      <c r="Z151" s="12"/>
      <c r="AA151" s="12"/>
      <c r="AB151" s="12"/>
      <c r="AC151" s="74">
        <v>1411</v>
      </c>
      <c r="AD151" s="37">
        <v>1</v>
      </c>
      <c r="AE151" s="37">
        <v>15</v>
      </c>
      <c r="AF151" s="74">
        <v>6470</v>
      </c>
      <c r="AG151" s="37">
        <v>2</v>
      </c>
      <c r="AH151" s="37">
        <v>30</v>
      </c>
    </row>
    <row r="152" spans="1:34" ht="16.5" customHeight="1" x14ac:dyDescent="0.3">
      <c r="A152" s="82"/>
      <c r="B152" s="37" t="s">
        <v>324</v>
      </c>
      <c r="C152" s="37">
        <v>3145</v>
      </c>
      <c r="D152" s="73">
        <f t="shared" si="0"/>
        <v>15</v>
      </c>
      <c r="E152" s="74">
        <v>20900</v>
      </c>
      <c r="F152" s="37">
        <v>15</v>
      </c>
      <c r="G152" s="37">
        <v>225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4" ht="16.5" customHeight="1" x14ac:dyDescent="0.3">
      <c r="A153" s="82"/>
      <c r="B153" s="37" t="s">
        <v>609</v>
      </c>
      <c r="C153" s="37">
        <v>3002</v>
      </c>
      <c r="D153" s="73">
        <f t="shared" si="0"/>
        <v>12</v>
      </c>
      <c r="E153" s="74">
        <v>2502</v>
      </c>
      <c r="F153" s="37">
        <v>1</v>
      </c>
      <c r="G153" s="37">
        <v>15</v>
      </c>
      <c r="H153" s="74">
        <v>10360</v>
      </c>
      <c r="I153" s="37">
        <v>2</v>
      </c>
      <c r="J153" s="37">
        <v>30</v>
      </c>
      <c r="K153" s="74">
        <v>11584</v>
      </c>
      <c r="L153" s="37">
        <v>3</v>
      </c>
      <c r="M153" s="37">
        <v>45</v>
      </c>
      <c r="N153" s="12"/>
      <c r="O153" s="12"/>
      <c r="P153" s="12"/>
      <c r="Q153" s="12"/>
      <c r="R153" s="12"/>
      <c r="S153" s="12"/>
      <c r="T153" s="74">
        <v>1364</v>
      </c>
      <c r="U153" s="37">
        <v>1</v>
      </c>
      <c r="V153" s="37">
        <v>15</v>
      </c>
      <c r="W153" s="74">
        <v>1000</v>
      </c>
      <c r="X153" s="37">
        <v>1</v>
      </c>
      <c r="Y153" s="37">
        <v>15</v>
      </c>
      <c r="Z153" s="74">
        <v>1000</v>
      </c>
      <c r="AA153" s="37">
        <v>1</v>
      </c>
      <c r="AB153" s="37">
        <v>15</v>
      </c>
      <c r="AC153" s="12"/>
      <c r="AD153" s="12"/>
      <c r="AE153" s="12"/>
      <c r="AF153" s="74">
        <v>14497</v>
      </c>
      <c r="AG153" s="37">
        <v>3</v>
      </c>
      <c r="AH153" s="37">
        <v>45</v>
      </c>
    </row>
    <row r="154" spans="1:34" ht="16.5" customHeight="1" x14ac:dyDescent="0.3">
      <c r="A154" s="82"/>
      <c r="B154" s="37" t="s">
        <v>258</v>
      </c>
      <c r="C154" s="37">
        <v>3065</v>
      </c>
      <c r="D154" s="73">
        <f t="shared" si="0"/>
        <v>11</v>
      </c>
      <c r="E154" s="37">
        <v>213</v>
      </c>
      <c r="F154" s="37">
        <v>1</v>
      </c>
      <c r="G154" s="37">
        <v>10</v>
      </c>
      <c r="H154" s="37">
        <v>396</v>
      </c>
      <c r="I154" s="37">
        <v>2</v>
      </c>
      <c r="J154" s="37">
        <v>20</v>
      </c>
      <c r="K154" s="37">
        <v>213</v>
      </c>
      <c r="L154" s="37">
        <v>1</v>
      </c>
      <c r="M154" s="37">
        <v>10</v>
      </c>
      <c r="N154" s="37">
        <v>426</v>
      </c>
      <c r="O154" s="37">
        <v>2</v>
      </c>
      <c r="P154" s="37">
        <v>20</v>
      </c>
      <c r="Q154" s="37">
        <v>213</v>
      </c>
      <c r="R154" s="37">
        <v>1</v>
      </c>
      <c r="S154" s="37">
        <v>10</v>
      </c>
      <c r="T154" s="37">
        <v>394</v>
      </c>
      <c r="U154" s="37">
        <v>2</v>
      </c>
      <c r="V154" s="37">
        <v>20</v>
      </c>
      <c r="W154" s="37">
        <v>121</v>
      </c>
      <c r="X154" s="37">
        <v>1</v>
      </c>
      <c r="Y154" s="37">
        <v>10</v>
      </c>
      <c r="Z154" s="37">
        <v>161</v>
      </c>
      <c r="AA154" s="37">
        <v>1</v>
      </c>
      <c r="AB154" s="37">
        <v>10</v>
      </c>
      <c r="AC154" s="12"/>
      <c r="AD154" s="12"/>
      <c r="AE154" s="12"/>
      <c r="AF154" s="12"/>
      <c r="AG154" s="12"/>
      <c r="AH154" s="12"/>
    </row>
    <row r="155" spans="1:34" ht="16.5" customHeight="1" x14ac:dyDescent="0.3">
      <c r="A155" s="82"/>
      <c r="B155" s="37" t="s">
        <v>209</v>
      </c>
      <c r="C155" s="37">
        <v>2991</v>
      </c>
      <c r="D155" s="73">
        <f t="shared" si="0"/>
        <v>10</v>
      </c>
      <c r="E155" s="74">
        <v>31366</v>
      </c>
      <c r="F155" s="37">
        <v>10</v>
      </c>
      <c r="G155" s="37">
        <v>300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spans="1:34" ht="16.5" customHeight="1" x14ac:dyDescent="0.3">
      <c r="A156" s="82"/>
      <c r="B156" s="37" t="s">
        <v>514</v>
      </c>
      <c r="C156" s="37">
        <v>361339</v>
      </c>
      <c r="D156" s="73">
        <f t="shared" si="0"/>
        <v>9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74">
        <v>-48695</v>
      </c>
      <c r="U156" s="37">
        <v>9</v>
      </c>
      <c r="V156" s="37">
        <v>0</v>
      </c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spans="1:34" ht="16.5" customHeight="1" x14ac:dyDescent="0.3">
      <c r="A157" s="82"/>
      <c r="B157" s="37" t="s">
        <v>666</v>
      </c>
      <c r="C157" s="37">
        <v>366698</v>
      </c>
      <c r="D157" s="73">
        <f t="shared" si="0"/>
        <v>7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74">
        <v>-27763</v>
      </c>
      <c r="U157" s="37">
        <v>7</v>
      </c>
      <c r="V157" s="37">
        <v>0</v>
      </c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spans="1:34" ht="16.5" customHeight="1" x14ac:dyDescent="0.3">
      <c r="A158" s="82"/>
      <c r="B158" s="37" t="s">
        <v>157</v>
      </c>
      <c r="C158" s="37">
        <v>2879</v>
      </c>
      <c r="D158" s="73">
        <f t="shared" si="0"/>
        <v>6</v>
      </c>
      <c r="E158" s="12"/>
      <c r="F158" s="12"/>
      <c r="G158" s="12"/>
      <c r="H158" s="74">
        <v>22400</v>
      </c>
      <c r="I158" s="37">
        <v>2</v>
      </c>
      <c r="J158" s="37">
        <v>20</v>
      </c>
      <c r="K158" s="12"/>
      <c r="L158" s="12"/>
      <c r="M158" s="12"/>
      <c r="N158" s="74">
        <v>22400</v>
      </c>
      <c r="O158" s="37">
        <v>2</v>
      </c>
      <c r="P158" s="37">
        <v>20</v>
      </c>
      <c r="Q158" s="12"/>
      <c r="R158" s="12"/>
      <c r="S158" s="12"/>
      <c r="T158" s="74">
        <v>22400</v>
      </c>
      <c r="U158" s="37">
        <v>2</v>
      </c>
      <c r="V158" s="37">
        <v>20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spans="1:34" ht="16.5" customHeight="1" x14ac:dyDescent="0.3">
      <c r="A159" s="82"/>
      <c r="B159" s="37" t="s">
        <v>627</v>
      </c>
      <c r="C159" s="37">
        <v>3167</v>
      </c>
      <c r="D159" s="73">
        <f t="shared" si="0"/>
        <v>4</v>
      </c>
      <c r="E159" s="12"/>
      <c r="F159" s="12"/>
      <c r="G159" s="12"/>
      <c r="H159" s="74">
        <v>5400</v>
      </c>
      <c r="I159" s="37">
        <v>1</v>
      </c>
      <c r="J159" s="37">
        <v>15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74">
        <v>7560</v>
      </c>
      <c r="U159" s="37">
        <v>1</v>
      </c>
      <c r="V159" s="37">
        <v>15</v>
      </c>
      <c r="W159" s="12"/>
      <c r="X159" s="12"/>
      <c r="Y159" s="12"/>
      <c r="Z159" s="74">
        <v>5400</v>
      </c>
      <c r="AA159" s="37">
        <v>1</v>
      </c>
      <c r="AB159" s="37">
        <v>15</v>
      </c>
      <c r="AC159" s="74">
        <v>7560</v>
      </c>
      <c r="AD159" s="37">
        <v>1</v>
      </c>
      <c r="AE159" s="37">
        <v>15</v>
      </c>
      <c r="AF159" s="12"/>
      <c r="AG159" s="12"/>
      <c r="AH159" s="12"/>
    </row>
    <row r="160" spans="1:34" ht="16.5" customHeight="1" x14ac:dyDescent="0.3">
      <c r="A160" s="82"/>
      <c r="B160" s="37" t="s">
        <v>217</v>
      </c>
      <c r="C160" s="37">
        <v>3008</v>
      </c>
      <c r="D160" s="73">
        <f t="shared" si="0"/>
        <v>4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74">
        <v>65000</v>
      </c>
      <c r="U160" s="37">
        <v>2</v>
      </c>
      <c r="V160" s="37">
        <v>20</v>
      </c>
      <c r="W160" s="74">
        <v>10000</v>
      </c>
      <c r="X160" s="37">
        <v>2</v>
      </c>
      <c r="Y160" s="37">
        <v>20</v>
      </c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spans="1:34" ht="16.5" customHeight="1" x14ac:dyDescent="0.3">
      <c r="A161" s="82"/>
      <c r="B161" s="37" t="s">
        <v>112</v>
      </c>
      <c r="C161" s="37">
        <v>2759</v>
      </c>
      <c r="D161" s="73">
        <f t="shared" si="0"/>
        <v>3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74">
        <v>1920</v>
      </c>
      <c r="U161" s="37">
        <v>1</v>
      </c>
      <c r="V161" s="37">
        <v>15</v>
      </c>
      <c r="W161" s="12"/>
      <c r="X161" s="12"/>
      <c r="Y161" s="12"/>
      <c r="Z161" s="12"/>
      <c r="AA161" s="12"/>
      <c r="AB161" s="12"/>
      <c r="AC161" s="12"/>
      <c r="AD161" s="12"/>
      <c r="AE161" s="12"/>
      <c r="AF161" s="74">
        <v>6702</v>
      </c>
      <c r="AG161" s="37">
        <v>2</v>
      </c>
      <c r="AH161" s="37">
        <v>30</v>
      </c>
    </row>
    <row r="162" spans="1:34" ht="16.5" customHeight="1" x14ac:dyDescent="0.3">
      <c r="A162" s="82"/>
      <c r="B162" s="37" t="s">
        <v>416</v>
      </c>
      <c r="C162" s="37">
        <v>2677</v>
      </c>
      <c r="D162" s="73">
        <f t="shared" si="0"/>
        <v>3</v>
      </c>
      <c r="E162" s="74">
        <v>1936</v>
      </c>
      <c r="F162" s="37">
        <v>3</v>
      </c>
      <c r="G162" s="37">
        <v>0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spans="1:34" ht="16.5" customHeight="1" x14ac:dyDescent="0.3">
      <c r="A163" s="82"/>
      <c r="B163" s="37" t="s">
        <v>114</v>
      </c>
      <c r="C163" s="37">
        <v>2772</v>
      </c>
      <c r="D163" s="73">
        <f t="shared" si="0"/>
        <v>2</v>
      </c>
      <c r="E163" s="74">
        <v>8412</v>
      </c>
      <c r="F163" s="37">
        <v>1</v>
      </c>
      <c r="G163" s="37">
        <v>10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74">
        <v>29157</v>
      </c>
      <c r="X163" s="37">
        <v>1</v>
      </c>
      <c r="Y163" s="37">
        <v>10</v>
      </c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spans="1:34" ht="16.5" customHeight="1" x14ac:dyDescent="0.3">
      <c r="A164" s="82"/>
      <c r="B164" s="37" t="s">
        <v>520</v>
      </c>
      <c r="C164" s="37">
        <v>361422</v>
      </c>
      <c r="D164" s="73">
        <f t="shared" si="0"/>
        <v>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74">
        <v>40000</v>
      </c>
      <c r="U164" s="37">
        <v>2</v>
      </c>
      <c r="V164" s="37">
        <v>0</v>
      </c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spans="1:34" ht="16.5" customHeight="1" x14ac:dyDescent="0.3">
      <c r="A165" s="82"/>
      <c r="B165" s="37" t="s">
        <v>322</v>
      </c>
      <c r="C165" s="37">
        <v>3144</v>
      </c>
      <c r="D165" s="73">
        <f t="shared" si="0"/>
        <v>2</v>
      </c>
      <c r="E165" s="74">
        <v>2587</v>
      </c>
      <c r="F165" s="37">
        <v>2</v>
      </c>
      <c r="G165" s="37">
        <v>30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spans="1:34" ht="16.5" customHeight="1" x14ac:dyDescent="0.3">
      <c r="A166" s="82"/>
      <c r="B166" s="37" t="s">
        <v>386</v>
      </c>
      <c r="C166" s="37">
        <v>3050</v>
      </c>
      <c r="D166" s="73">
        <f t="shared" si="0"/>
        <v>1</v>
      </c>
      <c r="E166" s="12"/>
      <c r="F166" s="12"/>
      <c r="G166" s="12"/>
      <c r="H166" s="74">
        <v>2496</v>
      </c>
      <c r="I166" s="37">
        <v>1</v>
      </c>
      <c r="J166" s="37">
        <v>15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spans="1:34" ht="16.5" customHeight="1" x14ac:dyDescent="0.3">
      <c r="A167" s="82"/>
      <c r="B167" s="37" t="s">
        <v>215</v>
      </c>
      <c r="C167" s="37">
        <v>3006</v>
      </c>
      <c r="D167" s="73">
        <f t="shared" si="0"/>
        <v>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37">
        <v>790</v>
      </c>
      <c r="AG167" s="37">
        <v>1</v>
      </c>
      <c r="AH167" s="37">
        <v>15</v>
      </c>
    </row>
    <row r="168" spans="1:34" ht="16.5" customHeight="1" x14ac:dyDescent="0.3">
      <c r="A168" s="82"/>
      <c r="B168" s="37" t="s">
        <v>449</v>
      </c>
      <c r="C168" s="37">
        <v>358002</v>
      </c>
      <c r="D168" s="73">
        <f t="shared" si="0"/>
        <v>1</v>
      </c>
      <c r="E168" s="37">
        <v>250</v>
      </c>
      <c r="F168" s="37">
        <v>1</v>
      </c>
      <c r="G168" s="37">
        <v>0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spans="1:34" ht="16.5" customHeight="1" x14ac:dyDescent="0.3">
      <c r="A169" s="82"/>
      <c r="B169" s="37" t="s">
        <v>623</v>
      </c>
      <c r="C169" s="37">
        <v>3195</v>
      </c>
      <c r="D169" s="73">
        <f t="shared" si="0"/>
        <v>1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37">
        <v>300</v>
      </c>
      <c r="AD169" s="37">
        <v>1</v>
      </c>
      <c r="AE169" s="37">
        <v>10</v>
      </c>
      <c r="AF169" s="12"/>
      <c r="AG169" s="12"/>
      <c r="AH169" s="12"/>
    </row>
    <row r="170" spans="1:34" ht="16.5" customHeight="1" x14ac:dyDescent="0.3">
      <c r="A170" s="82"/>
      <c r="B170" s="37" t="s">
        <v>162</v>
      </c>
      <c r="C170" s="37">
        <v>2884</v>
      </c>
      <c r="D170" s="73">
        <f t="shared" si="0"/>
        <v>1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37">
        <v>500</v>
      </c>
      <c r="AG170" s="37">
        <v>1</v>
      </c>
      <c r="AH170" s="37">
        <v>10</v>
      </c>
    </row>
    <row r="171" spans="1:34" ht="16.5" customHeight="1" x14ac:dyDescent="0.3">
      <c r="A171" s="80"/>
      <c r="B171" s="37" t="s">
        <v>622</v>
      </c>
      <c r="C171" s="37">
        <v>2977</v>
      </c>
      <c r="D171" s="73">
        <f t="shared" si="0"/>
        <v>1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74">
        <v>3000</v>
      </c>
      <c r="R171" s="37">
        <v>1</v>
      </c>
      <c r="S171" s="37">
        <v>10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spans="1:34" ht="16.5" customHeight="1" x14ac:dyDescent="0.3">
      <c r="A172" s="83" t="s">
        <v>667</v>
      </c>
      <c r="B172" s="37" t="s">
        <v>668</v>
      </c>
      <c r="C172" s="37">
        <v>3401</v>
      </c>
      <c r="D172" s="73">
        <f t="shared" si="0"/>
        <v>1170674</v>
      </c>
      <c r="E172" s="74">
        <v>234145939</v>
      </c>
      <c r="F172" s="74">
        <v>105611</v>
      </c>
      <c r="G172" s="74">
        <v>595767</v>
      </c>
      <c r="H172" s="74">
        <v>227607213</v>
      </c>
      <c r="I172" s="74">
        <v>97124</v>
      </c>
      <c r="J172" s="74">
        <v>553898</v>
      </c>
      <c r="K172" s="74">
        <v>231459032</v>
      </c>
      <c r="L172" s="74">
        <v>107549</v>
      </c>
      <c r="M172" s="74">
        <v>635131</v>
      </c>
      <c r="N172" s="74">
        <v>435656895</v>
      </c>
      <c r="O172" s="74">
        <v>202296</v>
      </c>
      <c r="P172" s="74">
        <v>1095363</v>
      </c>
      <c r="Q172" s="74">
        <v>230428308</v>
      </c>
      <c r="R172" s="74">
        <v>102593</v>
      </c>
      <c r="S172" s="74">
        <v>571799</v>
      </c>
      <c r="T172" s="74">
        <v>227146719</v>
      </c>
      <c r="U172" s="74">
        <v>105597</v>
      </c>
      <c r="V172" s="74">
        <v>569942</v>
      </c>
      <c r="W172" s="74">
        <v>243940182</v>
      </c>
      <c r="X172" s="74">
        <v>113424</v>
      </c>
      <c r="Y172" s="74">
        <v>585414</v>
      </c>
      <c r="Z172" s="74">
        <v>236358714</v>
      </c>
      <c r="AA172" s="74">
        <v>108579</v>
      </c>
      <c r="AB172" s="74">
        <v>568500</v>
      </c>
      <c r="AC172" s="74">
        <v>245757307</v>
      </c>
      <c r="AD172" s="74">
        <v>115848</v>
      </c>
      <c r="AE172" s="74">
        <v>605023</v>
      </c>
      <c r="AF172" s="74">
        <v>249988298</v>
      </c>
      <c r="AG172" s="74">
        <v>112053</v>
      </c>
      <c r="AH172" s="74">
        <v>575533</v>
      </c>
    </row>
    <row r="173" spans="1:34" ht="16.5" customHeight="1" x14ac:dyDescent="0.3">
      <c r="A173" s="82"/>
      <c r="B173" s="75" t="s">
        <v>669</v>
      </c>
      <c r="C173" s="37">
        <v>3410</v>
      </c>
      <c r="D173" s="73">
        <f t="shared" si="0"/>
        <v>149251</v>
      </c>
      <c r="E173" s="74">
        <v>93538849</v>
      </c>
      <c r="F173" s="74">
        <v>14657</v>
      </c>
      <c r="G173" s="74">
        <v>388100</v>
      </c>
      <c r="H173" s="74">
        <v>82192738</v>
      </c>
      <c r="I173" s="74">
        <v>14566</v>
      </c>
      <c r="J173" s="74">
        <v>379620</v>
      </c>
      <c r="K173" s="74">
        <v>76252721</v>
      </c>
      <c r="L173" s="74">
        <v>14858</v>
      </c>
      <c r="M173" s="74">
        <v>387930</v>
      </c>
      <c r="N173" s="74">
        <v>115309642</v>
      </c>
      <c r="O173" s="74">
        <v>24230</v>
      </c>
      <c r="P173" s="74">
        <v>616460</v>
      </c>
      <c r="Q173" s="74">
        <v>65687086</v>
      </c>
      <c r="R173" s="74">
        <v>13142</v>
      </c>
      <c r="S173" s="74">
        <v>338300</v>
      </c>
      <c r="T173" s="74">
        <v>75394225</v>
      </c>
      <c r="U173" s="74">
        <v>13870</v>
      </c>
      <c r="V173" s="74">
        <v>362450</v>
      </c>
      <c r="W173" s="74">
        <v>79348217</v>
      </c>
      <c r="X173" s="74">
        <v>14221</v>
      </c>
      <c r="Y173" s="74">
        <v>369540</v>
      </c>
      <c r="Z173" s="74">
        <v>67569551</v>
      </c>
      <c r="AA173" s="74">
        <v>13319</v>
      </c>
      <c r="AB173" s="74">
        <v>345380</v>
      </c>
      <c r="AC173" s="74">
        <v>63518027</v>
      </c>
      <c r="AD173" s="74">
        <v>13637</v>
      </c>
      <c r="AE173" s="74">
        <v>349640</v>
      </c>
      <c r="AF173" s="74">
        <v>59931907</v>
      </c>
      <c r="AG173" s="74">
        <v>12751</v>
      </c>
      <c r="AH173" s="74">
        <v>324510</v>
      </c>
    </row>
    <row r="174" spans="1:34" ht="16.5" customHeight="1" x14ac:dyDescent="0.3">
      <c r="A174" s="82"/>
      <c r="B174" s="37" t="s">
        <v>670</v>
      </c>
      <c r="C174" s="37">
        <v>3421</v>
      </c>
      <c r="D174" s="73">
        <f t="shared" si="0"/>
        <v>57655</v>
      </c>
      <c r="E174" s="74">
        <v>4159102</v>
      </c>
      <c r="F174" s="74">
        <v>7588</v>
      </c>
      <c r="G174" s="74">
        <v>225720</v>
      </c>
      <c r="H174" s="74">
        <v>3898100</v>
      </c>
      <c r="I174" s="74">
        <v>6290</v>
      </c>
      <c r="J174" s="74">
        <v>182248</v>
      </c>
      <c r="K174" s="74">
        <v>3673611</v>
      </c>
      <c r="L174" s="74">
        <v>6021</v>
      </c>
      <c r="M174" s="74">
        <v>175648</v>
      </c>
      <c r="N174" s="74">
        <v>6766551</v>
      </c>
      <c r="O174" s="74">
        <v>12074</v>
      </c>
      <c r="P174" s="74">
        <v>366256</v>
      </c>
      <c r="Q174" s="74">
        <v>3104089</v>
      </c>
      <c r="R174" s="74">
        <v>5344</v>
      </c>
      <c r="S174" s="74">
        <v>153824</v>
      </c>
      <c r="T174" s="74">
        <v>3804055</v>
      </c>
      <c r="U174" s="74">
        <v>6182</v>
      </c>
      <c r="V174" s="74">
        <v>183304</v>
      </c>
      <c r="W174" s="74">
        <v>2081800</v>
      </c>
      <c r="X174" s="74">
        <v>3313</v>
      </c>
      <c r="Y174" s="74">
        <v>76956</v>
      </c>
      <c r="Z174" s="74">
        <v>1581600</v>
      </c>
      <c r="AA174" s="74">
        <v>2482</v>
      </c>
      <c r="AB174" s="74">
        <v>51568</v>
      </c>
      <c r="AC174" s="74">
        <v>1846700</v>
      </c>
      <c r="AD174" s="74">
        <v>2937</v>
      </c>
      <c r="AE174" s="74">
        <v>60852</v>
      </c>
      <c r="AF174" s="74">
        <v>3575221</v>
      </c>
      <c r="AG174" s="74">
        <v>5424</v>
      </c>
      <c r="AH174" s="74">
        <v>160336</v>
      </c>
    </row>
    <row r="175" spans="1:34" ht="16.5" customHeight="1" x14ac:dyDescent="0.3">
      <c r="A175" s="82"/>
      <c r="B175" s="37" t="s">
        <v>671</v>
      </c>
      <c r="C175" s="37">
        <v>3411</v>
      </c>
      <c r="D175" s="73">
        <f t="shared" si="0"/>
        <v>47091</v>
      </c>
      <c r="E175" s="74">
        <v>377817314</v>
      </c>
      <c r="F175" s="74">
        <v>5034</v>
      </c>
      <c r="G175" s="37">
        <v>560</v>
      </c>
      <c r="H175" s="74">
        <v>310015245</v>
      </c>
      <c r="I175" s="74">
        <v>4814</v>
      </c>
      <c r="J175" s="37">
        <v>210</v>
      </c>
      <c r="K175" s="74">
        <v>300102215</v>
      </c>
      <c r="L175" s="74">
        <v>4746</v>
      </c>
      <c r="M175" s="37">
        <v>170</v>
      </c>
      <c r="N175" s="74">
        <v>542498553</v>
      </c>
      <c r="O175" s="74">
        <v>8044</v>
      </c>
      <c r="P175" s="37">
        <v>400</v>
      </c>
      <c r="Q175" s="74">
        <v>276606437</v>
      </c>
      <c r="R175" s="74">
        <v>4185</v>
      </c>
      <c r="S175" s="37">
        <v>0</v>
      </c>
      <c r="T175" s="74">
        <v>240652210</v>
      </c>
      <c r="U175" s="74">
        <v>3795</v>
      </c>
      <c r="V175" s="37">
        <v>100</v>
      </c>
      <c r="W175" s="74">
        <v>236218865</v>
      </c>
      <c r="X175" s="74">
        <v>3685</v>
      </c>
      <c r="Y175" s="37">
        <v>100</v>
      </c>
      <c r="Z175" s="74">
        <v>261925799</v>
      </c>
      <c r="AA175" s="74">
        <v>4052</v>
      </c>
      <c r="AB175" s="37">
        <v>270</v>
      </c>
      <c r="AC175" s="74">
        <v>282794136</v>
      </c>
      <c r="AD175" s="74">
        <v>4188</v>
      </c>
      <c r="AE175" s="37">
        <v>250</v>
      </c>
      <c r="AF175" s="74">
        <v>314909933</v>
      </c>
      <c r="AG175" s="74">
        <v>4548</v>
      </c>
      <c r="AH175" s="37">
        <v>350</v>
      </c>
    </row>
    <row r="176" spans="1:34" ht="16.5" customHeight="1" x14ac:dyDescent="0.3">
      <c r="A176" s="82"/>
      <c r="B176" s="37" t="s">
        <v>672</v>
      </c>
      <c r="C176" s="37">
        <v>3402</v>
      </c>
      <c r="D176" s="73">
        <f t="shared" si="0"/>
        <v>36925</v>
      </c>
      <c r="E176" s="74">
        <v>11861255</v>
      </c>
      <c r="F176" s="74">
        <v>4393</v>
      </c>
      <c r="G176" s="37">
        <v>0</v>
      </c>
      <c r="H176" s="74">
        <v>9554779</v>
      </c>
      <c r="I176" s="74">
        <v>3596</v>
      </c>
      <c r="J176" s="37">
        <v>0</v>
      </c>
      <c r="K176" s="74">
        <v>14269552</v>
      </c>
      <c r="L176" s="74">
        <v>3099</v>
      </c>
      <c r="M176" s="37">
        <v>0</v>
      </c>
      <c r="N176" s="74">
        <v>18801192</v>
      </c>
      <c r="O176" s="74">
        <v>6454</v>
      </c>
      <c r="P176" s="37">
        <v>0</v>
      </c>
      <c r="Q176" s="74">
        <v>10733122</v>
      </c>
      <c r="R176" s="74">
        <v>3265</v>
      </c>
      <c r="S176" s="37">
        <v>0</v>
      </c>
      <c r="T176" s="74">
        <v>10397121</v>
      </c>
      <c r="U176" s="74">
        <v>2842</v>
      </c>
      <c r="V176" s="37">
        <v>0</v>
      </c>
      <c r="W176" s="74">
        <v>10365187</v>
      </c>
      <c r="X176" s="74">
        <v>2777</v>
      </c>
      <c r="Y176" s="37">
        <v>0</v>
      </c>
      <c r="Z176" s="74">
        <v>10405941</v>
      </c>
      <c r="AA176" s="74">
        <v>3601</v>
      </c>
      <c r="AB176" s="37">
        <v>0</v>
      </c>
      <c r="AC176" s="74">
        <v>10741308</v>
      </c>
      <c r="AD176" s="74">
        <v>3901</v>
      </c>
      <c r="AE176" s="37">
        <v>0</v>
      </c>
      <c r="AF176" s="74">
        <v>11639662</v>
      </c>
      <c r="AG176" s="74">
        <v>2997</v>
      </c>
      <c r="AH176" s="37">
        <v>0</v>
      </c>
    </row>
    <row r="177" spans="1:34" ht="16.5" customHeight="1" x14ac:dyDescent="0.3">
      <c r="A177" s="82"/>
      <c r="B177" s="37" t="s">
        <v>673</v>
      </c>
      <c r="C177" s="37">
        <v>3408</v>
      </c>
      <c r="D177" s="73">
        <f t="shared" si="0"/>
        <v>9370</v>
      </c>
      <c r="E177" s="74">
        <v>17750275</v>
      </c>
      <c r="F177" s="37">
        <v>400</v>
      </c>
      <c r="G177" s="74">
        <v>12720</v>
      </c>
      <c r="H177" s="74">
        <v>6236430</v>
      </c>
      <c r="I177" s="37">
        <v>203</v>
      </c>
      <c r="J177" s="74">
        <v>5568</v>
      </c>
      <c r="K177" s="74">
        <v>12448465</v>
      </c>
      <c r="L177" s="37">
        <v>397</v>
      </c>
      <c r="M177" s="74">
        <v>9703</v>
      </c>
      <c r="N177" s="74">
        <v>18964486</v>
      </c>
      <c r="O177" s="37">
        <v>768</v>
      </c>
      <c r="P177" s="74">
        <v>14090</v>
      </c>
      <c r="Q177" s="74">
        <v>10742288</v>
      </c>
      <c r="R177" s="37">
        <v>591</v>
      </c>
      <c r="S177" s="74">
        <v>6715</v>
      </c>
      <c r="T177" s="74">
        <v>11871303</v>
      </c>
      <c r="U177" s="37">
        <v>752</v>
      </c>
      <c r="V177" s="74">
        <v>6861</v>
      </c>
      <c r="W177" s="74">
        <v>15405540</v>
      </c>
      <c r="X177" s="74">
        <v>1120</v>
      </c>
      <c r="Y177" s="74">
        <v>16880</v>
      </c>
      <c r="Z177" s="74">
        <v>11529765</v>
      </c>
      <c r="AA177" s="74">
        <v>2291</v>
      </c>
      <c r="AB177" s="74">
        <v>5735</v>
      </c>
      <c r="AC177" s="74">
        <v>12750571</v>
      </c>
      <c r="AD177" s="74">
        <v>1584</v>
      </c>
      <c r="AE177" s="74">
        <v>7135</v>
      </c>
      <c r="AF177" s="74">
        <v>11052176</v>
      </c>
      <c r="AG177" s="74">
        <v>1264</v>
      </c>
      <c r="AH177" s="74">
        <v>7766</v>
      </c>
    </row>
    <row r="178" spans="1:34" ht="16.5" customHeight="1" x14ac:dyDescent="0.3">
      <c r="A178" s="82"/>
      <c r="B178" s="37" t="s">
        <v>674</v>
      </c>
      <c r="C178" s="37">
        <v>3404</v>
      </c>
      <c r="D178" s="73">
        <f t="shared" si="0"/>
        <v>9364</v>
      </c>
      <c r="E178" s="74">
        <v>1764234</v>
      </c>
      <c r="F178" s="74">
        <v>1194</v>
      </c>
      <c r="G178" s="74">
        <v>22695</v>
      </c>
      <c r="H178" s="74">
        <v>1380770</v>
      </c>
      <c r="I178" s="37">
        <v>956</v>
      </c>
      <c r="J178" s="74">
        <v>18126</v>
      </c>
      <c r="K178" s="74">
        <v>1351540</v>
      </c>
      <c r="L178" s="37">
        <v>912</v>
      </c>
      <c r="M178" s="74">
        <v>17115</v>
      </c>
      <c r="N178" s="74">
        <v>2130858</v>
      </c>
      <c r="O178" s="74">
        <v>1472</v>
      </c>
      <c r="P178" s="74">
        <v>28837</v>
      </c>
      <c r="Q178" s="74">
        <v>1459280</v>
      </c>
      <c r="R178" s="37">
        <v>985</v>
      </c>
      <c r="S178" s="74">
        <v>17639</v>
      </c>
      <c r="T178" s="74">
        <v>1177591</v>
      </c>
      <c r="U178" s="37">
        <v>835</v>
      </c>
      <c r="V178" s="74">
        <v>15766</v>
      </c>
      <c r="W178" s="74">
        <v>1342518</v>
      </c>
      <c r="X178" s="37">
        <v>901</v>
      </c>
      <c r="Y178" s="74">
        <v>15954</v>
      </c>
      <c r="Z178" s="74">
        <v>1105511</v>
      </c>
      <c r="AA178" s="37">
        <v>732</v>
      </c>
      <c r="AB178" s="74">
        <v>14194</v>
      </c>
      <c r="AC178" s="74">
        <v>1087700</v>
      </c>
      <c r="AD178" s="37">
        <v>765</v>
      </c>
      <c r="AE178" s="74">
        <v>14231</v>
      </c>
      <c r="AF178" s="74">
        <v>852461</v>
      </c>
      <c r="AG178" s="37">
        <v>612</v>
      </c>
      <c r="AH178" s="74">
        <v>10973</v>
      </c>
    </row>
    <row r="179" spans="1:34" ht="16.5" customHeight="1" x14ac:dyDescent="0.3">
      <c r="A179" s="82"/>
      <c r="B179" s="37" t="s">
        <v>675</v>
      </c>
      <c r="C179" s="37">
        <v>3424</v>
      </c>
      <c r="D179" s="73">
        <f t="shared" si="0"/>
        <v>7786</v>
      </c>
      <c r="E179" s="74">
        <v>13009890</v>
      </c>
      <c r="F179" s="37">
        <v>824</v>
      </c>
      <c r="G179" s="37">
        <v>0</v>
      </c>
      <c r="H179" s="74">
        <v>14250988</v>
      </c>
      <c r="I179" s="37">
        <v>850</v>
      </c>
      <c r="J179" s="37">
        <v>0</v>
      </c>
      <c r="K179" s="74">
        <v>14860802</v>
      </c>
      <c r="L179" s="37">
        <v>828</v>
      </c>
      <c r="M179" s="37">
        <v>0</v>
      </c>
      <c r="N179" s="74">
        <v>25794950</v>
      </c>
      <c r="O179" s="74">
        <v>1506</v>
      </c>
      <c r="P179" s="37">
        <v>0</v>
      </c>
      <c r="Q179" s="74">
        <v>11527326</v>
      </c>
      <c r="R179" s="37">
        <v>707</v>
      </c>
      <c r="S179" s="37">
        <v>0</v>
      </c>
      <c r="T179" s="74">
        <v>10223148</v>
      </c>
      <c r="U179" s="37">
        <v>615</v>
      </c>
      <c r="V179" s="37">
        <v>0</v>
      </c>
      <c r="W179" s="74">
        <v>10689848</v>
      </c>
      <c r="X179" s="37">
        <v>617</v>
      </c>
      <c r="Y179" s="37">
        <v>0</v>
      </c>
      <c r="Z179" s="74">
        <v>10469610</v>
      </c>
      <c r="AA179" s="37">
        <v>601</v>
      </c>
      <c r="AB179" s="37">
        <v>0</v>
      </c>
      <c r="AC179" s="74">
        <v>10103931</v>
      </c>
      <c r="AD179" s="37">
        <v>627</v>
      </c>
      <c r="AE179" s="37">
        <v>0</v>
      </c>
      <c r="AF179" s="74">
        <v>11375695</v>
      </c>
      <c r="AG179" s="37">
        <v>611</v>
      </c>
      <c r="AH179" s="37">
        <v>0</v>
      </c>
    </row>
    <row r="180" spans="1:34" ht="16.5" customHeight="1" x14ac:dyDescent="0.3">
      <c r="A180" s="82"/>
      <c r="B180" s="75" t="s">
        <v>676</v>
      </c>
      <c r="C180" s="37">
        <v>3406</v>
      </c>
      <c r="D180" s="73">
        <f t="shared" si="0"/>
        <v>2476</v>
      </c>
      <c r="E180" s="74">
        <v>293560</v>
      </c>
      <c r="F180" s="37">
        <v>417</v>
      </c>
      <c r="G180" s="74">
        <v>22680</v>
      </c>
      <c r="H180" s="74">
        <v>374978</v>
      </c>
      <c r="I180" s="37">
        <v>332</v>
      </c>
      <c r="J180" s="74">
        <v>18816</v>
      </c>
      <c r="K180" s="74">
        <v>363190</v>
      </c>
      <c r="L180" s="37">
        <v>329</v>
      </c>
      <c r="M180" s="74">
        <v>18480</v>
      </c>
      <c r="N180" s="74">
        <v>349060</v>
      </c>
      <c r="O180" s="37">
        <v>536</v>
      </c>
      <c r="P180" s="74">
        <v>31920</v>
      </c>
      <c r="Q180" s="74">
        <v>216530</v>
      </c>
      <c r="R180" s="37">
        <v>248</v>
      </c>
      <c r="S180" s="74">
        <v>13944</v>
      </c>
      <c r="T180" s="74">
        <v>121450</v>
      </c>
      <c r="U180" s="37">
        <v>198</v>
      </c>
      <c r="V180" s="74">
        <v>10920</v>
      </c>
      <c r="W180" s="74">
        <v>94162</v>
      </c>
      <c r="X180" s="37">
        <v>142</v>
      </c>
      <c r="Y180" s="74">
        <v>5712</v>
      </c>
      <c r="Z180" s="74">
        <v>39400</v>
      </c>
      <c r="AA180" s="37">
        <v>64</v>
      </c>
      <c r="AB180" s="74">
        <v>2184</v>
      </c>
      <c r="AC180" s="74">
        <v>48300</v>
      </c>
      <c r="AD180" s="37">
        <v>95</v>
      </c>
      <c r="AE180" s="74">
        <v>3864</v>
      </c>
      <c r="AF180" s="74">
        <v>84900</v>
      </c>
      <c r="AG180" s="37">
        <v>115</v>
      </c>
      <c r="AH180" s="74">
        <v>7056</v>
      </c>
    </row>
    <row r="181" spans="1:34" ht="16.5" customHeight="1" x14ac:dyDescent="0.3">
      <c r="A181" s="82"/>
      <c r="B181" s="37" t="s">
        <v>677</v>
      </c>
      <c r="C181" s="37">
        <v>34099</v>
      </c>
      <c r="D181" s="73">
        <f t="shared" si="0"/>
        <v>645</v>
      </c>
      <c r="E181" s="74">
        <v>216495</v>
      </c>
      <c r="F181" s="37">
        <v>70</v>
      </c>
      <c r="G181" s="37">
        <v>0</v>
      </c>
      <c r="H181" s="74">
        <v>170155</v>
      </c>
      <c r="I181" s="37">
        <v>56</v>
      </c>
      <c r="J181" s="37">
        <v>0</v>
      </c>
      <c r="K181" s="74">
        <v>234546</v>
      </c>
      <c r="L181" s="37">
        <v>64</v>
      </c>
      <c r="M181" s="37">
        <v>0</v>
      </c>
      <c r="N181" s="74">
        <v>385657</v>
      </c>
      <c r="O181" s="37">
        <v>118</v>
      </c>
      <c r="P181" s="37">
        <v>0</v>
      </c>
      <c r="Q181" s="74">
        <v>238914</v>
      </c>
      <c r="R181" s="37">
        <v>58</v>
      </c>
      <c r="S181" s="37">
        <v>0</v>
      </c>
      <c r="T181" s="74">
        <v>133041</v>
      </c>
      <c r="U181" s="37">
        <v>41</v>
      </c>
      <c r="V181" s="37">
        <v>0</v>
      </c>
      <c r="W181" s="74">
        <v>143948</v>
      </c>
      <c r="X181" s="37">
        <v>64</v>
      </c>
      <c r="Y181" s="37">
        <v>0</v>
      </c>
      <c r="Z181" s="74">
        <v>239900</v>
      </c>
      <c r="AA181" s="37">
        <v>60</v>
      </c>
      <c r="AB181" s="37">
        <v>0</v>
      </c>
      <c r="AC181" s="74">
        <v>240800</v>
      </c>
      <c r="AD181" s="37">
        <v>60</v>
      </c>
      <c r="AE181" s="37">
        <v>0</v>
      </c>
      <c r="AF181" s="74">
        <v>163291</v>
      </c>
      <c r="AG181" s="37">
        <v>54</v>
      </c>
      <c r="AH181" s="37">
        <v>0</v>
      </c>
    </row>
    <row r="182" spans="1:34" ht="16.5" customHeight="1" x14ac:dyDescent="0.3">
      <c r="A182" s="82"/>
      <c r="B182" s="75" t="s">
        <v>678</v>
      </c>
      <c r="C182" s="37">
        <v>3405</v>
      </c>
      <c r="D182" s="73">
        <f t="shared" si="0"/>
        <v>21</v>
      </c>
      <c r="E182" s="74">
        <v>3000</v>
      </c>
      <c r="F182" s="37">
        <v>1</v>
      </c>
      <c r="G182" s="37">
        <v>0</v>
      </c>
      <c r="H182" s="74">
        <v>6000</v>
      </c>
      <c r="I182" s="37">
        <v>4</v>
      </c>
      <c r="J182" s="37">
        <v>94</v>
      </c>
      <c r="K182" s="12"/>
      <c r="L182" s="12"/>
      <c r="M182" s="12"/>
      <c r="N182" s="74">
        <v>8000</v>
      </c>
      <c r="O182" s="37">
        <v>4</v>
      </c>
      <c r="P182" s="37">
        <v>94</v>
      </c>
      <c r="Q182" s="12"/>
      <c r="R182" s="12"/>
      <c r="S182" s="12"/>
      <c r="T182" s="74">
        <v>1200</v>
      </c>
      <c r="U182" s="37">
        <v>1</v>
      </c>
      <c r="V182" s="37">
        <v>47</v>
      </c>
      <c r="W182" s="74">
        <v>4200</v>
      </c>
      <c r="X182" s="37">
        <v>3</v>
      </c>
      <c r="Y182" s="37">
        <v>92</v>
      </c>
      <c r="Z182" s="74">
        <v>5000</v>
      </c>
      <c r="AA182" s="37">
        <v>3</v>
      </c>
      <c r="AB182" s="37">
        <v>47</v>
      </c>
      <c r="AC182" s="74">
        <v>4000</v>
      </c>
      <c r="AD182" s="37">
        <v>3</v>
      </c>
      <c r="AE182" s="37">
        <v>45</v>
      </c>
      <c r="AF182" s="74">
        <v>1000</v>
      </c>
      <c r="AG182" s="37">
        <v>2</v>
      </c>
      <c r="AH182" s="37">
        <v>45</v>
      </c>
    </row>
    <row r="183" spans="1:34" ht="16.5" customHeight="1" x14ac:dyDescent="0.3">
      <c r="A183" s="80"/>
      <c r="B183" s="37" t="s">
        <v>679</v>
      </c>
      <c r="C183" s="37">
        <v>3422</v>
      </c>
      <c r="D183" s="73">
        <f t="shared" si="0"/>
        <v>8</v>
      </c>
      <c r="E183" s="74">
        <v>3200</v>
      </c>
      <c r="F183" s="37">
        <v>4</v>
      </c>
      <c r="G183" s="37">
        <v>389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74">
        <v>1600</v>
      </c>
      <c r="AA183" s="37">
        <v>4</v>
      </c>
      <c r="AB183" s="37">
        <v>384</v>
      </c>
      <c r="AC183" s="12"/>
      <c r="AD183" s="12"/>
      <c r="AE183" s="12"/>
      <c r="AF183" s="12"/>
      <c r="AG183" s="12"/>
      <c r="AH183" s="12"/>
    </row>
  </sheetData>
  <mergeCells count="16">
    <mergeCell ref="AF1:AH1"/>
    <mergeCell ref="A3:A4"/>
    <mergeCell ref="A5:A171"/>
    <mergeCell ref="A172:A183"/>
    <mergeCell ref="A1:A2"/>
    <mergeCell ref="C1:C2"/>
    <mergeCell ref="D1:D2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2023 Stats</vt:lpstr>
      <vt:lpstr>2025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 Jawroongrit</dc:creator>
  <cp:lastModifiedBy>Pawarit Jawroongrit</cp:lastModifiedBy>
  <dcterms:created xsi:type="dcterms:W3CDTF">2026-04-17T04:47:38Z</dcterms:created>
  <dcterms:modified xsi:type="dcterms:W3CDTF">2026-04-19T16:34:40Z</dcterms:modified>
</cp:coreProperties>
</file>